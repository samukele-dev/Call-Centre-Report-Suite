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Pivot" sheetId="2" r:id="rId2"/>
    <sheet name="Campaign Analysis" sheetId="3" r:id="rId3"/>
  </sheets>
  <calcPr calcId="124519" fullCalcOnLoad="1"/>
</workbook>
</file>

<file path=xl/sharedStrings.xml><?xml version="1.0" encoding="utf-8"?>
<sst xmlns="http://schemas.openxmlformats.org/spreadsheetml/2006/main" count="60784" uniqueCount="18659">
  <si>
    <t>Contact Id</t>
  </si>
  <si>
    <t>Customer Id</t>
  </si>
  <si>
    <t>Lead Reference</t>
  </si>
  <si>
    <t>List Id</t>
  </si>
  <si>
    <t>List Name</t>
  </si>
  <si>
    <t>Title</t>
  </si>
  <si>
    <t>Firstname</t>
  </si>
  <si>
    <t>Lastname</t>
  </si>
  <si>
    <t>Gender</t>
  </si>
  <si>
    <t>Last Outcome</t>
  </si>
  <si>
    <t>Outcome Description</t>
  </si>
  <si>
    <t>Called Count</t>
  </si>
  <si>
    <t>Last Called Date</t>
  </si>
  <si>
    <t>Last User</t>
  </si>
  <si>
    <t>Created At</t>
  </si>
  <si>
    <t>Updated At</t>
  </si>
  <si>
    <t>Address1</t>
  </si>
  <si>
    <t>Address2</t>
  </si>
  <si>
    <t>Address3</t>
  </si>
  <si>
    <t>Town</t>
  </si>
  <si>
    <t>County</t>
  </si>
  <si>
    <t>Country</t>
  </si>
  <si>
    <t>Postcode</t>
  </si>
  <si>
    <t>Email Address</t>
  </si>
  <si>
    <t>Tel1</t>
  </si>
  <si>
    <t>Tel2</t>
  </si>
  <si>
    <t>Tel3</t>
  </si>
  <si>
    <t>Tel4</t>
  </si>
  <si>
    <t>Tel5</t>
  </si>
  <si>
    <t>Tel6</t>
  </si>
  <si>
    <t>Owner Username</t>
  </si>
  <si>
    <t>Security Phrase</t>
  </si>
  <si>
    <t>Source Reference</t>
  </si>
  <si>
    <t>Industry</t>
  </si>
  <si>
    <t>Company Name</t>
  </si>
  <si>
    <t>Website</t>
  </si>
  <si>
    <t>Customer Reference</t>
  </si>
  <si>
    <t>Dob</t>
  </si>
  <si>
    <t>13863489</t>
  </si>
  <si>
    <t>9ddb98dd-2190-4966-8638-c85c1fecc00f</t>
  </si>
  <si>
    <t>111111118</t>
  </si>
  <si>
    <t>Vodacom Life 20260324</t>
  </si>
  <si>
    <t>27664332597</t>
  </si>
  <si>
    <t>CBACK</t>
  </si>
  <si>
    <t>Callback</t>
  </si>
  <si>
    <t>2026-06-02 09:58:56</t>
  </si>
  <si>
    <t>Khensane Mabasa</t>
  </si>
  <si>
    <t>2026-03-24 07:54:08</t>
  </si>
  <si>
    <t>prepaid life</t>
  </si>
  <si>
    <t>13861487</t>
  </si>
  <si>
    <t>c58f73a8-a77d-458f-a303-45572ab60aec</t>
  </si>
  <si>
    <t>27729268546</t>
  </si>
  <si>
    <t>2026-06-02 06:08:21</t>
  </si>
  <si>
    <t>13864451</t>
  </si>
  <si>
    <t>384b3b9a-aa74-4e2b-8385-a42e43c134f7</t>
  </si>
  <si>
    <t>27794150304</t>
  </si>
  <si>
    <t>AFTHRS</t>
  </si>
  <si>
    <t>Inbound After Hours Drop</t>
  </si>
  <si>
    <t>2026-05-30 13:03:26</t>
  </si>
  <si>
    <t>system</t>
  </si>
  <si>
    <t>13861288</t>
  </si>
  <si>
    <t>32a2300b-bbc2-4e37-b96c-86dc27476f3e</t>
  </si>
  <si>
    <t>27714889116</t>
  </si>
  <si>
    <t>IABDN</t>
  </si>
  <si>
    <t>Inbound Abandon</t>
  </si>
  <si>
    <t>2026-05-29 15:57:59</t>
  </si>
  <si>
    <t>13862271</t>
  </si>
  <si>
    <t>9a6c9e59-a484-4cca-875a-9aa225fce00c</t>
  </si>
  <si>
    <t>27721155834</t>
  </si>
  <si>
    <t>CCB</t>
  </si>
  <si>
    <t>Call Dropped</t>
  </si>
  <si>
    <t>2026-05-28 14:04:05</t>
  </si>
  <si>
    <t>13864445</t>
  </si>
  <si>
    <t>0379e8fb-6cef-45e3-8e9b-0475334126a6</t>
  </si>
  <si>
    <t>2026-05-27 10:00:02</t>
  </si>
  <si>
    <t>27793707222</t>
  </si>
  <si>
    <t>13865313</t>
  </si>
  <si>
    <t>310b28c0-08a2-4c7c-a568-977ed8cec7b4</t>
  </si>
  <si>
    <t>27825477297</t>
  </si>
  <si>
    <t>2026-05-27 08:57:44</t>
  </si>
  <si>
    <t>13861923</t>
  </si>
  <si>
    <t>fd90f0dd-2b87-4080-81a2-4492288b593a</t>
  </si>
  <si>
    <t>27606462775</t>
  </si>
  <si>
    <t>2026-05-27 07:28:05</t>
  </si>
  <si>
    <t>13862223</t>
  </si>
  <si>
    <t>481dc60b-6a60-413a-a875-3ef26df5fae3</t>
  </si>
  <si>
    <t>NI</t>
  </si>
  <si>
    <t>Not Interested</t>
  </si>
  <si>
    <t>2026-05-27 06:49:09</t>
  </si>
  <si>
    <t>27607083937</t>
  </si>
  <si>
    <t>13861876</t>
  </si>
  <si>
    <t>91b3e8f2-bcb8-488f-8b6a-e187b7d95529</t>
  </si>
  <si>
    <t>27795370012</t>
  </si>
  <si>
    <t>2026-05-27 06:43:28</t>
  </si>
  <si>
    <t>13863064</t>
  </si>
  <si>
    <t>3e7bfe3e-5a98-4951-9196-f4840c8aa259</t>
  </si>
  <si>
    <t>27665747729</t>
  </si>
  <si>
    <t>2026-05-26 21:28:03</t>
  </si>
  <si>
    <t>13862735</t>
  </si>
  <si>
    <t>5bcafe09-1f3a-4c0b-9b20-39391ef03cf2</t>
  </si>
  <si>
    <t>27664083136</t>
  </si>
  <si>
    <t>2026-05-26 16:26:55</t>
  </si>
  <si>
    <t>13865801</t>
  </si>
  <si>
    <t>a7e61270-fb51-4cfe-852c-e3a43e0abb06</t>
  </si>
  <si>
    <t>27792641091</t>
  </si>
  <si>
    <t>2026-05-26 16:25:40</t>
  </si>
  <si>
    <t>13863016</t>
  </si>
  <si>
    <t>6d3b6875-9793-4955-a562-ff355946af7b</t>
  </si>
  <si>
    <t>NA</t>
  </si>
  <si>
    <t>No Answer Autodial</t>
  </si>
  <si>
    <t>2026-05-26 14:22:10</t>
  </si>
  <si>
    <t>27729051388</t>
  </si>
  <si>
    <t>13863017</t>
  </si>
  <si>
    <t>d8a19af4-e806-467c-9e38-483c83dcf7dd</t>
  </si>
  <si>
    <t>ADC</t>
  </si>
  <si>
    <t>Auto Dial Disconnected</t>
  </si>
  <si>
    <t>27729591161</t>
  </si>
  <si>
    <t>13900000</t>
  </si>
  <si>
    <t>e16288d9-fbdc-46c0-b247-f36a02ef4086</t>
  </si>
  <si>
    <t>27721588936</t>
  </si>
  <si>
    <t>2026-05-26 14:04:49</t>
  </si>
  <si>
    <t>13864680</t>
  </si>
  <si>
    <t>6fa9c3ba-3a82-43f7-8b4d-b951ca737d4e</t>
  </si>
  <si>
    <t>A</t>
  </si>
  <si>
    <t>Answering Machine</t>
  </si>
  <si>
    <t>2026-05-26 11:31:58</t>
  </si>
  <si>
    <t>27761471716</t>
  </si>
  <si>
    <t>13863746</t>
  </si>
  <si>
    <t>2f3cc5b6-ccce-41b2-87a1-46713149fb69</t>
  </si>
  <si>
    <t>CU</t>
  </si>
  <si>
    <t>Client Hung Up</t>
  </si>
  <si>
    <t>2026-05-26 10:20:14</t>
  </si>
  <si>
    <t>27715232181</t>
  </si>
  <si>
    <t>13864579</t>
  </si>
  <si>
    <t>57cd69cb-0226-4117-b7d5-9148a635d46f</t>
  </si>
  <si>
    <t>27711505655</t>
  </si>
  <si>
    <t>2026-05-26 10:19:36</t>
  </si>
  <si>
    <t>13864527</t>
  </si>
  <si>
    <t>6122d804-0b3d-4ea9-b2aa-bae56f77296d</t>
  </si>
  <si>
    <t>2026-05-26 10:13:04</t>
  </si>
  <si>
    <t>27839639345</t>
  </si>
  <si>
    <t>13862610</t>
  </si>
  <si>
    <t>638decaf-d073-4465-b49f-4550ecad051a</t>
  </si>
  <si>
    <t>27724191878</t>
  </si>
  <si>
    <t>2026-05-26 10:13:03</t>
  </si>
  <si>
    <t>13865220</t>
  </si>
  <si>
    <t>960a8771-7603-42c5-8a01-b7b66dc6fcda</t>
  </si>
  <si>
    <t>CB</t>
  </si>
  <si>
    <t>Busy Tone</t>
  </si>
  <si>
    <t>2026-05-26 10:11:49</t>
  </si>
  <si>
    <t>27765783723</t>
  </si>
  <si>
    <t>13863264</t>
  </si>
  <si>
    <t>1f887ef4-62b5-40a0-9e06-132489e5cad7</t>
  </si>
  <si>
    <t>2026-05-26 10:11:13</t>
  </si>
  <si>
    <t>27674572902</t>
  </si>
  <si>
    <t>13863275</t>
  </si>
  <si>
    <t>da5e4ba1-36f1-45ef-97d9-59881b0d9d8c</t>
  </si>
  <si>
    <t>2026-05-26 10:10:47</t>
  </si>
  <si>
    <t>27714656565</t>
  </si>
  <si>
    <t>13864047</t>
  </si>
  <si>
    <t>08c3fca2-41ba-42d0-b62b-9f0f3e6fc700</t>
  </si>
  <si>
    <t>27721046445</t>
  </si>
  <si>
    <t>AE</t>
  </si>
  <si>
    <t>Auto Engaged</t>
  </si>
  <si>
    <t>2026-05-26 06:03:49</t>
  </si>
  <si>
    <t>13862505</t>
  </si>
  <si>
    <t>e6abe75c-7acb-4d5c-99c1-c6032928f00c</t>
  </si>
  <si>
    <t>27798220164</t>
  </si>
  <si>
    <t>2026-05-26 03:50:09</t>
  </si>
  <si>
    <t>13861573</t>
  </si>
  <si>
    <t>5083f1bb-eac5-46f5-a709-c667579c0288</t>
  </si>
  <si>
    <t>27824912551</t>
  </si>
  <si>
    <t>2026-05-25 18:58:08</t>
  </si>
  <si>
    <t>13862017</t>
  </si>
  <si>
    <t>f0fb5a6b-2570-458c-bfac-e54be3d99056</t>
  </si>
  <si>
    <t>27766675684</t>
  </si>
  <si>
    <t>2026-05-25 18:25:28</t>
  </si>
  <si>
    <t>13861775</t>
  </si>
  <si>
    <t>49cfe614-2019-4196-98e9-6cdd5a162ec3</t>
  </si>
  <si>
    <t>27660822535</t>
  </si>
  <si>
    <t>2026-05-25 16:52:15</t>
  </si>
  <si>
    <t>e14695e9-68d4-4f0a-9999-99ce966311d5</t>
  </si>
  <si>
    <t>27606751879</t>
  </si>
  <si>
    <t>2026-05-25 16:11:02</t>
  </si>
  <si>
    <t>13861957</t>
  </si>
  <si>
    <t>a037781d-49a5-461a-8b4e-ba8069b19ea2</t>
  </si>
  <si>
    <t>27713218536</t>
  </si>
  <si>
    <t>2026-05-25 15:24:15</t>
  </si>
  <si>
    <t>13863753</t>
  </si>
  <si>
    <t>570ecde7-829d-4f43-8fe2-1c7ee058679d</t>
  </si>
  <si>
    <t>27721078332</t>
  </si>
  <si>
    <t>2026-05-25 15:17:26</t>
  </si>
  <si>
    <t>Maureen Ntsoko</t>
  </si>
  <si>
    <t>13863974</t>
  </si>
  <si>
    <t>266b65b4-c76e-4d35-b7e8-5259f005471a</t>
  </si>
  <si>
    <t>27646257913</t>
  </si>
  <si>
    <t>2026-05-25 15:06:09</t>
  </si>
  <si>
    <t>13862033</t>
  </si>
  <si>
    <t>1884ec4f-6e98-4d54-8afe-6dfa9dc54137</t>
  </si>
  <si>
    <t>27791506704</t>
  </si>
  <si>
    <t>2026-05-25 14:54:00</t>
  </si>
  <si>
    <t>13863674</t>
  </si>
  <si>
    <t>197d68b3-2b93-48f1-adb7-a2a2af0d66ad</t>
  </si>
  <si>
    <t>27827279610</t>
  </si>
  <si>
    <t>2026-05-25 14:41:30</t>
  </si>
  <si>
    <t>13861960</t>
  </si>
  <si>
    <t>af2ae26f-3407-47d5-9f79-3b6c6c7e5128</t>
  </si>
  <si>
    <t>27714176265</t>
  </si>
  <si>
    <t>2026-05-25 14:39:21</t>
  </si>
  <si>
    <t>13863127</t>
  </si>
  <si>
    <t>ea03e05b-4b8f-465c-bd25-c419d2f39894</t>
  </si>
  <si>
    <t>2026-05-25 14:20:10</t>
  </si>
  <si>
    <t>27762832879</t>
  </si>
  <si>
    <t>13865174</t>
  </si>
  <si>
    <t>15bc7802-e4ae-4566-b9a6-bfd1428227df</t>
  </si>
  <si>
    <t>N</t>
  </si>
  <si>
    <t>No Answer</t>
  </si>
  <si>
    <t>2026-05-25 14:01:57</t>
  </si>
  <si>
    <t>bongiwe lushaba</t>
  </si>
  <si>
    <t>27727446822</t>
  </si>
  <si>
    <t>13862737</t>
  </si>
  <si>
    <t>0d5ae7b4-7a7f-4026-abfc-902fa247fab0</t>
  </si>
  <si>
    <t>27665160722</t>
  </si>
  <si>
    <t>2026-05-25 13:51:05</t>
  </si>
  <si>
    <t>13861486</t>
  </si>
  <si>
    <t>38b93111-8347-4641-af36-153381f00555</t>
  </si>
  <si>
    <t>2026-05-25 13:48:32</t>
  </si>
  <si>
    <t>27728420033</t>
  </si>
  <si>
    <t>13864531</t>
  </si>
  <si>
    <t>59c1d049-b22c-4962-8c42-1ddf7d4891cc</t>
  </si>
  <si>
    <t>27607093502</t>
  </si>
  <si>
    <t>2026-05-25 13:46:29</t>
  </si>
  <si>
    <t>13864407</t>
  </si>
  <si>
    <t>699b7202-62ff-45b0-9ec6-eb4ef41cb9a9</t>
  </si>
  <si>
    <t>27765924431</t>
  </si>
  <si>
    <t>2026-05-25 13:39:29</t>
  </si>
  <si>
    <t>13863585</t>
  </si>
  <si>
    <t>58f7b102-17f1-415a-a9df-8343b7bca492</t>
  </si>
  <si>
    <t>27767624457</t>
  </si>
  <si>
    <t>2026-05-25 13:15:50</t>
  </si>
  <si>
    <t>13861940</t>
  </si>
  <si>
    <t>b24a2c57-1b05-48e9-a1d6-c45c8df1a70e</t>
  </si>
  <si>
    <t>27660191238</t>
  </si>
  <si>
    <t>2026-05-25 12:59:22</t>
  </si>
  <si>
    <t>13861986</t>
  </si>
  <si>
    <t>6fe57395-9ff1-434a-9bf4-d66d0e1a4774</t>
  </si>
  <si>
    <t>27726750440</t>
  </si>
  <si>
    <t>2026-05-25 12:59:15</t>
  </si>
  <si>
    <t>13865360</t>
  </si>
  <si>
    <t>36432422-3b6a-402b-8a02-48f3fd197ae1</t>
  </si>
  <si>
    <t>27647387881</t>
  </si>
  <si>
    <t>2026-05-25 12:55:00</t>
  </si>
  <si>
    <t>13862106</t>
  </si>
  <si>
    <t>07e3b0c5-b95e-4b48-ae6c-9ba521a72c34</t>
  </si>
  <si>
    <t>27714717799</t>
  </si>
  <si>
    <t>2026-05-25 12:52:52</t>
  </si>
  <si>
    <t>13862891</t>
  </si>
  <si>
    <t>6857cb36-afd1-4442-9116-501e3894842b</t>
  </si>
  <si>
    <t>27833464987</t>
  </si>
  <si>
    <t>2026-05-25 12:51:09</t>
  </si>
  <si>
    <t>13862323</t>
  </si>
  <si>
    <t>16fe9a8d-9e74-42c3-862a-1b64c7d1c93e</t>
  </si>
  <si>
    <t>27767064429</t>
  </si>
  <si>
    <t>2026-05-25 12:48:38</t>
  </si>
  <si>
    <t>13861842</t>
  </si>
  <si>
    <t>1d23b0e1-9808-4b1f-be95-04df5189acf4</t>
  </si>
  <si>
    <t>27765851770</t>
  </si>
  <si>
    <t>2026-05-25 12:39:34</t>
  </si>
  <si>
    <t>13862221</t>
  </si>
  <si>
    <t>230851d6-4601-4b88-8688-e7f66c6032a9</t>
  </si>
  <si>
    <t>DROP</t>
  </si>
  <si>
    <t>Dropped</t>
  </si>
  <si>
    <t>2026-05-25 12:38:48</t>
  </si>
  <si>
    <t>27847108999</t>
  </si>
  <si>
    <t>13863422</t>
  </si>
  <si>
    <t>78a6ad4c-42dc-4d91-87f5-579eccaebb48</t>
  </si>
  <si>
    <t>27818108250</t>
  </si>
  <si>
    <t>13861446</t>
  </si>
  <si>
    <t>0aa8e365-a8f7-4eec-a7e8-950e4a20d2d8</t>
  </si>
  <si>
    <t>2026-05-25 12:38:46</t>
  </si>
  <si>
    <t>27665309945</t>
  </si>
  <si>
    <t>13863668</t>
  </si>
  <si>
    <t>04732e70-0b06-41f2-be70-46d662d9ec26</t>
  </si>
  <si>
    <t>2026-05-25 12:38:25</t>
  </si>
  <si>
    <t>27825807308</t>
  </si>
  <si>
    <t>13861530</t>
  </si>
  <si>
    <t>b28388a4-eb6d-4cb1-a188-c9a8a9c92302</t>
  </si>
  <si>
    <t>2026-05-25 12:38:22</t>
  </si>
  <si>
    <t>27782703626</t>
  </si>
  <si>
    <t>0720e496-4434-43d1-8072-6b5efad7d7e5</t>
  </si>
  <si>
    <t>AA</t>
  </si>
  <si>
    <t>Answering Machine Autodial</t>
  </si>
  <si>
    <t>27794213638</t>
  </si>
  <si>
    <t>13862132</t>
  </si>
  <si>
    <t>5b052b5a-f074-490a-b01c-6d9e81673b6f</t>
  </si>
  <si>
    <t>27724352753</t>
  </si>
  <si>
    <t>2026-05-25 12:38:12</t>
  </si>
  <si>
    <t>13861682</t>
  </si>
  <si>
    <t>c8701dda-4e18-45f3-a277-1dcf9ba1f7e1</t>
  </si>
  <si>
    <t>27763114915</t>
  </si>
  <si>
    <t>2026-05-25 12:37:59</t>
  </si>
  <si>
    <t>13862462</t>
  </si>
  <si>
    <t>e4f5c027-d2f8-452e-9961-cd9d8336bca9</t>
  </si>
  <si>
    <t>27760643509</t>
  </si>
  <si>
    <t>3e634601-2294-4eca-bd39-42b491bb99b2</t>
  </si>
  <si>
    <t>27726207166</t>
  </si>
  <si>
    <t>13862636</t>
  </si>
  <si>
    <t>3571e99c-068e-42f9-8cdb-7953abd52a14</t>
  </si>
  <si>
    <t>2026-05-25 12:37:36</t>
  </si>
  <si>
    <t>27763878331</t>
  </si>
  <si>
    <t>13863423</t>
  </si>
  <si>
    <t>7d5af04d-736d-4d56-af9f-19e2db767435</t>
  </si>
  <si>
    <t>BLQ</t>
  </si>
  <si>
    <t>Bad Line Quality</t>
  </si>
  <si>
    <t>27818706774</t>
  </si>
  <si>
    <t>13863855</t>
  </si>
  <si>
    <t>5ce7982f-fc4c-4fb0-9d3e-c115cab29557</t>
  </si>
  <si>
    <t>27783650743</t>
  </si>
  <si>
    <t>13862088</t>
  </si>
  <si>
    <t>1f5f9164-6be9-4dce-b7aa-a23c4f28e88e</t>
  </si>
  <si>
    <t>2026-05-25 12:36:30</t>
  </si>
  <si>
    <t>27661077787</t>
  </si>
  <si>
    <t>13862318</t>
  </si>
  <si>
    <t>0649a942-1bae-4c7f-9aa4-c6bce6da020f</t>
  </si>
  <si>
    <t>2026-05-25 12:36:24</t>
  </si>
  <si>
    <t>27765422926</t>
  </si>
  <si>
    <t>13863853</t>
  </si>
  <si>
    <t>46be85bd-7e02-457a-a273-ef735fde59c0</t>
  </si>
  <si>
    <t>27773790123</t>
  </si>
  <si>
    <t>13863424</t>
  </si>
  <si>
    <t>56773169-033e-4823-a732-a7986ddf4d3d</t>
  </si>
  <si>
    <t>2026-05-25 12:36:23</t>
  </si>
  <si>
    <t>27818945205</t>
  </si>
  <si>
    <t>13861455</t>
  </si>
  <si>
    <t>8b19fda0-fa84-4f03-976f-62e438965bfc</t>
  </si>
  <si>
    <t>2026-05-25 12:36:15</t>
  </si>
  <si>
    <t>27715327244</t>
  </si>
  <si>
    <t>13862489</t>
  </si>
  <si>
    <t>5348d007-3247-412c-9536-95a1d8659013</t>
  </si>
  <si>
    <t>27790902768</t>
  </si>
  <si>
    <t>13863420</t>
  </si>
  <si>
    <t>024ca621-3524-4e25-9c9d-7f993a57e067</t>
  </si>
  <si>
    <t>27799263385</t>
  </si>
  <si>
    <t>13862638</t>
  </si>
  <si>
    <t>06ca8e98-852b-454d-9a47-f8d3b4a29ee9</t>
  </si>
  <si>
    <t>2026-05-25 12:36:08</t>
  </si>
  <si>
    <t>27764117632</t>
  </si>
  <si>
    <t>13863864</t>
  </si>
  <si>
    <t>da848c63-f6ed-4441-b7b2-258c9e8a932d</t>
  </si>
  <si>
    <t>2026-05-25 12:36:07</t>
  </si>
  <si>
    <t>27792998860</t>
  </si>
  <si>
    <t>13864519</t>
  </si>
  <si>
    <t>48a9c634-38bd-478a-8747-0ae6bf65c486</t>
  </si>
  <si>
    <t>2026-05-25 12:36:05</t>
  </si>
  <si>
    <t>27827957571</t>
  </si>
  <si>
    <t>13862322</t>
  </si>
  <si>
    <t>e19ef355-01ab-46fb-888d-f71ebb0400a0</t>
  </si>
  <si>
    <t>2026-05-25 12:36:03</t>
  </si>
  <si>
    <t>27767042512</t>
  </si>
  <si>
    <t>13863419</t>
  </si>
  <si>
    <t>f6cde940-c91b-4e28-95ca-b989a26ed390</t>
  </si>
  <si>
    <t>2026-05-25 12:35:57</t>
  </si>
  <si>
    <t>27798664239</t>
  </si>
  <si>
    <t>13862888</t>
  </si>
  <si>
    <t>79dec80f-2418-4ff6-b10f-aeda70888e25</t>
  </si>
  <si>
    <t>2026-05-25 12:35:55</t>
  </si>
  <si>
    <t>27829387742</t>
  </si>
  <si>
    <t>13861880</t>
  </si>
  <si>
    <t>49bc2c49-f150-4b2b-9b9a-837ca3d989a5</t>
  </si>
  <si>
    <t>2026-05-25 12:35:52</t>
  </si>
  <si>
    <t>27796033943</t>
  </si>
  <si>
    <t>13862319</t>
  </si>
  <si>
    <t>e2defb46-4a31-4617-b86c-74b743d8ba6e</t>
  </si>
  <si>
    <t>2026-05-25 12:35:51</t>
  </si>
  <si>
    <t>27765768609</t>
  </si>
  <si>
    <t>13862637</t>
  </si>
  <si>
    <t>da4fa841-c072-4677-be8d-4e90b71aa108</t>
  </si>
  <si>
    <t>27763979642</t>
  </si>
  <si>
    <t>13863425</t>
  </si>
  <si>
    <t>8defa719-f9f7-4aa8-b6f8-bc08ed9e2b65</t>
  </si>
  <si>
    <t>27822144955</t>
  </si>
  <si>
    <t>13862347</t>
  </si>
  <si>
    <t>c8e553fa-57bb-4f09-a769-1083480b7a35</t>
  </si>
  <si>
    <t>2026-05-25 12:35:40</t>
  </si>
  <si>
    <t>27796151308</t>
  </si>
  <si>
    <t>13863132</t>
  </si>
  <si>
    <t>6bddd656-bf45-4a88-be39-5b88c1031121</t>
  </si>
  <si>
    <t>2026-05-25 12:35:38</t>
  </si>
  <si>
    <t>27764380826</t>
  </si>
  <si>
    <t>13861514</t>
  </si>
  <si>
    <t>cd14177c-29ea-4914-8845-bf6497176f15</t>
  </si>
  <si>
    <t>2026-05-25 12:35:36</t>
  </si>
  <si>
    <t>27767407863</t>
  </si>
  <si>
    <t>13863862</t>
  </si>
  <si>
    <t>e16a5879-47dc-4edd-be55-f34260b60062</t>
  </si>
  <si>
    <t>2026-05-25 12:35:34</t>
  </si>
  <si>
    <t>27792196378</t>
  </si>
  <si>
    <t>13862617</t>
  </si>
  <si>
    <t>4d3225ef-ddab-4186-ba2a-04f8d475fc92</t>
  </si>
  <si>
    <t>2026-05-25 12:35:33</t>
  </si>
  <si>
    <t>27727726975</t>
  </si>
  <si>
    <t>13861703</t>
  </si>
  <si>
    <t>cb63e9a9-1fa6-47e4-aeac-2dc3c9e25b06</t>
  </si>
  <si>
    <t>2026-05-25 12:35:32</t>
  </si>
  <si>
    <t>27768585927</t>
  </si>
  <si>
    <t>13861993</t>
  </si>
  <si>
    <t>fe8bf042-37eb-4158-9cf5-3a5d5b502859</t>
  </si>
  <si>
    <t>27728664563</t>
  </si>
  <si>
    <t>13862906</t>
  </si>
  <si>
    <t>c69b8ba7-8c5e-457e-9feb-7c43975e4618</t>
  </si>
  <si>
    <t>27784413030</t>
  </si>
  <si>
    <t>e557fc1f-0c42-4cef-99ef-01bc89ad46e8</t>
  </si>
  <si>
    <t>2026-05-25 12:35:07</t>
  </si>
  <si>
    <t>27768338776</t>
  </si>
  <si>
    <t>13861557</t>
  </si>
  <si>
    <t>99c34585-e1b7-4376-903c-0d8b701adfb6</t>
  </si>
  <si>
    <t>2026-05-25 12:35:01</t>
  </si>
  <si>
    <t>27798008500</t>
  </si>
  <si>
    <t>13862904</t>
  </si>
  <si>
    <t>4fc4dffb-96b5-409e-87bb-b5fb16609586</t>
  </si>
  <si>
    <t>27766703017</t>
  </si>
  <si>
    <t>13864389</t>
  </si>
  <si>
    <t>613e0a52-7b00-494e-a193-efa4fc8d1b06</t>
  </si>
  <si>
    <t>27761412138</t>
  </si>
  <si>
    <t>53e95812-b11a-4f80-b7ad-048869f2d2d6</t>
  </si>
  <si>
    <t>2026-05-25 12:34:59</t>
  </si>
  <si>
    <t>27810936139</t>
  </si>
  <si>
    <t>5851e414-4862-4720-9855-eb41c3753be9</t>
  </si>
  <si>
    <t>2026-05-25 12:34:56</t>
  </si>
  <si>
    <t>27716490211</t>
  </si>
  <si>
    <t>13862977</t>
  </si>
  <si>
    <t>386f71a7-001c-4432-8d52-6b7eb8244465</t>
  </si>
  <si>
    <t>27790160131</t>
  </si>
  <si>
    <t>13861958</t>
  </si>
  <si>
    <t>9489d54d-0ac9-40f9-bb54-bbd53528588e</t>
  </si>
  <si>
    <t>2026-05-25 12:34:55</t>
  </si>
  <si>
    <t>27713407113</t>
  </si>
  <si>
    <t>13862976</t>
  </si>
  <si>
    <t>7e5f3a1c-931b-4b91-bbf4-41994f4fc3bc</t>
  </si>
  <si>
    <t>27774140050</t>
  </si>
  <si>
    <t>13862149</t>
  </si>
  <si>
    <t>44d6e0e0-f6fa-48c2-a089-5f273bb899c9</t>
  </si>
  <si>
    <t>2026-05-25 12:34:48</t>
  </si>
  <si>
    <t>27761654002</t>
  </si>
  <si>
    <t>13862975</t>
  </si>
  <si>
    <t>70d53d7c-576d-42dc-8336-e582ece85e50</t>
  </si>
  <si>
    <t>27772800020</t>
  </si>
  <si>
    <t>13861602</t>
  </si>
  <si>
    <t>c9d4a33e-e48f-4409-8420-2c171b29c8e8</t>
  </si>
  <si>
    <t>2026-05-25 12:34:47</t>
  </si>
  <si>
    <t>27619071485</t>
  </si>
  <si>
    <t>13862539</t>
  </si>
  <si>
    <t>3bba97e0-ae60-4786-b2fb-7946eaf10565</t>
  </si>
  <si>
    <t>27606125674</t>
  </si>
  <si>
    <t>13862743</t>
  </si>
  <si>
    <t>b52fd911-a7d2-4ab5-914e-383e2920bbd9</t>
  </si>
  <si>
    <t>2026-05-25 12:33:15</t>
  </si>
  <si>
    <t>27712390388</t>
  </si>
  <si>
    <t>13863426</t>
  </si>
  <si>
    <t>f66e1728-55bc-4388-89d7-514721103d11</t>
  </si>
  <si>
    <t>2026-05-25 12:33:06</t>
  </si>
  <si>
    <t>27822321015</t>
  </si>
  <si>
    <t>13863574</t>
  </si>
  <si>
    <t>672eb8f9-54b0-4418-abb5-7c6cf017fefa</t>
  </si>
  <si>
    <t>2026-05-25 12:33:05</t>
  </si>
  <si>
    <t>27764417056</t>
  </si>
  <si>
    <t>13861532</t>
  </si>
  <si>
    <t>cf2d8605-e915-4690-86d2-d16e505f1aed</t>
  </si>
  <si>
    <t>2026-05-25 12:33:01</t>
  </si>
  <si>
    <t>27790971403</t>
  </si>
  <si>
    <t>13862357</t>
  </si>
  <si>
    <t>cf8bc495-a55f-4752-8ee7-e748b95fa20e</t>
  </si>
  <si>
    <t>27822362898</t>
  </si>
  <si>
    <t>13863417</t>
  </si>
  <si>
    <t>71453f65-fb50-4a07-a5ce-005689ebe16a</t>
  </si>
  <si>
    <t>27797811624</t>
  </si>
  <si>
    <t>13863418</t>
  </si>
  <si>
    <t>e8a33ed7-d153-44a5-9c70-aa555ab1f764</t>
  </si>
  <si>
    <t>27798355187</t>
  </si>
  <si>
    <t>13863126</t>
  </si>
  <si>
    <t>677f8dfc-82c3-4e79-af08-59fea2705582</t>
  </si>
  <si>
    <t>2026-05-25 12:32:55</t>
  </si>
  <si>
    <t>27761599217</t>
  </si>
  <si>
    <t>13861510</t>
  </si>
  <si>
    <t>ec9c441b-2699-4cfc-a735-88de8e956c18</t>
  </si>
  <si>
    <t>2026-05-25 12:32:53</t>
  </si>
  <si>
    <t>27765728345</t>
  </si>
  <si>
    <t>13861700</t>
  </si>
  <si>
    <t>27738f7a-7201-4c0c-aa91-d55a5b369974</t>
  </si>
  <si>
    <t>27768340244</t>
  </si>
  <si>
    <t>13863671</t>
  </si>
  <si>
    <t>dd622060-c328-4cc1-97ff-8a5013a6ba18</t>
  </si>
  <si>
    <t>27826414838</t>
  </si>
  <si>
    <t>13862342</t>
  </si>
  <si>
    <t>2fc5b3db-5c7d-470e-89da-a4a2f3bced57</t>
  </si>
  <si>
    <t>2026-05-25 12:31:55</t>
  </si>
  <si>
    <t>27794694577</t>
  </si>
  <si>
    <t>13863669</t>
  </si>
  <si>
    <t>2cbe760f-d56b-4722-b946-6d61c496d608</t>
  </si>
  <si>
    <t>2026-05-25 12:31:34</t>
  </si>
  <si>
    <t>27825834931</t>
  </si>
  <si>
    <t>13862311</t>
  </si>
  <si>
    <t>7d80edfb-31f5-439d-98a8-145012b03869</t>
  </si>
  <si>
    <t>2026-05-25 12:31:26</t>
  </si>
  <si>
    <t>27763350156</t>
  </si>
  <si>
    <t>13862390</t>
  </si>
  <si>
    <t>1b6f1363-a881-431e-a938-7c77b29051b6</t>
  </si>
  <si>
    <t>27649785049</t>
  </si>
  <si>
    <t>13863677</t>
  </si>
  <si>
    <t>611d7812-3780-4bc6-89e6-2e95c2ad39d4</t>
  </si>
  <si>
    <t>27829467576</t>
  </si>
  <si>
    <t>13861883</t>
  </si>
  <si>
    <t>889d5adc-2b9c-4a63-9401-b9f62d27f4ec</t>
  </si>
  <si>
    <t>27796563532</t>
  </si>
  <si>
    <t>2026-05-25 12:31:25</t>
  </si>
  <si>
    <t>13862027</t>
  </si>
  <si>
    <t>39862d6a-31de-41d3-a82f-74fb4b0c3f33</t>
  </si>
  <si>
    <t>2026-05-25 12:31:24</t>
  </si>
  <si>
    <t>27790203507</t>
  </si>
  <si>
    <t>13863673</t>
  </si>
  <si>
    <t>a8f5ccc1-5e70-4c3d-9a01-3a08d922c457</t>
  </si>
  <si>
    <t>2026-05-25 12:31:23</t>
  </si>
  <si>
    <t>27826476236</t>
  </si>
  <si>
    <t>13862015</t>
  </si>
  <si>
    <t>a034fef5-81c1-4c65-988c-0c38b145aae2</t>
  </si>
  <si>
    <t>2026-05-25 12:31:02</t>
  </si>
  <si>
    <t>27765894300</t>
  </si>
  <si>
    <t>13863672</t>
  </si>
  <si>
    <t>67796178-18ac-4c5b-be03-bfac1f52f0fc</t>
  </si>
  <si>
    <t>27826469298</t>
  </si>
  <si>
    <t>13862635</t>
  </si>
  <si>
    <t>6f219048-4325-4e34-bb5f-a3575fe77c99</t>
  </si>
  <si>
    <t>2026-05-25 12:30:49</t>
  </si>
  <si>
    <t>27762805471</t>
  </si>
  <si>
    <t>13863582</t>
  </si>
  <si>
    <t>4ac54395-78dd-4bed-bb94-8f3eaa91a503</t>
  </si>
  <si>
    <t>27766455588</t>
  </si>
  <si>
    <t>13863061</t>
  </si>
  <si>
    <t>d9f54ee0-c50d-4fb2-b392-c279bc30b780</t>
  </si>
  <si>
    <t>2026-05-25 12:30:40</t>
  </si>
  <si>
    <t>27664532825</t>
  </si>
  <si>
    <t>13861843</t>
  </si>
  <si>
    <t>e1de5406-3ccf-4707-9dee-f07f8bded0cd</t>
  </si>
  <si>
    <t>2026-05-25 12:30:29</t>
  </si>
  <si>
    <t>27766221935</t>
  </si>
  <si>
    <t>13863058</t>
  </si>
  <si>
    <t>8753943c-6b49-4f84-96c8-f46018fb4385</t>
  </si>
  <si>
    <t>27649988248</t>
  </si>
  <si>
    <t>13861479</t>
  </si>
  <si>
    <t>b431e13e-16c0-417c-9c4a-3362b00ff82a</t>
  </si>
  <si>
    <t>27727666086</t>
  </si>
  <si>
    <t>2026-05-25 12:30:12</t>
  </si>
  <si>
    <t>13863937</t>
  </si>
  <si>
    <t>62178db3-8d81-44c4-92e9-590642aaae27</t>
  </si>
  <si>
    <t>2026-05-25 12:30:05</t>
  </si>
  <si>
    <t>27827912922</t>
  </si>
  <si>
    <t>13863057</t>
  </si>
  <si>
    <t>9588a07c-49df-41ca-88cb-1f923d793931</t>
  </si>
  <si>
    <t>2026-05-25 12:30:04</t>
  </si>
  <si>
    <t>27649961971</t>
  </si>
  <si>
    <t>13863056</t>
  </si>
  <si>
    <t>28369226-6baf-4e02-846f-422e41152937</t>
  </si>
  <si>
    <t>2026-05-25 12:29:59</t>
  </si>
  <si>
    <t>27649791470</t>
  </si>
  <si>
    <t>13863935</t>
  </si>
  <si>
    <t>2bea25c2-b8d2-4a3e-beee-5e1ebafa61d3</t>
  </si>
  <si>
    <t>27827590030</t>
  </si>
  <si>
    <t>13864539</t>
  </si>
  <si>
    <t>616b54af-91a8-4099-842a-16aefd6b2b6b</t>
  </si>
  <si>
    <t>2026-05-25 12:29:57</t>
  </si>
  <si>
    <t>27636767800</t>
  </si>
  <si>
    <t>13862059</t>
  </si>
  <si>
    <t>5d7e9653-d99c-4ba4-9498-dfa311d24f61</t>
  </si>
  <si>
    <t>2026-05-25 12:29:56</t>
  </si>
  <si>
    <t>27825580167</t>
  </si>
  <si>
    <t>13863580</t>
  </si>
  <si>
    <t>b5de0601-772b-4ee4-9fff-5ec77bd371dc</t>
  </si>
  <si>
    <t>27766186005</t>
  </si>
  <si>
    <t>e4477234-ed62-4bd8-8521-a9694c688c26</t>
  </si>
  <si>
    <t>2026-05-25 12:29:45</t>
  </si>
  <si>
    <t>27790690240</t>
  </si>
  <si>
    <t>13863081</t>
  </si>
  <si>
    <t>3d8fd5a1-be44-40a0-8ca3-2421b5ce51a4</t>
  </si>
  <si>
    <t>2026-05-25 12:29:44</t>
  </si>
  <si>
    <t>27720561960</t>
  </si>
  <si>
    <t>13862240</t>
  </si>
  <si>
    <t>f6e93301-84ce-47c2-8aab-2a6ca46e9d31</t>
  </si>
  <si>
    <t>2026-05-25 12:29:38</t>
  </si>
  <si>
    <t>27648095725</t>
  </si>
  <si>
    <t>13862236</t>
  </si>
  <si>
    <t>8c0bf121-f16e-41fc-ad71-6c9517a2e6ba</t>
  </si>
  <si>
    <t>2026-05-25 12:29:33</t>
  </si>
  <si>
    <t>27646211568</t>
  </si>
  <si>
    <t>13862239</t>
  </si>
  <si>
    <t>f205002b-beb0-410e-8947-5dcc94da2522</t>
  </si>
  <si>
    <t>27647631997</t>
  </si>
  <si>
    <t>13862486</t>
  </si>
  <si>
    <t>a2be80d7-ba64-4552-8bef-62daf402c908</t>
  </si>
  <si>
    <t>27773708716</t>
  </si>
  <si>
    <t>13862225</t>
  </si>
  <si>
    <t>d222af6a-95c4-4ae7-864f-351684fef7fd</t>
  </si>
  <si>
    <t>2026-05-25 12:29:32</t>
  </si>
  <si>
    <t>27607841162</t>
  </si>
  <si>
    <t>13862620</t>
  </si>
  <si>
    <t>d0cbe2d0-8043-4f83-a74a-28c77bb2b053</t>
  </si>
  <si>
    <t>27729142802</t>
  </si>
  <si>
    <t>13864121</t>
  </si>
  <si>
    <t>2cec4b61-f63c-4774-aa5c-7f3732be2396</t>
  </si>
  <si>
    <t>27765957387</t>
  </si>
  <si>
    <t>13861844</t>
  </si>
  <si>
    <t>0f9d594d-9572-48d4-8bcc-7f77c3771003</t>
  </si>
  <si>
    <t>2026-05-25 12:29:30</t>
  </si>
  <si>
    <t>27766378117</t>
  </si>
  <si>
    <t>13862748</t>
  </si>
  <si>
    <t>c28c16fb-0499-4dff-ac42-57070eb169ec</t>
  </si>
  <si>
    <t>2026-05-25 12:29:29</t>
  </si>
  <si>
    <t>27713686881</t>
  </si>
  <si>
    <t>9e7116cd-a51b-4bd6-8fbc-8cc82a4d5230</t>
  </si>
  <si>
    <t>2026-05-25 12:29:27</t>
  </si>
  <si>
    <t>27828321872</t>
  </si>
  <si>
    <t>13863358</t>
  </si>
  <si>
    <t>3bdab7f5-09d3-4646-b9e9-0eef633b38ec</t>
  </si>
  <si>
    <t>2026-05-25 12:29:22</t>
  </si>
  <si>
    <t>27768068645</t>
  </si>
  <si>
    <t>13862745</t>
  </si>
  <si>
    <t>383e79c0-dcfc-4877-aeb5-a934eee1084a</t>
  </si>
  <si>
    <t>2026-05-25 12:29:17</t>
  </si>
  <si>
    <t>27712938013</t>
  </si>
  <si>
    <t>13862746</t>
  </si>
  <si>
    <t>c636f20b-b203-42ca-82f7-659448b36d7a</t>
  </si>
  <si>
    <t>27713150730</t>
  </si>
  <si>
    <t>13862747</t>
  </si>
  <si>
    <t>5743f848-a4f8-45ab-b2c3-7a0134829b0a</t>
  </si>
  <si>
    <t>27713554922</t>
  </si>
  <si>
    <t>13863071</t>
  </si>
  <si>
    <t>71d9bf58-37bb-48f4-9565-10f88da84385</t>
  </si>
  <si>
    <t>27712574657</t>
  </si>
  <si>
    <t>13864668</t>
  </si>
  <si>
    <t>efbc280a-6577-4287-9be6-00d2bf95fe01</t>
  </si>
  <si>
    <t>27731556928</t>
  </si>
  <si>
    <t>2026-05-25 12:28:53</t>
  </si>
  <si>
    <t>13862146</t>
  </si>
  <si>
    <t>56a5f40a-a0d5-4db0-b5b8-a2f1eb69f0ec</t>
  </si>
  <si>
    <t>27760313960</t>
  </si>
  <si>
    <t>2026-05-25 12:28:51</t>
  </si>
  <si>
    <t>13864659</t>
  </si>
  <si>
    <t>be02b8f6-35c4-4b71-87d6-81932c122573</t>
  </si>
  <si>
    <t>2026-05-25 12:28:23</t>
  </si>
  <si>
    <t>27727995246</t>
  </si>
  <si>
    <t>13862487</t>
  </si>
  <si>
    <t>e7eb4cec-fac9-459d-a716-031619778c67</t>
  </si>
  <si>
    <t>2026-05-25 12:28:18</t>
  </si>
  <si>
    <t>27774108892</t>
  </si>
  <si>
    <t>13862608</t>
  </si>
  <si>
    <t>d04f7919-37ca-4f67-8beb-50a3bed26f49</t>
  </si>
  <si>
    <t>2026-05-25 12:28:17</t>
  </si>
  <si>
    <t>27723586203</t>
  </si>
  <si>
    <t>13863465</t>
  </si>
  <si>
    <t>bce7b843-5967-420d-94b5-b3c1daf6b829</t>
  </si>
  <si>
    <t>27636043066</t>
  </si>
  <si>
    <t>13864030</t>
  </si>
  <si>
    <t>877d9d3f-1cbc-432a-a8d9-0ed05eb9b70c</t>
  </si>
  <si>
    <t>2026-05-25 12:28:10</t>
  </si>
  <si>
    <t>27714390853</t>
  </si>
  <si>
    <t>13863067</t>
  </si>
  <si>
    <t>56bc8299-fc3c-4930-9c88-bebc3496f281</t>
  </si>
  <si>
    <t>2026-05-25 12:28:08</t>
  </si>
  <si>
    <t>27711349741</t>
  </si>
  <si>
    <t>13862738</t>
  </si>
  <si>
    <t>3b4469ed-f6b7-488c-be33-bbc6e253558b</t>
  </si>
  <si>
    <t>27673706321</t>
  </si>
  <si>
    <t>2026-05-25 12:27:54</t>
  </si>
  <si>
    <t>13862742</t>
  </si>
  <si>
    <t>c9725a54-c472-432e-9d0f-6a7f073d6253</t>
  </si>
  <si>
    <t>2026-05-25 12:27:43</t>
  </si>
  <si>
    <t>27711132517</t>
  </si>
  <si>
    <t>13862740</t>
  </si>
  <si>
    <t>2a151be5-c41b-4f6c-bad0-8812681ed4c4</t>
  </si>
  <si>
    <t>2026-05-25 12:27:41</t>
  </si>
  <si>
    <t>27678644407</t>
  </si>
  <si>
    <t>13862741</t>
  </si>
  <si>
    <t>1bf8a39e-3432-433c-b9d6-6416cb5bca3f</t>
  </si>
  <si>
    <t>27711013597</t>
  </si>
  <si>
    <t>13862887</t>
  </si>
  <si>
    <t>5b8e8724-0433-4e31-ab53-1f0b858fb0dd</t>
  </si>
  <si>
    <t>27828958501</t>
  </si>
  <si>
    <t>13864392</t>
  </si>
  <si>
    <t>a2ba0996-4a4d-4761-82bf-431839a0f259</t>
  </si>
  <si>
    <t>2026-05-25 12:27:00</t>
  </si>
  <si>
    <t>27762236867</t>
  </si>
  <si>
    <t>13863068</t>
  </si>
  <si>
    <t>c6cbbb95-9ee5-43b3-9e58-c88f3fed3b8e</t>
  </si>
  <si>
    <t>2026-05-25 12:26:53</t>
  </si>
  <si>
    <t>27711806016</t>
  </si>
  <si>
    <t>13862030</t>
  </si>
  <si>
    <t>c31ef804-1118-453a-81b7-2d1099aa2732</t>
  </si>
  <si>
    <t>2026-05-25 12:26:52</t>
  </si>
  <si>
    <t>27790691982</t>
  </si>
  <si>
    <t>13861804</t>
  </si>
  <si>
    <t>8c4a226b-ae8a-467e-87de-3dbaaf8f7524</t>
  </si>
  <si>
    <t>2026-05-25 12:25:03</t>
  </si>
  <si>
    <t>27720124938</t>
  </si>
  <si>
    <t>13862047</t>
  </si>
  <si>
    <t>fefddf39-c7e6-41df-af18-dadf95ef12a1</t>
  </si>
  <si>
    <t>2026-05-25 12:25:00</t>
  </si>
  <si>
    <t>27798101868</t>
  </si>
  <si>
    <t>13862552</t>
  </si>
  <si>
    <t>93b4ea6b-f88c-4781-acfa-31e3a071520d</t>
  </si>
  <si>
    <t>2026-05-25 12:24:56</t>
  </si>
  <si>
    <t>27636597604</t>
  </si>
  <si>
    <t>13861699</t>
  </si>
  <si>
    <t>09d070d3-27f8-4b81-bd12-286059438537</t>
  </si>
  <si>
    <t>2026-05-25 12:24:52</t>
  </si>
  <si>
    <t>27768328114</t>
  </si>
  <si>
    <t>13861992</t>
  </si>
  <si>
    <t>6fa03496-3542-485b-8322-eb83692f7610</t>
  </si>
  <si>
    <t>2026-05-25 12:24:49</t>
  </si>
  <si>
    <t>27728296138</t>
  </si>
  <si>
    <t>13862578</t>
  </si>
  <si>
    <t>fac994b5-d7ea-4898-9d2c-de11d65f2c0f</t>
  </si>
  <si>
    <t>2026-05-25 12:24:48</t>
  </si>
  <si>
    <t>27681013878</t>
  </si>
  <si>
    <t>13862575</t>
  </si>
  <si>
    <t>c0b57528-a309-43ce-a51e-bc59e86cdfc7</t>
  </si>
  <si>
    <t>2026-05-25 12:24:33</t>
  </si>
  <si>
    <t>27673999300</t>
  </si>
  <si>
    <t>13862574</t>
  </si>
  <si>
    <t>791d49aa-2b82-4f9c-aa27-da3287730e92</t>
  </si>
  <si>
    <t>2026-05-25 12:24:32</t>
  </si>
  <si>
    <t>27673822962</t>
  </si>
  <si>
    <t>13861435</t>
  </si>
  <si>
    <t>65316267-c9a6-4b1a-b1dd-698df88f4ece</t>
  </si>
  <si>
    <t>2026-05-25 12:24:31</t>
  </si>
  <si>
    <t>27648987335</t>
  </si>
  <si>
    <t>13861701</t>
  </si>
  <si>
    <t>abd67c68-d57c-4387-995c-71a3fcb430d3</t>
  </si>
  <si>
    <t>27768424045</t>
  </si>
  <si>
    <t>13861991</t>
  </si>
  <si>
    <t>44ebf535-256a-41f6-ac08-948b27b2dd6a</t>
  </si>
  <si>
    <t>27728088299</t>
  </si>
  <si>
    <t>13861956</t>
  </si>
  <si>
    <t>8e4cc99a-2736-47da-8279-199688e23957</t>
  </si>
  <si>
    <t>2026-05-25 12:23:10</t>
  </si>
  <si>
    <t>27713037894</t>
  </si>
  <si>
    <t>13862049</t>
  </si>
  <si>
    <t>ffaee083-7b3f-489d-87ef-2c1fa687132b</t>
  </si>
  <si>
    <t>2026-05-25 12:22:54</t>
  </si>
  <si>
    <t>27799637343</t>
  </si>
  <si>
    <t>13862816</t>
  </si>
  <si>
    <t>d04974ab-7521-4c58-bc12-1c75a57d32a3</t>
  </si>
  <si>
    <t>27766130110</t>
  </si>
  <si>
    <t>13861559</t>
  </si>
  <si>
    <t>6b6574fb-ce28-409d-b672-4963324d4472</t>
  </si>
  <si>
    <t>2026-05-25 12:22:11</t>
  </si>
  <si>
    <t>27798950415</t>
  </si>
  <si>
    <t>13861954</t>
  </si>
  <si>
    <t>b8f560e7-c4c4-4ccd-ad06-bb5cf294609e</t>
  </si>
  <si>
    <t>27712801073</t>
  </si>
  <si>
    <t>13862814</t>
  </si>
  <si>
    <t>cb9ec828-7c06-4f9e-a6c4-f60ce5876000</t>
  </si>
  <si>
    <t>27766063168</t>
  </si>
  <si>
    <t>13862815</t>
  </si>
  <si>
    <t>8511977b-e229-4877-ba38-047f2872b104</t>
  </si>
  <si>
    <t>27766080891</t>
  </si>
  <si>
    <t>13862844</t>
  </si>
  <si>
    <t>cfa96b00-26d5-409d-8ada-9c5ed7462fb9</t>
  </si>
  <si>
    <t>27791718947</t>
  </si>
  <si>
    <t>2026-05-25 12:21:55</t>
  </si>
  <si>
    <t>13863857</t>
  </si>
  <si>
    <t>f6fa9b86-f0ed-43c0-8edf-8fd3872b599b</t>
  </si>
  <si>
    <t>2026-05-25 12:21:34</t>
  </si>
  <si>
    <t>27790584382</t>
  </si>
  <si>
    <t>13862358</t>
  </si>
  <si>
    <t>983d537e-2d52-4d94-8762-a715ce1e1973</t>
  </si>
  <si>
    <t>2026-05-25 12:21:33</t>
  </si>
  <si>
    <t>27822671626</t>
  </si>
  <si>
    <t>13862135</t>
  </si>
  <si>
    <t>a3e1be2b-db94-4ddb-ae33-e1120251cf9c</t>
  </si>
  <si>
    <t>2026-05-25 12:20:47</t>
  </si>
  <si>
    <t>27725758748</t>
  </si>
  <si>
    <t>13862134</t>
  </si>
  <si>
    <t>90a2acf6-d4c3-43b7-b52e-71089310af68</t>
  </si>
  <si>
    <t>2026-05-25 12:20:46</t>
  </si>
  <si>
    <t>27725653153</t>
  </si>
  <si>
    <t>13861971</t>
  </si>
  <si>
    <t>bdfecebd-16cb-4981-a241-39e47abaad22</t>
  </si>
  <si>
    <t>2026-05-25 12:20:40</t>
  </si>
  <si>
    <t>27721570493</t>
  </si>
  <si>
    <t>e45966b2-62ee-4d9d-b9db-e9108270b119</t>
  </si>
  <si>
    <t>27723231566</t>
  </si>
  <si>
    <t>13862410</t>
  </si>
  <si>
    <t>7d690175-2705-43bd-a50d-15be8e3bebb1</t>
  </si>
  <si>
    <t>27673162887</t>
  </si>
  <si>
    <t>13863816</t>
  </si>
  <si>
    <t>9151f873-d7cc-410d-b90a-2773ec2c9531</t>
  </si>
  <si>
    <t>27761159366</t>
  </si>
  <si>
    <t>13862124</t>
  </si>
  <si>
    <t>d1adbfe2-f4a0-4d46-ab1d-2d9a0017776c</t>
  </si>
  <si>
    <t>2026-05-25 12:20:39</t>
  </si>
  <si>
    <t>27722892154</t>
  </si>
  <si>
    <t>13861694</t>
  </si>
  <si>
    <t>77dade5c-f377-4ec6-a4f7-9240843e4a29</t>
  </si>
  <si>
    <t>2026-05-25 12:20:33</t>
  </si>
  <si>
    <t>27767351172</t>
  </si>
  <si>
    <t>13862018</t>
  </si>
  <si>
    <t>f449b94d-13f7-4858-9189-abb853bba723</t>
  </si>
  <si>
    <t>27766699261</t>
  </si>
  <si>
    <t>13862121</t>
  </si>
  <si>
    <t>61d0fc13-6671-4e20-9a4a-0a84eeba9e19</t>
  </si>
  <si>
    <t>27722510405</t>
  </si>
  <si>
    <t>13862407</t>
  </si>
  <si>
    <t>af9fb802-5995-45eb-814a-82cb491caa52</t>
  </si>
  <si>
    <t>27665712805</t>
  </si>
  <si>
    <t>2026-05-25 12:18:59</t>
  </si>
  <si>
    <t>13862577</t>
  </si>
  <si>
    <t>8a450aa4-01ca-41cf-ae81-cc5c92264d99</t>
  </si>
  <si>
    <t>2026-05-25 12:17:45</t>
  </si>
  <si>
    <t>27677935939</t>
  </si>
  <si>
    <t>13862580</t>
  </si>
  <si>
    <t>451fe783-6c1d-4e7a-b8db-608d8e7c44c8</t>
  </si>
  <si>
    <t>27711255159</t>
  </si>
  <si>
    <t>13862582</t>
  </si>
  <si>
    <t>e9fb78f2-fea6-4813-9926-f80d7addff3a</t>
  </si>
  <si>
    <t>27712550288</t>
  </si>
  <si>
    <t>13862584</t>
  </si>
  <si>
    <t>cd5f4315-4288-421f-8994-52c9a33be556</t>
  </si>
  <si>
    <t>27712739759</t>
  </si>
  <si>
    <t>13863357</t>
  </si>
  <si>
    <t>ae1606cc-f6d3-47ef-a7be-bfccf5c889af</t>
  </si>
  <si>
    <t>27767875462</t>
  </si>
  <si>
    <t>2026-05-25 12:16:46</t>
  </si>
  <si>
    <t>13863469</t>
  </si>
  <si>
    <t>a8ea60ac-3d29-4c63-a5bc-74a8cd2f60d7</t>
  </si>
  <si>
    <t>27637617992</t>
  </si>
  <si>
    <t>2026-05-25 12:16:31</t>
  </si>
  <si>
    <t>13861985</t>
  </si>
  <si>
    <t>f6e32cc3-af58-4584-84b4-cd1d281702ab</t>
  </si>
  <si>
    <t>2026-05-25 12:16:15</t>
  </si>
  <si>
    <t>27725998645</t>
  </si>
  <si>
    <t>13862490</t>
  </si>
  <si>
    <t>7764ce36-c633-4408-9061-05a0eb42329b</t>
  </si>
  <si>
    <t>2026-05-25 12:16:13</t>
  </si>
  <si>
    <t>27791776476</t>
  </si>
  <si>
    <t>13862903</t>
  </si>
  <si>
    <t>29863ee2-d12d-46d9-8e2c-d8145ec62d15</t>
  </si>
  <si>
    <t>27766332235</t>
  </si>
  <si>
    <t>13862020</t>
  </si>
  <si>
    <t>e7e40a20-d8ae-4c50-a910-0462808e9323</t>
  </si>
  <si>
    <t>2026-05-25 12:15:49</t>
  </si>
  <si>
    <t>27766986956</t>
  </si>
  <si>
    <t>13862019</t>
  </si>
  <si>
    <t>c1dda5dd-740b-406f-b8d4-df802486e22c</t>
  </si>
  <si>
    <t>2026-05-25 12:15:39</t>
  </si>
  <si>
    <t>27766770596</t>
  </si>
  <si>
    <t>13862471</t>
  </si>
  <si>
    <t>cf79de0b-d3c5-47a2-b9c1-48376cdc3eed</t>
  </si>
  <si>
    <t>2026-05-25 12:14:53</t>
  </si>
  <si>
    <t>27764476900</t>
  </si>
  <si>
    <t>13862477</t>
  </si>
  <si>
    <t>d088b0af-1768-46ba-86d4-0d4695fb0756</t>
  </si>
  <si>
    <t>27766494907</t>
  </si>
  <si>
    <t>13862464</t>
  </si>
  <si>
    <t>822972d5-c766-4f8e-bcf9-9967e3498c96</t>
  </si>
  <si>
    <t>2026-05-25 12:14:52</t>
  </si>
  <si>
    <t>27760871962</t>
  </si>
  <si>
    <t>13863573</t>
  </si>
  <si>
    <t>b2cc60e0-c89d-4ddc-9765-66d78ca072eb</t>
  </si>
  <si>
    <t>27764247118</t>
  </si>
  <si>
    <t>13863571</t>
  </si>
  <si>
    <t>9f87f297-771a-442d-9f26-16285a732a33</t>
  </si>
  <si>
    <t>2026-05-25 12:14:51</t>
  </si>
  <si>
    <t>27764061733</t>
  </si>
  <si>
    <t>13863572</t>
  </si>
  <si>
    <t>d19c69f4-0852-461e-b511-885545884fe8</t>
  </si>
  <si>
    <t>27764241231</t>
  </si>
  <si>
    <t>13863466</t>
  </si>
  <si>
    <t>f093589c-52a0-449a-b76e-922bf7e1ce1d</t>
  </si>
  <si>
    <t>2026-05-25 12:14:20</t>
  </si>
  <si>
    <t>27636697603</t>
  </si>
  <si>
    <t>13861560</t>
  </si>
  <si>
    <t>a5d94cce-9a43-4191-8736-5cebac53e3fd</t>
  </si>
  <si>
    <t>2026-05-25 12:14:17</t>
  </si>
  <si>
    <t>27799054803</t>
  </si>
  <si>
    <t>13862473</t>
  </si>
  <si>
    <t>a0aa9e40-4101-42a6-9049-0cee9b1a196a</t>
  </si>
  <si>
    <t>27765326319</t>
  </si>
  <si>
    <t>13862481</t>
  </si>
  <si>
    <t>f5444262-1658-4bdd-8608-f3a2eb6f657e</t>
  </si>
  <si>
    <t>27767858022</t>
  </si>
  <si>
    <t>13861449</t>
  </si>
  <si>
    <t>aa15379b-9dfb-462b-a07b-70142bd05a87</t>
  </si>
  <si>
    <t>27673578972</t>
  </si>
  <si>
    <t>2026-05-25 12:13:29</t>
  </si>
  <si>
    <t>13863382</t>
  </si>
  <si>
    <t>37df712d-f5e2-40e6-b705-0699bc107074</t>
  </si>
  <si>
    <t>27791908876</t>
  </si>
  <si>
    <t>2026-05-25 12:13:27</t>
  </si>
  <si>
    <t>13862355</t>
  </si>
  <si>
    <t>2e6a755e-27ba-4277-90ce-3195f3825918</t>
  </si>
  <si>
    <t>2026-05-25 12:13:16</t>
  </si>
  <si>
    <t>27799587995</t>
  </si>
  <si>
    <t>13862348</t>
  </si>
  <si>
    <t>c765f746-c23f-4ead-b4dc-6082c18c2207</t>
  </si>
  <si>
    <t>2026-05-25 12:13:05</t>
  </si>
  <si>
    <t>27796303222</t>
  </si>
  <si>
    <t>13861658</t>
  </si>
  <si>
    <t>0bfb5c73-5553-48d1-93a6-80d138088f53</t>
  </si>
  <si>
    <t>2026-05-25 12:12:51</t>
  </si>
  <si>
    <t>27724228758</t>
  </si>
  <si>
    <t>13863995</t>
  </si>
  <si>
    <t>a173d380-6d22-4efc-b2fa-5aa1afa4eec9</t>
  </si>
  <si>
    <t>2026-05-25 12:12:38</t>
  </si>
  <si>
    <t>27661140571</t>
  </si>
  <si>
    <t>13862094</t>
  </si>
  <si>
    <t>faccd07c-e104-42e9-afb1-33a8aafbd88b</t>
  </si>
  <si>
    <t>2026-05-25 12:12:37</t>
  </si>
  <si>
    <t>27665471519</t>
  </si>
  <si>
    <t>13862089</t>
  </si>
  <si>
    <t>6a49df4e-1674-4ad9-9e78-3f1175445387</t>
  </si>
  <si>
    <t>2026-05-25 12:12:36</t>
  </si>
  <si>
    <t>27661364228</t>
  </si>
  <si>
    <t>13862750</t>
  </si>
  <si>
    <t>ab00b89b-e507-4bd6-8fb3-ae61428cb27f</t>
  </si>
  <si>
    <t>27714454486</t>
  </si>
  <si>
    <t>13862752</t>
  </si>
  <si>
    <t>51a5bb3e-3042-448e-9562-45bf5273aa3e</t>
  </si>
  <si>
    <t>27714716641</t>
  </si>
  <si>
    <t>13864698</t>
  </si>
  <si>
    <t>f8b89ec7-e0ed-400f-b262-462f8914d998</t>
  </si>
  <si>
    <t>2026-05-25 12:12:24</t>
  </si>
  <si>
    <t>27765856451</t>
  </si>
  <si>
    <t>13862749</t>
  </si>
  <si>
    <t>3ddfd1b6-e962-4a68-84a6-ce3cb0346d86</t>
  </si>
  <si>
    <t>2026-05-25 12:12:19</t>
  </si>
  <si>
    <t>27714426945</t>
  </si>
  <si>
    <t>13863128</t>
  </si>
  <si>
    <t>97be6668-e797-4832-b80a-75d357100470</t>
  </si>
  <si>
    <t>27763212367</t>
  </si>
  <si>
    <t>13864697</t>
  </si>
  <si>
    <t>d005af3a-eb04-4dba-aedf-227fae507583</t>
  </si>
  <si>
    <t>27765751440</t>
  </si>
  <si>
    <t>13863559</t>
  </si>
  <si>
    <t>33a5b364-66f5-4b49-847d-30627f2da4e3</t>
  </si>
  <si>
    <t>27760364315</t>
  </si>
  <si>
    <t>2026-05-25 12:11:46</t>
  </si>
  <si>
    <t>13862140</t>
  </si>
  <si>
    <t>7f1659c9-15c7-4a65-8ee0-858401b5e5a7</t>
  </si>
  <si>
    <t>2026-05-25 12:11:36</t>
  </si>
  <si>
    <t>27728481841</t>
  </si>
  <si>
    <t>961e2862-4a26-4a41-b0d4-0082e8326c80</t>
  </si>
  <si>
    <t>27790636477</t>
  </si>
  <si>
    <t>13862138</t>
  </si>
  <si>
    <t>53b928c4-f3bc-41d9-8edb-e2655e9c40e5</t>
  </si>
  <si>
    <t>2026-05-25 12:11:35</t>
  </si>
  <si>
    <t>27728212429</t>
  </si>
  <si>
    <t>13863389</t>
  </si>
  <si>
    <t>dcf4e33d-9d3b-4190-8d3f-c6e6471cf1b4</t>
  </si>
  <si>
    <t>27792675826</t>
  </si>
  <si>
    <t>13863384</t>
  </si>
  <si>
    <t>c3b391f9-f9e6-4142-b9aa-09a9002a33c4</t>
  </si>
  <si>
    <t>2026-05-25 12:11:29</t>
  </si>
  <si>
    <t>27792406802</t>
  </si>
  <si>
    <t>13863387</t>
  </si>
  <si>
    <t>5938ef27-56f4-4fbd-b12c-9858f4b3408f</t>
  </si>
  <si>
    <t>27792615725</t>
  </si>
  <si>
    <t>13863388</t>
  </si>
  <si>
    <t>9a460d37-f215-4c4c-ac43-b47680fa4a07</t>
  </si>
  <si>
    <t>27792670064</t>
  </si>
  <si>
    <t>13863383</t>
  </si>
  <si>
    <t>79a5d731-9592-4116-8c74-f7452a81ff9e</t>
  </si>
  <si>
    <t>2026-05-25 12:11:24</t>
  </si>
  <si>
    <t>27792235716</t>
  </si>
  <si>
    <t>13861454</t>
  </si>
  <si>
    <t>93256b56-9b39-48f5-abaa-18c205793f74</t>
  </si>
  <si>
    <t>27714526106</t>
  </si>
  <si>
    <t>2026-05-25 12:11:23</t>
  </si>
  <si>
    <t>13863554</t>
  </si>
  <si>
    <t>37d6c111-90a7-4326-a0ac-94eed2cd4419</t>
  </si>
  <si>
    <t>27729503787</t>
  </si>
  <si>
    <t>13863129</t>
  </si>
  <si>
    <t>dd44d5bb-bb70-4b1e-9a82-9644bf93f29b</t>
  </si>
  <si>
    <t>RP</t>
  </si>
  <si>
    <t>Right Party Not Available</t>
  </si>
  <si>
    <t>2026-05-25 12:10:22</t>
  </si>
  <si>
    <t>27763221287</t>
  </si>
  <si>
    <t>13862321</t>
  </si>
  <si>
    <t>7cf200aa-01de-49a2-bce4-74fda2e13329</t>
  </si>
  <si>
    <t>2026-05-25 12:10:18</t>
  </si>
  <si>
    <t>27766172131</t>
  </si>
  <si>
    <t>13863726</t>
  </si>
  <si>
    <t>da340909-6066-4192-b6eb-49585cf661f1</t>
  </si>
  <si>
    <t>27661944535</t>
  </si>
  <si>
    <t>13864437</t>
  </si>
  <si>
    <t>8364891e-c638-44b0-9fc3-d0566c8e2c87</t>
  </si>
  <si>
    <t>2026-05-25 12:09:08</t>
  </si>
  <si>
    <t>27791544016</t>
  </si>
  <si>
    <t>13861955</t>
  </si>
  <si>
    <t>09a417b7-370b-4228-af16-da2fab1765df</t>
  </si>
  <si>
    <t>2026-05-25 12:09:07</t>
  </si>
  <si>
    <t>27712817705</t>
  </si>
  <si>
    <t>13863662</t>
  </si>
  <si>
    <t>4b9c1e92-7409-490d-96ad-6880e5bb2514</t>
  </si>
  <si>
    <t>27823853874</t>
  </si>
  <si>
    <t>13863666</t>
  </si>
  <si>
    <t>8cefe0f0-3475-4cb6-b329-f333ceec7640</t>
  </si>
  <si>
    <t>27825536274</t>
  </si>
  <si>
    <t>13863059</t>
  </si>
  <si>
    <t>ea53088a-a23e-443c-9e5d-5bd8106daf25</t>
  </si>
  <si>
    <t>27660364188</t>
  </si>
  <si>
    <t>2026-05-25 12:08:59</t>
  </si>
  <si>
    <t>13862344</t>
  </si>
  <si>
    <t>b9a727d6-0223-40e0-bb6a-309536300e93</t>
  </si>
  <si>
    <t>2026-05-25 12:08:56</t>
  </si>
  <si>
    <t>27795718153</t>
  </si>
  <si>
    <t>13861704</t>
  </si>
  <si>
    <t>256effb3-ebb0-47e4-9b39-4499675b8a55</t>
  </si>
  <si>
    <t>2026-05-25 12:08:54</t>
  </si>
  <si>
    <t>27769111477</t>
  </si>
  <si>
    <t>13863583</t>
  </si>
  <si>
    <t>188fb269-4687-44d8-a0d0-820234514ffc</t>
  </si>
  <si>
    <t>27766570538</t>
  </si>
  <si>
    <t>85e6137a-ac0d-46ce-9f4c-15d9b92f5a56</t>
  </si>
  <si>
    <t>27767478683</t>
  </si>
  <si>
    <t>13864696</t>
  </si>
  <si>
    <t>d6ca68bc-b32b-4ddc-9c1c-891a4987f971</t>
  </si>
  <si>
    <t>2026-05-25 12:07:33</t>
  </si>
  <si>
    <t>27765392614</t>
  </si>
  <si>
    <t>13864694</t>
  </si>
  <si>
    <t>2b25d37c-d40c-44d5-824d-01650213b993</t>
  </si>
  <si>
    <t>2026-05-25 12:07:30</t>
  </si>
  <si>
    <t>27765131307</t>
  </si>
  <si>
    <t>13862238</t>
  </si>
  <si>
    <t>78ca673c-70fa-427c-8e6f-fff880eb0586</t>
  </si>
  <si>
    <t>2026-05-25 12:07:16</t>
  </si>
  <si>
    <t>27647437260</t>
  </si>
  <si>
    <t>13862093</t>
  </si>
  <si>
    <t>e9f6dbb3-77bd-4627-be10-ba1c405409a1</t>
  </si>
  <si>
    <t>27664733883</t>
  </si>
  <si>
    <t>13864692</t>
  </si>
  <si>
    <t>fc189fe3-f03e-4cec-aeac-c1dde6f6bf35</t>
  </si>
  <si>
    <t>27764686092</t>
  </si>
  <si>
    <t>13864693</t>
  </si>
  <si>
    <t>91c3a214-ad38-45de-b3ae-b10b7342ecd7</t>
  </si>
  <si>
    <t>27764777749</t>
  </si>
  <si>
    <t>13862091</t>
  </si>
  <si>
    <t>7eb9fe9c-46a8-42c5-81f1-029f6c710f65</t>
  </si>
  <si>
    <t>LANG</t>
  </si>
  <si>
    <t>Language Barrier</t>
  </si>
  <si>
    <t>2026-05-25 12:07:03</t>
  </si>
  <si>
    <t>27661929719</t>
  </si>
  <si>
    <t>13862090</t>
  </si>
  <si>
    <t>5be070ca-7bf9-4a35-b11c-1c65246baffd</t>
  </si>
  <si>
    <t>DNQS</t>
  </si>
  <si>
    <t>Does Not Qualify</t>
  </si>
  <si>
    <t>2026-05-25 12:06:59</t>
  </si>
  <si>
    <t>27661823981</t>
  </si>
  <si>
    <t>13863863</t>
  </si>
  <si>
    <t>297aa5c9-a5c2-4eda-a5ea-54555befaabc</t>
  </si>
  <si>
    <t>27792224410</t>
  </si>
  <si>
    <t>13863866</t>
  </si>
  <si>
    <t>fc1dde27-394a-43a6-a2d1-b94d09a61676</t>
  </si>
  <si>
    <t>27793064958</t>
  </si>
  <si>
    <t>13862353</t>
  </si>
  <si>
    <t>c1973c28-6d63-4963-a6e2-f60b7eb0a815</t>
  </si>
  <si>
    <t>27798651592</t>
  </si>
  <si>
    <t>2026-05-25 12:06:37</t>
  </si>
  <si>
    <t>13862220</t>
  </si>
  <si>
    <t>a00107a1-baf8-4792-9b61-fcae8bc12054</t>
  </si>
  <si>
    <t>2026-05-25 12:06:30</t>
  </si>
  <si>
    <t>27833792909</t>
  </si>
  <si>
    <t>13864599</t>
  </si>
  <si>
    <t>0474ef78-acc0-447b-8b6f-cb5f22ec17ec</t>
  </si>
  <si>
    <t>27715090734</t>
  </si>
  <si>
    <t>2026-05-25 12:06:28</t>
  </si>
  <si>
    <t>13862354</t>
  </si>
  <si>
    <t>5032cfa8-9dc6-4cb9-8501-3daf95016567</t>
  </si>
  <si>
    <t>2026-05-25 12:06:25</t>
  </si>
  <si>
    <t>27799436416</t>
  </si>
  <si>
    <t>13862217</t>
  </si>
  <si>
    <t>26f5b874-39e3-4592-bb7f-a6f24f4f34c6</t>
  </si>
  <si>
    <t>2026-05-25 12:06:22</t>
  </si>
  <si>
    <t>27825952411</t>
  </si>
  <si>
    <t>13862216</t>
  </si>
  <si>
    <t>948224ed-ac39-45ce-94b4-bd7c54056729</t>
  </si>
  <si>
    <t>2026-05-25 12:06:09</t>
  </si>
  <si>
    <t>27825735188</t>
  </si>
  <si>
    <t>13863790</t>
  </si>
  <si>
    <t>5c1774ad-3bd1-4fcb-a914-f11784994d6e</t>
  </si>
  <si>
    <t>27727341372</t>
  </si>
  <si>
    <t>13862944</t>
  </si>
  <si>
    <t>a7ca82f9-c547-4fa0-8d94-87a4ca2da911</t>
  </si>
  <si>
    <t>2026-05-25 12:05:34</t>
  </si>
  <si>
    <t>27606419648</t>
  </si>
  <si>
    <t>13862145</t>
  </si>
  <si>
    <t>d7767219-15df-4e88-b7d3-c5c57913a9d4</t>
  </si>
  <si>
    <t>2026-05-25 12:05:25</t>
  </si>
  <si>
    <t>27729913962</t>
  </si>
  <si>
    <t>13861984</t>
  </si>
  <si>
    <t>fd65e843-aba4-46b5-9be2-746763a75471</t>
  </si>
  <si>
    <t>2026-05-25 12:05:18</t>
  </si>
  <si>
    <t>27725220706</t>
  </si>
  <si>
    <t>13862143</t>
  </si>
  <si>
    <t>c3442f2a-6d4a-48c2-8625-fadfc36cdb47</t>
  </si>
  <si>
    <t>27729049496</t>
  </si>
  <si>
    <t>13862346</t>
  </si>
  <si>
    <t>bf28c59a-d225-4d63-b508-457e523fcc62</t>
  </si>
  <si>
    <t>27796056976</t>
  </si>
  <si>
    <t>13863549</t>
  </si>
  <si>
    <t>1bd8ce7d-bcf3-4f73-b3c0-92542926e118</t>
  </si>
  <si>
    <t>2026-05-25 12:05:00</t>
  </si>
  <si>
    <t>27727511318</t>
  </si>
  <si>
    <t>13861621</t>
  </si>
  <si>
    <t>cc0ee584-aa79-4d80-91ae-00eb8fb16d1f</t>
  </si>
  <si>
    <t>2026-05-25 12:04:53</t>
  </si>
  <si>
    <t>27664290656</t>
  </si>
  <si>
    <t>13862907</t>
  </si>
  <si>
    <t>261dff6f-cbe1-4314-a82e-92bf97a4abbe</t>
  </si>
  <si>
    <t>27785536904</t>
  </si>
  <si>
    <t>13863536</t>
  </si>
  <si>
    <t>08838b02-e417-4aa8-93c1-59e3f5b54f80</t>
  </si>
  <si>
    <t>2026-05-25 12:04:46</t>
  </si>
  <si>
    <t>27725589528</t>
  </si>
  <si>
    <t>13863661</t>
  </si>
  <si>
    <t>c03444ad-4c2d-4cd0-9e6f-be48ac7e0ad4</t>
  </si>
  <si>
    <t>2026-05-25 12:04:27</t>
  </si>
  <si>
    <t>27823801987</t>
  </si>
  <si>
    <t>13861618</t>
  </si>
  <si>
    <t>ed581019-6124-4b8e-b893-7c12a618ef29</t>
  </si>
  <si>
    <t>2026-05-25 12:04:25</t>
  </si>
  <si>
    <t>27661481322</t>
  </si>
  <si>
    <t>13862237</t>
  </si>
  <si>
    <t>e10bf649-6406-43f5-8065-cabbd6c1e73a</t>
  </si>
  <si>
    <t>2026-05-25 12:03:35</t>
  </si>
  <si>
    <t>27646756687</t>
  </si>
  <si>
    <t>13862060</t>
  </si>
  <si>
    <t>7922f683-665e-4d4a-b523-f86c755e6d1b</t>
  </si>
  <si>
    <t>2026-05-25 12:03:24</t>
  </si>
  <si>
    <t>27825903414</t>
  </si>
  <si>
    <t>13862061</t>
  </si>
  <si>
    <t>70fad59b-43b3-400a-b5ef-909b18c14670</t>
  </si>
  <si>
    <t>27825979758</t>
  </si>
  <si>
    <t>13862064</t>
  </si>
  <si>
    <t>ddad99e2-a8c2-4195-bb9a-fcab4f36bfca</t>
  </si>
  <si>
    <t>27826638380</t>
  </si>
  <si>
    <t>13862818</t>
  </si>
  <si>
    <t>77b1d69d-ef92-446d-8d04-c7f24f2a3a9e</t>
  </si>
  <si>
    <t>27766334001</t>
  </si>
  <si>
    <t>13861515</t>
  </si>
  <si>
    <t>95acfabb-6e1c-4dca-914e-ff73be5bbf01</t>
  </si>
  <si>
    <t>27767517515</t>
  </si>
  <si>
    <t>2026-05-25 11:51:28</t>
  </si>
  <si>
    <t>13863555</t>
  </si>
  <si>
    <t>06b59ea0-bc7c-4a41-9023-23b3aeb73d84</t>
  </si>
  <si>
    <t>27734910909</t>
  </si>
  <si>
    <t>2026-05-25 11:43:46</t>
  </si>
  <si>
    <t>13862492</t>
  </si>
  <si>
    <t>a70b96ea-bab3-4904-8cf8-cc7be33fcca7</t>
  </si>
  <si>
    <t>27792925083</t>
  </si>
  <si>
    <t>2026-05-25 11:34:36</t>
  </si>
  <si>
    <t>13862469</t>
  </si>
  <si>
    <t>6f67f58b-7809-40e3-a761-5dfc28b6ec3f</t>
  </si>
  <si>
    <t>27763958960</t>
  </si>
  <si>
    <t>2026-05-25 11:29:10</t>
  </si>
  <si>
    <t>13862246</t>
  </si>
  <si>
    <t>4c1c8210-5913-4bd7-bd47-584e5af7f301</t>
  </si>
  <si>
    <t>27661077257</t>
  </si>
  <si>
    <t>2026-05-25 11:13:42</t>
  </si>
  <si>
    <t>13863588</t>
  </si>
  <si>
    <t>5189a4e5-46d6-4626-bf3c-b1c7e4058eeb</t>
  </si>
  <si>
    <t>27768012154</t>
  </si>
  <si>
    <t>2026-05-25 11:09:10</t>
  </si>
  <si>
    <t>13861496</t>
  </si>
  <si>
    <t>be9bc018-aad0-4fa1-9cea-8190c91406bc</t>
  </si>
  <si>
    <t>27761743688</t>
  </si>
  <si>
    <t>2026-05-25 11:02:04</t>
  </si>
  <si>
    <t>13862408</t>
  </si>
  <si>
    <t>2cf0a92f-31f2-442b-af8e-3a0acc97fdf6</t>
  </si>
  <si>
    <t>2026-05-25 11:00:34</t>
  </si>
  <si>
    <t>27665957080</t>
  </si>
  <si>
    <t>13863142</t>
  </si>
  <si>
    <t>ac2a5722-0374-46f0-9306-71b93d25fbd4</t>
  </si>
  <si>
    <t>27766540297</t>
  </si>
  <si>
    <t>13861683</t>
  </si>
  <si>
    <t>4d29139e-f482-4487-bffb-fac2b3e6d9f7</t>
  </si>
  <si>
    <t>2026-05-25 11:00:33</t>
  </si>
  <si>
    <t>27764016459</t>
  </si>
  <si>
    <t>13862141</t>
  </si>
  <si>
    <t>3c7b5144-be6d-426a-a4d0-0049a2001973</t>
  </si>
  <si>
    <t>27728516223</t>
  </si>
  <si>
    <t>13862404</t>
  </si>
  <si>
    <t>75d9e34a-a3d1-4352-ba52-bfc7c6e205d9</t>
  </si>
  <si>
    <t>2026-05-25 10:56:14</t>
  </si>
  <si>
    <t>27664696865</t>
  </si>
  <si>
    <t>13861464</t>
  </si>
  <si>
    <t>161b4ae0-12f8-40e9-9208-a94e31434e94</t>
  </si>
  <si>
    <t>2026-05-25 10:56:07</t>
  </si>
  <si>
    <t>27721937203</t>
  </si>
  <si>
    <t>13863970</t>
  </si>
  <si>
    <t>c699fb75-4300-4e5d-bee2-105a0d973143</t>
  </si>
  <si>
    <t>27637198155</t>
  </si>
  <si>
    <t>13862098</t>
  </si>
  <si>
    <t>1f7d1bf1-ac7e-4c00-967b-f01f3db636a4</t>
  </si>
  <si>
    <t>27711899815</t>
  </si>
  <si>
    <t>2026-05-25 10:54:32</t>
  </si>
  <si>
    <t>13863941</t>
  </si>
  <si>
    <t>89d68af9-c8c5-4d6e-9ecc-a9ecf2c8980b</t>
  </si>
  <si>
    <t>27828317822</t>
  </si>
  <si>
    <t>2026-05-25 10:54:28</t>
  </si>
  <si>
    <t>13864406</t>
  </si>
  <si>
    <t>9b27d113-d989-490f-a97a-c7ac73852ae0</t>
  </si>
  <si>
    <t>27765841779</t>
  </si>
  <si>
    <t>13863792</t>
  </si>
  <si>
    <t>eb179976-2487-4725-814f-27ef504886ce</t>
  </si>
  <si>
    <t>2026-05-25 10:53:48</t>
  </si>
  <si>
    <t>27727534810</t>
  </si>
  <si>
    <t>13861769</t>
  </si>
  <si>
    <t>d8498e80-b1c3-454c-a23e-c8909d51dbcf</t>
  </si>
  <si>
    <t>2026-05-25 10:53:47</t>
  </si>
  <si>
    <t>27647937776</t>
  </si>
  <si>
    <t>13863657</t>
  </si>
  <si>
    <t>27e6f54a-d4a1-4db1-a72c-e7c6f2cfe297</t>
  </si>
  <si>
    <t>2026-05-25 10:53:43</t>
  </si>
  <si>
    <t>27823500970</t>
  </si>
  <si>
    <t>13863658</t>
  </si>
  <si>
    <t>c03cce9e-5a4a-446e-af37-1523a0ae01eb</t>
  </si>
  <si>
    <t>27823532270</t>
  </si>
  <si>
    <t>13863655</t>
  </si>
  <si>
    <t>f3b97068-5c86-4fa9-92fa-803ceb2b49c0</t>
  </si>
  <si>
    <t>2026-05-25 10:53:20</t>
  </si>
  <si>
    <t>27823224923</t>
  </si>
  <si>
    <t>13863654</t>
  </si>
  <si>
    <t>e38e1a89-d11a-42d1-aac2-ca6f7ff2ece4</t>
  </si>
  <si>
    <t>2026-05-25 10:53:18</t>
  </si>
  <si>
    <t>27822612853</t>
  </si>
  <si>
    <t>13863653</t>
  </si>
  <si>
    <t>0cb3ad64-a3af-4708-8741-ec71c37612aa</t>
  </si>
  <si>
    <t>2026-05-25 10:53:15</t>
  </si>
  <si>
    <t>27822555396</t>
  </si>
  <si>
    <t>13861657</t>
  </si>
  <si>
    <t>c3696eb7-917d-49d3-a18c-ac7697fb85d4</t>
  </si>
  <si>
    <t>2026-05-25 10:52:58</t>
  </si>
  <si>
    <t>27724173905</t>
  </si>
  <si>
    <t>13861881</t>
  </si>
  <si>
    <t>ee7d3563-1733-406c-903f-0ea472136b4b</t>
  </si>
  <si>
    <t>27796236414</t>
  </si>
  <si>
    <t>13863648</t>
  </si>
  <si>
    <t>2175388d-1b73-4b88-9f20-f8de782450ce</t>
  </si>
  <si>
    <t>27818567445</t>
  </si>
  <si>
    <t>13863650</t>
  </si>
  <si>
    <t>f13e0d37-d6dd-4cbf-bce7-9150d298fc9e</t>
  </si>
  <si>
    <t>27820855325</t>
  </si>
  <si>
    <t>13864128</t>
  </si>
  <si>
    <t>5a4b3cfa-7b8a-4eee-a4d8-0e2e50004881</t>
  </si>
  <si>
    <t>27766520591</t>
  </si>
  <si>
    <t>2026-05-25 10:51:20</t>
  </si>
  <si>
    <t>4343e573-dcf7-4bf6-84f6-a6d627141fbf</t>
  </si>
  <si>
    <t>2026-05-25 10:50:35</t>
  </si>
  <si>
    <t>27712451049</t>
  </si>
  <si>
    <t>13864098</t>
  </si>
  <si>
    <t>39f5b662-e9d4-48b5-aa2d-f0fe2c7a8c24</t>
  </si>
  <si>
    <t>27760676394</t>
  </si>
  <si>
    <t>e525f562-26c6-4486-b97e-70dc5ef5732f</t>
  </si>
  <si>
    <t>2026-05-25 10:50:34</t>
  </si>
  <si>
    <t>27726766647</t>
  </si>
  <si>
    <t>13863552</t>
  </si>
  <si>
    <t>057648f3-e9d8-43d1-9f7b-4c2d796d42ac</t>
  </si>
  <si>
    <t>27728072929</t>
  </si>
  <si>
    <t>13862099</t>
  </si>
  <si>
    <t>aad9c207-697f-4ecc-b02d-bfb11a6f2834</t>
  </si>
  <si>
    <t>2026-05-25 10:50:33</t>
  </si>
  <si>
    <t>27711941368</t>
  </si>
  <si>
    <t>13862095</t>
  </si>
  <si>
    <t>cec128f4-270d-4b21-88fc-cae3695d6f4c</t>
  </si>
  <si>
    <t>27673371659</t>
  </si>
  <si>
    <t>2026-05-25 10:50:32</t>
  </si>
  <si>
    <t>13862550</t>
  </si>
  <si>
    <t>02d9f7f7-d7ab-417e-80b8-5cf70e850b70</t>
  </si>
  <si>
    <t>27636369360</t>
  </si>
  <si>
    <t>13861805</t>
  </si>
  <si>
    <t>5e6b49ee-3547-49cf-a129-bdfff7d095f6</t>
  </si>
  <si>
    <t>27720270058</t>
  </si>
  <si>
    <t>2026-05-25 10:49:17</t>
  </si>
  <si>
    <t>13861615</t>
  </si>
  <si>
    <t>93c27f4b-4d31-4d23-b887-cc81bcac6ff8</t>
  </si>
  <si>
    <t>2026-05-25 10:48:58</t>
  </si>
  <si>
    <t>27648648639</t>
  </si>
  <si>
    <t>13861509</t>
  </si>
  <si>
    <t>40cc7a99-83be-474e-8cf9-716bc9f5f2c7</t>
  </si>
  <si>
    <t>2026-05-25 10:48:55</t>
  </si>
  <si>
    <t>27765507884</t>
  </si>
  <si>
    <t>13861689</t>
  </si>
  <si>
    <t>64d30aff-a5a7-4392-8bff-0d230671519e</t>
  </si>
  <si>
    <t>27766358677</t>
  </si>
  <si>
    <t>13862641</t>
  </si>
  <si>
    <t>b883d795-36bd-4062-af06-7b5af41ff04b</t>
  </si>
  <si>
    <t>2026-05-25 10:48:50</t>
  </si>
  <si>
    <t>27764725345</t>
  </si>
  <si>
    <t>13862729</t>
  </si>
  <si>
    <t>83879657-234a-495d-b246-a0d553f58521</t>
  </si>
  <si>
    <t>2026-05-25 10:48:48</t>
  </si>
  <si>
    <t>27661171394</t>
  </si>
  <si>
    <t>13862736</t>
  </si>
  <si>
    <t>450d03a4-2738-4edf-9d97-095263a75287</t>
  </si>
  <si>
    <t>27664984786</t>
  </si>
  <si>
    <t>13863771</t>
  </si>
  <si>
    <t>ce8423b2-e4e1-4492-9825-ff0d52db1af9</t>
  </si>
  <si>
    <t>27724540084</t>
  </si>
  <si>
    <t>13863769</t>
  </si>
  <si>
    <t>bf4b9aae-e00c-40b8-b5b3-b9daddb08889</t>
  </si>
  <si>
    <t>2026-05-25 10:48:30</t>
  </si>
  <si>
    <t>27723886403</t>
  </si>
  <si>
    <t>13861768</t>
  </si>
  <si>
    <t>661c4875-0d86-467d-9058-cfaebbfe05fb</t>
  </si>
  <si>
    <t>2026-05-25 10:48:17</t>
  </si>
  <si>
    <t>27647837205</t>
  </si>
  <si>
    <t>13863766</t>
  </si>
  <si>
    <t>2b7a94c0-fd37-48e1-83d7-703056007eee</t>
  </si>
  <si>
    <t>2026-05-25 10:48:13</t>
  </si>
  <si>
    <t>27723737769</t>
  </si>
  <si>
    <t>13863767</t>
  </si>
  <si>
    <t>cc394e67-458c-4062-a426-a934822e3139</t>
  </si>
  <si>
    <t>27723765315</t>
  </si>
  <si>
    <t>13861523</t>
  </si>
  <si>
    <t>dfe8a183-8e4e-44c6-a59e-8d6731bfb54d</t>
  </si>
  <si>
    <t>2026-05-25 10:47:56</t>
  </si>
  <si>
    <t>27769513416</t>
  </si>
  <si>
    <t>13862084</t>
  </si>
  <si>
    <t>32c53ed9-f305-4ed2-81a4-c1ce0a0031b4</t>
  </si>
  <si>
    <t>27649885345</t>
  </si>
  <si>
    <t>13862724</t>
  </si>
  <si>
    <t>292e0231-c0e4-4e26-b79b-fffb98779f52</t>
  </si>
  <si>
    <t>27649515385</t>
  </si>
  <si>
    <t>13862725</t>
  </si>
  <si>
    <t>7d565f72-3e15-4c9d-93b1-8daa0b10c5d3</t>
  </si>
  <si>
    <t>27649698834</t>
  </si>
  <si>
    <t>13862151</t>
  </si>
  <si>
    <t>fc8f88a2-ff3b-4ca1-977c-65fb992c9fb6</t>
  </si>
  <si>
    <t>2026-05-25 10:47:43</t>
  </si>
  <si>
    <t>27762002886</t>
  </si>
  <si>
    <t>13861675</t>
  </si>
  <si>
    <t>5d136a76-3b11-4d84-a807-ea7a5e5ab629</t>
  </si>
  <si>
    <t>2026-05-25 10:47:41</t>
  </si>
  <si>
    <t>27760517346</t>
  </si>
  <si>
    <t>13861679</t>
  </si>
  <si>
    <t>68d284ed-8a8b-4442-83ca-99cbcd1a5af0</t>
  </si>
  <si>
    <t>27762217516</t>
  </si>
  <si>
    <t>13862224</t>
  </si>
  <si>
    <t>f3839e44-0737-4437-a95c-3776b20fc0a7</t>
  </si>
  <si>
    <t>27607782362</t>
  </si>
  <si>
    <t>13861475</t>
  </si>
  <si>
    <t>156f2296-63cf-4ab6-9565-84bfab2c4e85</t>
  </si>
  <si>
    <t>2026-05-25 10:47:39</t>
  </si>
  <si>
    <t>27725839856</t>
  </si>
  <si>
    <t>13861807</t>
  </si>
  <si>
    <t>9acc3310-b10c-4618-9a9f-2cc3afc41ae0</t>
  </si>
  <si>
    <t>27721030269</t>
  </si>
  <si>
    <t>13861806</t>
  </si>
  <si>
    <t>98eded15-31af-45da-a482-4137aa6476fc</t>
  </si>
  <si>
    <t>2026-05-25 10:47:29</t>
  </si>
  <si>
    <t>27720575907</t>
  </si>
  <si>
    <t>13862066</t>
  </si>
  <si>
    <t>a3d270bf-dd6b-44c6-a5a4-a82bc9809c37</t>
  </si>
  <si>
    <t>27829311272</t>
  </si>
  <si>
    <t>13862640</t>
  </si>
  <si>
    <t>bd75300d-2cad-420d-bb9b-1d999234f737</t>
  </si>
  <si>
    <t>27764688516</t>
  </si>
  <si>
    <t>3e271241-f1cb-4de0-80e6-070bee149d76</t>
  </si>
  <si>
    <t>27606854787</t>
  </si>
  <si>
    <t>2026-05-25 10:47:19</t>
  </si>
  <si>
    <t>13862227</t>
  </si>
  <si>
    <t>ee997584-36d9-48b0-ae00-58e21a7ea52a</t>
  </si>
  <si>
    <t>27608272054</t>
  </si>
  <si>
    <t>2026-05-25 10:46:02</t>
  </si>
  <si>
    <t>13861966</t>
  </si>
  <si>
    <t>1981ea70-4bea-4928-a70f-968604818eab</t>
  </si>
  <si>
    <t>2026-05-25 10:45:49</t>
  </si>
  <si>
    <t>27714581805</t>
  </si>
  <si>
    <t>13861961</t>
  </si>
  <si>
    <t>15679f6f-7b0f-44e7-bedf-819c288ab711</t>
  </si>
  <si>
    <t>2026-05-25 10:45:42</t>
  </si>
  <si>
    <t>27714319136</t>
  </si>
  <si>
    <t>13861964</t>
  </si>
  <si>
    <t>eac18976-cf81-459e-a870-b95f2eceb9b8</t>
  </si>
  <si>
    <t>27714420155</t>
  </si>
  <si>
    <t>13861965</t>
  </si>
  <si>
    <t>4fcb5149-0471-4460-869a-daf595612405</t>
  </si>
  <si>
    <t>27714524255</t>
  </si>
  <si>
    <t>13862359</t>
  </si>
  <si>
    <t>712db50e-0e67-4c9e-b4c0-7d7643c37084</t>
  </si>
  <si>
    <t>2026-05-25 10:45:35</t>
  </si>
  <si>
    <t>27822944962</t>
  </si>
  <si>
    <t>13862360</t>
  </si>
  <si>
    <t>ad4e50ac-9426-48df-8627-118c33d2c10b</t>
  </si>
  <si>
    <t>27823000783</t>
  </si>
  <si>
    <t>13861942</t>
  </si>
  <si>
    <t>147d190f-87b7-4ce6-aef2-be5080c9200d</t>
  </si>
  <si>
    <t>2026-05-25 10:44:02</t>
  </si>
  <si>
    <t>27662215099</t>
  </si>
  <si>
    <t>13863556</t>
  </si>
  <si>
    <t>97a5faf0-13d0-4e35-9d08-75aa5f10fea8</t>
  </si>
  <si>
    <t>27737750699</t>
  </si>
  <si>
    <t>13863880</t>
  </si>
  <si>
    <t>c1007d7c-b53a-46ff-bcb4-0dd37b95981a</t>
  </si>
  <si>
    <t>2026-05-25 10:43:18</t>
  </si>
  <si>
    <t>27795668044</t>
  </si>
  <si>
    <t>13862235</t>
  </si>
  <si>
    <t>724d907f-4e17-442f-8755-4123916f9ca4</t>
  </si>
  <si>
    <t>2026-05-25 10:43:17</t>
  </si>
  <si>
    <t>27646185819</t>
  </si>
  <si>
    <t>13862233</t>
  </si>
  <si>
    <t>3537fd11-f8e0-42ba-83cc-8e3d4b57e8da</t>
  </si>
  <si>
    <t>2026-05-25 10:43:12</t>
  </si>
  <si>
    <t>27636767001</t>
  </si>
  <si>
    <t>13862234</t>
  </si>
  <si>
    <t>415bf036-2b60-4339-8590-e2747ce27614</t>
  </si>
  <si>
    <t>27637532214</t>
  </si>
  <si>
    <t>13864100</t>
  </si>
  <si>
    <t>026e20b5-5fe7-46f1-a54c-2c4024d672a6</t>
  </si>
  <si>
    <t>U</t>
  </si>
  <si>
    <t>Unemployed</t>
  </si>
  <si>
    <t>27761060376</t>
  </si>
  <si>
    <t>13862367</t>
  </si>
  <si>
    <t>3e72d4e8-d47e-4cdf-8641-9399d63c51c8</t>
  </si>
  <si>
    <t>27826840375</t>
  </si>
  <si>
    <t>2026-05-25 10:42:16</t>
  </si>
  <si>
    <t>e563304a-a952-4f58-8d9a-b097b206291f</t>
  </si>
  <si>
    <t>2026-05-25 10:42:14</t>
  </si>
  <si>
    <t>27722917073</t>
  </si>
  <si>
    <t>13863355</t>
  </si>
  <si>
    <t>38ed23e5-e443-4671-bfc6-b4c79686dc74</t>
  </si>
  <si>
    <t>2026-05-25 10:42:11</t>
  </si>
  <si>
    <t>27767678974</t>
  </si>
  <si>
    <t>13863349</t>
  </si>
  <si>
    <t>1c8699e5-6bc0-421c-a598-860d1d594b83</t>
  </si>
  <si>
    <t>2026-05-25 10:42:10</t>
  </si>
  <si>
    <t>27766223534</t>
  </si>
  <si>
    <t>13862886</t>
  </si>
  <si>
    <t>219787f0-806a-4929-82ce-d2d7620065c4</t>
  </si>
  <si>
    <t>2026-05-25 10:42:01</t>
  </si>
  <si>
    <t>27828620691</t>
  </si>
  <si>
    <t>13863345</t>
  </si>
  <si>
    <t>4dcb4423-7988-4697-8f75-1a7dd4861703</t>
  </si>
  <si>
    <t>27764950482</t>
  </si>
  <si>
    <t>13863346</t>
  </si>
  <si>
    <t>183c432e-3243-4847-bf6e-e90b16046e3b</t>
  </si>
  <si>
    <t>27764951814</t>
  </si>
  <si>
    <t>13863348</t>
  </si>
  <si>
    <t>6b670853-62a1-4998-a7df-f9f03792f1c0</t>
  </si>
  <si>
    <t>27765924156</t>
  </si>
  <si>
    <t>13862885</t>
  </si>
  <si>
    <t>ec9ef6b3-1e0d-4b8e-9d10-39e6d1d752ae</t>
  </si>
  <si>
    <t>2026-05-25 10:41:58</t>
  </si>
  <si>
    <t>27828202102</t>
  </si>
  <si>
    <t>13862102</t>
  </si>
  <si>
    <t>42eeccbd-db07-4c0d-b885-41c9d33223e0</t>
  </si>
  <si>
    <t>2026-05-25 10:41:53</t>
  </si>
  <si>
    <t>27712968198</t>
  </si>
  <si>
    <t>13864597</t>
  </si>
  <si>
    <t>5f75b979-76b9-4fc7-a943-da6cd5634f4a</t>
  </si>
  <si>
    <t>27714953704</t>
  </si>
  <si>
    <t>13864603</t>
  </si>
  <si>
    <t>33298556-06b4-40c0-be93-7f1e6290a96d</t>
  </si>
  <si>
    <t>27715717799</t>
  </si>
  <si>
    <t>13862063</t>
  </si>
  <si>
    <t>77af13cf-6843-48e9-ab99-29130e76bfd0</t>
  </si>
  <si>
    <t>2026-05-25 10:41:07</t>
  </si>
  <si>
    <t>27826514713</t>
  </si>
  <si>
    <t>13863768</t>
  </si>
  <si>
    <t>1f5b2c08-3484-4faa-826e-e0f15fcc6252</t>
  </si>
  <si>
    <t>27723846696</t>
  </si>
  <si>
    <t>13864540</t>
  </si>
  <si>
    <t>0b131fc2-637a-41d3-8a84-800a1988c16d</t>
  </si>
  <si>
    <t>27637076370</t>
  </si>
  <si>
    <t>13864541</t>
  </si>
  <si>
    <t>67d389c7-4a70-40ac-b815-2e40b58172bb</t>
  </si>
  <si>
    <t>27637088850</t>
  </si>
  <si>
    <t>13862228</t>
  </si>
  <si>
    <t>51a864b2-138e-420d-b4ca-d971e5c50a8d</t>
  </si>
  <si>
    <t>27608947206</t>
  </si>
  <si>
    <t>2026-05-25 10:41:00</t>
  </si>
  <si>
    <t>13862813</t>
  </si>
  <si>
    <t>a6d3e556-c231-47ed-84ad-75e62d6f5592</t>
  </si>
  <si>
    <t>2026-05-25 10:40:02</t>
  </si>
  <si>
    <t>27765783408</t>
  </si>
  <si>
    <t>13863874</t>
  </si>
  <si>
    <t>cc5a738f-26b9-4a1c-9c96-3d73bffd22be</t>
  </si>
  <si>
    <t>27794395596</t>
  </si>
  <si>
    <t>2026-05-25 10:39:30</t>
  </si>
  <si>
    <t>13862023</t>
  </si>
  <si>
    <t>46b327b6-6300-4473-af79-eaa601de1e83</t>
  </si>
  <si>
    <t>2026-05-25 10:39:26</t>
  </si>
  <si>
    <t>27769288449</t>
  </si>
  <si>
    <t>13862463</t>
  </si>
  <si>
    <t>9bbf95de-1a99-45e2-b469-53785b642ea2</t>
  </si>
  <si>
    <t>27760797382</t>
  </si>
  <si>
    <t>13863873</t>
  </si>
  <si>
    <t>4a23a826-6954-4f2f-83d8-e68850d60b10</t>
  </si>
  <si>
    <t>27794236154</t>
  </si>
  <si>
    <t>28e30607-7de7-47d4-a704-06390f2f6d1a</t>
  </si>
  <si>
    <t>2026-05-25 10:38:12</t>
  </si>
  <si>
    <t>27727552026</t>
  </si>
  <si>
    <t>13863845</t>
  </si>
  <si>
    <t>3f2866b4-6547-4252-8161-d386e09ecfe9</t>
  </si>
  <si>
    <t>27768401661</t>
  </si>
  <si>
    <t>13862356</t>
  </si>
  <si>
    <t>cc313d26-9f09-49db-98ba-89fce0f02a03</t>
  </si>
  <si>
    <t>2026-05-25 10:38:11</t>
  </si>
  <si>
    <t>27818142475</t>
  </si>
  <si>
    <t>13862583</t>
  </si>
  <si>
    <t>76937141-672d-4d00-872b-e330c31f8008</t>
  </si>
  <si>
    <t>27712573292</t>
  </si>
  <si>
    <t>13863786</t>
  </si>
  <si>
    <t>0809b965-8f07-45b0-b31c-fd9b0a83b945</t>
  </si>
  <si>
    <t>27726072019</t>
  </si>
  <si>
    <t>2026-05-25 10:35:59</t>
  </si>
  <si>
    <t>13864405</t>
  </si>
  <si>
    <t>4282da12-9971-41e3-bde5-1a3cadc6f1a7</t>
  </si>
  <si>
    <t>2026-05-25 10:35:39</t>
  </si>
  <si>
    <t>27765502882</t>
  </si>
  <si>
    <t>13863789</t>
  </si>
  <si>
    <t>327b3ec2-3d64-4702-b016-d92720c32429</t>
  </si>
  <si>
    <t>2026-05-25 10:35:38</t>
  </si>
  <si>
    <t>27726913945</t>
  </si>
  <si>
    <t>13863788</t>
  </si>
  <si>
    <t>fbba378b-1472-4bb0-8344-3609fbfb7639</t>
  </si>
  <si>
    <t>2026-05-25 10:35:30</t>
  </si>
  <si>
    <t>27726527739</t>
  </si>
  <si>
    <t>13861629</t>
  </si>
  <si>
    <t>a8038be4-b359-48ef-a576-723daf3c49d8</t>
  </si>
  <si>
    <t>2026-05-25 10:35:16</t>
  </si>
  <si>
    <t>27711458911</t>
  </si>
  <si>
    <t>13861628</t>
  </si>
  <si>
    <t>bed0d2d7-3205-481a-a470-760f45a922d8</t>
  </si>
  <si>
    <t>2026-05-25 10:35:10</t>
  </si>
  <si>
    <t>27711446508</t>
  </si>
  <si>
    <t>13861840</t>
  </si>
  <si>
    <t>8b944fa5-6272-4ad4-a78a-6d86b37c5120</t>
  </si>
  <si>
    <t>27764463897</t>
  </si>
  <si>
    <t>13862352</t>
  </si>
  <si>
    <t>e87a4fcd-620e-4abd-89d1-c93498534a72</t>
  </si>
  <si>
    <t>2026-05-25 10:34:07</t>
  </si>
  <si>
    <t>27797907268</t>
  </si>
  <si>
    <t>13862350</t>
  </si>
  <si>
    <t>2649176b-cf2e-472e-9d48-0777f256d563</t>
  </si>
  <si>
    <t>2026-05-25 10:34:01</t>
  </si>
  <si>
    <t>27797316964</t>
  </si>
  <si>
    <t>13862969</t>
  </si>
  <si>
    <t>edca3856-a3ee-4aa7-873d-920a52bb05e7</t>
  </si>
  <si>
    <t>2026-05-25 10:33:56</t>
  </si>
  <si>
    <t>27762818536</t>
  </si>
  <si>
    <t>13862970</t>
  </si>
  <si>
    <t>7ad396ef-5be8-481f-9f14-1a9b7e02f46b</t>
  </si>
  <si>
    <t>27766005698</t>
  </si>
  <si>
    <t>13862974</t>
  </si>
  <si>
    <t>5b910760-1be8-4ed1-a5ae-50377af38228</t>
  </si>
  <si>
    <t>27772503250</t>
  </si>
  <si>
    <t>13862129</t>
  </si>
  <si>
    <t>7096307d-d11f-4890-9eeb-a47b8bc39666</t>
  </si>
  <si>
    <t>27723986886</t>
  </si>
  <si>
    <t>2026-05-25 10:33:27</t>
  </si>
  <si>
    <t>13862131</t>
  </si>
  <si>
    <t>292962b6-0eb3-4e12-a9f5-1a189ffb1aca</t>
  </si>
  <si>
    <t>2026-05-25 10:33:14</t>
  </si>
  <si>
    <t>27724223860</t>
  </si>
  <si>
    <t>13862130</t>
  </si>
  <si>
    <t>41427119-8eee-48a2-a360-9ae2ec44d44d</t>
  </si>
  <si>
    <t>DNQF</t>
  </si>
  <si>
    <t>Do Not Qualify Failed Medical Question</t>
  </si>
  <si>
    <t>2026-05-25 10:33:13</t>
  </si>
  <si>
    <t>27724015683</t>
  </si>
  <si>
    <t>13862128</t>
  </si>
  <si>
    <t>0adee95c-f614-4bbb-801f-f0cf8e003095</t>
  </si>
  <si>
    <t>2026-05-25 10:33:04</t>
  </si>
  <si>
    <t>27723874229</t>
  </si>
  <si>
    <t>13863663</t>
  </si>
  <si>
    <t>b6d2cb2e-ca04-41c9-a2bf-89f22e246d6a</t>
  </si>
  <si>
    <t>2026-05-25 10:32:58</t>
  </si>
  <si>
    <t>27824702926</t>
  </si>
  <si>
    <t>13862125</t>
  </si>
  <si>
    <t>80634211-d739-47da-930e-c73b8a35bb90</t>
  </si>
  <si>
    <t>2026-05-25 10:32:57</t>
  </si>
  <si>
    <t>27723071280</t>
  </si>
  <si>
    <t>13861442</t>
  </si>
  <si>
    <t>2da8a738-659a-499f-9f05-0fe378485316</t>
  </si>
  <si>
    <t>2026-05-25 10:32:45</t>
  </si>
  <si>
    <t>27663663983</t>
  </si>
  <si>
    <t>13863576</t>
  </si>
  <si>
    <t>ee1ea367-17d0-4c13-bff2-d4f7fc9423db</t>
  </si>
  <si>
    <t>2026-05-25 10:31:49</t>
  </si>
  <si>
    <t>27765433896</t>
  </si>
  <si>
    <t>13863408</t>
  </si>
  <si>
    <t>a3846127-9430-4d70-a8f7-2c1e940bec0a</t>
  </si>
  <si>
    <t>2026-05-25 10:31:29</t>
  </si>
  <si>
    <t>27795977139</t>
  </si>
  <si>
    <t>13861546</t>
  </si>
  <si>
    <t>1e94a0c3-ce25-4b11-b008-77059a305f85</t>
  </si>
  <si>
    <t>2026-05-25 10:31:28</t>
  </si>
  <si>
    <t>27795201246</t>
  </si>
  <si>
    <t>13862065</t>
  </si>
  <si>
    <t>4d6230d0-ccec-487c-ae58-cf1d15902c36</t>
  </si>
  <si>
    <t>27827516439</t>
  </si>
  <si>
    <t>e4216b7d-d971-43a8-b202-cfed088d5163</t>
  </si>
  <si>
    <t>27606069486</t>
  </si>
  <si>
    <t>13861762</t>
  </si>
  <si>
    <t>3be6ecbb-222c-40e8-877d-8223e38f05b1</t>
  </si>
  <si>
    <t>27609135350</t>
  </si>
  <si>
    <t>2026-05-25 10:31:13</t>
  </si>
  <si>
    <t>13861728</t>
  </si>
  <si>
    <t>fdb0c3d8-c6b7-4c89-91b1-616f5859a05d</t>
  </si>
  <si>
    <t>27796404537</t>
  </si>
  <si>
    <t>2026-05-25 10:29:31</t>
  </si>
  <si>
    <t>13861758</t>
  </si>
  <si>
    <t>21b728b7-c379-47a5-9e85-dbd504eafd4c</t>
  </si>
  <si>
    <t>27606267929</t>
  </si>
  <si>
    <t>2026-05-25 10:22:57</t>
  </si>
  <si>
    <t>13862973</t>
  </si>
  <si>
    <t>276c5943-e5d0-46ba-8e1a-5d64c32b374a</t>
  </si>
  <si>
    <t>2026-05-25 10:21:20</t>
  </si>
  <si>
    <t>27767483782</t>
  </si>
  <si>
    <t>13864123</t>
  </si>
  <si>
    <t>e123fc91-5a78-4bfa-bce9-562678b1b557</t>
  </si>
  <si>
    <t>27766244796</t>
  </si>
  <si>
    <t>13864125</t>
  </si>
  <si>
    <t>f9ba6497-6b7d-4ccc-9a33-4c8f73347196</t>
  </si>
  <si>
    <t>2026-05-25 10:21:19</t>
  </si>
  <si>
    <t>27766444287</t>
  </si>
  <si>
    <t>13862727</t>
  </si>
  <si>
    <t>deda395f-ad7c-4644-a67d-80b0887be98b</t>
  </si>
  <si>
    <t>27660953791</t>
  </si>
  <si>
    <t>2026-05-25 10:19:23</t>
  </si>
  <si>
    <t>13862029</t>
  </si>
  <si>
    <t>ffe6d5a0-a4ab-4cb0-a571-4e56672819de</t>
  </si>
  <si>
    <t>2026-05-25 10:10:49</t>
  </si>
  <si>
    <t>27790273651</t>
  </si>
  <si>
    <t>13862884</t>
  </si>
  <si>
    <t>4aef0dbf-4a3f-4dec-aa2a-8c53bd88491e</t>
  </si>
  <si>
    <t>27827849055</t>
  </si>
  <si>
    <t>13862024</t>
  </si>
  <si>
    <t>5b8d618f-27d5-4415-94ab-eb23b0cb7ddd</t>
  </si>
  <si>
    <t>27769978462</t>
  </si>
  <si>
    <t>2026-05-25 10:10:48</t>
  </si>
  <si>
    <t>13862028</t>
  </si>
  <si>
    <t>3db73787-8a27-489f-b8fc-1b9470bc4407</t>
  </si>
  <si>
    <t>27790263884</t>
  </si>
  <si>
    <t>13861759</t>
  </si>
  <si>
    <t>5459eced-bf46-4263-8e02-c2c781bc1ac0</t>
  </si>
  <si>
    <t>27606499855</t>
  </si>
  <si>
    <t>2026-05-25 10:05:30</t>
  </si>
  <si>
    <t>13863416</t>
  </si>
  <si>
    <t>a76b8cf2-7c6c-40c6-a86a-8ce0789fda5b</t>
  </si>
  <si>
    <t>2026-05-25 10:05:28</t>
  </si>
  <si>
    <t>27797801074</t>
  </si>
  <si>
    <t>13862721</t>
  </si>
  <si>
    <t>49a75ee9-be12-4c15-a0fc-1dc131529104</t>
  </si>
  <si>
    <t>2026-05-25 10:05:17</t>
  </si>
  <si>
    <t>27647922976</t>
  </si>
  <si>
    <t>13862722</t>
  </si>
  <si>
    <t>ed014e2b-3002-4c87-b70d-282b9d93a07f</t>
  </si>
  <si>
    <t>27649342565</t>
  </si>
  <si>
    <t>13862498</t>
  </si>
  <si>
    <t>b7f153ad-b880-4cce-b3c7-264a1ef73579</t>
  </si>
  <si>
    <t>2026-05-25 10:04:49</t>
  </si>
  <si>
    <t>27795517746</t>
  </si>
  <si>
    <t>13863705</t>
  </si>
  <si>
    <t>bbd8ec64-42b5-4656-920a-4834ea917da6</t>
  </si>
  <si>
    <t>27646043926</t>
  </si>
  <si>
    <t>2026-05-25 10:04:47</t>
  </si>
  <si>
    <t>13862549</t>
  </si>
  <si>
    <t>0de0b3d6-6578-497c-85de-546f2b602edc</t>
  </si>
  <si>
    <t>2026-05-25 10:04:46</t>
  </si>
  <si>
    <t>27614032604</t>
  </si>
  <si>
    <t>13861968</t>
  </si>
  <si>
    <t>77821fd7-80d9-4a43-bacb-99a1c4ca9c9b</t>
  </si>
  <si>
    <t>2026-05-25 10:04:40</t>
  </si>
  <si>
    <t>27715925155</t>
  </si>
  <si>
    <t>13862540</t>
  </si>
  <si>
    <t>fc55c47d-ce07-441f-83fb-a98b1243409c</t>
  </si>
  <si>
    <t>2026-05-25 10:04:39</t>
  </si>
  <si>
    <t>27606245071</t>
  </si>
  <si>
    <t>13862546</t>
  </si>
  <si>
    <t>884bf73f-123e-4875-b42e-873a84ed4747</t>
  </si>
  <si>
    <t>27607723477</t>
  </si>
  <si>
    <t>13862547</t>
  </si>
  <si>
    <t>10512c9f-0202-4a60-99da-967a9f5cdc7d</t>
  </si>
  <si>
    <t>27608699356</t>
  </si>
  <si>
    <t>13861766</t>
  </si>
  <si>
    <t>78ae15f6-82a8-49e5-878e-6648a86d4e3e</t>
  </si>
  <si>
    <t>2026-05-25 10:03:42</t>
  </si>
  <si>
    <t>27636551215</t>
  </si>
  <si>
    <t>13861767</t>
  </si>
  <si>
    <t>0482bb83-d305-4de2-9111-b4c6cc0ebde4</t>
  </si>
  <si>
    <t>27647613595</t>
  </si>
  <si>
    <t>13861765</t>
  </si>
  <si>
    <t>bde978bc-66dd-4d7e-ab9e-55fe4392d1b3</t>
  </si>
  <si>
    <t>2026-05-25 10:03:35</t>
  </si>
  <si>
    <t>27634994995</t>
  </si>
  <si>
    <t>13861757</t>
  </si>
  <si>
    <t>b87cf31b-70f7-4a01-81f6-c1cb4c084476</t>
  </si>
  <si>
    <t>2026-05-25 10:03:10</t>
  </si>
  <si>
    <t>27606123919</t>
  </si>
  <si>
    <t>13861452</t>
  </si>
  <si>
    <t>9382d3a9-3155-4804-87c2-d6e3768b6fc0</t>
  </si>
  <si>
    <t>2026-05-25 10:03:08</t>
  </si>
  <si>
    <t>27711856315</t>
  </si>
  <si>
    <t>13861451</t>
  </si>
  <si>
    <t>40c45cec-1029-4894-ac7f-4e56675bc9f2</t>
  </si>
  <si>
    <t>2026-05-25 10:02:58</t>
  </si>
  <si>
    <t>27711154049</t>
  </si>
  <si>
    <t>13861466</t>
  </si>
  <si>
    <t>896a402e-cf62-4ffd-950b-1aa31ab823c5</t>
  </si>
  <si>
    <t>2026-05-25 10:02:56</t>
  </si>
  <si>
    <t>27723371090</t>
  </si>
  <si>
    <t>13861622</t>
  </si>
  <si>
    <t>acf728c1-b7c7-4e39-9d46-d775a1813313</t>
  </si>
  <si>
    <t>2026-05-25 10:02:45</t>
  </si>
  <si>
    <t>27673721394</t>
  </si>
  <si>
    <t>13862485</t>
  </si>
  <si>
    <t>146d995c-39c7-4220-8fbf-fe6f581a7289</t>
  </si>
  <si>
    <t>2026-05-25 10:02:43</t>
  </si>
  <si>
    <t>27768450002</t>
  </si>
  <si>
    <t>13862484</t>
  </si>
  <si>
    <t>c7a069da-c043-4708-8f4f-670f2ccf4e2a</t>
  </si>
  <si>
    <t>2026-05-25 10:02:38</t>
  </si>
  <si>
    <t>27768411390</t>
  </si>
  <si>
    <t>13862231</t>
  </si>
  <si>
    <t>4559929a-ef71-4137-8abe-fee378097688</t>
  </si>
  <si>
    <t>2026-05-25 10:02:28</t>
  </si>
  <si>
    <t>27636118369</t>
  </si>
  <si>
    <t>13863015</t>
  </si>
  <si>
    <t>1ef11ba0-12e8-41a0-a969-f3e69081fb56</t>
  </si>
  <si>
    <t>2026-05-25 10:02:23</t>
  </si>
  <si>
    <t>27728888200</t>
  </si>
  <si>
    <t>13863013</t>
  </si>
  <si>
    <t>d27d2d63-ff65-472f-8515-e3b1539fdadb</t>
  </si>
  <si>
    <t>2026-05-25 10:02:21</t>
  </si>
  <si>
    <t>27725912183</t>
  </si>
  <si>
    <t>13862230</t>
  </si>
  <si>
    <t>9f7b6ccf-f968-4efe-aab6-9356b72f3f2a</t>
  </si>
  <si>
    <t>2026-05-25 10:02:13</t>
  </si>
  <si>
    <t>27609822050</t>
  </si>
  <si>
    <t>13863012</t>
  </si>
  <si>
    <t>c837e06b-b118-4b8b-9e5c-9b3c40369ec8</t>
  </si>
  <si>
    <t>2026-05-25 10:02:02</t>
  </si>
  <si>
    <t>27725742678</t>
  </si>
  <si>
    <t>13863011</t>
  </si>
  <si>
    <t>69453b52-4acf-403a-b6a9-a10448968613</t>
  </si>
  <si>
    <t>2026-05-25 10:02:01</t>
  </si>
  <si>
    <t>27724910835</t>
  </si>
  <si>
    <t>13862229</t>
  </si>
  <si>
    <t>b67b968d-4216-4761-8944-a43a861f10bd</t>
  </si>
  <si>
    <t>2026-05-25 10:01:55</t>
  </si>
  <si>
    <t>27609269647</t>
  </si>
  <si>
    <t>13863007</t>
  </si>
  <si>
    <t>c21638e8-ea03-4d44-841c-c691aae0d8be</t>
  </si>
  <si>
    <t>27713039817</t>
  </si>
  <si>
    <t>13863744</t>
  </si>
  <si>
    <t>0f8e0289-edc8-488b-9853-67d5f98667a7</t>
  </si>
  <si>
    <t>27714213527</t>
  </si>
  <si>
    <t>13862621</t>
  </si>
  <si>
    <t>c5b8f038-7257-4062-9218-9d1a21c16243</t>
  </si>
  <si>
    <t>27729218248</t>
  </si>
  <si>
    <t>2026-05-25 10:01:21</t>
  </si>
  <si>
    <t>13863006</t>
  </si>
  <si>
    <t>798c806a-e141-4326-8554-18f6f0a9c720</t>
  </si>
  <si>
    <t>2026-05-25 10:01:18</t>
  </si>
  <si>
    <t>27712447679</t>
  </si>
  <si>
    <t>13863005</t>
  </si>
  <si>
    <t>370fc031-af1b-40e4-b886-d89ccea7851e</t>
  </si>
  <si>
    <t>2026-05-25 10:01:14</t>
  </si>
  <si>
    <t>27711965837</t>
  </si>
  <si>
    <t>13863003</t>
  </si>
  <si>
    <t>a4334a63-7aca-43e1-87fc-7caa00bc31b9</t>
  </si>
  <si>
    <t>2026-05-25 10:01:13</t>
  </si>
  <si>
    <t>27674879343</t>
  </si>
  <si>
    <t>13863004</t>
  </si>
  <si>
    <t>cb5a00d9-8c18-4611-afd1-52cb14fc7559</t>
  </si>
  <si>
    <t>27711313508</t>
  </si>
  <si>
    <t>13863002</t>
  </si>
  <si>
    <t>8a015fca-9111-4339-b176-f5c60c36789c</t>
  </si>
  <si>
    <t>2026-05-25 10:01:04</t>
  </si>
  <si>
    <t>27674735238</t>
  </si>
  <si>
    <t>13862031</t>
  </si>
  <si>
    <t>b8e74bbc-1226-43cf-b2a0-e27de1ace794</t>
  </si>
  <si>
    <t>2026-05-25 10:00:55</t>
  </si>
  <si>
    <t>27790953777</t>
  </si>
  <si>
    <t>13862226</t>
  </si>
  <si>
    <t>8854bcfc-ba97-422a-bae4-025764cdd7ee</t>
  </si>
  <si>
    <t>2026-05-25 10:00:53</t>
  </si>
  <si>
    <t>27608097574</t>
  </si>
  <si>
    <t>13862980</t>
  </si>
  <si>
    <t>6e8b3887-35de-4668-8095-e74d664bfe3b</t>
  </si>
  <si>
    <t>27792487683</t>
  </si>
  <si>
    <t>13864388</t>
  </si>
  <si>
    <t>f695b375-7e33-44ac-8b6d-92ba53ef3372</t>
  </si>
  <si>
    <t>2026-05-25 10:00:03</t>
  </si>
  <si>
    <t>27761233349</t>
  </si>
  <si>
    <t>13865823</t>
  </si>
  <si>
    <t>2ea7f71b-0707-4905-9ffd-a142133c6672</t>
  </si>
  <si>
    <t>2026-05-25 09:59:48</t>
  </si>
  <si>
    <t>27797849054</t>
  </si>
  <si>
    <t>13862402</t>
  </si>
  <si>
    <t>60cfe35d-a76d-4d7b-8a49-f32aaf275ca9</t>
  </si>
  <si>
    <t>27664366952</t>
  </si>
  <si>
    <t>2026-05-25 09:59:45</t>
  </si>
  <si>
    <t>13861953</t>
  </si>
  <si>
    <t>3d3f84cd-4dd7-496d-b976-66d3eb9d0841</t>
  </si>
  <si>
    <t>2026-05-25 09:59:41</t>
  </si>
  <si>
    <t>27712617420</t>
  </si>
  <si>
    <t>13861946</t>
  </si>
  <si>
    <t>d3fcb328-d0e9-4e66-8069-f0a4d9afacd3</t>
  </si>
  <si>
    <t>2026-05-25 09:59:39</t>
  </si>
  <si>
    <t>27665454386</t>
  </si>
  <si>
    <t>13861950</t>
  </si>
  <si>
    <t>9694d0cb-27ff-41ff-84e9-d9c36c8b1f00</t>
  </si>
  <si>
    <t>27711320580</t>
  </si>
  <si>
    <t>13861951</t>
  </si>
  <si>
    <t>f2118993-32d2-49e3-acd0-8ef28d82e3ea</t>
  </si>
  <si>
    <t>27711866511</t>
  </si>
  <si>
    <t>13861952</t>
  </si>
  <si>
    <t>d3ae8c93-b555-4e18-97a0-07f4cc34a3d5</t>
  </si>
  <si>
    <t>27712491358</t>
  </si>
  <si>
    <t>13862097</t>
  </si>
  <si>
    <t>a55265ec-01fe-4d72-8a0b-c38205248b8f</t>
  </si>
  <si>
    <t>27711372273</t>
  </si>
  <si>
    <t>13861943</t>
  </si>
  <si>
    <t>fa7c14ac-449e-46dd-bc8b-ff47d5b7363a</t>
  </si>
  <si>
    <t>2026-05-25 09:59:26</t>
  </si>
  <si>
    <t>27663738938</t>
  </si>
  <si>
    <t>13861944</t>
  </si>
  <si>
    <t>f0520019-d797-40f1-a600-4163d23c5975</t>
  </si>
  <si>
    <t>27663771502</t>
  </si>
  <si>
    <t>13862096</t>
  </si>
  <si>
    <t>53f9f4ce-7a7d-4e4a-a3f6-5b6344f75fd3</t>
  </si>
  <si>
    <t>27679333920</t>
  </si>
  <si>
    <t>13862845</t>
  </si>
  <si>
    <t>764dd33d-bf69-4a27-be67-6d886bc0442e</t>
  </si>
  <si>
    <t>27791886158</t>
  </si>
  <si>
    <t>13862632</t>
  </si>
  <si>
    <t>674b04f4-0fa9-47cc-b686-1d63fe0cd1b7</t>
  </si>
  <si>
    <t>2026-05-25 09:58:49</t>
  </si>
  <si>
    <t>27762483592</t>
  </si>
  <si>
    <t>13862631</t>
  </si>
  <si>
    <t>cb9a0f13-dc5c-4a4a-b592-38b15736fef0</t>
  </si>
  <si>
    <t>2026-05-25 09:58:47</t>
  </si>
  <si>
    <t>27762362670</t>
  </si>
  <si>
    <t>2e9321fb-d211-4efb-a2b6-b5bffc6ecd3d</t>
  </si>
  <si>
    <t>2026-05-25 09:58:46</t>
  </si>
  <si>
    <t>27760418540</t>
  </si>
  <si>
    <t>13862623</t>
  </si>
  <si>
    <t>4394b061-d209-4a78-af3d-ec23e01d11c9</t>
  </si>
  <si>
    <t>2026-05-25 09:58:45</t>
  </si>
  <si>
    <t>27729767986</t>
  </si>
  <si>
    <t>13862624</t>
  </si>
  <si>
    <t>b8b21ce5-dbeb-4467-b579-21247775076b</t>
  </si>
  <si>
    <t>27734645580</t>
  </si>
  <si>
    <t>13862625</t>
  </si>
  <si>
    <t>36accbc5-6d64-423e-844e-40ccd65c48e9</t>
  </si>
  <si>
    <t>27734977385</t>
  </si>
  <si>
    <t>13863473</t>
  </si>
  <si>
    <t>02fd8c1b-30dd-4bc1-9296-bcfca8c35f38</t>
  </si>
  <si>
    <t>27646691657</t>
  </si>
  <si>
    <t>13863471</t>
  </si>
  <si>
    <t>60139291-e101-49d1-9dd4-561491d221c3</t>
  </si>
  <si>
    <t>2026-05-25 09:58:05</t>
  </si>
  <si>
    <t>27646403390</t>
  </si>
  <si>
    <t>13863468</t>
  </si>
  <si>
    <t>df3a410b-9789-49cb-bc9d-d406c9fa1c3a</t>
  </si>
  <si>
    <t>2026-05-25 09:58:02</t>
  </si>
  <si>
    <t>27637580458</t>
  </si>
  <si>
    <t>13862525</t>
  </si>
  <si>
    <t>e5b3bae2-c8d1-45ea-a34f-bb669e0d4d93</t>
  </si>
  <si>
    <t>2026-05-25 09:57:57</t>
  </si>
  <si>
    <t>27824770740</t>
  </si>
  <si>
    <t>13862538</t>
  </si>
  <si>
    <t>76ce3a56-294d-40ab-a41d-a7766dfa9db5</t>
  </si>
  <si>
    <t>27606038723</t>
  </si>
  <si>
    <t>13863008</t>
  </si>
  <si>
    <t>ec6d20e6-f1a9-4c2d-8743-fe6d6f867ef4</t>
  </si>
  <si>
    <t>27714793920</t>
  </si>
  <si>
    <t>13862491</t>
  </si>
  <si>
    <t>79018ffa-09f1-45ed-b56e-1d9d82b322a6</t>
  </si>
  <si>
    <t>2026-05-25 09:57:54</t>
  </si>
  <si>
    <t>27792415712</t>
  </si>
  <si>
    <t>13862496</t>
  </si>
  <si>
    <t>9a49fe78-631b-493d-a89b-1ae84d477820</t>
  </si>
  <si>
    <t>27795256610</t>
  </si>
  <si>
    <t>13863390</t>
  </si>
  <si>
    <t>79211b68-368e-4bed-9375-e4731097c796</t>
  </si>
  <si>
    <t>2026-05-25 09:56:53</t>
  </si>
  <si>
    <t>27792788521</t>
  </si>
  <si>
    <t>13862465</t>
  </si>
  <si>
    <t>01e22ad2-6240-472e-a32c-6bf945991e4a</t>
  </si>
  <si>
    <t>2026-05-25 09:56:41</t>
  </si>
  <si>
    <t>27761059140</t>
  </si>
  <si>
    <t>13862470</t>
  </si>
  <si>
    <t>92d7fe13-7285-4ab5-96b6-9a432e53b337</t>
  </si>
  <si>
    <t>27764308140</t>
  </si>
  <si>
    <t>13863360</t>
  </si>
  <si>
    <t>c23211d3-5197-49fd-a17b-ad9d7cdae8cf</t>
  </si>
  <si>
    <t>27768347595</t>
  </si>
  <si>
    <t>13862215</t>
  </si>
  <si>
    <t>50b7f13f-3e4d-4efc-8f40-6a0b7d4f575e</t>
  </si>
  <si>
    <t>27825299594</t>
  </si>
  <si>
    <t>2026-05-25 09:56:08</t>
  </si>
  <si>
    <t>13861502</t>
  </si>
  <si>
    <t>e86ae779-7107-483b-8276-7fd067dad222</t>
  </si>
  <si>
    <t>2026-05-25 09:55:39</t>
  </si>
  <si>
    <t>27763528560</t>
  </si>
  <si>
    <t>13862212</t>
  </si>
  <si>
    <t>44ea632a-83e6-42fb-b1cf-953339a5ca8e</t>
  </si>
  <si>
    <t>27824301721</t>
  </si>
  <si>
    <t>13861440</t>
  </si>
  <si>
    <t>93f89f3b-46d6-4635-94ca-89a995a2578d</t>
  </si>
  <si>
    <t>27663255254</t>
  </si>
  <si>
    <t>2026-05-25 09:55:38</t>
  </si>
  <si>
    <t>13861599</t>
  </si>
  <si>
    <t>49a03618-15d6-43f6-8839-6f6394352739</t>
  </si>
  <si>
    <t>27609306286</t>
  </si>
  <si>
    <t>13861592</t>
  </si>
  <si>
    <t>f8c35101-dfcd-4640-85a0-539fab0e48c9</t>
  </si>
  <si>
    <t>2026-05-25 09:55:35</t>
  </si>
  <si>
    <t>27606766329</t>
  </si>
  <si>
    <t>13864087</t>
  </si>
  <si>
    <t>fa5290bf-6be3-48ff-b6f2-6e821dae9a8f</t>
  </si>
  <si>
    <t>27729277577</t>
  </si>
  <si>
    <t>2026-05-25 09:55:23</t>
  </si>
  <si>
    <t>13864601</t>
  </si>
  <si>
    <t>db03998b-74cd-495f-9a11-240870ea7cb0</t>
  </si>
  <si>
    <t>27715610543</t>
  </si>
  <si>
    <t>13864600</t>
  </si>
  <si>
    <t>71bac507-367b-4ab7-8863-b38f9b5870c4</t>
  </si>
  <si>
    <t>2026-05-25 09:55:20</t>
  </si>
  <si>
    <t>27715422745</t>
  </si>
  <si>
    <t>13861481</t>
  </si>
  <si>
    <t>16f9c0be-c7bf-448c-a285-c658cac338d9</t>
  </si>
  <si>
    <t>2026-05-25 09:55:19</t>
  </si>
  <si>
    <t>27727797105</t>
  </si>
  <si>
    <t>13861584</t>
  </si>
  <si>
    <t>c3f35929-b460-4d57-b98d-1a6db51af609</t>
  </si>
  <si>
    <t>27828607412</t>
  </si>
  <si>
    <t>13861719</t>
  </si>
  <si>
    <t>927ba14d-2743-45a0-af22-2187d7de9f2d</t>
  </si>
  <si>
    <t>2026-05-25 09:55:17</t>
  </si>
  <si>
    <t>27793700561</t>
  </si>
  <si>
    <t>13861717</t>
  </si>
  <si>
    <t>56472e3b-12c6-4e3e-97a9-34d8fef05d74</t>
  </si>
  <si>
    <t>27793055187</t>
  </si>
  <si>
    <t>13864598</t>
  </si>
  <si>
    <t>7a9a2488-cc3b-4050-bc4c-5595a67cd49d</t>
  </si>
  <si>
    <t>27715002516</t>
  </si>
  <si>
    <t>13862058</t>
  </si>
  <si>
    <t>db9101a3-7df5-4960-977a-12c4d1bfac9a</t>
  </si>
  <si>
    <t>2026-05-25 09:54:48</t>
  </si>
  <si>
    <t>27825087582</t>
  </si>
  <si>
    <t>13863125</t>
  </si>
  <si>
    <t>4d6efa75-d5d9-4f39-bf5e-607435f2c5d2</t>
  </si>
  <si>
    <t>27761498896</t>
  </si>
  <si>
    <t>13863664</t>
  </si>
  <si>
    <t>855c5d76-2361-4855-8f16-ccc62a250913</t>
  </si>
  <si>
    <t>27825185765</t>
  </si>
  <si>
    <t>13863103</t>
  </si>
  <si>
    <t>bb839837-df06-454b-9828-107675abe919</t>
  </si>
  <si>
    <t>2026-05-25 09:54:47</t>
  </si>
  <si>
    <t>27726663944</t>
  </si>
  <si>
    <t>13863105</t>
  </si>
  <si>
    <t>7257df1f-c72e-4639-aec9-7590c0b898b8</t>
  </si>
  <si>
    <t>27727821633</t>
  </si>
  <si>
    <t>13863110</t>
  </si>
  <si>
    <t>8ab87e63-cc8b-4ae7-8729-6a2b4e1eb18d</t>
  </si>
  <si>
    <t>27728763608</t>
  </si>
  <si>
    <t>13863957</t>
  </si>
  <si>
    <t>4cfcc0a0-3e2f-49bb-9062-2c35f6761393</t>
  </si>
  <si>
    <t>2026-05-25 09:54:45</t>
  </si>
  <si>
    <t>27607867750</t>
  </si>
  <si>
    <t>75e27977-73c4-4ab1-9335-61edcb519582</t>
  </si>
  <si>
    <t>2026-05-25 09:54:44</t>
  </si>
  <si>
    <t>27607668639</t>
  </si>
  <si>
    <t>13862050</t>
  </si>
  <si>
    <t>fa438e38-dfa9-4e34-b080-cf31e34ba0c6</t>
  </si>
  <si>
    <t>2026-05-25 09:54:41</t>
  </si>
  <si>
    <t>27799850401</t>
  </si>
  <si>
    <t>13863955</t>
  </si>
  <si>
    <t>ff64070f-5e90-4805-84d3-773f07def861</t>
  </si>
  <si>
    <t>27607172754</t>
  </si>
  <si>
    <t>13863951</t>
  </si>
  <si>
    <t>50b33a1d-d790-4f6e-8db3-5dc3d1d6becc</t>
  </si>
  <si>
    <t>27846977739</t>
  </si>
  <si>
    <t>13863953</t>
  </si>
  <si>
    <t>486cd148-1006-48ad-bc96-aea47b5fa6a4</t>
  </si>
  <si>
    <t>27606649329</t>
  </si>
  <si>
    <t>13862107</t>
  </si>
  <si>
    <t>22943cc8-4ef0-4ec3-bf65-825c6f3f8f21</t>
  </si>
  <si>
    <t>27714884756</t>
  </si>
  <si>
    <t>2026-05-25 09:53:24</t>
  </si>
  <si>
    <t>13863936</t>
  </si>
  <si>
    <t>8f3c3245-23a6-441b-839a-828186cc4d46</t>
  </si>
  <si>
    <t>27827902022</t>
  </si>
  <si>
    <t>2026-05-25 09:52:27</t>
  </si>
  <si>
    <t>13863938</t>
  </si>
  <si>
    <t>3b8dc445-928c-470f-b9de-76913c21cbfb</t>
  </si>
  <si>
    <t>27827947377</t>
  </si>
  <si>
    <t>13863939</t>
  </si>
  <si>
    <t>a7fddaaa-03ad-4596-bbbf-e4d8cadf1a82</t>
  </si>
  <si>
    <t>27827965652</t>
  </si>
  <si>
    <t>13861884</t>
  </si>
  <si>
    <t>248f2f73-a488-4e6a-bbf2-257b447a184d</t>
  </si>
  <si>
    <t>27796604441</t>
  </si>
  <si>
    <t>2026-05-25 09:51:49</t>
  </si>
  <si>
    <t>13861983</t>
  </si>
  <si>
    <t>c37e0175-dda5-4b1b-b1e0-7837f7cf6345</t>
  </si>
  <si>
    <t>2026-05-25 09:51:35</t>
  </si>
  <si>
    <t>27725211920</t>
  </si>
  <si>
    <t>13861684</t>
  </si>
  <si>
    <t>394ddff4-17fe-4949-91d3-cd6daa7743d0</t>
  </si>
  <si>
    <t>2026-05-25 09:51:34</t>
  </si>
  <si>
    <t>27764923163</t>
  </si>
  <si>
    <t>13863877</t>
  </si>
  <si>
    <t>24de07e7-8cf9-497a-aa18-e78d5a6aff08</t>
  </si>
  <si>
    <t>2026-05-25 09:51:11</t>
  </si>
  <si>
    <t>27795427138</t>
  </si>
  <si>
    <t>13863882</t>
  </si>
  <si>
    <t>93721a48-9403-4ddc-be35-b55b61f44d13</t>
  </si>
  <si>
    <t>27796000123</t>
  </si>
  <si>
    <t>13863891</t>
  </si>
  <si>
    <t>0c196d3c-b960-449e-9b9d-223a410d2f70</t>
  </si>
  <si>
    <t>27797902611</t>
  </si>
  <si>
    <t>13861547</t>
  </si>
  <si>
    <t>99bb8740-c828-4198-9435-662ebefebf94</t>
  </si>
  <si>
    <t>27795332823</t>
  </si>
  <si>
    <t>2026-05-25 09:50:25</t>
  </si>
  <si>
    <t>13861885</t>
  </si>
  <si>
    <t>9aaf51cd-aeba-41c3-ad95-4ab051e651b4</t>
  </si>
  <si>
    <t>2026-05-25 09:50:20</t>
  </si>
  <si>
    <t>27797073446</t>
  </si>
  <si>
    <t>13862941</t>
  </si>
  <si>
    <t>2776e5e9-a080-4afd-8f2e-999d9acfbb8e</t>
  </si>
  <si>
    <t>2026-05-25 09:50:17</t>
  </si>
  <si>
    <t>27826766841</t>
  </si>
  <si>
    <t>13862938</t>
  </si>
  <si>
    <t>d44545df-7a57-47d0-bb47-87a959a67dba</t>
  </si>
  <si>
    <t>2026-05-25 09:50:14</t>
  </si>
  <si>
    <t>27796481833</t>
  </si>
  <si>
    <t>13862936</t>
  </si>
  <si>
    <t>67a88dc0-bfc0-463e-b5e7-1fd8e85fd14f</t>
  </si>
  <si>
    <t>2026-05-25 09:50:11</t>
  </si>
  <si>
    <t>27793442332</t>
  </si>
  <si>
    <t>13862912</t>
  </si>
  <si>
    <t>a1bebd4e-d98b-4671-b727-29fd7e1d6bf9</t>
  </si>
  <si>
    <t>2026-05-25 09:50:00</t>
  </si>
  <si>
    <t>27609385775</t>
  </si>
  <si>
    <t>13862908</t>
  </si>
  <si>
    <t>408064c8-0a70-4341-8b45-baa249561fb7</t>
  </si>
  <si>
    <t>2026-05-25 09:49:59</t>
  </si>
  <si>
    <t>27792297415</t>
  </si>
  <si>
    <t>13863791</t>
  </si>
  <si>
    <t>da11689b-63a8-423f-9475-a5b58bbb8bdf</t>
  </si>
  <si>
    <t>2026-05-25 09:49:56</t>
  </si>
  <si>
    <t>27727420899</t>
  </si>
  <si>
    <t>13863793</t>
  </si>
  <si>
    <t>7ddde227-d725-40aa-83de-89b4fc451443</t>
  </si>
  <si>
    <t>27727606867</t>
  </si>
  <si>
    <t>13861504</t>
  </si>
  <si>
    <t>9adc8cfa-eaad-49d9-80c6-dee84a7303ef</t>
  </si>
  <si>
    <t>2026-05-25 09:49:45</t>
  </si>
  <si>
    <t>27764970988</t>
  </si>
  <si>
    <t>13863747</t>
  </si>
  <si>
    <t>978f3ae3-b80e-4ec2-a25c-d37976e30605</t>
  </si>
  <si>
    <t>2026-05-25 09:49:40</t>
  </si>
  <si>
    <t>27715256586</t>
  </si>
  <si>
    <t>13863745</t>
  </si>
  <si>
    <t>a20fb258-bd37-4219-8c10-949a9685e72b</t>
  </si>
  <si>
    <t>2026-05-25 09:49:33</t>
  </si>
  <si>
    <t>27714954688</t>
  </si>
  <si>
    <t>13861526</t>
  </si>
  <si>
    <t>4f6acadb-cb90-4330-a3eb-982aac0f1b1f</t>
  </si>
  <si>
    <t>2026-05-25 09:49:08</t>
  </si>
  <si>
    <t>27769661760</t>
  </si>
  <si>
    <t>13861503</t>
  </si>
  <si>
    <t>ec57e91b-f6f9-4fc0-90d0-f563f3d107fa</t>
  </si>
  <si>
    <t>27764403098</t>
  </si>
  <si>
    <t>13864665</t>
  </si>
  <si>
    <t>341ba2b9-08c4-4ca1-a5be-555f681bf949</t>
  </si>
  <si>
    <t>2026-05-25 09:48:27</t>
  </si>
  <si>
    <t>27728812730</t>
  </si>
  <si>
    <t>13864666</t>
  </si>
  <si>
    <t>65fa4c81-c32e-4081-8a19-0b2e93f35c8b</t>
  </si>
  <si>
    <t>27729010330</t>
  </si>
  <si>
    <t>13862847</t>
  </si>
  <si>
    <t>66dcd4ad-171d-4369-9915-1b7418f16d48</t>
  </si>
  <si>
    <t>2026-05-25 09:48:22</t>
  </si>
  <si>
    <t>27792845622</t>
  </si>
  <si>
    <t>13864660</t>
  </si>
  <si>
    <t>b7a7f4ff-ca55-446e-a781-e3bba155efdd</t>
  </si>
  <si>
    <t>27728165253</t>
  </si>
  <si>
    <t>13864662</t>
  </si>
  <si>
    <t>9700081a-544a-412a-b5b1-3e4c897fcaf9</t>
  </si>
  <si>
    <t>27728425175</t>
  </si>
  <si>
    <t>13864663</t>
  </si>
  <si>
    <t>0974281e-5aee-4cc3-a723-8b8a7f18a81a</t>
  </si>
  <si>
    <t>27728482340</t>
  </si>
  <si>
    <t>13862039</t>
  </si>
  <si>
    <t>6f52e3b2-6511-4264-9d11-4f196b3c1fc0</t>
  </si>
  <si>
    <t>27793922895</t>
  </si>
  <si>
    <t>2026-05-25 09:47:50</t>
  </si>
  <si>
    <t>13862718</t>
  </si>
  <si>
    <t>38ebecb7-ad54-46a4-83a0-800c386af05c</t>
  </si>
  <si>
    <t>2026-05-25 09:46:46</t>
  </si>
  <si>
    <t>27646204998</t>
  </si>
  <si>
    <t>13862720</t>
  </si>
  <si>
    <t>3daef93f-d455-487a-9253-8d75b2902898</t>
  </si>
  <si>
    <t>27647419615</t>
  </si>
  <si>
    <t>13862717</t>
  </si>
  <si>
    <t>c3ffff53-ff97-42db-bc4a-8747d75465ed</t>
  </si>
  <si>
    <t>2026-05-25 09:46:06</t>
  </si>
  <si>
    <t>27646203044</t>
  </si>
  <si>
    <t>13862468</t>
  </si>
  <si>
    <t>7447039e-34d8-4678-952c-a52dbd737d55</t>
  </si>
  <si>
    <t>2026-05-25 09:45:49</t>
  </si>
  <si>
    <t>27763931931</t>
  </si>
  <si>
    <t>13862713</t>
  </si>
  <si>
    <t>456a1cd4-89b7-48c7-a975-b86d13b7ce7b</t>
  </si>
  <si>
    <t>27636515913</t>
  </si>
  <si>
    <t>13862715</t>
  </si>
  <si>
    <t>da5e6779-ee45-4d6e-bf44-9c0f0e917ca0</t>
  </si>
  <si>
    <t>27639336120</t>
  </si>
  <si>
    <t>13862716</t>
  </si>
  <si>
    <t>d217782d-e3b7-4e0e-881c-b63bedb9ce02</t>
  </si>
  <si>
    <t>27646062678</t>
  </si>
  <si>
    <t>13861776</t>
  </si>
  <si>
    <t>a451b040-ad06-4575-b962-e40778fce907</t>
  </si>
  <si>
    <t>2026-05-25 09:45:11</t>
  </si>
  <si>
    <t>27661796358</t>
  </si>
  <si>
    <t>13863430</t>
  </si>
  <si>
    <t>390901ad-17c3-44d3-9d8e-54d140fb8427</t>
  </si>
  <si>
    <t>27823553483</t>
  </si>
  <si>
    <t>13864521</t>
  </si>
  <si>
    <t>0b39f187-9a65-4436-ac88-49e297c0bbce</t>
  </si>
  <si>
    <t>27829547977</t>
  </si>
  <si>
    <t>13862626</t>
  </si>
  <si>
    <t>a87f72fe-7580-4b72-89e1-49a3b0f2a239</t>
  </si>
  <si>
    <t>27760300667</t>
  </si>
  <si>
    <t>2026-05-25 09:44:53</t>
  </si>
  <si>
    <t>13862630</t>
  </si>
  <si>
    <t>736359f4-9023-4c78-a470-f466b85f038f</t>
  </si>
  <si>
    <t>2026-05-25 09:44:01</t>
  </si>
  <si>
    <t>27761569694</t>
  </si>
  <si>
    <t>13863569</t>
  </si>
  <si>
    <t>2aab79fb-715b-4ce1-be49-4e8cf3dc0575</t>
  </si>
  <si>
    <t>27763766279</t>
  </si>
  <si>
    <t>13863570</t>
  </si>
  <si>
    <t>006ee2a6-f206-4848-9b7f-07d27fee5ffe</t>
  </si>
  <si>
    <t>27764046122</t>
  </si>
  <si>
    <t>13862495</t>
  </si>
  <si>
    <t>c8810496-013a-4daf-8c49-4f3c850c0020</t>
  </si>
  <si>
    <t>2026-05-25 09:41:46</t>
  </si>
  <si>
    <t>27794598974</t>
  </si>
  <si>
    <t>13862494</t>
  </si>
  <si>
    <t>71da8898-4e53-4306-9830-4a2916b31ec5</t>
  </si>
  <si>
    <t>2026-05-25 09:41:36</t>
  </si>
  <si>
    <t>27794465938</t>
  </si>
  <si>
    <t>13863484</t>
  </si>
  <si>
    <t>c51a58e7-9b8b-4f4a-ae46-6db34a48462b</t>
  </si>
  <si>
    <t>27663702557</t>
  </si>
  <si>
    <t>13863488</t>
  </si>
  <si>
    <t>6a7c54bd-e1c0-40dd-bdc8-4da12798eb01</t>
  </si>
  <si>
    <t>27664143789</t>
  </si>
  <si>
    <t>13863483</t>
  </si>
  <si>
    <t>d1d930f5-e50f-44a6-956e-b45619ceddd3</t>
  </si>
  <si>
    <t>2026-05-25 09:41:35</t>
  </si>
  <si>
    <t>27662498256</t>
  </si>
  <si>
    <t>13863482</t>
  </si>
  <si>
    <t>1d568e09-e9f7-4951-93c1-91123d848951</t>
  </si>
  <si>
    <t>2026-05-25 09:41:33</t>
  </si>
  <si>
    <t>27660907560</t>
  </si>
  <si>
    <t>13863481</t>
  </si>
  <si>
    <t>9fcd06e9-0cca-4b78-b70c-5f818ef6ceaf</t>
  </si>
  <si>
    <t>2026-05-25 09:41:27</t>
  </si>
  <si>
    <t>27648943521</t>
  </si>
  <si>
    <t>13862461</t>
  </si>
  <si>
    <t>c9af4cc3-9820-4cb1-bc4f-6a25170acba2</t>
  </si>
  <si>
    <t>27760299460</t>
  </si>
  <si>
    <t>2026-05-25 09:41:15</t>
  </si>
  <si>
    <t>13862493</t>
  </si>
  <si>
    <t>c58e9dae-3b7f-48f2-a1fa-2e9c926f25f2</t>
  </si>
  <si>
    <t>2026-05-25 09:41:04</t>
  </si>
  <si>
    <t>27793086749</t>
  </si>
  <si>
    <t>13862460</t>
  </si>
  <si>
    <t>361ee523-a27c-4d6c-9eab-fa1a2e0e3b0c</t>
  </si>
  <si>
    <t>2026-05-25 09:40:51</t>
  </si>
  <si>
    <t>27741424696</t>
  </si>
  <si>
    <t>13862320</t>
  </si>
  <si>
    <t>aca32c55-d07c-49ea-a61e-77a3cf199b55</t>
  </si>
  <si>
    <t>27765824706</t>
  </si>
  <si>
    <t>2026-05-25 09:40:31</t>
  </si>
  <si>
    <t>13862317</t>
  </si>
  <si>
    <t>de93724a-01e1-4e02-b028-8ecf294c8e39</t>
  </si>
  <si>
    <t>2026-05-25 09:40:28</t>
  </si>
  <si>
    <t>27765133090</t>
  </si>
  <si>
    <t>13861722</t>
  </si>
  <si>
    <t>80c073a7-a689-48ac-87cf-489cc96bc8a8</t>
  </si>
  <si>
    <t>2026-05-25 09:40:27</t>
  </si>
  <si>
    <t>27794337253</t>
  </si>
  <si>
    <t>13862312</t>
  </si>
  <si>
    <t>b948fa0b-6c93-48f5-9f9f-a1fabba8914e</t>
  </si>
  <si>
    <t>27764169892</t>
  </si>
  <si>
    <t>13862044</t>
  </si>
  <si>
    <t>7638b60d-74be-4383-95e4-4ead2f58f9f4</t>
  </si>
  <si>
    <t>2026-05-25 09:39:02</t>
  </si>
  <si>
    <t>27797212783</t>
  </si>
  <si>
    <t>13862045</t>
  </si>
  <si>
    <t>6424da31-182f-4dc3-9042-408c08313687</t>
  </si>
  <si>
    <t>27797392585</t>
  </si>
  <si>
    <t>13864147</t>
  </si>
  <si>
    <t>4ace7468-2ff5-4f31-9729-5679cb51ff40</t>
  </si>
  <si>
    <t>27768734837</t>
  </si>
  <si>
    <t>13862043</t>
  </si>
  <si>
    <t>1f454875-96d4-46cb-bbda-1b7cc9b40a6b</t>
  </si>
  <si>
    <t>2026-05-25 09:39:01</t>
  </si>
  <si>
    <t>27796584731</t>
  </si>
  <si>
    <t>13863354</t>
  </si>
  <si>
    <t>29cb1b33-4720-4609-8aa4-ca8fce017a13</t>
  </si>
  <si>
    <t>2026-05-25 09:38:56</t>
  </si>
  <si>
    <t>27767376709</t>
  </si>
  <si>
    <t>13862042</t>
  </si>
  <si>
    <t>016fcd4b-dfe5-4b7a-975f-9055839806f6</t>
  </si>
  <si>
    <t>2026-05-25 09:38:49</t>
  </si>
  <si>
    <t>27796168543</t>
  </si>
  <si>
    <t>13862040</t>
  </si>
  <si>
    <t>a263678e-efda-444a-958c-75af12a2d37a</t>
  </si>
  <si>
    <t>27794645525</t>
  </si>
  <si>
    <t>2026-05-25 09:38:48</t>
  </si>
  <si>
    <t>13862041</t>
  </si>
  <si>
    <t>90385f0d-0320-4034-bce2-1cf51b3bd608</t>
  </si>
  <si>
    <t>27795676606</t>
  </si>
  <si>
    <t>13863755</t>
  </si>
  <si>
    <t>5139a3a9-4c19-4880-91d1-b9641d28e7ef</t>
  </si>
  <si>
    <t>27721396677</t>
  </si>
  <si>
    <t>2026-05-25 09:38:25</t>
  </si>
  <si>
    <t>13862035</t>
  </si>
  <si>
    <t>3f126199-2418-4881-8e5e-1c1fabe06a75</t>
  </si>
  <si>
    <t>2026-05-25 09:38:24</t>
  </si>
  <si>
    <t>27792151788</t>
  </si>
  <si>
    <t>13862037</t>
  </si>
  <si>
    <t>4dce854b-db09-4fff-b82a-57727e647d68</t>
  </si>
  <si>
    <t>27793276783</t>
  </si>
  <si>
    <t>13861569</t>
  </si>
  <si>
    <t>6837adb6-f1ad-441e-8226-8f1144d82d86</t>
  </si>
  <si>
    <t>27823937232</t>
  </si>
  <si>
    <t>2026-05-25 09:38:06</t>
  </si>
  <si>
    <t>13864137</t>
  </si>
  <si>
    <t>05db6295-50cd-401b-93ff-b61c20a82dd5</t>
  </si>
  <si>
    <t>2026-05-25 09:37:19</t>
  </si>
  <si>
    <t>27767271717</t>
  </si>
  <si>
    <t>13862034</t>
  </si>
  <si>
    <t>5ae39b6e-982a-4afa-94a2-f3a6396674b9</t>
  </si>
  <si>
    <t>2026-05-25 09:37:14</t>
  </si>
  <si>
    <t>27791750013</t>
  </si>
  <si>
    <t>13864133</t>
  </si>
  <si>
    <t>2477c51f-9b15-4dd0-a3da-36ffe0a2f759</t>
  </si>
  <si>
    <t>2026-05-25 09:37:04</t>
  </si>
  <si>
    <t>27766781663</t>
  </si>
  <si>
    <t>13863350</t>
  </si>
  <si>
    <t>8e80e3bf-9e4b-4e5f-96cc-8dde244bac0e</t>
  </si>
  <si>
    <t>27766230067</t>
  </si>
  <si>
    <t>2026-05-25 09:37:01</t>
  </si>
  <si>
    <t>13864127</t>
  </si>
  <si>
    <t>ac9a5f55-3d2c-40c7-bb5f-55b0c9734d8c</t>
  </si>
  <si>
    <t>27766500426</t>
  </si>
  <si>
    <t>13864129</t>
  </si>
  <si>
    <t>2b5bf1b6-3768-4fa9-8e4b-431b99b6e59a</t>
  </si>
  <si>
    <t>27766539303</t>
  </si>
  <si>
    <t>13864130</t>
  </si>
  <si>
    <t>b14f3968-1ba8-4ebe-895a-b95f521fc826</t>
  </si>
  <si>
    <t>27766690955</t>
  </si>
  <si>
    <t>13864132</t>
  </si>
  <si>
    <t>4bef5828-fb18-466a-8c56-aaa9eecba9b3</t>
  </si>
  <si>
    <t>27766752273</t>
  </si>
  <si>
    <t>13861641</t>
  </si>
  <si>
    <t>b85d90ab-731c-401c-b2f9-f812f91a7edb</t>
  </si>
  <si>
    <t>2026-05-25 09:36:52</t>
  </si>
  <si>
    <t>27713917016</t>
  </si>
  <si>
    <t>13861521</t>
  </si>
  <si>
    <t>7501431a-07c7-4782-b567-bce9c651d136</t>
  </si>
  <si>
    <t>27768660793</t>
  </si>
  <si>
    <t>13861878</t>
  </si>
  <si>
    <t>fecbe450-03f9-4ecc-a1a2-79025cb4f28e</t>
  </si>
  <si>
    <t>27795647336</t>
  </si>
  <si>
    <t>13861879</t>
  </si>
  <si>
    <t>78918e81-6c39-4f74-975c-ed668770275b</t>
  </si>
  <si>
    <t>27795988806</t>
  </si>
  <si>
    <t>e577538b-004f-4e98-8294-a91a7bbf4ece</t>
  </si>
  <si>
    <t>2026-05-25 09:36:08</t>
  </si>
  <si>
    <t>27713273229</t>
  </si>
  <si>
    <t>13861861</t>
  </si>
  <si>
    <t>ba8829fa-8d92-4124-88bd-04a9290e2a39</t>
  </si>
  <si>
    <t>2026-05-25 09:36:07</t>
  </si>
  <si>
    <t>27790660824</t>
  </si>
  <si>
    <t>13861863</t>
  </si>
  <si>
    <t>ad2c99a1-b74d-4050-9e8c-63d7cdf25959</t>
  </si>
  <si>
    <t>27790908092</t>
  </si>
  <si>
    <t>13862092</t>
  </si>
  <si>
    <t>48f306b4-4d58-43f7-9650-779c07df0f10</t>
  </si>
  <si>
    <t>27663843556</t>
  </si>
  <si>
    <t>13863021</t>
  </si>
  <si>
    <t>36de6f6a-4c15-4f7a-9169-d9c1b31b72ce</t>
  </si>
  <si>
    <t>27766102380</t>
  </si>
  <si>
    <t>13864012</t>
  </si>
  <si>
    <t>16475324-ba0f-4696-aa46-43e10a21247c</t>
  </si>
  <si>
    <t>2026-05-25 09:36:06</t>
  </si>
  <si>
    <t>27673626772</t>
  </si>
  <si>
    <t>13861854</t>
  </si>
  <si>
    <t>427371af-2bda-43cd-adbe-c066842c97e4</t>
  </si>
  <si>
    <t>2026-05-25 09:35:34</t>
  </si>
  <si>
    <t>27774990255</t>
  </si>
  <si>
    <t>13863018</t>
  </si>
  <si>
    <t>88a94623-6c7c-4adb-83af-487fdc7c392b</t>
  </si>
  <si>
    <t>27733553730</t>
  </si>
  <si>
    <t>13863019</t>
  </si>
  <si>
    <t>a0ad0417-5c96-48c5-b8cc-aaa7f4f974a4</t>
  </si>
  <si>
    <t>27761774370</t>
  </si>
  <si>
    <t>13864000</t>
  </si>
  <si>
    <t>2544efbe-f25a-4cb9-a4d5-965f90068b88</t>
  </si>
  <si>
    <t>2026-05-25 09:35:20</t>
  </si>
  <si>
    <t>27662894219</t>
  </si>
  <si>
    <t>13863997</t>
  </si>
  <si>
    <t>7454b96f-7c68-4210-994e-bacf0fe2bb50</t>
  </si>
  <si>
    <t>2026-05-25 09:35:12</t>
  </si>
  <si>
    <t>27661253809</t>
  </si>
  <si>
    <t>13863998</t>
  </si>
  <si>
    <t>2b1446ae-8776-4b11-a2fe-972acacc8e63</t>
  </si>
  <si>
    <t>27661635855</t>
  </si>
  <si>
    <t>e90357d0-9196-40de-a61c-30b7b6ce8770</t>
  </si>
  <si>
    <t>27661992929</t>
  </si>
  <si>
    <t>13862901</t>
  </si>
  <si>
    <t>f930f6f2-3eda-47ac-b48b-22ad8c819501</t>
  </si>
  <si>
    <t>2026-05-25 09:34:25</t>
  </si>
  <si>
    <t>27729930142</t>
  </si>
  <si>
    <t>13862900</t>
  </si>
  <si>
    <t>ebfb18a2-15f7-45f3-842a-c8ff16e0bf9a</t>
  </si>
  <si>
    <t>2026-05-25 09:34:22</t>
  </si>
  <si>
    <t>27713668940</t>
  </si>
  <si>
    <t>13862897</t>
  </si>
  <si>
    <t>67ac6fc5-678f-4e46-b887-7d79fbce5923</t>
  </si>
  <si>
    <t>2026-05-25 09:34:21</t>
  </si>
  <si>
    <t>27649853064</t>
  </si>
  <si>
    <t>13862898</t>
  </si>
  <si>
    <t>7cf034bf-ad8a-48a1-8e4f-c9bffee4d1da</t>
  </si>
  <si>
    <t>27711263056</t>
  </si>
  <si>
    <t>13862899</t>
  </si>
  <si>
    <t>32e96f69-1500-4b51-b513-954fa90c334b</t>
  </si>
  <si>
    <t>27713546866</t>
  </si>
  <si>
    <t>13862896</t>
  </si>
  <si>
    <t>b678ef4c-bb22-4419-b90c-3608c2a3e0a0</t>
  </si>
  <si>
    <t>2026-05-25 09:34:16</t>
  </si>
  <si>
    <t>27648073445</t>
  </si>
  <si>
    <t>13862894</t>
  </si>
  <si>
    <t>4dfeef14-508c-4274-bacc-4be669c77914</t>
  </si>
  <si>
    <t>2026-05-25 09:34:12</t>
  </si>
  <si>
    <t>27637095346</t>
  </si>
  <si>
    <t>13863130</t>
  </si>
  <si>
    <t>f0f4739a-a6e9-4c7c-a562-7eaf4ed1ce43</t>
  </si>
  <si>
    <t>2026-05-25 09:34:11</t>
  </si>
  <si>
    <t>27763453377</t>
  </si>
  <si>
    <t>13862893</t>
  </si>
  <si>
    <t>58b91bf8-0697-41ef-af70-c1c3f623cadb</t>
  </si>
  <si>
    <t>2026-05-25 09:33:56</t>
  </si>
  <si>
    <t>27834042405</t>
  </si>
  <si>
    <t>13862889</t>
  </si>
  <si>
    <t>0ae83010-c98b-4314-b270-14ed0ce01b7a</t>
  </si>
  <si>
    <t>2026-05-25 09:33:51</t>
  </si>
  <si>
    <t>27829621592</t>
  </si>
  <si>
    <t>13862892</t>
  </si>
  <si>
    <t>ea322354-e8c2-4f73-a5d8-e73d99e35018</t>
  </si>
  <si>
    <t>27833515004</t>
  </si>
  <si>
    <t>13863894</t>
  </si>
  <si>
    <t>987547e6-2980-42e7-bb73-178867341bd5</t>
  </si>
  <si>
    <t>2026-05-25 09:32:28</t>
  </si>
  <si>
    <t>27798086358</t>
  </si>
  <si>
    <t>13863892</t>
  </si>
  <si>
    <t>905e85b6-7f36-44d5-b77b-736c2e34ef38</t>
  </si>
  <si>
    <t>2026-05-25 09:32:27</t>
  </si>
  <si>
    <t>27797908280</t>
  </si>
  <si>
    <t>13862765</t>
  </si>
  <si>
    <t>5193cf50-a8fe-4cc9-9f01-d869d65866d2</t>
  </si>
  <si>
    <t>2026-05-25 09:32:16</t>
  </si>
  <si>
    <t>27722101956</t>
  </si>
  <si>
    <t>13862767</t>
  </si>
  <si>
    <t>851453ed-0c91-4beb-a1b0-381e28f56619</t>
  </si>
  <si>
    <t>27722603326</t>
  </si>
  <si>
    <t>13862769</t>
  </si>
  <si>
    <t>37fad727-35cb-40d6-ac61-8f344608e6f9</t>
  </si>
  <si>
    <t>27722948603</t>
  </si>
  <si>
    <t>13862763</t>
  </si>
  <si>
    <t>33f0ab3d-2f38-44a7-a8bb-c8fe25936a79</t>
  </si>
  <si>
    <t>27721350399</t>
  </si>
  <si>
    <t>2026-05-25 09:31:43</t>
  </si>
  <si>
    <t>13862761</t>
  </si>
  <si>
    <t>6a7b3cf8-6bdb-48f3-89bf-9166aef3e3df</t>
  </si>
  <si>
    <t>2026-05-25 09:31:24</t>
  </si>
  <si>
    <t>27720407461</t>
  </si>
  <si>
    <t>13862757</t>
  </si>
  <si>
    <t>9bde3561-a9db-489e-b88e-716074d5362e</t>
  </si>
  <si>
    <t>2026-05-25 09:31:20</t>
  </si>
  <si>
    <t>27716224382</t>
  </si>
  <si>
    <t>13863104</t>
  </si>
  <si>
    <t>d9d74bd0-4787-468a-9b4b-270ab2038d9e</t>
  </si>
  <si>
    <t>2026-05-25 09:31:19</t>
  </si>
  <si>
    <t>27727279768</t>
  </si>
  <si>
    <t>13862751</t>
  </si>
  <si>
    <t>f0c6ae35-c032-4b1e-a410-bd191cef7464</t>
  </si>
  <si>
    <t>2026-05-25 09:31:18</t>
  </si>
  <si>
    <t>27714512028</t>
  </si>
  <si>
    <t>13862753</t>
  </si>
  <si>
    <t>9799b7fb-172d-4141-88a5-20d63e9a8d09</t>
  </si>
  <si>
    <t>27715444631</t>
  </si>
  <si>
    <t>13862756</t>
  </si>
  <si>
    <t>bfabacf4-0ed3-414b-829d-3f4ece9ff4dc</t>
  </si>
  <si>
    <t>27716121154</t>
  </si>
  <si>
    <t>13862731</t>
  </si>
  <si>
    <t>6d2c0282-c86c-4e72-81e2-74f289e63ab3</t>
  </si>
  <si>
    <t>2026-05-25 09:29:02</t>
  </si>
  <si>
    <t>27661749626</t>
  </si>
  <si>
    <t>13862733</t>
  </si>
  <si>
    <t>b51bc1a1-53fe-4040-8fc4-ec02b4d568ec</t>
  </si>
  <si>
    <t>27663861170</t>
  </si>
  <si>
    <t>13862730</t>
  </si>
  <si>
    <t>9c2676e0-30cf-41f0-b5eb-824670c4cd44</t>
  </si>
  <si>
    <t>27661733005</t>
  </si>
  <si>
    <t>2026-05-25 09:29:01</t>
  </si>
  <si>
    <t>13862639</t>
  </si>
  <si>
    <t>93f6912e-0004-4580-9f63-e2c14844693b</t>
  </si>
  <si>
    <t>2026-05-25 09:27:30</t>
  </si>
  <si>
    <t>27764328609</t>
  </si>
  <si>
    <t>13864097</t>
  </si>
  <si>
    <t>8967df5b-2ff8-4f4d-a44f-14322ed79afc</t>
  </si>
  <si>
    <t>2026-05-25 09:27:08</t>
  </si>
  <si>
    <t>27760603371</t>
  </si>
  <si>
    <t>13863752</t>
  </si>
  <si>
    <t>a225d328-c193-4375-abeb-1d7d4aff013d</t>
  </si>
  <si>
    <t>TDN</t>
  </si>
  <si>
    <t>Temporary Disconnected Number</t>
  </si>
  <si>
    <t>2026-05-25 09:26:55</t>
  </si>
  <si>
    <t>27720142975</t>
  </si>
  <si>
    <t>378e6599-fa60-4431-bf9b-5748d673595f</t>
  </si>
  <si>
    <t>27716658633</t>
  </si>
  <si>
    <t>2026-05-25 09:26:49</t>
  </si>
  <si>
    <t>13863750</t>
  </si>
  <si>
    <t>35154bc8-db8b-4b5a-8b42-aff14531ab18</t>
  </si>
  <si>
    <t>27717454398</t>
  </si>
  <si>
    <t>13863751</t>
  </si>
  <si>
    <t>eed86c1a-8175-4126-a034-f1215bd6d7fc</t>
  </si>
  <si>
    <t>27718738132</t>
  </si>
  <si>
    <t>13861859</t>
  </si>
  <si>
    <t>3101f7b3-40bd-4c00-b0b5-83022b2219ee</t>
  </si>
  <si>
    <t>2026-05-25 09:25:55</t>
  </si>
  <si>
    <t>27790391361</t>
  </si>
  <si>
    <t>13862615</t>
  </si>
  <si>
    <t>814921b8-8d03-4461-90f1-08c6d8b28044</t>
  </si>
  <si>
    <t>27725406118</t>
  </si>
  <si>
    <t>13862618</t>
  </si>
  <si>
    <t>416a34c7-c955-4830-b74a-8f16734194c0</t>
  </si>
  <si>
    <t>27727836832</t>
  </si>
  <si>
    <t>13863722</t>
  </si>
  <si>
    <t>ec5fac1f-517e-4557-9961-40a4a3f37ea3</t>
  </si>
  <si>
    <t>27660882210</t>
  </si>
  <si>
    <t>13862420</t>
  </si>
  <si>
    <t>fb9971c6-2fc0-4c23-bd73-23c6b4885bce</t>
  </si>
  <si>
    <t>27715218007</t>
  </si>
  <si>
    <t>2026-05-25 09:25:17</t>
  </si>
  <si>
    <t>13862526</t>
  </si>
  <si>
    <t>a86c05ca-a520-4005-b8d6-4aa8a949e9fc</t>
  </si>
  <si>
    <t>27825341336</t>
  </si>
  <si>
    <t>2026-05-25 09:24:22</t>
  </si>
  <si>
    <t>13862536</t>
  </si>
  <si>
    <t>b7e30201-fe17-4075-9e1d-6d21aa855305</t>
  </si>
  <si>
    <t>2026-05-25 09:24:20</t>
  </si>
  <si>
    <t>27829683473</t>
  </si>
  <si>
    <t>13862534</t>
  </si>
  <si>
    <t>c442e232-0023-40a4-8ccf-26e987093927</t>
  </si>
  <si>
    <t>2026-05-25 09:24:18</t>
  </si>
  <si>
    <t>27828114374</t>
  </si>
  <si>
    <t>41e30109-9350-4b55-8073-972d2fecd9f8</t>
  </si>
  <si>
    <t>27827963654</t>
  </si>
  <si>
    <t>2026-05-25 09:24:12</t>
  </si>
  <si>
    <t>13862532</t>
  </si>
  <si>
    <t>371ebe50-cd6e-4834-91f4-f6e6f5d309d8</t>
  </si>
  <si>
    <t>2026-05-25 09:24:11</t>
  </si>
  <si>
    <t>27826909545</t>
  </si>
  <si>
    <t>13862530</t>
  </si>
  <si>
    <t>95bf778b-a7b5-45e1-ad11-3c3c7b8cd0cb</t>
  </si>
  <si>
    <t>2026-05-25 09:24:10</t>
  </si>
  <si>
    <t>27826466383</t>
  </si>
  <si>
    <t>13862527</t>
  </si>
  <si>
    <t>839a0ea9-3e1b-43f2-ba14-823acdbd7805</t>
  </si>
  <si>
    <t>2026-05-25 09:24:05</t>
  </si>
  <si>
    <t>27825355096</t>
  </si>
  <si>
    <t>13862499</t>
  </si>
  <si>
    <t>41181fa0-3f33-42df-8ec9-1a0ec21c4e35</t>
  </si>
  <si>
    <t>2026-05-25 09:24:00</t>
  </si>
  <si>
    <t>27795663795</t>
  </si>
  <si>
    <t>13863611</t>
  </si>
  <si>
    <t>7a3b72ec-f58f-4538-bbe8-2f507f1e2e7f</t>
  </si>
  <si>
    <t>27791876727</t>
  </si>
  <si>
    <t>13863615</t>
  </si>
  <si>
    <t>e09bb6ff-70a7-45d0-b23e-b413fa2be3ef</t>
  </si>
  <si>
    <t>27792943241</t>
  </si>
  <si>
    <t>13863534</t>
  </si>
  <si>
    <t>e9f4e4ce-00c1-4261-a844-82e1b94600a3</t>
  </si>
  <si>
    <t>2026-05-25 09:23:08</t>
  </si>
  <si>
    <t>27724684516</t>
  </si>
  <si>
    <t>13863533</t>
  </si>
  <si>
    <t>bc8ae5e2-9a2a-43ee-a7db-44b5c9ee3a59</t>
  </si>
  <si>
    <t>2026-05-25 09:23:06</t>
  </si>
  <si>
    <t>27724539059</t>
  </si>
  <si>
    <t>13863532</t>
  </si>
  <si>
    <t>de5ad240-1671-44d9-b912-159750e0544d</t>
  </si>
  <si>
    <t>2026-05-25 09:23:04</t>
  </si>
  <si>
    <t>27723980373</t>
  </si>
  <si>
    <t>13863530</t>
  </si>
  <si>
    <t>e41be7aa-1c5f-4f64-bc64-37d6d2b14253</t>
  </si>
  <si>
    <t>27723695190</t>
  </si>
  <si>
    <t>2026-05-25 09:22:52</t>
  </si>
  <si>
    <t>13864737</t>
  </si>
  <si>
    <t>a08dbdae-19fe-4358-9f52-27a9322b4f2d</t>
  </si>
  <si>
    <t>2026-05-25 09:22:50</t>
  </si>
  <si>
    <t>27793867506</t>
  </si>
  <si>
    <t>13862403</t>
  </si>
  <si>
    <t>19458681-96bc-44db-b0a2-e43488f49543</t>
  </si>
  <si>
    <t>2026-05-25 09:22:46</t>
  </si>
  <si>
    <t>27664456927</t>
  </si>
  <si>
    <t>13862401</t>
  </si>
  <si>
    <t>d9ba26f2-5fb0-4c78-8915-7e929c7e0d0a</t>
  </si>
  <si>
    <t>2026-05-25 09:22:32</t>
  </si>
  <si>
    <t>27663988043</t>
  </si>
  <si>
    <t>13862399</t>
  </si>
  <si>
    <t>84ac8c13-2cf5-493a-9429-a2b740732ccc</t>
  </si>
  <si>
    <t>2026-05-25 09:22:15</t>
  </si>
  <si>
    <t>27663428209</t>
  </si>
  <si>
    <t>13862397</t>
  </si>
  <si>
    <t>61de69f1-28fc-4183-a3a5-c8646722d54d</t>
  </si>
  <si>
    <t>2026-05-25 09:22:13</t>
  </si>
  <si>
    <t>27662760486</t>
  </si>
  <si>
    <t>13864706</t>
  </si>
  <si>
    <t>fd0ed0b0-f891-45cf-8efc-82733009e1e9</t>
  </si>
  <si>
    <t>27766460964</t>
  </si>
  <si>
    <t>13862393</t>
  </si>
  <si>
    <t>4b0146d2-0be1-4735-9af2-3e769e0bb65f</t>
  </si>
  <si>
    <t>2026-05-25 09:21:31</t>
  </si>
  <si>
    <t>27660355213</t>
  </si>
  <si>
    <t>13862389</t>
  </si>
  <si>
    <t>16270336-2644-4d05-b7f4-87a07e0d774c</t>
  </si>
  <si>
    <t>2026-05-25 09:21:21</t>
  </si>
  <si>
    <t>27648103556</t>
  </si>
  <si>
    <t>13864596</t>
  </si>
  <si>
    <t>b8333332-ff36-45cd-b596-13baa170debf</t>
  </si>
  <si>
    <t>2026-05-25 09:21:16</t>
  </si>
  <si>
    <t>27714933174</t>
  </si>
  <si>
    <t>13861583</t>
  </si>
  <si>
    <t>e1ef19e8-80a6-4f2d-9909-956abe06e59b</t>
  </si>
  <si>
    <t>27828486613</t>
  </si>
  <si>
    <t>2026-05-25 09:21:15</t>
  </si>
  <si>
    <t>13864594</t>
  </si>
  <si>
    <t>f55c38d6-5edb-40a1-bb01-48904b3ca686</t>
  </si>
  <si>
    <t>2026-05-25 09:20:47</t>
  </si>
  <si>
    <t>27714502038</t>
  </si>
  <si>
    <t>13864592</t>
  </si>
  <si>
    <t>35521e7a-95fb-44cb-9b89-cdb2379fae31</t>
  </si>
  <si>
    <t>2026-05-25 09:20:45</t>
  </si>
  <si>
    <t>27714096061</t>
  </si>
  <si>
    <t>13862762</t>
  </si>
  <si>
    <t>1ab94f89-3b69-4ac4-8979-2dd38152beda</t>
  </si>
  <si>
    <t>2026-05-25 09:20:40</t>
  </si>
  <si>
    <t>27720525307</t>
  </si>
  <si>
    <t>13864591</t>
  </si>
  <si>
    <t>2de7b7a2-0b3b-4da1-a293-b7a171277523</t>
  </si>
  <si>
    <t>2026-05-25 09:20:38</t>
  </si>
  <si>
    <t>27713728895</t>
  </si>
  <si>
    <t>13864590</t>
  </si>
  <si>
    <t>c6d4beb5-69f4-4528-b7db-f50b13aedcf1</t>
  </si>
  <si>
    <t>2026-05-25 09:20:37</t>
  </si>
  <si>
    <t>27713592694</t>
  </si>
  <si>
    <t>13864589</t>
  </si>
  <si>
    <t>ec0bb5f0-3879-4bbe-8aeb-d64b7f0a1b0d</t>
  </si>
  <si>
    <t>2026-05-25 09:20:32</t>
  </si>
  <si>
    <t>27713590585</t>
  </si>
  <si>
    <t>13861473</t>
  </si>
  <si>
    <t>9e6e9503-7675-4d67-a64e-f4dd1888ab23</t>
  </si>
  <si>
    <t>2026-05-25 09:20:24</t>
  </si>
  <si>
    <t>27725266506</t>
  </si>
  <si>
    <t>13863464</t>
  </si>
  <si>
    <t>3dd20ecc-0243-4eea-9345-cf0799fc0649</t>
  </si>
  <si>
    <t>27609119530</t>
  </si>
  <si>
    <t>13863463</t>
  </si>
  <si>
    <t>6845e66c-bde5-4da2-b141-2da38e593a9e</t>
  </si>
  <si>
    <t>2026-05-25 09:20:13</t>
  </si>
  <si>
    <t>27608901056</t>
  </si>
  <si>
    <t>13863959</t>
  </si>
  <si>
    <t>775d9e71-689a-4346-9a65-7b3c4ee8ed01</t>
  </si>
  <si>
    <t>2026-05-25 09:20:10</t>
  </si>
  <si>
    <t>27608628301</t>
  </si>
  <si>
    <t>13861531</t>
  </si>
  <si>
    <t>c8ddc7e8-1970-43a5-bb11-5912b833aae9</t>
  </si>
  <si>
    <t>2026-05-25 09:20:05</t>
  </si>
  <si>
    <t>27786673355</t>
  </si>
  <si>
    <t>13862313</t>
  </si>
  <si>
    <t>a487e1af-2b1c-4383-a015-1e53e7086a0b</t>
  </si>
  <si>
    <t>27764534449</t>
  </si>
  <si>
    <t>13862316</t>
  </si>
  <si>
    <t>a3e435f5-7347-4af9-a566-cbe3ec3843cf</t>
  </si>
  <si>
    <t>27764764544</t>
  </si>
  <si>
    <t>13862200</t>
  </si>
  <si>
    <t>0bbda769-bb53-49c8-9978-c72001388038</t>
  </si>
  <si>
    <t>2026-05-25 09:18:41</t>
  </si>
  <si>
    <t>27799592815</t>
  </si>
  <si>
    <t>13864514</t>
  </si>
  <si>
    <t>851f3677-55fa-4cbb-8b0c-2662511baba0</t>
  </si>
  <si>
    <t>2026-05-25 09:18:40</t>
  </si>
  <si>
    <t>27825876541</t>
  </si>
  <si>
    <t>13864513</t>
  </si>
  <si>
    <t>d587c962-423b-441c-9120-f77c5d6c9411</t>
  </si>
  <si>
    <t>2026-05-25 09:18:09</t>
  </si>
  <si>
    <t>27825657284</t>
  </si>
  <si>
    <t>13862198</t>
  </si>
  <si>
    <t>2c23d3f9-d63e-4f8e-bfe3-8c2f44991f3b</t>
  </si>
  <si>
    <t>2026-05-25 09:17:46</t>
  </si>
  <si>
    <t>27799329311</t>
  </si>
  <si>
    <t>13862199</t>
  </si>
  <si>
    <t>28df8803-5d8e-431f-a743-bb56a22d2a27</t>
  </si>
  <si>
    <t>27799526720</t>
  </si>
  <si>
    <t>13862197</t>
  </si>
  <si>
    <t>c33d5393-6adb-4ee6-92f5-d55bfd6f1ff2</t>
  </si>
  <si>
    <t>2026-05-25 09:17:25</t>
  </si>
  <si>
    <t>27798256359</t>
  </si>
  <si>
    <t>13862191</t>
  </si>
  <si>
    <t>5032164c-bf36-45e0-842b-770a727a6299</t>
  </si>
  <si>
    <t>2026-05-25 09:17:23</t>
  </si>
  <si>
    <t>27797578374</t>
  </si>
  <si>
    <t>13861676</t>
  </si>
  <si>
    <t>808c4d6e-fa78-48b8-9b3e-bb0b17551580</t>
  </si>
  <si>
    <t>2026-05-25 09:17:06</t>
  </si>
  <si>
    <t>27760590192</t>
  </si>
  <si>
    <t>13861677</t>
  </si>
  <si>
    <t>07314c3b-4a28-41ca-bea9-4c05d628b89c</t>
  </si>
  <si>
    <t>27761268641</t>
  </si>
  <si>
    <t>13863393</t>
  </si>
  <si>
    <t>9a3a956a-53b7-4f65-b7fc-034399ab8f28</t>
  </si>
  <si>
    <t>27793037838</t>
  </si>
  <si>
    <t>13863391</t>
  </si>
  <si>
    <t>748031c6-dc07-4fb9-a1c3-eda78d216175</t>
  </si>
  <si>
    <t>2026-05-25 09:17:05</t>
  </si>
  <si>
    <t>27792888367</t>
  </si>
  <si>
    <t>13861729</t>
  </si>
  <si>
    <t>8c32ed81-25bc-4812-8697-91f12ec9ff8e</t>
  </si>
  <si>
    <t>27796778050</t>
  </si>
  <si>
    <t>2026-05-25 09:16:40</t>
  </si>
  <si>
    <t>13861568</t>
  </si>
  <si>
    <t>5e4afe94-3020-44de-ad5a-49c7770d68bc</t>
  </si>
  <si>
    <t>27823598544</t>
  </si>
  <si>
    <t>2026-05-25 09:15:56</t>
  </si>
  <si>
    <t>e980ff56-bfa4-41df-85af-4b19c1469277</t>
  </si>
  <si>
    <t>27722455833</t>
  </si>
  <si>
    <t>13862119</t>
  </si>
  <si>
    <t>29921204-6bc9-428e-8338-071459f6a39f</t>
  </si>
  <si>
    <t>2026-05-25 09:15:55</t>
  </si>
  <si>
    <t>27722217333</t>
  </si>
  <si>
    <t>13864444</t>
  </si>
  <si>
    <t>2b3b77a9-eb09-4971-bf90-de4740ce85bc</t>
  </si>
  <si>
    <t>27793702436</t>
  </si>
  <si>
    <t>2026-05-25 09:15:13</t>
  </si>
  <si>
    <t>13862118</t>
  </si>
  <si>
    <t>eef72527-54e2-4e1d-b3ac-4e4894fbeb1b</t>
  </si>
  <si>
    <t>2026-05-25 09:15:12</t>
  </si>
  <si>
    <t>27721939682</t>
  </si>
  <si>
    <t>13862726</t>
  </si>
  <si>
    <t>fb039be1-5298-4f01-8374-f442a21fe06c</t>
  </si>
  <si>
    <t>2026-05-25 09:15:11</t>
  </si>
  <si>
    <t>27660716057</t>
  </si>
  <si>
    <t>13861441</t>
  </si>
  <si>
    <t>e53b327a-7974-46a6-bb34-a153ce51f037</t>
  </si>
  <si>
    <t>2026-05-25 09:15:07</t>
  </si>
  <si>
    <t>27663303191</t>
  </si>
  <si>
    <t>13862114</t>
  </si>
  <si>
    <t>319ea803-b578-4e60-b297-61fc56e8ceeb</t>
  </si>
  <si>
    <t>27721205134</t>
  </si>
  <si>
    <t>13864438</t>
  </si>
  <si>
    <t>b750cd56-4917-4bac-bc6e-2f9db1fc45d2</t>
  </si>
  <si>
    <t>27791659627</t>
  </si>
  <si>
    <t>13862426</t>
  </si>
  <si>
    <t>a4f1d5ac-fc52-4229-b6ea-0a205a6332d8</t>
  </si>
  <si>
    <t>27720745254</t>
  </si>
  <si>
    <t>2026-05-25 09:14:27</t>
  </si>
  <si>
    <t>13862480</t>
  </si>
  <si>
    <t>bf6fd877-99c2-47ce-8caf-027fd77733b7</t>
  </si>
  <si>
    <t>27767505930</t>
  </si>
  <si>
    <t>2026-05-25 09:13:39</t>
  </si>
  <si>
    <t>13861525</t>
  </si>
  <si>
    <t>5ed76e14-a8a3-44f7-8a8f-e5926d3d7d66</t>
  </si>
  <si>
    <t>2026-05-25 09:13:35</t>
  </si>
  <si>
    <t>27769595696</t>
  </si>
  <si>
    <t>13862068</t>
  </si>
  <si>
    <t>c63fe912-e0d3-4a63-8473-04d43ae55d44</t>
  </si>
  <si>
    <t>27606148049</t>
  </si>
  <si>
    <t>13862071</t>
  </si>
  <si>
    <t>834d2dc7-a848-46fa-a1ab-fa0fba0e4d3e</t>
  </si>
  <si>
    <t>27607536918</t>
  </si>
  <si>
    <t>13863876</t>
  </si>
  <si>
    <t>95f33650-58ed-4512-8c0b-fa7ff99ef632</t>
  </si>
  <si>
    <t>27795417839</t>
  </si>
  <si>
    <t>13864408</t>
  </si>
  <si>
    <t>d0eedb19-44f2-4f96-ad97-71e4765d050c</t>
  </si>
  <si>
    <t>2026-05-25 09:12:53</t>
  </si>
  <si>
    <t>27766489017</t>
  </si>
  <si>
    <t>13862008</t>
  </si>
  <si>
    <t>fff6a168-9ed6-45cb-af73-e2bb7e61cf76</t>
  </si>
  <si>
    <t>2026-05-25 09:12:38</t>
  </si>
  <si>
    <t>27763522600</t>
  </si>
  <si>
    <t>13862007</t>
  </si>
  <si>
    <t>29a32b11-1f5f-428e-893a-8fedbf5191c2</t>
  </si>
  <si>
    <t>2026-05-25 09:12:09</t>
  </si>
  <si>
    <t>27763470202</t>
  </si>
  <si>
    <t>13862005</t>
  </si>
  <si>
    <t>a8bd8153-dfdf-4f50-af26-cf058d2cb139</t>
  </si>
  <si>
    <t>2026-05-25 09:12:05</t>
  </si>
  <si>
    <t>27763113273</t>
  </si>
  <si>
    <t>13862004</t>
  </si>
  <si>
    <t>ddddd275-7f12-4bd7-9364-98f18e06e118</t>
  </si>
  <si>
    <t>2026-05-25 09:12:03</t>
  </si>
  <si>
    <t>27763039989</t>
  </si>
  <si>
    <t>13862002</t>
  </si>
  <si>
    <t>21cd8658-54b5-4266-a83e-40aab5b3c0c5</t>
  </si>
  <si>
    <t>2026-05-25 09:11:58</t>
  </si>
  <si>
    <t>27762695267</t>
  </si>
  <si>
    <t>13862000</t>
  </si>
  <si>
    <t>3169b93c-b6d6-4a40-9e1f-dcdc128e863f</t>
  </si>
  <si>
    <t>2026-05-25 09:11:37</t>
  </si>
  <si>
    <t>27761248643</t>
  </si>
  <si>
    <t>13862619</t>
  </si>
  <si>
    <t>ff70476d-6ff6-4387-85f6-82cd3597243f</t>
  </si>
  <si>
    <t>27729070343</t>
  </si>
  <si>
    <t>13861995</t>
  </si>
  <si>
    <t>6f5a9f2a-4ed6-4f94-843f-f3a3a6323f29</t>
  </si>
  <si>
    <t>2026-05-25 09:11:24</t>
  </si>
  <si>
    <t>27729536257</t>
  </si>
  <si>
    <t>13862278</t>
  </si>
  <si>
    <t>54985e85-962a-4c5d-a9c2-cbd215c9470b</t>
  </si>
  <si>
    <t>27723335069</t>
  </si>
  <si>
    <t>2026-05-25 09:10:50</t>
  </si>
  <si>
    <t>13863785</t>
  </si>
  <si>
    <t>adcac36b-7f05-4511-8888-4ed6479e1a8e</t>
  </si>
  <si>
    <t>27725874316</t>
  </si>
  <si>
    <t>2026-05-25 09:10:17</t>
  </si>
  <si>
    <t>13861803</t>
  </si>
  <si>
    <t>33c9db49-921b-4a3d-ab71-667032399435</t>
  </si>
  <si>
    <t>2026-05-25 09:10:08</t>
  </si>
  <si>
    <t>27718677473</t>
  </si>
  <si>
    <t>13864245</t>
  </si>
  <si>
    <t>4c729ee1-56dd-4159-97ab-848d42221a9e</t>
  </si>
  <si>
    <t>27606910169</t>
  </si>
  <si>
    <t>13864247</t>
  </si>
  <si>
    <t>df1ee85e-80c5-4400-a2c7-47a003e9893a</t>
  </si>
  <si>
    <t>27607326687</t>
  </si>
  <si>
    <t>13864252</t>
  </si>
  <si>
    <t>0b7e0a86-efe0-4067-8412-82b484b3e280</t>
  </si>
  <si>
    <t>27608349749</t>
  </si>
  <si>
    <t>13861463</t>
  </si>
  <si>
    <t>6acc600b-ba9a-446d-8874-c1efd58bd8a4</t>
  </si>
  <si>
    <t>2026-05-25 09:10:07</t>
  </si>
  <si>
    <t>27721849020</t>
  </si>
  <si>
    <t>13861582</t>
  </si>
  <si>
    <t>df58016c-bd6e-4b9d-8f85-2ced97c9e7ad</t>
  </si>
  <si>
    <t>27828317442</t>
  </si>
  <si>
    <t>13862203</t>
  </si>
  <si>
    <t>361f75c3-4fbd-40e2-bc2e-790751631f9b</t>
  </si>
  <si>
    <t>27818602865</t>
  </si>
  <si>
    <t>2026-05-25 09:09:53</t>
  </si>
  <si>
    <t>13861788</t>
  </si>
  <si>
    <t>f64040a7-8a84-43e7-84f2-8f6535288e8e</t>
  </si>
  <si>
    <t>27711933609</t>
  </si>
  <si>
    <t>2026-05-25 09:09:52</t>
  </si>
  <si>
    <t>13861462</t>
  </si>
  <si>
    <t>4b06aea1-f287-414d-a231-dc745cc621b1</t>
  </si>
  <si>
    <t>2026-05-25 09:09:30</t>
  </si>
  <si>
    <t>27721307808</t>
  </si>
  <si>
    <t>13861460</t>
  </si>
  <si>
    <t>a54b3817-d54c-462c-bdb7-5bada431d76c</t>
  </si>
  <si>
    <t>2026-05-25 09:09:28</t>
  </si>
  <si>
    <t>27720843596</t>
  </si>
  <si>
    <t>13861790</t>
  </si>
  <si>
    <t>9d8cefbc-aada-4fc1-895d-db86e717cd11</t>
  </si>
  <si>
    <t>2026-05-25 09:09:27</t>
  </si>
  <si>
    <t>27712812557</t>
  </si>
  <si>
    <t>13861458</t>
  </si>
  <si>
    <t>52b6e411-5395-4443-8e28-fe0578a47141</t>
  </si>
  <si>
    <t>2026-05-25 09:09:23</t>
  </si>
  <si>
    <t>27716913567</t>
  </si>
  <si>
    <t>13861786</t>
  </si>
  <si>
    <t>caebfe21-3fc7-4335-a482-e0faa6b96f1f</t>
  </si>
  <si>
    <t>27710841974</t>
  </si>
  <si>
    <t>13861787</t>
  </si>
  <si>
    <t>89ae830e-33fe-467c-a03f-77ffab81f52d</t>
  </si>
  <si>
    <t>27711151667</t>
  </si>
  <si>
    <t>13861781</t>
  </si>
  <si>
    <t>27afa824-26aa-4df6-96e1-eedfa8f2b92b</t>
  </si>
  <si>
    <t>2026-05-25 09:09:22</t>
  </si>
  <si>
    <t>27664415615</t>
  </si>
  <si>
    <t>13861782</t>
  </si>
  <si>
    <t>fe69a1a2-72b2-4dc1-b2dd-ea6c36fa8f8d</t>
  </si>
  <si>
    <t>27665065367</t>
  </si>
  <si>
    <t>13861783</t>
  </si>
  <si>
    <t>1c188e0a-965f-4d13-9deb-cf479c4679c2</t>
  </si>
  <si>
    <t>27673047792</t>
  </si>
  <si>
    <t>13863780</t>
  </si>
  <si>
    <t>4b934d0e-c316-4f37-b9bd-b04efcb8aab6</t>
  </si>
  <si>
    <t>27725540391</t>
  </si>
  <si>
    <t>2026-05-25 09:09:04</t>
  </si>
  <si>
    <t>13861780</t>
  </si>
  <si>
    <t>d9d0b7eb-59d4-47c7-9166-e579e6c66df8</t>
  </si>
  <si>
    <t>2026-05-25 09:09:03</t>
  </si>
  <si>
    <t>27664318606</t>
  </si>
  <si>
    <t>13861778</t>
  </si>
  <si>
    <t>54ded5b4-524f-41ac-8702-7170d62e3825</t>
  </si>
  <si>
    <t>2026-05-25 09:08:58</t>
  </si>
  <si>
    <t>27662840542</t>
  </si>
  <si>
    <t>13863748</t>
  </si>
  <si>
    <t>774b6ce0-0975-4147-8329-64f72b9671af</t>
  </si>
  <si>
    <t>2026-05-25 09:08:46</t>
  </si>
  <si>
    <t>27715339209</t>
  </si>
  <si>
    <t>13861551</t>
  </si>
  <si>
    <t>c794d335-c59b-44b1-8e90-e54c4862f961</t>
  </si>
  <si>
    <t>2026-05-25 09:08:40</t>
  </si>
  <si>
    <t>27796839204</t>
  </si>
  <si>
    <t>13861733</t>
  </si>
  <si>
    <t>9cdf9edf-9da8-4dd0-b6a4-e82645b1c1a5</t>
  </si>
  <si>
    <t>2026-05-25 09:08:33</t>
  </si>
  <si>
    <t>27798141391</t>
  </si>
  <si>
    <t>13862950</t>
  </si>
  <si>
    <t>b7c3ef66-41d3-4ed9-97b0-3482b6208253</t>
  </si>
  <si>
    <t>27646090505</t>
  </si>
  <si>
    <t>13862947</t>
  </si>
  <si>
    <t>4dcffd64-8771-49e6-91b2-8455276ebd62</t>
  </si>
  <si>
    <t>2026-05-25 09:08:32</t>
  </si>
  <si>
    <t>27609473947</t>
  </si>
  <si>
    <t>13862943</t>
  </si>
  <si>
    <t>6cb57d48-3691-40a9-87e2-263b9dec232c</t>
  </si>
  <si>
    <t>2026-05-25 09:08:28</t>
  </si>
  <si>
    <t>27606045209</t>
  </si>
  <si>
    <t>13862945</t>
  </si>
  <si>
    <t>4203e56c-9824-4941-b447-e24342d78069</t>
  </si>
  <si>
    <t>27606484152</t>
  </si>
  <si>
    <t>13862946</t>
  </si>
  <si>
    <t>b01a99d0-2335-4c86-a2bd-ca98864aebdd</t>
  </si>
  <si>
    <t>27609040017</t>
  </si>
  <si>
    <t>13862940</t>
  </si>
  <si>
    <t>d310ea90-f1b3-40bc-8a68-fcf966d76e36</t>
  </si>
  <si>
    <t>2026-05-25 09:08:27</t>
  </si>
  <si>
    <t>27825023664</t>
  </si>
  <si>
    <t>13862812</t>
  </si>
  <si>
    <t>d529b833-ed6c-498c-b1e7-3685c3f67c34</t>
  </si>
  <si>
    <t>2026-05-25 09:07:43</t>
  </si>
  <si>
    <t>27765544709</t>
  </si>
  <si>
    <t>13862807</t>
  </si>
  <si>
    <t>9d02ccfe-069a-4e6b-8e36-3befd444b4cd</t>
  </si>
  <si>
    <t>2026-05-25 09:07:42</t>
  </si>
  <si>
    <t>27763753168</t>
  </si>
  <si>
    <t>13862808</t>
  </si>
  <si>
    <t>1e39ff90-d619-4001-a0ab-6063eabdf4b1</t>
  </si>
  <si>
    <t>27763895590</t>
  </si>
  <si>
    <t>13862809</t>
  </si>
  <si>
    <t>5f6ac530-4772-42a8-b946-b936c2679c43</t>
  </si>
  <si>
    <t>27765455139</t>
  </si>
  <si>
    <t>13861534</t>
  </si>
  <si>
    <t>1a6fd79e-5ba4-4e66-9964-b41db37cbf2f</t>
  </si>
  <si>
    <t>2026-05-25 09:07:37</t>
  </si>
  <si>
    <t>27791988128</t>
  </si>
  <si>
    <t>13862805</t>
  </si>
  <si>
    <t>626474d0-337a-401a-ad57-23fbe34340ac</t>
  </si>
  <si>
    <t>27763461625</t>
  </si>
  <si>
    <t>13862782</t>
  </si>
  <si>
    <t>594401e7-331c-4330-8c95-c316f78b4364</t>
  </si>
  <si>
    <t>27728771483</t>
  </si>
  <si>
    <t>13863667</t>
  </si>
  <si>
    <t>b64d2430-d8d2-404e-8786-1b0b44235776</t>
  </si>
  <si>
    <t>27825698344</t>
  </si>
  <si>
    <t>13862779</t>
  </si>
  <si>
    <t>3d19c36d-abf6-4df4-9726-649e46049973</t>
  </si>
  <si>
    <t>2026-05-25 09:07:34</t>
  </si>
  <si>
    <t>27727528195</t>
  </si>
  <si>
    <t>13862777</t>
  </si>
  <si>
    <t>a29f8945-0f99-4c5d-99b7-ffdafbf3eb80</t>
  </si>
  <si>
    <t>2026-05-25 09:07:31</t>
  </si>
  <si>
    <t>27726294238</t>
  </si>
  <si>
    <t>035e3192-d7a7-4249-8fca-d5547462db32</t>
  </si>
  <si>
    <t>27727283381</t>
  </si>
  <si>
    <t>13862661</t>
  </si>
  <si>
    <t>57abda40-2a4e-4c8c-9ce3-d2e022eada89</t>
  </si>
  <si>
    <t>27774517590</t>
  </si>
  <si>
    <t>2026-05-25 09:06:50</t>
  </si>
  <si>
    <t>13862776</t>
  </si>
  <si>
    <t>3fa9ddaf-fa0b-46bb-a185-c7028a895b7c</t>
  </si>
  <si>
    <t>2026-05-25 09:06:42</t>
  </si>
  <si>
    <t>27726115176</t>
  </si>
  <si>
    <t>13862775</t>
  </si>
  <si>
    <t>e4a32d32-2756-4576-a878-6f75b01bd86a</t>
  </si>
  <si>
    <t>27725991324</t>
  </si>
  <si>
    <t>2026-05-25 09:06:34</t>
  </si>
  <si>
    <t>13862772</t>
  </si>
  <si>
    <t>50188cab-da6b-4061-8e26-85dc84abe0e5</t>
  </si>
  <si>
    <t>2026-05-25 09:06:33</t>
  </si>
  <si>
    <t>27724910154</t>
  </si>
  <si>
    <t>13864052</t>
  </si>
  <si>
    <t>d829baed-88ce-4ab5-82a3-fedf67b8f3d4</t>
  </si>
  <si>
    <t>27722122815</t>
  </si>
  <si>
    <t>13864053</t>
  </si>
  <si>
    <t>ac62d662-b993-47fb-a444-32ba63cb3403</t>
  </si>
  <si>
    <t>27722358885</t>
  </si>
  <si>
    <t>13862771</t>
  </si>
  <si>
    <t>d96dd57d-58fc-43d8-ae6a-b4335ee9e02d</t>
  </si>
  <si>
    <t>2026-05-25 09:06:28</t>
  </si>
  <si>
    <t>27724754357</t>
  </si>
  <si>
    <t>13862768</t>
  </si>
  <si>
    <t>3d31e9a8-379d-4ba4-b096-9bd2b462c7ac</t>
  </si>
  <si>
    <t>2026-05-25 09:06:23</t>
  </si>
  <si>
    <t>27722897161</t>
  </si>
  <si>
    <t>13862770</t>
  </si>
  <si>
    <t>59146a25-f4f8-4332-b576-f0817251c775</t>
  </si>
  <si>
    <t>27723698861</t>
  </si>
  <si>
    <t>13862651</t>
  </si>
  <si>
    <t>2fbdbc8f-6d13-471d-98e2-dfbe647d3641</t>
  </si>
  <si>
    <t>27766855862</t>
  </si>
  <si>
    <t>2026-05-25 09:06:19</t>
  </si>
  <si>
    <t>13861640</t>
  </si>
  <si>
    <t>b45751a6-38a2-4822-bf4b-a0e774179afc</t>
  </si>
  <si>
    <t>27713402133</t>
  </si>
  <si>
    <t>2026-05-25 09:06:05</t>
  </si>
  <si>
    <t>13861688</t>
  </si>
  <si>
    <t>617f03d1-9261-4536-b58c-519c435dda5f</t>
  </si>
  <si>
    <t>27766108968</t>
  </si>
  <si>
    <t>2026-05-25 09:06:02</t>
  </si>
  <si>
    <t>13862712</t>
  </si>
  <si>
    <t>278cab7b-43b0-417b-bd2f-8cf0a775e919</t>
  </si>
  <si>
    <t>27636509991</t>
  </si>
  <si>
    <t>13862654</t>
  </si>
  <si>
    <t>4345d6e2-a5cf-49a3-ac2c-890172397966</t>
  </si>
  <si>
    <t>27766995993</t>
  </si>
  <si>
    <t>2026-05-25 09:05:51</t>
  </si>
  <si>
    <t>13862657</t>
  </si>
  <si>
    <t>39157298-ed4f-4451-b0a5-57d0fea1bca6</t>
  </si>
  <si>
    <t>2026-05-25 09:05:40</t>
  </si>
  <si>
    <t>27768789111</t>
  </si>
  <si>
    <t>13862655</t>
  </si>
  <si>
    <t>794d6262-6194-41a2-9e97-717bf93baf50</t>
  </si>
  <si>
    <t>27767411818</t>
  </si>
  <si>
    <t>2026-05-25 09:05:39</t>
  </si>
  <si>
    <t>13862652</t>
  </si>
  <si>
    <t>bf301969-282c-41b1-8274-4789a241e714</t>
  </si>
  <si>
    <t>2026-05-25 09:05:36</t>
  </si>
  <si>
    <t>27766867339</t>
  </si>
  <si>
    <t>13861687</t>
  </si>
  <si>
    <t>884eada7-5cdc-4884-983f-b8517512f3ae</t>
  </si>
  <si>
    <t>2026-05-25 09:04:52</t>
  </si>
  <si>
    <t>27765481085</t>
  </si>
  <si>
    <t>13862644</t>
  </si>
  <si>
    <t>0a28e2ab-c9ea-43d5-8727-5f8b062615a9</t>
  </si>
  <si>
    <t>2026-05-25 09:04:51</t>
  </si>
  <si>
    <t>27765746976</t>
  </si>
  <si>
    <t>13862642</t>
  </si>
  <si>
    <t>d1b25fbd-4631-4123-904f-3b282cb34925</t>
  </si>
  <si>
    <t>2026-05-25 09:04:31</t>
  </si>
  <si>
    <t>27764870951</t>
  </si>
  <si>
    <t>13863979</t>
  </si>
  <si>
    <t>263c3dac-bfcf-4814-93ef-e3c080addb4e</t>
  </si>
  <si>
    <t>27647525611</t>
  </si>
  <si>
    <t>13863973</t>
  </si>
  <si>
    <t>c27642df-50d3-4bf4-9aa2-bb1d6f9ca778</t>
  </si>
  <si>
    <t>2026-05-25 09:04:30</t>
  </si>
  <si>
    <t>27646175953</t>
  </si>
  <si>
    <t>13862155</t>
  </si>
  <si>
    <t>50fc24cc-79ca-4f79-807d-6b20fd7c8252</t>
  </si>
  <si>
    <t>27763092008</t>
  </si>
  <si>
    <t>2026-05-25 09:03:51</t>
  </si>
  <si>
    <t>13862606</t>
  </si>
  <si>
    <t>4baf448e-2ff4-4c2e-80e9-cd173a76d415</t>
  </si>
  <si>
    <t>2026-05-25 09:03:49</t>
  </si>
  <si>
    <t>27723047009</t>
  </si>
  <si>
    <t>13862601</t>
  </si>
  <si>
    <t>a63e8605-dd7f-401a-b452-53e7640e3bfd</t>
  </si>
  <si>
    <t>27721906927</t>
  </si>
  <si>
    <t>2026-05-25 09:03:48</t>
  </si>
  <si>
    <t>13862605</t>
  </si>
  <si>
    <t>f705c00c-ef55-4bc5-bab8-907dd9eb52c5</t>
  </si>
  <si>
    <t>27723042761</t>
  </si>
  <si>
    <t>13863575</t>
  </si>
  <si>
    <t>3b9c19df-c3a5-4714-b15d-bad40e936854</t>
  </si>
  <si>
    <t>27765288263</t>
  </si>
  <si>
    <t>1e5448eb-1da3-44f8-a9b8-44cef7caf39f</t>
  </si>
  <si>
    <t>27825189015</t>
  </si>
  <si>
    <t>13861680</t>
  </si>
  <si>
    <t>431021eb-78f0-462e-8eb5-6cf6956aa0d5</t>
  </si>
  <si>
    <t>27762248386</t>
  </si>
  <si>
    <t>2026-05-25 09:03:35</t>
  </si>
  <si>
    <t>13862604</t>
  </si>
  <si>
    <t>6fd0d01d-f32d-4b6b-a380-74d2d92a3be4</t>
  </si>
  <si>
    <t>2026-05-25 09:02:59</t>
  </si>
  <si>
    <t>27722743925</t>
  </si>
  <si>
    <t>e4496bb2-2c55-42df-b49c-85656bda9e3b</t>
  </si>
  <si>
    <t>2026-05-25 09:02:52</t>
  </si>
  <si>
    <t>27722395501</t>
  </si>
  <si>
    <t>13861678</t>
  </si>
  <si>
    <t>5c8ca293-80dc-4873-ac39-f0ccbe959f0c</t>
  </si>
  <si>
    <t>2026-05-25 09:02:40</t>
  </si>
  <si>
    <t>27762041674</t>
  </si>
  <si>
    <t>13861681</t>
  </si>
  <si>
    <t>002ab9e7-66eb-4c33-8ed0-5f889d4bdc58</t>
  </si>
  <si>
    <t>27762649979</t>
  </si>
  <si>
    <t>13863887</t>
  </si>
  <si>
    <t>3bb0f3c2-628d-4313-9039-5d00ec487a17</t>
  </si>
  <si>
    <t>2026-05-25 09:01:11</t>
  </si>
  <si>
    <t>27797386136</t>
  </si>
  <si>
    <t>13863881</t>
  </si>
  <si>
    <t>3020913d-3851-40f3-88e7-8d676a14930a</t>
  </si>
  <si>
    <t>2026-05-25 09:01:08</t>
  </si>
  <si>
    <t>27795938945</t>
  </si>
  <si>
    <t>13863884</t>
  </si>
  <si>
    <t>7be101ae-5eb9-4591-8c0e-d86b44b72cd3</t>
  </si>
  <si>
    <t>27796690743</t>
  </si>
  <si>
    <t>13863885</t>
  </si>
  <si>
    <t>41ebf512-d049-4462-81da-39fe26f2ea1c</t>
  </si>
  <si>
    <t>27796929637</t>
  </si>
  <si>
    <t>13863886</t>
  </si>
  <si>
    <t>c900ceac-b1a7-45a5-9bf6-b1261d73822c</t>
  </si>
  <si>
    <t>27797128702</t>
  </si>
  <si>
    <t>13861501</t>
  </si>
  <si>
    <t>19f25030-a7ad-4888-bed4-99a54751505d</t>
  </si>
  <si>
    <t>27763076238</t>
  </si>
  <si>
    <t>2026-05-25 08:59:17</t>
  </si>
  <si>
    <t>13862545</t>
  </si>
  <si>
    <t>9a6b811d-0832-4dd2-a1f4-9b0ea5aaa094</t>
  </si>
  <si>
    <t>27607401843</t>
  </si>
  <si>
    <t>2026-05-25 08:58:35</t>
  </si>
  <si>
    <t>13862542</t>
  </si>
  <si>
    <t>ad2c91e9-e85e-43b3-aa38-6c8768203165</t>
  </si>
  <si>
    <t>2026-05-25 08:58:31</t>
  </si>
  <si>
    <t>27606856422</t>
  </si>
  <si>
    <t>13862543</t>
  </si>
  <si>
    <t>d43b8dbc-82d5-4218-b823-d33025d69d63</t>
  </si>
  <si>
    <t>27607267728</t>
  </si>
  <si>
    <t>13862431</t>
  </si>
  <si>
    <t>7edb02a8-dfe5-42e9-accb-64a283bd19e7</t>
  </si>
  <si>
    <t>27721876837</t>
  </si>
  <si>
    <t>2026-05-25 08:57:52</t>
  </si>
  <si>
    <t>13862148</t>
  </si>
  <si>
    <t>c513704d-5926-4870-802f-88690b51dd47</t>
  </si>
  <si>
    <t>2026-05-25 08:57:28</t>
  </si>
  <si>
    <t>27761154090</t>
  </si>
  <si>
    <t>13862458</t>
  </si>
  <si>
    <t>8a4a3b24-7b15-44a4-94b3-e936d9cbd98c</t>
  </si>
  <si>
    <t>27732538122</t>
  </si>
  <si>
    <t>13862459</t>
  </si>
  <si>
    <t>1c5f20ac-fbf7-4c28-8ee6-719c6e01e439</t>
  </si>
  <si>
    <t>27736189958</t>
  </si>
  <si>
    <t>13862454</t>
  </si>
  <si>
    <t>69983afc-19aa-41ed-bcda-75d893a26593</t>
  </si>
  <si>
    <t>2026-05-25 08:57:27</t>
  </si>
  <si>
    <t>27728677359</t>
  </si>
  <si>
    <t>13861524</t>
  </si>
  <si>
    <t>462f112c-a126-484a-bd3b-15e0ac01b569</t>
  </si>
  <si>
    <t>2026-05-25 08:57:26</t>
  </si>
  <si>
    <t>27769542159</t>
  </si>
  <si>
    <t>7e012000-09bf-45bf-8cb9-e3c343bfe1b8</t>
  </si>
  <si>
    <t>2026-05-25 08:57:11</t>
  </si>
  <si>
    <t>27760768942</t>
  </si>
  <si>
    <t>13863804</t>
  </si>
  <si>
    <t>13b50f69-21f5-4c35-a58e-6f0bb5662354</t>
  </si>
  <si>
    <t>27729211583</t>
  </si>
  <si>
    <t>13863805</t>
  </si>
  <si>
    <t>b8a0fbd5-2b46-48a5-85c0-9903204fc309</t>
  </si>
  <si>
    <t>27729250677</t>
  </si>
  <si>
    <t>13862429</t>
  </si>
  <si>
    <t>c71cc622-fa7d-4343-9c04-6945565fd25e</t>
  </si>
  <si>
    <t>2026-05-25 08:56:57</t>
  </si>
  <si>
    <t>27721188335</t>
  </si>
  <si>
    <t>13862430</t>
  </si>
  <si>
    <t>c69ba654-4d1d-4ff9-a314-6453323bd61c</t>
  </si>
  <si>
    <t>27721693611</t>
  </si>
  <si>
    <t>13862412</t>
  </si>
  <si>
    <t>2ab27604-39ea-4c00-9fe0-6d1b7ac79e8d</t>
  </si>
  <si>
    <t>2026-05-25 08:56:40</t>
  </si>
  <si>
    <t>27712042370</t>
  </si>
  <si>
    <t>13863795</t>
  </si>
  <si>
    <t>7b83987d-ce03-4ac1-adef-cf43f56b0000</t>
  </si>
  <si>
    <t>2026-05-25 08:56:36</t>
  </si>
  <si>
    <t>27727664359</t>
  </si>
  <si>
    <t>13861436</t>
  </si>
  <si>
    <t>de6d0b10-c1c7-4045-a61c-73644b318b88</t>
  </si>
  <si>
    <t>2026-05-25 08:56:25</t>
  </si>
  <si>
    <t>27649340974</t>
  </si>
  <si>
    <t>13861855</t>
  </si>
  <si>
    <t>70b8c354-7295-4004-b0a6-d229c9c9fdf6</t>
  </si>
  <si>
    <t>27785854426</t>
  </si>
  <si>
    <t>2026-05-25 08:56:22</t>
  </si>
  <si>
    <t>13862291</t>
  </si>
  <si>
    <t>b0434772-e50b-4ca3-807d-bf50a1d02049</t>
  </si>
  <si>
    <t>2026-05-25 08:56:17</t>
  </si>
  <si>
    <t>27726917626</t>
  </si>
  <si>
    <t>13861630</t>
  </si>
  <si>
    <t>a7dcc1cc-8b41-4fc0-b400-cd3dad47dcc3</t>
  </si>
  <si>
    <t>27711590305</t>
  </si>
  <si>
    <t>2026-05-25 08:56:16</t>
  </si>
  <si>
    <t>13861505</t>
  </si>
  <si>
    <t>f8250376-dfb3-4a69-a446-c339c0d4c75c</t>
  </si>
  <si>
    <t>27765001044</t>
  </si>
  <si>
    <t>13862287</t>
  </si>
  <si>
    <t>f8d6ec45-1aee-43be-ae75-c8a0fb455f27</t>
  </si>
  <si>
    <t>27725698295</t>
  </si>
  <si>
    <t>13862288</t>
  </si>
  <si>
    <t>4380bada-8ba9-49f2-a97a-525150579b8a</t>
  </si>
  <si>
    <t>27725782785</t>
  </si>
  <si>
    <t>13862285</t>
  </si>
  <si>
    <t>2efc2370-7e47-4122-b683-df7d2514c65b</t>
  </si>
  <si>
    <t>2026-05-25 08:56:15</t>
  </si>
  <si>
    <t>27724923860</t>
  </si>
  <si>
    <t>13862286</t>
  </si>
  <si>
    <t>9bb32e9b-057f-4f9f-a518-a54303d08655</t>
  </si>
  <si>
    <t>27725470144</t>
  </si>
  <si>
    <t>13862281</t>
  </si>
  <si>
    <t>35ae7bbf-2664-4f6f-ab8e-6ed134f1dd0a</t>
  </si>
  <si>
    <t>2026-05-25 08:56:13</t>
  </si>
  <si>
    <t>27724287705</t>
  </si>
  <si>
    <t>13862284</t>
  </si>
  <si>
    <t>30b01794-008a-4e7c-90ec-863a4d246e31</t>
  </si>
  <si>
    <t>27724376553</t>
  </si>
  <si>
    <t>13862277</t>
  </si>
  <si>
    <t>d67cea04-88ad-42ef-a743-7a0bd154e28d</t>
  </si>
  <si>
    <t>2026-05-25 08:55:43</t>
  </si>
  <si>
    <t>27722935523</t>
  </si>
  <si>
    <t>13862279</t>
  </si>
  <si>
    <t>015b5e39-540f-43e0-9ed4-e208c670376e</t>
  </si>
  <si>
    <t>27723386024</t>
  </si>
  <si>
    <t>13862280</t>
  </si>
  <si>
    <t>944579cc-fd88-4061-9b20-b8702db1cc24</t>
  </si>
  <si>
    <t>27723691192</t>
  </si>
  <si>
    <t>13863685</t>
  </si>
  <si>
    <t>f63ce2fb-d8bf-4850-bfb7-f65ca1fb720d</t>
  </si>
  <si>
    <t>2026-05-25 08:54:20</t>
  </si>
  <si>
    <t>27607069056</t>
  </si>
  <si>
    <t>13862275</t>
  </si>
  <si>
    <t>52196ce6-5353-4d15-8d94-056c4ca1879d</t>
  </si>
  <si>
    <t>2026-05-25 08:54:09</t>
  </si>
  <si>
    <t>27722505091</t>
  </si>
  <si>
    <t>13862276</t>
  </si>
  <si>
    <t>f9796f5f-5b44-4560-82b5-bc1e2963cca4</t>
  </si>
  <si>
    <t>27722888105</t>
  </si>
  <si>
    <t>13863680</t>
  </si>
  <si>
    <t>2ccffc0e-550f-4a28-9999-47f372232589</t>
  </si>
  <si>
    <t>27844547409</t>
  </si>
  <si>
    <t>2026-05-25 08:54:05</t>
  </si>
  <si>
    <t>13863676</t>
  </si>
  <si>
    <t>829ff257-8a24-49a1-8b45-3f2b895f504f</t>
  </si>
  <si>
    <t>2026-05-25 08:54:02</t>
  </si>
  <si>
    <t>27828334401</t>
  </si>
  <si>
    <t>13862210</t>
  </si>
  <si>
    <t>abeae4f2-3809-475a-b25d-cd6e2f45b054</t>
  </si>
  <si>
    <t>2026-05-25 08:53:51</t>
  </si>
  <si>
    <t>27822912126</t>
  </si>
  <si>
    <t>13863596</t>
  </si>
  <si>
    <t>43f34fb4-35be-4a8a-aba8-b7c3b4aabb0b</t>
  </si>
  <si>
    <t>27774792060</t>
  </si>
  <si>
    <t>13863597</t>
  </si>
  <si>
    <t>d525b1db-0779-4b12-9995-9e87a8c3dec7</t>
  </si>
  <si>
    <t>27782953700</t>
  </si>
  <si>
    <t>13863601</t>
  </si>
  <si>
    <t>f3ffaba7-3a44-4092-8e7c-e215f4d71e23</t>
  </si>
  <si>
    <t>2026-05-25 08:53:50</t>
  </si>
  <si>
    <t>27788288296</t>
  </si>
  <si>
    <t>13862209</t>
  </si>
  <si>
    <t>a5afaf6e-5493-4d72-a1b6-d140508817fa</t>
  </si>
  <si>
    <t>2026-05-25 08:53:45</t>
  </si>
  <si>
    <t>27822305385</t>
  </si>
  <si>
    <t>13862206</t>
  </si>
  <si>
    <t>a0c7326a-287c-4990-abd3-cfa9363af22a</t>
  </si>
  <si>
    <t>2026-05-25 08:53:38</t>
  </si>
  <si>
    <t>27820955806</t>
  </si>
  <si>
    <t>e6309f43-2b5a-4ac3-aa8f-cded1200c7fe</t>
  </si>
  <si>
    <t>27822026198</t>
  </si>
  <si>
    <t>13864637</t>
  </si>
  <si>
    <t>1cc23dcb-deaa-4190-9465-97f0ca95ed06</t>
  </si>
  <si>
    <t>27724176461</t>
  </si>
  <si>
    <t>2026-05-25 08:53:36</t>
  </si>
  <si>
    <t>13862201</t>
  </si>
  <si>
    <t>91eb9bc3-3e88-4051-9b19-80c11a913c61</t>
  </si>
  <si>
    <t>2026-05-25 08:53:15</t>
  </si>
  <si>
    <t>27817982095</t>
  </si>
  <si>
    <t>13862204</t>
  </si>
  <si>
    <t>25dd1f1a-6bc1-4910-a700-6131d5ec5584</t>
  </si>
  <si>
    <t>27818611213</t>
  </si>
  <si>
    <t>9e021016-9b81-48e4-99c7-cace2613fe58</t>
  </si>
  <si>
    <t>27820822242</t>
  </si>
  <si>
    <t>13863568</t>
  </si>
  <si>
    <t>636aee88-a456-4914-a00a-7fadca6f6620</t>
  </si>
  <si>
    <t>2026-05-25 08:51:34</t>
  </si>
  <si>
    <t>27763432679</t>
  </si>
  <si>
    <t>13862196</t>
  </si>
  <si>
    <t>b8b2c53c-0d35-44c3-a068-e490e375acb6</t>
  </si>
  <si>
    <t>2026-05-25 08:51:32</t>
  </si>
  <si>
    <t>27798246368</t>
  </si>
  <si>
    <t>13862192</t>
  </si>
  <si>
    <t>cfc0c5a5-7e19-4d19-9b7d-b2a5f2ee502c</t>
  </si>
  <si>
    <t>2026-05-25 08:51:31</t>
  </si>
  <si>
    <t>27797627006</t>
  </si>
  <si>
    <t>13862195</t>
  </si>
  <si>
    <t>32da8ca1-9ca0-485f-9526-75113f89759f</t>
  </si>
  <si>
    <t>27798119003</t>
  </si>
  <si>
    <t>13863547</t>
  </si>
  <si>
    <t>5bbb7c80-0c6f-4976-8a27-6e22b688dd96</t>
  </si>
  <si>
    <t>2026-05-25 08:49:52</t>
  </si>
  <si>
    <t>27727055157</t>
  </si>
  <si>
    <t>13863548</t>
  </si>
  <si>
    <t>7049ac04-1404-4b4b-9b7c-f89b8d8c1724</t>
  </si>
  <si>
    <t>27727199712</t>
  </si>
  <si>
    <t>13863544</t>
  </si>
  <si>
    <t>181b3da4-4fad-440c-9aca-3f30d28c9445</t>
  </si>
  <si>
    <t>2026-05-25 08:49:51</t>
  </si>
  <si>
    <t>27726753541</t>
  </si>
  <si>
    <t>13861911</t>
  </si>
  <si>
    <t>760dac65-21df-442c-b07f-dc3cf144d688</t>
  </si>
  <si>
    <t>27826322561</t>
  </si>
  <si>
    <t>2026-05-25 08:49:14</t>
  </si>
  <si>
    <t>13861939</t>
  </si>
  <si>
    <t>4e1da33d-b75f-4f43-b1e0-6d150408386f</t>
  </si>
  <si>
    <t>2026-05-25 08:48:34</t>
  </si>
  <si>
    <t>27660011182</t>
  </si>
  <si>
    <t>13861941</t>
  </si>
  <si>
    <t>bba47258-4992-4a6b-a990-0a85c5c2a49d</t>
  </si>
  <si>
    <t>27661002032</t>
  </si>
  <si>
    <t>13862012</t>
  </si>
  <si>
    <t>c53bbb95-e89f-4826-85ff-76fc352792b3</t>
  </si>
  <si>
    <t>27764581994</t>
  </si>
  <si>
    <t>13861938</t>
  </si>
  <si>
    <t>7a871a86-3e91-42d4-a07c-bbc547b77f67</t>
  </si>
  <si>
    <t>2026-05-25 08:48:10</t>
  </si>
  <si>
    <t>27649738058</t>
  </si>
  <si>
    <t>13862010</t>
  </si>
  <si>
    <t>e37c717b-2e70-4be1-a811-f1c527ecb869</t>
  </si>
  <si>
    <t>2026-05-25 08:48:07</t>
  </si>
  <si>
    <t>27764146760</t>
  </si>
  <si>
    <t>13861614</t>
  </si>
  <si>
    <t>ea409d11-c0a3-4733-94d1-277d506323d1</t>
  </si>
  <si>
    <t>2026-05-25 08:48:05</t>
  </si>
  <si>
    <t>27648257027</t>
  </si>
  <si>
    <t>13861921</t>
  </si>
  <si>
    <t>358bb40f-35c2-49ae-b8c8-4767665e6568</t>
  </si>
  <si>
    <t>2026-05-25 08:48:02</t>
  </si>
  <si>
    <t>27837946607</t>
  </si>
  <si>
    <t>13861920</t>
  </si>
  <si>
    <t>ea009eb1-08fe-49ff-81aa-b13ef623614e</t>
  </si>
  <si>
    <t>2026-05-25 08:48:00</t>
  </si>
  <si>
    <t>27837420067</t>
  </si>
  <si>
    <t>13861945</t>
  </si>
  <si>
    <t>4bd03e6d-5eb2-421a-848a-2366fb0f90d5</t>
  </si>
  <si>
    <t>27665036238</t>
  </si>
  <si>
    <t>2026-05-25 08:47:59</t>
  </si>
  <si>
    <t>13861919</t>
  </si>
  <si>
    <t>197040dd-7d42-4ff7-8e0e-2a0842596c32</t>
  </si>
  <si>
    <t>2026-05-25 08:47:58</t>
  </si>
  <si>
    <t>27829041912</t>
  </si>
  <si>
    <t>13861918</t>
  </si>
  <si>
    <t>4bf5740c-9fd2-4937-9a71-f7d8b09b5588</t>
  </si>
  <si>
    <t>2026-05-25 08:47:54</t>
  </si>
  <si>
    <t>27827123927</t>
  </si>
  <si>
    <t>13861613</t>
  </si>
  <si>
    <t>4575d19d-3175-4f14-99a2-c676029019bf</t>
  </si>
  <si>
    <t>2026-05-25 08:47:53</t>
  </si>
  <si>
    <t>27647933232</t>
  </si>
  <si>
    <t>13861916</t>
  </si>
  <si>
    <t>91380cc6-abc2-4293-a163-839c900a25dd</t>
  </si>
  <si>
    <t>27826909432</t>
  </si>
  <si>
    <t>13861912</t>
  </si>
  <si>
    <t>d1d3373f-2af6-4b24-bbe7-9cb36c101cc9</t>
  </si>
  <si>
    <t>27826747474</t>
  </si>
  <si>
    <t>13861612</t>
  </si>
  <si>
    <t>37515e19-32d2-4af4-b509-a95c7f177460</t>
  </si>
  <si>
    <t>2026-05-25 08:47:40</t>
  </si>
  <si>
    <t>27647859683</t>
  </si>
  <si>
    <t>13862472</t>
  </si>
  <si>
    <t>5cc7d8b5-8e2b-44a7-8698-d87873c1e15f</t>
  </si>
  <si>
    <t>27765267944</t>
  </si>
  <si>
    <t>2026-05-25 08:47:12</t>
  </si>
  <si>
    <t>13861905</t>
  </si>
  <si>
    <t>a887de57-87e6-4fe7-aed2-f537aec1a333</t>
  </si>
  <si>
    <t>2026-05-25 08:47:11</t>
  </si>
  <si>
    <t>27824466846</t>
  </si>
  <si>
    <t>13861903</t>
  </si>
  <si>
    <t>138b125e-b2ce-46af-8d1c-d05feb6556a8</t>
  </si>
  <si>
    <t>2026-05-25 08:47:10</t>
  </si>
  <si>
    <t>27823719317</t>
  </si>
  <si>
    <t>13861897</t>
  </si>
  <si>
    <t>b5ac6733-3725-4199-9891-df634d96520b</t>
  </si>
  <si>
    <t>2026-05-25 08:47:07</t>
  </si>
  <si>
    <t>27820896557</t>
  </si>
  <si>
    <t>13861898</t>
  </si>
  <si>
    <t>9bec1b52-209e-403a-976e-d6c51811ea78</t>
  </si>
  <si>
    <t>27822368707</t>
  </si>
  <si>
    <t>13861900</t>
  </si>
  <si>
    <t>cd0150e5-d9e4-47a8-9db1-f5c0b8aefd68</t>
  </si>
  <si>
    <t>27822996632</t>
  </si>
  <si>
    <t>13861901</t>
  </si>
  <si>
    <t>0d987428-588a-43ac-b7c9-f33b393bfd6c</t>
  </si>
  <si>
    <t>27823028855</t>
  </si>
  <si>
    <t>13861902</t>
  </si>
  <si>
    <t>96b5de84-e6cb-48e4-b16e-a932755b5392</t>
  </si>
  <si>
    <t>27823639089</t>
  </si>
  <si>
    <t>13863223</t>
  </si>
  <si>
    <t>909d1efa-66c9-4d4d-814d-bcc59e0a7613</t>
  </si>
  <si>
    <t>2026-05-25 08:47:02</t>
  </si>
  <si>
    <t>27829770071</t>
  </si>
  <si>
    <t>13861896</t>
  </si>
  <si>
    <t>9d5d7ffd-a236-4de1-bb56-ba504085d978</t>
  </si>
  <si>
    <t>2026-05-25 08:46:55</t>
  </si>
  <si>
    <t>27820661503</t>
  </si>
  <si>
    <t>13861606</t>
  </si>
  <si>
    <t>a227257d-80e6-4e54-bc62-25123eda9371</t>
  </si>
  <si>
    <t>2026-05-25 08:46:48</t>
  </si>
  <si>
    <t>27637108990</t>
  </si>
  <si>
    <t>13861608</t>
  </si>
  <si>
    <t>badb43ac-2c25-4335-ad62-d8cb62157c6f</t>
  </si>
  <si>
    <t>27646212297</t>
  </si>
  <si>
    <t>13861887</t>
  </si>
  <si>
    <t>84144901-dbcd-406c-b190-c1431c8414c6</t>
  </si>
  <si>
    <t>2026-05-25 08:46:36</t>
  </si>
  <si>
    <t>27797432467</t>
  </si>
  <si>
    <t>13861812</t>
  </si>
  <si>
    <t>9215c244-b74b-4ea5-aab4-988091e20ba2</t>
  </si>
  <si>
    <t>27723184466</t>
  </si>
  <si>
    <t>2026-05-25 08:46:30</t>
  </si>
  <si>
    <t>13861813</t>
  </si>
  <si>
    <t>1e8b61d4-1d5b-411c-bd3c-1654ed2c990b</t>
  </si>
  <si>
    <t>27723478250</t>
  </si>
  <si>
    <t>13861457</t>
  </si>
  <si>
    <t>61d57d9c-ac42-408e-882e-cd37bb13674b</t>
  </si>
  <si>
    <t>2026-05-25 08:46:29</t>
  </si>
  <si>
    <t>27716676682</t>
  </si>
  <si>
    <t>13864651</t>
  </si>
  <si>
    <t>f3755e80-cb1d-45ee-94d7-71d7cbcde6ab</t>
  </si>
  <si>
    <t>2026-05-25 08:46:24</t>
  </si>
  <si>
    <t>27726967952</t>
  </si>
  <si>
    <t>13864643</t>
  </si>
  <si>
    <t>62690d0c-2c01-40e8-abae-6585299d2996</t>
  </si>
  <si>
    <t>2026-05-25 08:46:23</t>
  </si>
  <si>
    <t>27724880096</t>
  </si>
  <si>
    <t>13864644</t>
  </si>
  <si>
    <t>4c67a7cb-5499-4912-8e7c-00e24276ad27</t>
  </si>
  <si>
    <t>27724939584</t>
  </si>
  <si>
    <t>13864646</t>
  </si>
  <si>
    <t>ddcacb15-be3c-4fd6-af0d-b0ddd9171e38</t>
  </si>
  <si>
    <t>27725345855</t>
  </si>
  <si>
    <t>13864649</t>
  </si>
  <si>
    <t>acb1e61b-c490-4e18-b0c3-3789236f686a</t>
  </si>
  <si>
    <t>27726442831</t>
  </si>
  <si>
    <t>13864641</t>
  </si>
  <si>
    <t>a92ab5a4-85fb-45c6-96a8-9bd225892a34</t>
  </si>
  <si>
    <t>2026-05-25 08:46:12</t>
  </si>
  <si>
    <t>27724581388</t>
  </si>
  <si>
    <t>13864642</t>
  </si>
  <si>
    <t>fa5aa04a-209b-4335-b776-0ee90f08f88a</t>
  </si>
  <si>
    <t>27724642642</t>
  </si>
  <si>
    <t>13861654</t>
  </si>
  <si>
    <t>4a9c3937-c7de-4165-b3c3-b2d9dc48346a</t>
  </si>
  <si>
    <t>27721492786</t>
  </si>
  <si>
    <t>2026-05-25 08:45:41</t>
  </si>
  <si>
    <t>13864640</t>
  </si>
  <si>
    <t>7a533f85-fdd8-4908-a47e-509a0cc3df2f</t>
  </si>
  <si>
    <t>2026-05-25 08:45:26</t>
  </si>
  <si>
    <t>27724572371</t>
  </si>
  <si>
    <t>13864639</t>
  </si>
  <si>
    <t>ae6ef7ea-a262-4566-be27-b3cf8bd20aab</t>
  </si>
  <si>
    <t>2026-05-25 08:45:19</t>
  </si>
  <si>
    <t>27724527525</t>
  </si>
  <si>
    <t>13864638</t>
  </si>
  <si>
    <t>de803fc9-009f-4f63-a912-7b7256e01f03</t>
  </si>
  <si>
    <t>2026-05-25 08:45:14</t>
  </si>
  <si>
    <t>27724392325</t>
  </si>
  <si>
    <t>13864636</t>
  </si>
  <si>
    <t>6100cf1c-70f0-4346-87df-41054a195313</t>
  </si>
  <si>
    <t>2026-05-25 08:45:00</t>
  </si>
  <si>
    <t>27724092280</t>
  </si>
  <si>
    <t>13861809</t>
  </si>
  <si>
    <t>f4d6981a-017c-4843-b2b4-789febc19730</t>
  </si>
  <si>
    <t>2026-05-25 08:44:55</t>
  </si>
  <si>
    <t>27722058200</t>
  </si>
  <si>
    <t>13863153</t>
  </si>
  <si>
    <t>172deb03-c6de-4f69-8f9f-aeee43efbaca</t>
  </si>
  <si>
    <t>27769653435</t>
  </si>
  <si>
    <t>13864627</t>
  </si>
  <si>
    <t>9aa5b91d-73ed-415d-a19b-c6b9a6685145</t>
  </si>
  <si>
    <t>27722923045</t>
  </si>
  <si>
    <t>13863124</t>
  </si>
  <si>
    <t>85058cf6-6bb7-4722-99d6-11a29f19d3fc</t>
  </si>
  <si>
    <t>2026-05-25 08:44:17</t>
  </si>
  <si>
    <t>27760667023</t>
  </si>
  <si>
    <t>13863123</t>
  </si>
  <si>
    <t>8972f5e5-c938-4145-9eb1-25a6d7eaac8b</t>
  </si>
  <si>
    <t>2026-05-25 08:44:15</t>
  </si>
  <si>
    <t>27760567861</t>
  </si>
  <si>
    <t>13864558</t>
  </si>
  <si>
    <t>25e2ca47-6e6f-4d0e-b0f5-bac18448451d</t>
  </si>
  <si>
    <t>27663570430</t>
  </si>
  <si>
    <t>13864555</t>
  </si>
  <si>
    <t>33c30204-4ecc-4880-bbac-00114930bc34</t>
  </si>
  <si>
    <t>2026-05-25 08:44:00</t>
  </si>
  <si>
    <t>27661456802</t>
  </si>
  <si>
    <t>13863122</t>
  </si>
  <si>
    <t>88de8797-04c0-4c58-a76c-2c74ba973b24</t>
  </si>
  <si>
    <t>2026-05-25 08:43:57</t>
  </si>
  <si>
    <t>27760396420</t>
  </si>
  <si>
    <t>13863119</t>
  </si>
  <si>
    <t>01f0f77f-8766-4654-93f8-a38678ce3ac5</t>
  </si>
  <si>
    <t>2026-05-25 08:43:50</t>
  </si>
  <si>
    <t>27733181141</t>
  </si>
  <si>
    <t>13863120</t>
  </si>
  <si>
    <t>bf04d740-7151-45c2-9cf7-b85ed82859c2</t>
  </si>
  <si>
    <t>27733771502</t>
  </si>
  <si>
    <t>13863121</t>
  </si>
  <si>
    <t>e29e18cf-e4c4-41b0-b7a0-17a34d35aafe</t>
  </si>
  <si>
    <t>27734662884</t>
  </si>
  <si>
    <t>13864548</t>
  </si>
  <si>
    <t>1174cde5-7b21-4058-a807-fb8483a84849</t>
  </si>
  <si>
    <t>2026-05-25 08:43:28</t>
  </si>
  <si>
    <t>27648816904</t>
  </si>
  <si>
    <t>13864550</t>
  </si>
  <si>
    <t>55897ef2-35b3-4012-b53d-e347e03d488f</t>
  </si>
  <si>
    <t>27649252720</t>
  </si>
  <si>
    <t>13863109</t>
  </si>
  <si>
    <t>80788d6f-c045-482f-9850-40d03f0703db</t>
  </si>
  <si>
    <t>2026-05-25 08:43:06</t>
  </si>
  <si>
    <t>27728759388</t>
  </si>
  <si>
    <t>13863112</t>
  </si>
  <si>
    <t>47ce066d-0fb6-4ab0-9054-5e92e80a8058</t>
  </si>
  <si>
    <t>27729309559</t>
  </si>
  <si>
    <t>13863118</t>
  </si>
  <si>
    <t>8278f160-980f-44da-9a3b-779cd93e638f</t>
  </si>
  <si>
    <t>27732276416</t>
  </si>
  <si>
    <t>13864547</t>
  </si>
  <si>
    <t>4f561401-829d-4381-8954-626ccdf7886f</t>
  </si>
  <si>
    <t>27648650574</t>
  </si>
  <si>
    <t>13861549</t>
  </si>
  <si>
    <t>95974aa0-74e6-4903-bfbc-5a31cc8a32f0</t>
  </si>
  <si>
    <t>2026-05-25 08:41:20</t>
  </si>
  <si>
    <t>27795945147</t>
  </si>
  <si>
    <t>13861915</t>
  </si>
  <si>
    <t>de0850d4-fd75-4641-b5f7-9ba9b6ad3a67</t>
  </si>
  <si>
    <t>2026-05-25 08:41:03</t>
  </si>
  <si>
    <t>27826856019</t>
  </si>
  <si>
    <t>13861607</t>
  </si>
  <si>
    <t>a07c7c9a-5c5c-451b-b1bf-7472fe2bd7c8</t>
  </si>
  <si>
    <t>2026-05-25 08:41:02</t>
  </si>
  <si>
    <t>27646208931</t>
  </si>
  <si>
    <t>13861770</t>
  </si>
  <si>
    <t>9f2d98af-2231-4636-b01b-d9b619a84ce6</t>
  </si>
  <si>
    <t>27648442221</t>
  </si>
  <si>
    <t>13861712</t>
  </si>
  <si>
    <t>abc2f909-79a3-473f-ab13-6fbc6d7ec54c</t>
  </si>
  <si>
    <t>27791132803</t>
  </si>
  <si>
    <t>2026-05-25 08:40:46</t>
  </si>
  <si>
    <t>13861529</t>
  </si>
  <si>
    <t>b796a527-157e-4bd7-af44-00838f8c13eb</t>
  </si>
  <si>
    <t>2026-05-25 08:40:20</t>
  </si>
  <si>
    <t>27774391233</t>
  </si>
  <si>
    <t>13864487</t>
  </si>
  <si>
    <t>5afe7bc5-3fbb-4691-9958-1913765fb6b6</t>
  </si>
  <si>
    <t>27818073339</t>
  </si>
  <si>
    <t>13864485</t>
  </si>
  <si>
    <t>e55a3905-0d1f-4484-a003-bb386c877f06</t>
  </si>
  <si>
    <t>AF</t>
  </si>
  <si>
    <t>Cannot Afford</t>
  </si>
  <si>
    <t>2026-05-25 08:40:16</t>
  </si>
  <si>
    <t>27799590828</t>
  </si>
  <si>
    <t>13861715</t>
  </si>
  <si>
    <t>bec55173-a2c4-4c7c-a89b-bb75ed7c9801</t>
  </si>
  <si>
    <t>2026-05-25 08:40:15</t>
  </si>
  <si>
    <t>27792798333</t>
  </si>
  <si>
    <t>13861857</t>
  </si>
  <si>
    <t>05941b73-352e-4454-8518-116a23fd39ec</t>
  </si>
  <si>
    <t>2026-05-25 08:40:03</t>
  </si>
  <si>
    <t>27790265334</t>
  </si>
  <si>
    <t>13861713</t>
  </si>
  <si>
    <t>5f07f445-c5a1-487c-9641-9227fa312a37</t>
  </si>
  <si>
    <t>2026-05-25 08:39:56</t>
  </si>
  <si>
    <t>27792103146</t>
  </si>
  <si>
    <t>e697a14e-4221-43a3-ae1b-627e7724d087</t>
  </si>
  <si>
    <t>27769746741</t>
  </si>
  <si>
    <t>2026-05-25 08:39:45</t>
  </si>
  <si>
    <t>13863023</t>
  </si>
  <si>
    <t>b0b59768-48dd-4960-a8f3-7491f429923f</t>
  </si>
  <si>
    <t>2026-05-25 08:39:10</t>
  </si>
  <si>
    <t>27766926945</t>
  </si>
  <si>
    <t>13863024</t>
  </si>
  <si>
    <t>8ec3bf6e-f6b1-4eb1-a6e0-3ba664bf316e</t>
  </si>
  <si>
    <t>27767222244</t>
  </si>
  <si>
    <t>13861527</t>
  </si>
  <si>
    <t>94607456-69d7-40d2-94d8-59651f117388</t>
  </si>
  <si>
    <t>2026-05-25 08:38:54</t>
  </si>
  <si>
    <t>27769683872</t>
  </si>
  <si>
    <t>13861655</t>
  </si>
  <si>
    <t>0448beaf-a7cf-4989-98f4-e1985a678637</t>
  </si>
  <si>
    <t>27722742006</t>
  </si>
  <si>
    <t>2026-05-25 08:38:50</t>
  </si>
  <si>
    <t>13863116</t>
  </si>
  <si>
    <t>527b483c-815e-468e-bc0e-71a70bcb678a</t>
  </si>
  <si>
    <t>2026-05-25 08:38:44</t>
  </si>
  <si>
    <t>27731744837</t>
  </si>
  <si>
    <t>13861653</t>
  </si>
  <si>
    <t>1e1f0186-53ff-4462-9268-41058a8864de</t>
  </si>
  <si>
    <t>2026-05-25 08:38:32</t>
  </si>
  <si>
    <t>27721090430</t>
  </si>
  <si>
    <t>13861652</t>
  </si>
  <si>
    <t>b9ee8580-f395-4e31-a6f3-32790eabe1ad</t>
  </si>
  <si>
    <t>2026-05-25 08:38:28</t>
  </si>
  <si>
    <t>27721037287</t>
  </si>
  <si>
    <t>13861500</t>
  </si>
  <si>
    <t>aae5068e-7e2d-4708-8e10-cb8ab78e7353</t>
  </si>
  <si>
    <t>2026-05-25 08:38:27</t>
  </si>
  <si>
    <t>27762764530</t>
  </si>
  <si>
    <t>13861499</t>
  </si>
  <si>
    <t>9dc22067-f516-420a-a908-e969dbe87c9b</t>
  </si>
  <si>
    <t>2026-05-25 08:38:23</t>
  </si>
  <si>
    <t>27762228981</t>
  </si>
  <si>
    <t>13863114</t>
  </si>
  <si>
    <t>92614002-314e-43a8-bb1c-578eca5ecdc2</t>
  </si>
  <si>
    <t>27729604169</t>
  </si>
  <si>
    <t>13861497</t>
  </si>
  <si>
    <t>182d1525-f2f3-4f95-83fb-3f23ed7de849</t>
  </si>
  <si>
    <t>2026-05-25 08:38:22</t>
  </si>
  <si>
    <t>27762054707</t>
  </si>
  <si>
    <t>13861491</t>
  </si>
  <si>
    <t>caea2894-932c-411e-a71c-bfacaeb1293a</t>
  </si>
  <si>
    <t>27735389966</t>
  </si>
  <si>
    <t>2026-05-25 08:38:15</t>
  </si>
  <si>
    <t>13863113</t>
  </si>
  <si>
    <t>4f20bcf5-abcb-4537-9388-0ecfde53fa20</t>
  </si>
  <si>
    <t>2026-05-25 08:38:12</t>
  </si>
  <si>
    <t>27729459117</t>
  </si>
  <si>
    <t>13861489</t>
  </si>
  <si>
    <t>5d14def0-4c50-4123-af3d-8f7343b08d68</t>
  </si>
  <si>
    <t>2026-05-25 08:38:06</t>
  </si>
  <si>
    <t>27729628294</t>
  </si>
  <si>
    <t>13861645</t>
  </si>
  <si>
    <t>ff09bc17-8544-484b-ac9e-809cf21b3616</t>
  </si>
  <si>
    <t>27715352538</t>
  </si>
  <si>
    <t>13862868</t>
  </si>
  <si>
    <t>98a79738-98fe-435c-a51d-59cd937f9911</t>
  </si>
  <si>
    <t>27823833183</t>
  </si>
  <si>
    <t>13862854</t>
  </si>
  <si>
    <t>1dfac979-d6f5-4fe0-b246-12fe0932bff3</t>
  </si>
  <si>
    <t>27798022833</t>
  </si>
  <si>
    <t>2026-05-25 08:37:56</t>
  </si>
  <si>
    <t>13861642</t>
  </si>
  <si>
    <t>53c55d9c-c4fe-4d39-8fc0-ffed59650253</t>
  </si>
  <si>
    <t>2026-05-25 08:37:28</t>
  </si>
  <si>
    <t>27714647617</t>
  </si>
  <si>
    <t>13862859</t>
  </si>
  <si>
    <t>0c0590be-c9b7-43e7-8f66-5605152bc2b3</t>
  </si>
  <si>
    <t>2026-05-25 08:37:18</t>
  </si>
  <si>
    <t>27799582660</t>
  </si>
  <si>
    <t>13862863</t>
  </si>
  <si>
    <t>0224b0cb-17e6-422a-a3e0-37a70ee5c177</t>
  </si>
  <si>
    <t>27822042064</t>
  </si>
  <si>
    <t>13862864</t>
  </si>
  <si>
    <t>8b206dcb-d331-4319-8c65-13745f1a3236</t>
  </si>
  <si>
    <t>27822571804</t>
  </si>
  <si>
    <t>13862866</t>
  </si>
  <si>
    <t>5f7d51ab-b88e-4a4b-b195-809ac3cdfdc6</t>
  </si>
  <si>
    <t>27823173009</t>
  </si>
  <si>
    <t>13862856</t>
  </si>
  <si>
    <t>08359770-bb27-4b8b-8b1f-a3f7a68eb3e0</t>
  </si>
  <si>
    <t>2026-05-25 08:37:11</t>
  </si>
  <si>
    <t>27798286949</t>
  </si>
  <si>
    <t>13862857</t>
  </si>
  <si>
    <t>26d6c97b-2a39-4b20-97dd-10329d6bca51</t>
  </si>
  <si>
    <t>27799184343</t>
  </si>
  <si>
    <t>13862858</t>
  </si>
  <si>
    <t>ad6b1e51-9f93-4331-961b-337ce0fd76f8</t>
  </si>
  <si>
    <t>27799381865</t>
  </si>
  <si>
    <t>13862853</t>
  </si>
  <si>
    <t>dfadb242-64a7-4592-b7be-db89368d8e3b</t>
  </si>
  <si>
    <t>2026-05-25 08:36:41</t>
  </si>
  <si>
    <t>27796797050</t>
  </si>
  <si>
    <t>2425e377-9683-4f7d-9270-7ee14061121f</t>
  </si>
  <si>
    <t>2026-05-25 08:36:39</t>
  </si>
  <si>
    <t>27796386527</t>
  </si>
  <si>
    <t>13862851</t>
  </si>
  <si>
    <t>a779f0b6-76a7-4d8a-9451-42adb54c8c67</t>
  </si>
  <si>
    <t>2026-05-25 08:36:38</t>
  </si>
  <si>
    <t>27796371211</t>
  </si>
  <si>
    <t>13862849</t>
  </si>
  <si>
    <t>1d607d17-3932-452e-b6e8-3febf1abc984</t>
  </si>
  <si>
    <t>2026-05-25 08:36:37</t>
  </si>
  <si>
    <t>27795558591</t>
  </si>
  <si>
    <t>13862850</t>
  </si>
  <si>
    <t>bad88361-192e-4139-b85f-cb81352ace26</t>
  </si>
  <si>
    <t>27796124762</t>
  </si>
  <si>
    <t>13862846</t>
  </si>
  <si>
    <t>c8751976-bf26-41ce-9659-1d9a042db3f2</t>
  </si>
  <si>
    <t>2026-05-25 08:36:34</t>
  </si>
  <si>
    <t>27792402902</t>
  </si>
  <si>
    <t>13862702</t>
  </si>
  <si>
    <t>8503737c-c4f2-4ce6-9054-2880aefe11f2</t>
  </si>
  <si>
    <t>2026-05-25 08:36:27</t>
  </si>
  <si>
    <t>27843008247</t>
  </si>
  <si>
    <t>13862694</t>
  </si>
  <si>
    <t>0c3afea7-d219-4bee-96e5-04c937e98a54</t>
  </si>
  <si>
    <t>2026-05-25 08:36:21</t>
  </si>
  <si>
    <t>27827520042</t>
  </si>
  <si>
    <t>13862695</t>
  </si>
  <si>
    <t>0d05c812-7dfc-409e-9584-49940e46be2b</t>
  </si>
  <si>
    <t>27827585044</t>
  </si>
  <si>
    <t>13862696</t>
  </si>
  <si>
    <t>f1e815e4-3a8b-4ab8-86d3-5bdfd264178b</t>
  </si>
  <si>
    <t>27828271973</t>
  </si>
  <si>
    <t>13862697</t>
  </si>
  <si>
    <t>db92f0c2-5eac-4d4a-9b73-bb2a6dff5b9d</t>
  </si>
  <si>
    <t>27828523878</t>
  </si>
  <si>
    <t>13864089</t>
  </si>
  <si>
    <t>44058a6c-94bd-4b29-bd0f-cb77a36ff424</t>
  </si>
  <si>
    <t>27729671570</t>
  </si>
  <si>
    <t>2026-05-25 08:35:51</t>
  </si>
  <si>
    <t>13861696</t>
  </si>
  <si>
    <t>d07cb7d6-9432-49d3-bd5e-54a914aea166</t>
  </si>
  <si>
    <t>2026-05-25 08:35:33</t>
  </si>
  <si>
    <t>27768037038</t>
  </si>
  <si>
    <t>13862693</t>
  </si>
  <si>
    <t>f8c9e938-2dfd-40a2-90b8-16240099a8b6</t>
  </si>
  <si>
    <t>2026-05-25 08:35:30</t>
  </si>
  <si>
    <t>27826349191</t>
  </si>
  <si>
    <t>13862689</t>
  </si>
  <si>
    <t>b3dd4cb7-32c3-4634-aa3a-5447ec66f2cf</t>
  </si>
  <si>
    <t>2026-05-25 08:35:25</t>
  </si>
  <si>
    <t>27824298952</t>
  </si>
  <si>
    <t>13862690</t>
  </si>
  <si>
    <t>f0124dec-6954-4716-ba0b-0ad8fda36232</t>
  </si>
  <si>
    <t>27824715435</t>
  </si>
  <si>
    <t>13861695</t>
  </si>
  <si>
    <t>0d505b69-2afe-4623-91b0-cf01a95896cb</t>
  </si>
  <si>
    <t>27767465573</t>
  </si>
  <si>
    <t>2026-05-25 08:35:06</t>
  </si>
  <si>
    <t>13862688</t>
  </si>
  <si>
    <t>cb7befc0-e0e3-4b94-a511-2037886126ea</t>
  </si>
  <si>
    <t>2026-05-25 08:35:05</t>
  </si>
  <si>
    <t>27823356808</t>
  </si>
  <si>
    <t>13862686</t>
  </si>
  <si>
    <t>d29bc88b-45d0-4299-a017-5f616c4e16be</t>
  </si>
  <si>
    <t>2026-05-25 08:34:58</t>
  </si>
  <si>
    <t>27820834881</t>
  </si>
  <si>
    <t>13862683</t>
  </si>
  <si>
    <t>e69d0353-f300-457a-b6f0-5d63e9d57583</t>
  </si>
  <si>
    <t>2026-05-25 08:34:52</t>
  </si>
  <si>
    <t>27818946500</t>
  </si>
  <si>
    <t>13862684</t>
  </si>
  <si>
    <t>5a1d3b97-8de8-4b48-a849-cab80ac33968</t>
  </si>
  <si>
    <t>27820422780</t>
  </si>
  <si>
    <t>13862685</t>
  </si>
  <si>
    <t>3d86b9f4-39c6-4584-99f1-77a241b67f17</t>
  </si>
  <si>
    <t>27820741329</t>
  </si>
  <si>
    <t>13862682</t>
  </si>
  <si>
    <t>b68921d7-ec87-4c8d-9ea9-0a026e19e4ae</t>
  </si>
  <si>
    <t>2026-05-25 08:34:51</t>
  </si>
  <si>
    <t>27818671610</t>
  </si>
  <si>
    <t>13862680</t>
  </si>
  <si>
    <t>8dcd483c-c984-433d-b508-c87bf169cdf6</t>
  </si>
  <si>
    <t>2026-05-25 08:34:50</t>
  </si>
  <si>
    <t>27799992918</t>
  </si>
  <si>
    <t>13862679</t>
  </si>
  <si>
    <t>a4ab0ab1-06ca-4d5b-a0e2-ebdb5aa80a8a</t>
  </si>
  <si>
    <t>2026-05-25 08:34:46</t>
  </si>
  <si>
    <t>27799860938</t>
  </si>
  <si>
    <t>13862677</t>
  </si>
  <si>
    <t>a0fbb852-631b-40ec-b4f7-2bff5d02e527</t>
  </si>
  <si>
    <t>2026-05-25 08:34:39</t>
  </si>
  <si>
    <t>27799513332</t>
  </si>
  <si>
    <t>13862678</t>
  </si>
  <si>
    <t>9106e221-7087-4468-a1d9-e78459a14524</t>
  </si>
  <si>
    <t>27799832055</t>
  </si>
  <si>
    <t>13862676</t>
  </si>
  <si>
    <t>66006d25-97e4-4020-9325-bddb6f1e637d</t>
  </si>
  <si>
    <t>2026-05-25 08:34:10</t>
  </si>
  <si>
    <t>27798755195</t>
  </si>
  <si>
    <t>13862675</t>
  </si>
  <si>
    <t>34ad57e8-9f0e-4fd7-9662-a1b0a2b83e04</t>
  </si>
  <si>
    <t>2026-05-25 08:34:09</t>
  </si>
  <si>
    <t>27797815103</t>
  </si>
  <si>
    <t>13862674</t>
  </si>
  <si>
    <t>519765fc-f8b3-438b-bcd0-384c357a6e6d</t>
  </si>
  <si>
    <t>27797288173</t>
  </si>
  <si>
    <t>2026-05-25 08:33:58</t>
  </si>
  <si>
    <t>13861485</t>
  </si>
  <si>
    <t>48cba8b1-0ec0-4ea6-8842-0e28043fd380</t>
  </si>
  <si>
    <t>2026-05-25 08:33:52</t>
  </si>
  <si>
    <t>27728187184</t>
  </si>
  <si>
    <t>13862658</t>
  </si>
  <si>
    <t>a578c693-94dc-4fa3-a7d4-3edf83146745</t>
  </si>
  <si>
    <t>27768832581</t>
  </si>
  <si>
    <t>13864170</t>
  </si>
  <si>
    <t>d8e00080-9e85-49ed-8d6c-155a9c032782</t>
  </si>
  <si>
    <t>2026-05-25 08:33:21</t>
  </si>
  <si>
    <t>27791556474</t>
  </si>
  <si>
    <t>13864165</t>
  </si>
  <si>
    <t>72f124e8-21aa-43c3-945b-08c88812f87b</t>
  </si>
  <si>
    <t>2026-05-25 08:33:17</t>
  </si>
  <si>
    <t>27790661667</t>
  </si>
  <si>
    <t>13864166</t>
  </si>
  <si>
    <t>cc3aa336-1dfc-4b9e-bf8b-de0be616a5f5</t>
  </si>
  <si>
    <t>27790676521</t>
  </si>
  <si>
    <t>13864168</t>
  </si>
  <si>
    <t>ff62aad2-ca18-4828-97a1-b4f65c9bf640</t>
  </si>
  <si>
    <t>27791445261</t>
  </si>
  <si>
    <t>13862613</t>
  </si>
  <si>
    <t>7a713056-4bc1-454b-b4f6-2ce22e212bc4</t>
  </si>
  <si>
    <t>2026-05-25 08:33:04</t>
  </si>
  <si>
    <t>27724752437</t>
  </si>
  <si>
    <t>13862612</t>
  </si>
  <si>
    <t>749a58d2-17d0-4bea-a969-f0a911028473</t>
  </si>
  <si>
    <t>2026-05-25 08:32:57</t>
  </si>
  <si>
    <t>27724543686</t>
  </si>
  <si>
    <t>13862611</t>
  </si>
  <si>
    <t>80b9a5da-939e-4191-b086-5fd1e2fb03b8</t>
  </si>
  <si>
    <t>2026-05-25 08:32:56</t>
  </si>
  <si>
    <t>27724390531</t>
  </si>
  <si>
    <t>13864647</t>
  </si>
  <si>
    <t>9f1ec134-494f-4e4d-a60a-c376ce095766</t>
  </si>
  <si>
    <t>2026-05-25 08:32:41</t>
  </si>
  <si>
    <t>27725999280</t>
  </si>
  <si>
    <t>13862609</t>
  </si>
  <si>
    <t>2be35db5-3f60-40bd-b9b4-8bdfece79a8f</t>
  </si>
  <si>
    <t>27724122099</t>
  </si>
  <si>
    <t>2026-05-25 08:32:40</t>
  </si>
  <si>
    <t>13864159</t>
  </si>
  <si>
    <t>ae2b60a1-c5f4-48e3-a4c2-46a5da94a995</t>
  </si>
  <si>
    <t>27772786211</t>
  </si>
  <si>
    <t>13864156</t>
  </si>
  <si>
    <t>a5d978d5-6c95-4e5e-9b5f-97b392871b5a</t>
  </si>
  <si>
    <t>2026-05-25 08:31:30</t>
  </si>
  <si>
    <t>27769643312</t>
  </si>
  <si>
    <t>13864153</t>
  </si>
  <si>
    <t>aa005a6d-91fe-48e9-b8a3-4c3544ecdde4</t>
  </si>
  <si>
    <t>2026-05-25 08:31:25</t>
  </si>
  <si>
    <t>27769138684</t>
  </si>
  <si>
    <t>13864155</t>
  </si>
  <si>
    <t>df5df55c-56e0-4c86-a24b-e2f1e025d908</t>
  </si>
  <si>
    <t>27769591243</t>
  </si>
  <si>
    <t>13864120</t>
  </si>
  <si>
    <t>62204079-ef4a-4869-8891-26527e1a2de7</t>
  </si>
  <si>
    <t>2026-05-25 08:31:13</t>
  </si>
  <si>
    <t>27765859188</t>
  </si>
  <si>
    <t>13862573</t>
  </si>
  <si>
    <t>63b23731-0e74-4ab5-a39f-7663c0a16c52</t>
  </si>
  <si>
    <t>2026-05-25 08:31:11</t>
  </si>
  <si>
    <t>27665896203</t>
  </si>
  <si>
    <t>13864116</t>
  </si>
  <si>
    <t>d5b28c7a-537f-4a7a-8160-6a9f75c82dd3</t>
  </si>
  <si>
    <t>27765309859</t>
  </si>
  <si>
    <t>13864117</t>
  </si>
  <si>
    <t>0bcadae8-2170-4bd6-8793-16ada0f11f5b</t>
  </si>
  <si>
    <t>27765412259</t>
  </si>
  <si>
    <t>13864119</t>
  </si>
  <si>
    <t>5ebd690d-f4ce-4ef3-a293-275051773a00</t>
  </si>
  <si>
    <t>27765578708</t>
  </si>
  <si>
    <t>13862572</t>
  </si>
  <si>
    <t>b95aefd8-2990-44ae-8639-5cd9c115d90e</t>
  </si>
  <si>
    <t>2026-05-25 08:31:02</t>
  </si>
  <si>
    <t>27665816740</t>
  </si>
  <si>
    <t>13861469</t>
  </si>
  <si>
    <t>1437476e-d295-4749-811b-010a89cedb40</t>
  </si>
  <si>
    <t>27724230827</t>
  </si>
  <si>
    <t>2026-05-25 08:30:59</t>
  </si>
  <si>
    <t>13862555</t>
  </si>
  <si>
    <t>ddff2ae8-13ed-45d3-a647-bfdadb7dcac2</t>
  </si>
  <si>
    <t>27647074115</t>
  </si>
  <si>
    <t>13862570</t>
  </si>
  <si>
    <t>69045498-8443-4a00-8276-fb9b3d77781f</t>
  </si>
  <si>
    <t>27665308882</t>
  </si>
  <si>
    <t>13862554</t>
  </si>
  <si>
    <t>f908f747-acba-4e0b-bb23-914c08f840cd</t>
  </si>
  <si>
    <t>2026-05-25 08:30:05</t>
  </si>
  <si>
    <t>27646377620</t>
  </si>
  <si>
    <t>13862551</t>
  </si>
  <si>
    <t>65ced208-dd36-428c-83e8-6be078f36e51</t>
  </si>
  <si>
    <t>2026-05-25 08:30:04</t>
  </si>
  <si>
    <t>27636393257</t>
  </si>
  <si>
    <t>13862553</t>
  </si>
  <si>
    <t>decbd20f-33d8-4be8-85fc-0f937773d4e2</t>
  </si>
  <si>
    <t>27637354420</t>
  </si>
  <si>
    <t>13864106</t>
  </si>
  <si>
    <t>cd3fd848-93dd-472c-a02f-6ccd8286700f</t>
  </si>
  <si>
    <t>27761825074</t>
  </si>
  <si>
    <t>13862436</t>
  </si>
  <si>
    <t>c13edfcd-b8db-4100-b6bc-d34c36a89441</t>
  </si>
  <si>
    <t>27723106643</t>
  </si>
  <si>
    <t>2026-05-25 08:29:31</t>
  </si>
  <si>
    <t>13862537</t>
  </si>
  <si>
    <t>16edc7b3-05bf-4a96-81ed-5d8e44819356</t>
  </si>
  <si>
    <t>2026-05-25 08:28:38</t>
  </si>
  <si>
    <t>27833387382</t>
  </si>
  <si>
    <t>13864086</t>
  </si>
  <si>
    <t>fc52d575-d322-4d86-9cd9-1e889028deda</t>
  </si>
  <si>
    <t>2026-05-25 08:28:21</t>
  </si>
  <si>
    <t>27729225793</t>
  </si>
  <si>
    <t>13864085</t>
  </si>
  <si>
    <t>599c5371-9445-4763-987c-68b6c3fbf70b</t>
  </si>
  <si>
    <t>2026-05-25 08:28:15</t>
  </si>
  <si>
    <t>27729218276</t>
  </si>
  <si>
    <t>13864084</t>
  </si>
  <si>
    <t>e3d317f4-0e16-4cbc-8380-24d079cdf333</t>
  </si>
  <si>
    <t>2026-05-25 08:28:14</t>
  </si>
  <si>
    <t>27729118454</t>
  </si>
  <si>
    <t>13862535</t>
  </si>
  <si>
    <t>3a96597d-e62c-47f6-98b1-f869942adc3e</t>
  </si>
  <si>
    <t>2026-05-25 08:28:11</t>
  </si>
  <si>
    <t>27829290139</t>
  </si>
  <si>
    <t>13862423</t>
  </si>
  <si>
    <t>2d6f9e96-68c5-4bea-b931-629a4d8ab635</t>
  </si>
  <si>
    <t>2026-05-25 08:28:09</t>
  </si>
  <si>
    <t>27716205891</t>
  </si>
  <si>
    <t>13862424</t>
  </si>
  <si>
    <t>5973331c-b485-41d3-b30d-c29816430876</t>
  </si>
  <si>
    <t>27720278594</t>
  </si>
  <si>
    <t>13862452</t>
  </si>
  <si>
    <t>1381b6db-a007-49a1-a98d-86b73ceb1a45</t>
  </si>
  <si>
    <t>27727246692</t>
  </si>
  <si>
    <t>7386e503-0d97-47c7-bdcf-f3703e4bac04</t>
  </si>
  <si>
    <t>2026-05-25 08:27:51</t>
  </si>
  <si>
    <t>27661192396</t>
  </si>
  <si>
    <t>13862422</t>
  </si>
  <si>
    <t>27da53db-805e-47ca-b8e7-b5cb6b1e5149</t>
  </si>
  <si>
    <t>2026-05-25 08:27:43</t>
  </si>
  <si>
    <t>27715861218</t>
  </si>
  <si>
    <t>13862421</t>
  </si>
  <si>
    <t>daabfc04-ac21-449b-8717-ded7d1b5c3b5</t>
  </si>
  <si>
    <t>2026-05-25 08:27:40</t>
  </si>
  <si>
    <t>27715434812</t>
  </si>
  <si>
    <t>13864037</t>
  </si>
  <si>
    <t>d73d17ef-00ae-4c6b-8ade-a14c981dcaa5</t>
  </si>
  <si>
    <t>27715197826</t>
  </si>
  <si>
    <t>13864556</t>
  </si>
  <si>
    <t>32ba1996-c616-4a3e-807e-dc95ca465ddf</t>
  </si>
  <si>
    <t>27661490208</t>
  </si>
  <si>
    <t>13862438</t>
  </si>
  <si>
    <t>917b7ad0-c2c6-40b4-b39e-174797061a78</t>
  </si>
  <si>
    <t>2026-05-25 08:27:01</t>
  </si>
  <si>
    <t>27723177652</t>
  </si>
  <si>
    <t>13864013</t>
  </si>
  <si>
    <t>89acd6b9-ead4-4f2a-a4a3-8bca9c540872</t>
  </si>
  <si>
    <t>27711344113</t>
  </si>
  <si>
    <t>2026-05-25 08:26:44</t>
  </si>
  <si>
    <t>13862417</t>
  </si>
  <si>
    <t>9e0d7f19-4e09-434b-9e90-d8895bb4ccb2</t>
  </si>
  <si>
    <t>2026-05-25 08:26:37</t>
  </si>
  <si>
    <t>27714228031</t>
  </si>
  <si>
    <t>0e289475-0fc6-47d4-96b8-f2e7e3ab776c</t>
  </si>
  <si>
    <t>2026-05-25 08:26:27</t>
  </si>
  <si>
    <t>27722854241</t>
  </si>
  <si>
    <t>13862433</t>
  </si>
  <si>
    <t>11d151b9-0dca-4915-ac0b-8bba7709c233</t>
  </si>
  <si>
    <t>2026-05-25 08:26:26</t>
  </si>
  <si>
    <t>27722724931</t>
  </si>
  <si>
    <t>13862434</t>
  </si>
  <si>
    <t>d31e560f-9980-4f7a-8160-2a5a231cc034</t>
  </si>
  <si>
    <t>27722791795</t>
  </si>
  <si>
    <t>13864029</t>
  </si>
  <si>
    <t>4cfbefd2-9ca1-41f2-bb9f-818d63fb17f6</t>
  </si>
  <si>
    <t>27714361834</t>
  </si>
  <si>
    <t>13864763</t>
  </si>
  <si>
    <t>9d44b25f-8a52-4c1d-93e6-e866c9f7d477</t>
  </si>
  <si>
    <t>27822233525</t>
  </si>
  <si>
    <t>2026-05-25 08:26:20</t>
  </si>
  <si>
    <t>13862415</t>
  </si>
  <si>
    <t>d09e1d68-fc88-4a72-91af-ff4df40284c2</t>
  </si>
  <si>
    <t>2026-05-25 08:23:04</t>
  </si>
  <si>
    <t>27713052633</t>
  </si>
  <si>
    <t>13862416</t>
  </si>
  <si>
    <t>c3d9689b-0170-4f43-94da-ae82314ba887</t>
  </si>
  <si>
    <t>27713234331</t>
  </si>
  <si>
    <t>2e1745e5-5d62-464e-bde9-83584ac8eda0</t>
  </si>
  <si>
    <t>2026-05-25 08:23:03</t>
  </si>
  <si>
    <t>27712868283</t>
  </si>
  <si>
    <t>13862396</t>
  </si>
  <si>
    <t>6c6d8fb8-77d1-4553-9701-403ef6d46fa9</t>
  </si>
  <si>
    <t>2026-05-25 08:15:35</t>
  </si>
  <si>
    <t>27661950861</t>
  </si>
  <si>
    <t>13862392</t>
  </si>
  <si>
    <t>ce3b1336-d613-4183-b67a-d8a4a986a985</t>
  </si>
  <si>
    <t>2026-05-25 08:15:34</t>
  </si>
  <si>
    <t>27660017381</t>
  </si>
  <si>
    <t>13862394</t>
  </si>
  <si>
    <t>6c81a269-0e2e-43fb-99d2-16a27b1629b4</t>
  </si>
  <si>
    <t>27661222041</t>
  </si>
  <si>
    <t>13862395</t>
  </si>
  <si>
    <t>43ed3551-6d8d-4c57-8afd-c98c232588ab</t>
  </si>
  <si>
    <t>27661766269</t>
  </si>
  <si>
    <t>13862924</t>
  </si>
  <si>
    <t>60f60b6d-749b-42a2-bd59-e49234dc366d</t>
  </si>
  <si>
    <t>27725315386</t>
  </si>
  <si>
    <t>2026-05-25 08:12:50</t>
  </si>
  <si>
    <t>13862363</t>
  </si>
  <si>
    <t>41c66e52-7592-494f-8604-3b6d8f0c9471</t>
  </si>
  <si>
    <t>2026-05-25 08:04:58</t>
  </si>
  <si>
    <t>27823975519</t>
  </si>
  <si>
    <t>9e23649a-9693-4b91-a50b-bc190fd5654d</t>
  </si>
  <si>
    <t>27824312182</t>
  </si>
  <si>
    <t>13862361</t>
  </si>
  <si>
    <t>b0b471bf-5af5-4434-9430-bb615ea7dfd9</t>
  </si>
  <si>
    <t>2026-05-25 08:04:57</t>
  </si>
  <si>
    <t>27823475443</t>
  </si>
  <si>
    <t>13863989</t>
  </si>
  <si>
    <t>4274a0de-3fe2-489d-93df-258c4112a93b</t>
  </si>
  <si>
    <t>27660035956</t>
  </si>
  <si>
    <t>13862786</t>
  </si>
  <si>
    <t>06c2cf72-aa86-4580-adfd-4772c572fd6d</t>
  </si>
  <si>
    <t>27729980124</t>
  </si>
  <si>
    <t>2026-05-25 07:58:34</t>
  </si>
  <si>
    <t>13863634</t>
  </si>
  <si>
    <t>1d67baa5-2edc-4b5c-896e-41dd37379834</t>
  </si>
  <si>
    <t>27796814470</t>
  </si>
  <si>
    <t>2026-05-25 07:53:08</t>
  </si>
  <si>
    <t>13863079</t>
  </si>
  <si>
    <t>5dff46f1-fd61-4b5a-8b06-5cecc75e99c4</t>
  </si>
  <si>
    <t>27716680204</t>
  </si>
  <si>
    <t>2026-05-25 07:51:54</t>
  </si>
  <si>
    <t>13863913</t>
  </si>
  <si>
    <t>8bc8ca55-8b44-43fa-a6de-24edf59a5914</t>
  </si>
  <si>
    <t>27822505474</t>
  </si>
  <si>
    <t>2026-05-25 07:48:37</t>
  </si>
  <si>
    <t>13862274</t>
  </si>
  <si>
    <t>a141f064-e428-44e3-a23e-4298fa8072be</t>
  </si>
  <si>
    <t>2026-05-25 07:48:29</t>
  </si>
  <si>
    <t>27722435806</t>
  </si>
  <si>
    <t>13862241</t>
  </si>
  <si>
    <t>7ccbac3e-c1ee-409c-aaf7-dad769264dfa</t>
  </si>
  <si>
    <t>2026-05-25 07:48:27</t>
  </si>
  <si>
    <t>27648209314</t>
  </si>
  <si>
    <t>13862242</t>
  </si>
  <si>
    <t>3a0e2a46-80ce-4408-9d6a-b5bdbd7c6823</t>
  </si>
  <si>
    <t>27649157970</t>
  </si>
  <si>
    <t>13862256</t>
  </si>
  <si>
    <t>6535cd13-0c3d-42a0-a141-86bff35a67c2</t>
  </si>
  <si>
    <t>27711223158</t>
  </si>
  <si>
    <t>13862243</t>
  </si>
  <si>
    <t>8e4c5d0c-83ee-4013-af1d-35bbbe8385a7</t>
  </si>
  <si>
    <t>2026-05-25 07:48:26</t>
  </si>
  <si>
    <t>27660636013</t>
  </si>
  <si>
    <t>13862253</t>
  </si>
  <si>
    <t>08ee9d57-d374-4630-a749-d0578f65686c</t>
  </si>
  <si>
    <t>27664402964</t>
  </si>
  <si>
    <t>13862254</t>
  </si>
  <si>
    <t>08763a30-3001-42ac-b1be-7d32f60a7f34</t>
  </si>
  <si>
    <t>27673067643</t>
  </si>
  <si>
    <t>13863918</t>
  </si>
  <si>
    <t>03493ca5-e5a3-440f-bbf9-6eab9013b44b</t>
  </si>
  <si>
    <t>2026-05-25 07:48:15</t>
  </si>
  <si>
    <t>27823142329</t>
  </si>
  <si>
    <t>13862252</t>
  </si>
  <si>
    <t>4b67b008-ce11-4045-8d18-650f916056a4</t>
  </si>
  <si>
    <t>2026-05-25 07:48:12</t>
  </si>
  <si>
    <t>27664108616</t>
  </si>
  <si>
    <t>13862862</t>
  </si>
  <si>
    <t>3931ea08-2bac-496e-addd-0507e3b38392</t>
  </si>
  <si>
    <t>2026-05-25 07:48:11</t>
  </si>
  <si>
    <t>27820843694</t>
  </si>
  <si>
    <t>13861603</t>
  </si>
  <si>
    <t>315bf100-dc99-450a-9b78-e6599e733d1d</t>
  </si>
  <si>
    <t>2026-05-25 07:48:09</t>
  </si>
  <si>
    <t>27636058986</t>
  </si>
  <si>
    <t>13862245</t>
  </si>
  <si>
    <t>153f95a6-d730-4679-a5ff-586eb80472c2</t>
  </si>
  <si>
    <t>2026-05-25 07:47:54</t>
  </si>
  <si>
    <t>27661013221</t>
  </si>
  <si>
    <t>13862247</t>
  </si>
  <si>
    <t>862745cd-7611-4c8f-ab79-a3408a1d4fa7</t>
  </si>
  <si>
    <t>27661413578</t>
  </si>
  <si>
    <t>13862249</t>
  </si>
  <si>
    <t>4665b8a8-dba2-4dd4-953e-3bdabe13c5bb</t>
  </si>
  <si>
    <t>27663256314</t>
  </si>
  <si>
    <t>13863912</t>
  </si>
  <si>
    <t>0e7a1f89-0b61-4f74-8510-96cf44f7f0a3</t>
  </si>
  <si>
    <t>2026-05-25 07:47:52</t>
  </si>
  <si>
    <t>27822361471</t>
  </si>
  <si>
    <t>13863910</t>
  </si>
  <si>
    <t>d0620da1-f84a-4d18-9430-cb0d467e0475</t>
  </si>
  <si>
    <t>27822270537</t>
  </si>
  <si>
    <t>2026-05-25 07:47:51</t>
  </si>
  <si>
    <t>13862244</t>
  </si>
  <si>
    <t>b79712fb-ad75-4ef6-9d14-7f32179e57c1</t>
  </si>
  <si>
    <t>2026-05-25 07:47:38</t>
  </si>
  <si>
    <t>27660694875</t>
  </si>
  <si>
    <t>13863900</t>
  </si>
  <si>
    <t>dd398b94-71b7-4ba8-99be-27eac8d62eae</t>
  </si>
  <si>
    <t>27799664876</t>
  </si>
  <si>
    <t>13863902</t>
  </si>
  <si>
    <t>fc03ec3e-3794-4242-a210-2e8c8083e9b7</t>
  </si>
  <si>
    <t>27799939631</t>
  </si>
  <si>
    <t>13861596</t>
  </si>
  <si>
    <t>8560c1e0-3cad-43f4-a300-316cb5f16fe8</t>
  </si>
  <si>
    <t>27608463065</t>
  </si>
  <si>
    <t>2026-05-25 07:47:12</t>
  </si>
  <si>
    <t>13862190</t>
  </si>
  <si>
    <t>10d76b23-18ed-42dd-8f3a-443242b64314</t>
  </si>
  <si>
    <t>27796316124</t>
  </si>
  <si>
    <t>13862187</t>
  </si>
  <si>
    <t>7aaf209d-8f51-4c0c-b65a-0d4a2504001d</t>
  </si>
  <si>
    <t>27795756316</t>
  </si>
  <si>
    <t>2026-05-25 07:47:05</t>
  </si>
  <si>
    <t>13862188</t>
  </si>
  <si>
    <t>36d095e9-4491-406a-a940-572d05bb9428</t>
  </si>
  <si>
    <t>27796006492</t>
  </si>
  <si>
    <t>13862186</t>
  </si>
  <si>
    <t>6ea93f3b-4e89-4720-9d30-acc668c9c90f</t>
  </si>
  <si>
    <t>2026-05-25 07:46:59</t>
  </si>
  <si>
    <t>27794677182</t>
  </si>
  <si>
    <t>13862760</t>
  </si>
  <si>
    <t>115195dc-d994-4b84-ac0a-ebc41fa47801</t>
  </si>
  <si>
    <t>27720315130</t>
  </si>
  <si>
    <t>13862184</t>
  </si>
  <si>
    <t>73e9e52a-49dd-4224-9eff-d4ab354dc0ce</t>
  </si>
  <si>
    <t>2026-05-25 07:46:58</t>
  </si>
  <si>
    <t>27794104319</t>
  </si>
  <si>
    <t>13862185</t>
  </si>
  <si>
    <t>de558ccf-d43b-4b8f-bfed-f3135510eff2</t>
  </si>
  <si>
    <t>27794580321</t>
  </si>
  <si>
    <t>13863839</t>
  </si>
  <si>
    <t>f70e9792-9a49-4857-89c8-fdb87cbae6c9</t>
  </si>
  <si>
    <t>27767197361</t>
  </si>
  <si>
    <t>13862179</t>
  </si>
  <si>
    <t>5b903b84-24e8-4168-8237-4208a4ecc0db</t>
  </si>
  <si>
    <t>2026-05-25 07:46:55</t>
  </si>
  <si>
    <t>27791909214</t>
  </si>
  <si>
    <t>13862180</t>
  </si>
  <si>
    <t>3895b20d-a8fb-4128-8880-14b95abaa74b</t>
  </si>
  <si>
    <t>27792564055</t>
  </si>
  <si>
    <t>13863832</t>
  </si>
  <si>
    <t>b7c93623-f744-42d3-87a3-a926ea4831eb</t>
  </si>
  <si>
    <t>27766394444</t>
  </si>
  <si>
    <t>13862177</t>
  </si>
  <si>
    <t>917c1d7c-90cb-467b-8d98-7b571e8e5b42</t>
  </si>
  <si>
    <t>2026-05-25 07:46:24</t>
  </si>
  <si>
    <t>27790818555</t>
  </si>
  <si>
    <t>13863829</t>
  </si>
  <si>
    <t>17b7007a-eaff-4eff-b3c2-1b6f87738c30</t>
  </si>
  <si>
    <t>27764435838</t>
  </si>
  <si>
    <t>13861595</t>
  </si>
  <si>
    <t>930dc9d1-cb40-40f0-8fbf-475678e565f2</t>
  </si>
  <si>
    <t>2026-05-25 07:46:21</t>
  </si>
  <si>
    <t>27607366147</t>
  </si>
  <si>
    <t>13862161</t>
  </si>
  <si>
    <t>8bee2bd5-83de-496d-b0d1-89f91080ead0</t>
  </si>
  <si>
    <t>27765326451</t>
  </si>
  <si>
    <t>13862159</t>
  </si>
  <si>
    <t>7df0f3c0-72e7-46cc-85c0-a7da383f639c</t>
  </si>
  <si>
    <t>2026-05-25 07:46:06</t>
  </si>
  <si>
    <t>27764672482</t>
  </si>
  <si>
    <t>13862157</t>
  </si>
  <si>
    <t>9f118b98-848f-4519-99cc-6c6193b34327</t>
  </si>
  <si>
    <t>2026-05-25 07:46:01</t>
  </si>
  <si>
    <t>27763712504</t>
  </si>
  <si>
    <t>13864458</t>
  </si>
  <si>
    <t>4e3dc1da-ef14-46ff-b28f-02c26ca34ae6</t>
  </si>
  <si>
    <t>2026-05-25 07:45:34</t>
  </si>
  <si>
    <t>27795801545</t>
  </si>
  <si>
    <t>13862150</t>
  </si>
  <si>
    <t>d795586c-6746-49b7-ac90-7bc7c052399d</t>
  </si>
  <si>
    <t>2026-05-25 07:45:30</t>
  </si>
  <si>
    <t>27761965356</t>
  </si>
  <si>
    <t>13862153</t>
  </si>
  <si>
    <t>c4ad96a8-d6b6-4343-acf1-356de5483437</t>
  </si>
  <si>
    <t>27762844395</t>
  </si>
  <si>
    <t>13862758</t>
  </si>
  <si>
    <t>3b76116b-07c9-4eb0-b10c-35414093cd5d</t>
  </si>
  <si>
    <t>27716282089</t>
  </si>
  <si>
    <t>13862070</t>
  </si>
  <si>
    <t>f66cab49-380f-4bd4-9a1e-6cdd96b92554</t>
  </si>
  <si>
    <t>27607405716</t>
  </si>
  <si>
    <t>2026-05-25 07:44:45</t>
  </si>
  <si>
    <t>13861982</t>
  </si>
  <si>
    <t>46c3df56-df18-4c3a-9b8a-60088078d4e4</t>
  </si>
  <si>
    <t>27725180685</t>
  </si>
  <si>
    <t>2026-05-25 07:44:32</t>
  </si>
  <si>
    <t>13862083</t>
  </si>
  <si>
    <t>5a207195-5b59-4647-9ca8-5f35644b4d03</t>
  </si>
  <si>
    <t>2026-05-25 07:44:31</t>
  </si>
  <si>
    <t>27649583928</t>
  </si>
  <si>
    <t>13863646</t>
  </si>
  <si>
    <t>c7357e71-4453-40dc-808a-face725c630e</t>
  </si>
  <si>
    <t>27799779529</t>
  </si>
  <si>
    <t>13863647</t>
  </si>
  <si>
    <t>b3483a26-2ee1-49eb-a3fa-3d0e32cf13ff</t>
  </si>
  <si>
    <t>27799937972</t>
  </si>
  <si>
    <t>13862700</t>
  </si>
  <si>
    <t>86d12b0a-5b77-402f-827d-da5e9188e299</t>
  </si>
  <si>
    <t>2026-05-25 07:44:30</t>
  </si>
  <si>
    <t>27829390073</t>
  </si>
  <si>
    <t>13862698</t>
  </si>
  <si>
    <t>792f9d7b-cc6a-4f32-897a-7d8eb4806b5f</t>
  </si>
  <si>
    <t>2026-05-25 07:44:21</t>
  </si>
  <si>
    <t>27828629581</t>
  </si>
  <si>
    <t>13863645</t>
  </si>
  <si>
    <t>fad6273d-699b-4e22-9b9c-e703a23f39d3</t>
  </si>
  <si>
    <t>27799450575</t>
  </si>
  <si>
    <t>13862081</t>
  </si>
  <si>
    <t>929ceca2-5512-408f-8773-e14bbcd2f787</t>
  </si>
  <si>
    <t>2026-05-25 07:44:18</t>
  </si>
  <si>
    <t>27647775900</t>
  </si>
  <si>
    <t>13863712</t>
  </si>
  <si>
    <t>724525d1-f110-4d57-8bf2-d68904c6ef3e</t>
  </si>
  <si>
    <t>27649388509</t>
  </si>
  <si>
    <t>13863644</t>
  </si>
  <si>
    <t>334a9afc-d4d2-4489-8548-7b664ee307aa</t>
  </si>
  <si>
    <t>27799279233</t>
  </si>
  <si>
    <t>13863643</t>
  </si>
  <si>
    <t>bd9b60d9-a141-4ac0-b161-b486c178138c</t>
  </si>
  <si>
    <t>27799160880</t>
  </si>
  <si>
    <t>2026-05-25 07:44:08</t>
  </si>
  <si>
    <t>13862080</t>
  </si>
  <si>
    <t>25e85cb8-06a0-42af-8f3f-07a248a7094f</t>
  </si>
  <si>
    <t>2026-05-25 07:43:30</t>
  </si>
  <si>
    <t>27647048561</t>
  </si>
  <si>
    <t>13863642</t>
  </si>
  <si>
    <t>03a74608-03b0-4772-ab1a-2c19a2b9a6a7</t>
  </si>
  <si>
    <t>27799142894</t>
  </si>
  <si>
    <t>13863710</t>
  </si>
  <si>
    <t>483bf076-4b96-44e6-a859-8ca72fd4574d</t>
  </si>
  <si>
    <t>27648902191</t>
  </si>
  <si>
    <t>2026-05-25 07:43:06</t>
  </si>
  <si>
    <t>13863641</t>
  </si>
  <si>
    <t>7d01ff70-cca9-4b20-8fd9-32cf94256fe2</t>
  </si>
  <si>
    <t>2026-05-25 07:43:05</t>
  </si>
  <si>
    <t>27799134990</t>
  </si>
  <si>
    <t>13863709</t>
  </si>
  <si>
    <t>2946390b-522c-49ee-abc9-a63eccf72d87</t>
  </si>
  <si>
    <t>2026-05-25 07:42:58</t>
  </si>
  <si>
    <t>27648209449</t>
  </si>
  <si>
    <t>13863706</t>
  </si>
  <si>
    <t>73f574ed-3379-4f9f-a84f-2afac68083bc</t>
  </si>
  <si>
    <t>2026-05-25 07:42:52</t>
  </si>
  <si>
    <t>27646614160</t>
  </si>
  <si>
    <t>13863707</t>
  </si>
  <si>
    <t>b4f86dd6-0192-4a0c-8c0d-a534b3d7f858</t>
  </si>
  <si>
    <t>27646947634</t>
  </si>
  <si>
    <t>13863708</t>
  </si>
  <si>
    <t>a181acbc-e642-47b7-afe3-6625a4fff50a</t>
  </si>
  <si>
    <t>27647914863</t>
  </si>
  <si>
    <t>13863704</t>
  </si>
  <si>
    <t>4fff0721-afa3-4ecc-bb20-3260dce6d34a</t>
  </si>
  <si>
    <t>27645541037</t>
  </si>
  <si>
    <t>2026-05-25 07:42:49</t>
  </si>
  <si>
    <t>13863703</t>
  </si>
  <si>
    <t>452eba15-40ad-4b26-92ba-9525fbd0b532</t>
  </si>
  <si>
    <t>2026-05-25 07:42:32</t>
  </si>
  <si>
    <t>27641967214</t>
  </si>
  <si>
    <t>13863701</t>
  </si>
  <si>
    <t>58085982-fee4-4abb-8c78-053b23f6c989</t>
  </si>
  <si>
    <t>2026-05-25 07:42:27</t>
  </si>
  <si>
    <t>27637653075</t>
  </si>
  <si>
    <t>13863702</t>
  </si>
  <si>
    <t>e8da1107-9cf4-46f2-be82-28f60e705e7d</t>
  </si>
  <si>
    <t>27637939001</t>
  </si>
  <si>
    <t>13863632</t>
  </si>
  <si>
    <t>8851213a-2fff-4523-8252-8cf1a232aee9</t>
  </si>
  <si>
    <t>27796262851</t>
  </si>
  <si>
    <t>2026-05-25 07:42:06</t>
  </si>
  <si>
    <t>13863699</t>
  </si>
  <si>
    <t>c0a640d7-5aa3-4de0-b2a1-0ba2f6b80248</t>
  </si>
  <si>
    <t>27637283343</t>
  </si>
  <si>
    <t>2026-05-25 07:42:04</t>
  </si>
  <si>
    <t>13863698</t>
  </si>
  <si>
    <t>f1a8b791-e3c8-44a0-bdc0-755720481df4</t>
  </si>
  <si>
    <t>2026-05-25 07:42:00</t>
  </si>
  <si>
    <t>27637062898</t>
  </si>
  <si>
    <t>13863697</t>
  </si>
  <si>
    <t>d07dbd0b-36dc-4434-999a-324ac26dcc69</t>
  </si>
  <si>
    <t>2026-05-25 07:41:59</t>
  </si>
  <si>
    <t>27636155367</t>
  </si>
  <si>
    <t>13862074</t>
  </si>
  <si>
    <t>9e53d922-bfbb-4be4-b017-8886ef0db138</t>
  </si>
  <si>
    <t>2026-05-25 07:41:57</t>
  </si>
  <si>
    <t>27609474841</t>
  </si>
  <si>
    <t>13862079</t>
  </si>
  <si>
    <t>59cc925b-6692-4a17-86a4-4929341d87e0</t>
  </si>
  <si>
    <t>27646109102</t>
  </si>
  <si>
    <t>13863694</t>
  </si>
  <si>
    <t>8ed415b7-4758-4aad-b90a-2d349f50112f</t>
  </si>
  <si>
    <t>27609566966</t>
  </si>
  <si>
    <t>13863695</t>
  </si>
  <si>
    <t>373665fa-b7a0-4782-a431-e4d4da561499</t>
  </si>
  <si>
    <t>27612376400</t>
  </si>
  <si>
    <t>13863696</t>
  </si>
  <si>
    <t>d25b8b95-554e-459d-82c6-506ae2323caa</t>
  </si>
  <si>
    <t>27635531897</t>
  </si>
  <si>
    <t>13862072</t>
  </si>
  <si>
    <t>71d76e10-629b-4c23-ad99-6d4eb6604827</t>
  </si>
  <si>
    <t>2026-05-25 07:41:56</t>
  </si>
  <si>
    <t>27607774449</t>
  </si>
  <si>
    <t>13863640</t>
  </si>
  <si>
    <t>30b84156-b86b-4885-bf12-2c29012a7856</t>
  </si>
  <si>
    <t>2026-05-25 07:41:20</t>
  </si>
  <si>
    <t>27799128435</t>
  </si>
  <si>
    <t>13862051</t>
  </si>
  <si>
    <t>963a331e-60c3-4d94-8abd-250e4c4a8341</t>
  </si>
  <si>
    <t>27799903577</t>
  </si>
  <si>
    <t>2026-05-25 07:41:10</t>
  </si>
  <si>
    <t>13863639</t>
  </si>
  <si>
    <t>811a7373-9d2f-48c7-b087-3c93967acc97</t>
  </si>
  <si>
    <t>2026-05-25 07:40:29</t>
  </si>
  <si>
    <t>27799064637</t>
  </si>
  <si>
    <t>13863638</t>
  </si>
  <si>
    <t>66005ec8-2d01-4b0f-b583-74662b2c9e32</t>
  </si>
  <si>
    <t>2026-05-25 07:40:27</t>
  </si>
  <si>
    <t>27798888975</t>
  </si>
  <si>
    <t>13863635</t>
  </si>
  <si>
    <t>158aa97f-2ecf-41ea-94d4-ddfdbbca4ab9</t>
  </si>
  <si>
    <t>2026-05-25 07:40:26</t>
  </si>
  <si>
    <t>27798022787</t>
  </si>
  <si>
    <t>13863636</t>
  </si>
  <si>
    <t>ed9a05b8-641f-4bee-8366-3ca2fd99f962</t>
  </si>
  <si>
    <t>27798411541</t>
  </si>
  <si>
    <t>13863637</t>
  </si>
  <si>
    <t>e9b2f437-a040-41d8-b685-024185b33c47</t>
  </si>
  <si>
    <t>27798869235</t>
  </si>
  <si>
    <t>13862656</t>
  </si>
  <si>
    <t>df040804-6aa4-499b-b964-31b9e0843f06</t>
  </si>
  <si>
    <t>2026-05-25 07:40:21</t>
  </si>
  <si>
    <t>27767828336</t>
  </si>
  <si>
    <t>13863633</t>
  </si>
  <si>
    <t>a7715690-47b9-448a-b051-f19b9d67d242</t>
  </si>
  <si>
    <t>27796383451</t>
  </si>
  <si>
    <t>13862054</t>
  </si>
  <si>
    <t>dc6ca10d-88b5-4daf-af24-c94768e97832</t>
  </si>
  <si>
    <t>2026-05-25 07:40:01</t>
  </si>
  <si>
    <t>27818468954</t>
  </si>
  <si>
    <t>13862055</t>
  </si>
  <si>
    <t>4a9299ce-dad8-4f8e-82e3-e11fedbee12e</t>
  </si>
  <si>
    <t>2026-05-25 07:40:00</t>
  </si>
  <si>
    <t>27822590923</t>
  </si>
  <si>
    <t>13862057</t>
  </si>
  <si>
    <t>ec651970-e679-4b76-9749-23d48ba4e416</t>
  </si>
  <si>
    <t>27824347174</t>
  </si>
  <si>
    <t>13862053</t>
  </si>
  <si>
    <t>e1a00945-ae3a-49f7-a116-1e22357f92b5</t>
  </si>
  <si>
    <t>2026-05-25 07:39:59</t>
  </si>
  <si>
    <t>27818385853</t>
  </si>
  <si>
    <t>13862052</t>
  </si>
  <si>
    <t>d44ef1d0-c1a8-4cb0-b5c5-6669e226c257</t>
  </si>
  <si>
    <t>2026-05-25 07:39:53</t>
  </si>
  <si>
    <t>27799914160</t>
  </si>
  <si>
    <t>13863616</t>
  </si>
  <si>
    <t>99474c2c-4c14-4e20-9ab3-533c987b861f</t>
  </si>
  <si>
    <t>2026-05-25 07:39:52</t>
  </si>
  <si>
    <t>27793093709</t>
  </si>
  <si>
    <t>13863619</t>
  </si>
  <si>
    <t>2d7177d8-729b-4478-86e1-cab7b91df111</t>
  </si>
  <si>
    <t>27793285236</t>
  </si>
  <si>
    <t>13863380</t>
  </si>
  <si>
    <t>46966a58-c1ac-4bf5-899b-7460a24e1a35</t>
  </si>
  <si>
    <t>2026-05-25 07:39:19</t>
  </si>
  <si>
    <t>27790798898</t>
  </si>
  <si>
    <t>13861444</t>
  </si>
  <si>
    <t>9c5b0a84-b5e3-440e-ae07-c4e4ec7e194a</t>
  </si>
  <si>
    <t>2026-05-25 07:39:16</t>
  </si>
  <si>
    <t>27664067912</t>
  </si>
  <si>
    <t>13861445</t>
  </si>
  <si>
    <t>a7d2c822-64c8-4ec3-b80a-dbb29741919a</t>
  </si>
  <si>
    <t>27664393136</t>
  </si>
  <si>
    <t>13861937</t>
  </si>
  <si>
    <t>cf317766-40fa-418e-bca2-a35cdbf12067</t>
  </si>
  <si>
    <t>27648847914</t>
  </si>
  <si>
    <t>13863379</t>
  </si>
  <si>
    <t>9751ebac-7b3e-4505-8718-e92ca54892f0</t>
  </si>
  <si>
    <t>2026-05-25 07:39:15</t>
  </si>
  <si>
    <t>27790574553</t>
  </si>
  <si>
    <t>13861980</t>
  </si>
  <si>
    <t>402e89e0-4e6d-4d7e-b4f3-4f0420a0a2ae</t>
  </si>
  <si>
    <t>2026-05-25 07:39:03</t>
  </si>
  <si>
    <t>27724514713</t>
  </si>
  <si>
    <t>13863378</t>
  </si>
  <si>
    <t>c31373f7-1b9c-428f-af49-7dc7f72f9067</t>
  </si>
  <si>
    <t>2026-05-25 07:38:59</t>
  </si>
  <si>
    <t>27790500540</t>
  </si>
  <si>
    <t>13861978</t>
  </si>
  <si>
    <t>a68368c1-d888-4bc1-a4d6-195b08e03183</t>
  </si>
  <si>
    <t>27723953191</t>
  </si>
  <si>
    <t>2026-05-25 07:38:58</t>
  </si>
  <si>
    <t>13861836</t>
  </si>
  <si>
    <t>0e06a8df-6357-45e5-9944-15dd2badc1a4</t>
  </si>
  <si>
    <t>2026-05-25 07:38:57</t>
  </si>
  <si>
    <t>27763390211</t>
  </si>
  <si>
    <t>13861934</t>
  </si>
  <si>
    <t>7bd41a2a-fe1b-435b-b78e-502dda73435f</t>
  </si>
  <si>
    <t>2026-05-25 07:38:27</t>
  </si>
  <si>
    <t>27648147188</t>
  </si>
  <si>
    <t>13863377</t>
  </si>
  <si>
    <t>c3cc5b04-d50d-442e-aa2c-52274a7c953e</t>
  </si>
  <si>
    <t>27790250088</t>
  </si>
  <si>
    <t>13863519</t>
  </si>
  <si>
    <t>897c6bc5-7d10-4d11-a4b4-d2510c5609a4</t>
  </si>
  <si>
    <t>27720121032</t>
  </si>
  <si>
    <t>13861977</t>
  </si>
  <si>
    <t>3d9071a9-0707-49f1-a980-6c4f1b4d7c95</t>
  </si>
  <si>
    <t>2026-05-25 07:38:16</t>
  </si>
  <si>
    <t>27722947774</t>
  </si>
  <si>
    <t>13863514</t>
  </si>
  <si>
    <t>80b4db65-cd94-47c3-9b14-87f1ce3b7f84</t>
  </si>
  <si>
    <t>2026-05-25 07:38:15</t>
  </si>
  <si>
    <t>27715967997</t>
  </si>
  <si>
    <t>13863516</t>
  </si>
  <si>
    <t>5ec4baeb-24bb-4f59-a268-7557eb4bf98a</t>
  </si>
  <si>
    <t>27716728955</t>
  </si>
  <si>
    <t>13863517</t>
  </si>
  <si>
    <t>2924c66f-16a9-43bc-9713-d8451cceda51</t>
  </si>
  <si>
    <t>27716774573</t>
  </si>
  <si>
    <t>13863513</t>
  </si>
  <si>
    <t>7b57cab9-91f8-417e-b450-b4c69f0968fa</t>
  </si>
  <si>
    <t>27715100649</t>
  </si>
  <si>
    <t>2026-05-25 07:37:54</t>
  </si>
  <si>
    <t>e830347b-d0ca-44a3-a2c2-093aafbaf76b</t>
  </si>
  <si>
    <t>2026-05-25 07:37:27</t>
  </si>
  <si>
    <t>27714945320</t>
  </si>
  <si>
    <t>13863511</t>
  </si>
  <si>
    <t>927163b4-2ba3-431c-9828-1dd0e99f05c2</t>
  </si>
  <si>
    <t>2026-05-25 07:37:15</t>
  </si>
  <si>
    <t>27714912289</t>
  </si>
  <si>
    <t>13863510</t>
  </si>
  <si>
    <t>22285f94-74aa-49df-a1aa-468d173ec698</t>
  </si>
  <si>
    <t>2026-05-25 07:37:14</t>
  </si>
  <si>
    <t>27714777749</t>
  </si>
  <si>
    <t>13863509</t>
  </si>
  <si>
    <t>49a6ae22-41e4-45fd-9787-66708d2034de</t>
  </si>
  <si>
    <t>2026-05-25 07:37:11</t>
  </si>
  <si>
    <t>27714294279</t>
  </si>
  <si>
    <t>e973268c-5bf1-4a76-af21-13fe200c837d</t>
  </si>
  <si>
    <t>2026-05-25 07:37:10</t>
  </si>
  <si>
    <t>27722217581</t>
  </si>
  <si>
    <t>13861976</t>
  </si>
  <si>
    <t>05a193a7-b577-4f93-99c4-f3da12a9c45f</t>
  </si>
  <si>
    <t>27722815014</t>
  </si>
  <si>
    <t>13863508</t>
  </si>
  <si>
    <t>29484056-33a9-45e8-b4c4-4d56c921eccc</t>
  </si>
  <si>
    <t>27714223106</t>
  </si>
  <si>
    <t>13861973</t>
  </si>
  <si>
    <t>83d0b664-3149-4726-97f6-d9747e789e67</t>
  </si>
  <si>
    <t>2026-05-25 07:37:02</t>
  </si>
  <si>
    <t>27721771254</t>
  </si>
  <si>
    <t>13861972</t>
  </si>
  <si>
    <t>f47629bf-1611-4a0c-b125-e50e08c02224</t>
  </si>
  <si>
    <t>2026-05-25 07:37:00</t>
  </si>
  <si>
    <t>27721769441</t>
  </si>
  <si>
    <t>13861970</t>
  </si>
  <si>
    <t>d641df85-434e-458d-96bb-3d519606440e</t>
  </si>
  <si>
    <t>2026-05-25 07:36:59</t>
  </si>
  <si>
    <t>27721166713</t>
  </si>
  <si>
    <t>13861542</t>
  </si>
  <si>
    <t>01d1e05c-4737-4d84-aedf-929adf79c616</t>
  </si>
  <si>
    <t>2026-05-25 07:36:46</t>
  </si>
  <si>
    <t>27794279513</t>
  </si>
  <si>
    <t>13861753</t>
  </si>
  <si>
    <t>0d79072c-7738-44df-a53c-86c6f99480b0</t>
  </si>
  <si>
    <t>2026-05-25 07:36:41</t>
  </si>
  <si>
    <t>27825002105</t>
  </si>
  <si>
    <t>13863453</t>
  </si>
  <si>
    <t>87439d59-48a9-4816-bec9-f166d4103be7</t>
  </si>
  <si>
    <t>2026-05-25 07:36:32</t>
  </si>
  <si>
    <t>27828038076</t>
  </si>
  <si>
    <t>13863449</t>
  </si>
  <si>
    <t>cdf9549f-c12c-4b34-8ba9-dbddfe3f4491</t>
  </si>
  <si>
    <t>2026-05-25 07:36:31</t>
  </si>
  <si>
    <t>27827360674</t>
  </si>
  <si>
    <t>e05386b6-1968-44ab-be8c-5c6e279d16b1</t>
  </si>
  <si>
    <t>2026-05-25 07:36:26</t>
  </si>
  <si>
    <t>27827271401</t>
  </si>
  <si>
    <t>13863446</t>
  </si>
  <si>
    <t>599189c7-57de-4cf4-9326-167ff23c57a9</t>
  </si>
  <si>
    <t>2026-05-25 07:36:25</t>
  </si>
  <si>
    <t>27826986710</t>
  </si>
  <si>
    <t>13863447</t>
  </si>
  <si>
    <t>ef6f6cd8-5f40-407f-b26d-20511d4e2b20</t>
  </si>
  <si>
    <t>27827056758</t>
  </si>
  <si>
    <t>13863445</t>
  </si>
  <si>
    <t>6a05b9da-94f5-44d4-a9c8-4f9b312d2601</t>
  </si>
  <si>
    <t>2026-05-25 07:36:15</t>
  </si>
  <si>
    <t>27826894253</t>
  </si>
  <si>
    <t>13861865</t>
  </si>
  <si>
    <t>6d354994-cf28-40bd-bd9a-3becf930e342</t>
  </si>
  <si>
    <t>27791433135</t>
  </si>
  <si>
    <t>2026-05-25 07:36:14</t>
  </si>
  <si>
    <t>13861929</t>
  </si>
  <si>
    <t>635a1fd6-39e7-4c14-b539-016073f07e5a</t>
  </si>
  <si>
    <t>27636068010</t>
  </si>
  <si>
    <t>13861930</t>
  </si>
  <si>
    <t>f4792eb0-4565-4688-af90-0d2bf6ceefd0</t>
  </si>
  <si>
    <t>27636686431</t>
  </si>
  <si>
    <t>13861931</t>
  </si>
  <si>
    <t>96492631-00e7-428c-9f67-8f73cdd99130</t>
  </si>
  <si>
    <t>27647469922</t>
  </si>
  <si>
    <t>13861927</t>
  </si>
  <si>
    <t>978beaf2-8a87-4916-854e-38e5404d6d63</t>
  </si>
  <si>
    <t>2026-05-25 07:36:11</t>
  </si>
  <si>
    <t>27609718316</t>
  </si>
  <si>
    <t>13861928</t>
  </si>
  <si>
    <t>c500fa7f-fbdc-4f95-b7f1-3a11a7976848</t>
  </si>
  <si>
    <t>27613744065</t>
  </si>
  <si>
    <t>13863433</t>
  </si>
  <si>
    <t>61b6a96e-5291-4001-838d-a72c2577057d</t>
  </si>
  <si>
    <t>2026-05-25 07:35:06</t>
  </si>
  <si>
    <t>27823822201</t>
  </si>
  <si>
    <t>13861922</t>
  </si>
  <si>
    <t>912b43f6-2c24-4652-8490-0500f0fb5edd</t>
  </si>
  <si>
    <t>2026-05-25 07:35:03</t>
  </si>
  <si>
    <t>27606172201</t>
  </si>
  <si>
    <t>13863429</t>
  </si>
  <si>
    <t>2e3a7518-a1f4-4477-b2e0-a152e3e003e9</t>
  </si>
  <si>
    <t>2026-05-25 07:34:56</t>
  </si>
  <si>
    <t>27822996374</t>
  </si>
  <si>
    <t>13861520</t>
  </si>
  <si>
    <t>a41f3bbb-5942-4fbf-a2ca-51f0246e1808</t>
  </si>
  <si>
    <t>2026-05-25 07:34:31</t>
  </si>
  <si>
    <t>27768554453</t>
  </si>
  <si>
    <t>13861834</t>
  </si>
  <si>
    <t>336a0663-7f46-4848-88d7-747c3f7f4eb5</t>
  </si>
  <si>
    <t>2026-05-25 07:34:26</t>
  </si>
  <si>
    <t>27761962750</t>
  </si>
  <si>
    <t>13861833</t>
  </si>
  <si>
    <t>eb3e0d8a-53b4-4988-807b-a970601a5f5e</t>
  </si>
  <si>
    <t>2026-05-25 07:34:05</t>
  </si>
  <si>
    <t>27761924780</t>
  </si>
  <si>
    <t>13861875</t>
  </si>
  <si>
    <t>1da52bf2-27dc-4a5b-bd81-fe0effef91d6</t>
  </si>
  <si>
    <t>27794729343</t>
  </si>
  <si>
    <t>13861555</t>
  </si>
  <si>
    <t>18ede4bb-6599-4335-b11c-e6a34742aeaf</t>
  </si>
  <si>
    <t>2026-05-25 07:33:41</t>
  </si>
  <si>
    <t>27797799781</t>
  </si>
  <si>
    <t>13861832</t>
  </si>
  <si>
    <t>0bd761fd-1040-42d1-a928-8ebd48ee6714</t>
  </si>
  <si>
    <t>27761615418</t>
  </si>
  <si>
    <t>7e792872-a0a3-48e3-811a-557753adf089</t>
  </si>
  <si>
    <t>2026-05-25 07:33:40</t>
  </si>
  <si>
    <t>27793775600</t>
  </si>
  <si>
    <t>13861871</t>
  </si>
  <si>
    <t>7adfff6e-a373-4717-b902-4240fe1be79a</t>
  </si>
  <si>
    <t>2026-05-25 07:33:38</t>
  </si>
  <si>
    <t>27793606751</t>
  </si>
  <si>
    <t>13861869</t>
  </si>
  <si>
    <t>b3bcf80a-cf85-469f-b96f-686ddcc7d17b</t>
  </si>
  <si>
    <t>2026-05-25 07:33:36</t>
  </si>
  <si>
    <t>27793331285</t>
  </si>
  <si>
    <t>13861867</t>
  </si>
  <si>
    <t>f0387f5e-6396-41e6-b2ab-27f378ca04f5</t>
  </si>
  <si>
    <t>2026-05-25 07:33:28</t>
  </si>
  <si>
    <t>27791930426</t>
  </si>
  <si>
    <t>13861866</t>
  </si>
  <si>
    <t>845997e7-780c-46f6-95e2-a64904ae691e</t>
  </si>
  <si>
    <t>2026-05-25 07:33:19</t>
  </si>
  <si>
    <t>27791730608</t>
  </si>
  <si>
    <t>13863364</t>
  </si>
  <si>
    <t>22e47ddf-2772-4a27-a8e1-bd2385c02a60</t>
  </si>
  <si>
    <t>2026-05-25 07:33:00</t>
  </si>
  <si>
    <t>27769412613</t>
  </si>
  <si>
    <t>13861864</t>
  </si>
  <si>
    <t>e55dcff9-21d5-4530-80ac-8f9e661a4ef1</t>
  </si>
  <si>
    <t>2026-05-25 07:32:55</t>
  </si>
  <si>
    <t>27791417538</t>
  </si>
  <si>
    <t>13863359</t>
  </si>
  <si>
    <t>d26cb086-e9b7-4b80-bbe2-16a2e76ad850</t>
  </si>
  <si>
    <t>27768188105</t>
  </si>
  <si>
    <t>13863362</t>
  </si>
  <si>
    <t>fa5af122-0536-45a3-911c-4f7f3928ea73</t>
  </si>
  <si>
    <t>27768879402</t>
  </si>
  <si>
    <t>13861831</t>
  </si>
  <si>
    <t>048372b6-e235-491a-bca8-f2127e8922d5</t>
  </si>
  <si>
    <t>2026-05-25 07:31:39</t>
  </si>
  <si>
    <t>27761530147</t>
  </si>
  <si>
    <t>93e46772-33d5-417f-bfce-6fad322f1e5c</t>
  </si>
  <si>
    <t>2026-05-25 07:31:29</t>
  </si>
  <si>
    <t>27761378046</t>
  </si>
  <si>
    <t>13861829</t>
  </si>
  <si>
    <t>87d8ddd4-9f2d-4b43-b5a6-def7fdb53b65</t>
  </si>
  <si>
    <t>2026-05-25 07:31:28</t>
  </si>
  <si>
    <t>27760751962</t>
  </si>
  <si>
    <t>13861828</t>
  </si>
  <si>
    <t>82c4e836-5ed9-40e7-b8a0-859e712d4c63</t>
  </si>
  <si>
    <t>2026-05-25 07:31:23</t>
  </si>
  <si>
    <t>27739497169</t>
  </si>
  <si>
    <t>13861820</t>
  </si>
  <si>
    <t>8a740265-6985-4737-9256-1bd06dd583e1</t>
  </si>
  <si>
    <t>2026-05-25 07:31:18</t>
  </si>
  <si>
    <t>27727817994</t>
  </si>
  <si>
    <t>13861817</t>
  </si>
  <si>
    <t>5cd01120-8283-441d-a446-d8bd69b2e6a9</t>
  </si>
  <si>
    <t>2026-05-25 07:31:17</t>
  </si>
  <si>
    <t>27725639779</t>
  </si>
  <si>
    <t>13861814</t>
  </si>
  <si>
    <t>5acee302-e7ab-4d24-82dc-febb9afec673</t>
  </si>
  <si>
    <t>27724398052</t>
  </si>
  <si>
    <t>13861822</t>
  </si>
  <si>
    <t>30089306-757b-4463-bc20-c8c26f5cee95</t>
  </si>
  <si>
    <t>27728209776</t>
  </si>
  <si>
    <t>2026-05-25 07:31:06</t>
  </si>
  <si>
    <t>13863311</t>
  </si>
  <si>
    <t>8325b69e-0908-451f-b141-fa5017317b9d</t>
  </si>
  <si>
    <t>27727593465</t>
  </si>
  <si>
    <t>2026-05-25 07:31:02</t>
  </si>
  <si>
    <t>13861540</t>
  </si>
  <si>
    <t>acd581fd-d535-4ad2-9922-9bc443e5b03e</t>
  </si>
  <si>
    <t>2026-05-25 07:31:00</t>
  </si>
  <si>
    <t>27793528980</t>
  </si>
  <si>
    <t>13861824</t>
  </si>
  <si>
    <t>472cf0fe-4220-40b8-bf66-ef904fc18bfa</t>
  </si>
  <si>
    <t>2026-05-25 07:30:53</t>
  </si>
  <si>
    <t>27728841037</t>
  </si>
  <si>
    <t>13861818</t>
  </si>
  <si>
    <t>99c6495d-0592-44f9-be4a-09f6c0281231</t>
  </si>
  <si>
    <t>2026-05-25 07:30:52</t>
  </si>
  <si>
    <t>27726670964</t>
  </si>
  <si>
    <t>13863101</t>
  </si>
  <si>
    <t>35cf91d8-2209-4897-987c-8787bf7d1a38</t>
  </si>
  <si>
    <t>2026-05-25 07:30:09</t>
  </si>
  <si>
    <t>27725756737</t>
  </si>
  <si>
    <t>13863039</t>
  </si>
  <si>
    <t>aa97e716-c719-48c7-bbb2-52a18cc60569</t>
  </si>
  <si>
    <t>2026-05-25 07:30:05</t>
  </si>
  <si>
    <t>27607142959</t>
  </si>
  <si>
    <t>13863076</t>
  </si>
  <si>
    <t>767ac5d7-85e8-4a24-a978-941f4be16867</t>
  </si>
  <si>
    <t>27714515751</t>
  </si>
  <si>
    <t>2026-05-25 07:30:03</t>
  </si>
  <si>
    <t>13861517</t>
  </si>
  <si>
    <t>06fc8469-10dd-4ae2-b048-4f180d9bfe5c</t>
  </si>
  <si>
    <t>2026-05-25 07:30:01</t>
  </si>
  <si>
    <t>27768089346</t>
  </si>
  <si>
    <t>13861518</t>
  </si>
  <si>
    <t>6b60726e-7c80-461e-a2b4-080e5ec5f8b6</t>
  </si>
  <si>
    <t>27768320562</t>
  </si>
  <si>
    <t>13861519</t>
  </si>
  <si>
    <t>f1c1a94f-e863-42bc-92ed-1cb382b56119</t>
  </si>
  <si>
    <t>27768440500</t>
  </si>
  <si>
    <t>13861751</t>
  </si>
  <si>
    <t>e3b492ea-9458-4b16-be99-ef2e1c462b27</t>
  </si>
  <si>
    <t>27823716304</t>
  </si>
  <si>
    <t>13863100</t>
  </si>
  <si>
    <t>00470d32-71da-4f5b-a1fe-a19e845c532a</t>
  </si>
  <si>
    <t>27725569946</t>
  </si>
  <si>
    <t>13861743</t>
  </si>
  <si>
    <t>c14f386d-f7c9-4dc0-97ff-33c673acb826</t>
  </si>
  <si>
    <t>2026-05-25 07:29:49</t>
  </si>
  <si>
    <t>27820833513</t>
  </si>
  <si>
    <t>13861744</t>
  </si>
  <si>
    <t>90d1e37f-79fd-4931-b1d6-32cb05fd6445</t>
  </si>
  <si>
    <t>27820912702</t>
  </si>
  <si>
    <t>13862349</t>
  </si>
  <si>
    <t>35201bf8-7bb2-4c92-9925-c55224fa64fc</t>
  </si>
  <si>
    <t>27796889675</t>
  </si>
  <si>
    <t>13863151</t>
  </si>
  <si>
    <t>e44e579d-41c0-4ab1-b50f-409f123767cb</t>
  </si>
  <si>
    <t>27769197722</t>
  </si>
  <si>
    <t>2026-05-25 07:29:47</t>
  </si>
  <si>
    <t>13861742</t>
  </si>
  <si>
    <t>03eedaba-0603-45a3-9706-2e926804a932</t>
  </si>
  <si>
    <t>27820751231</t>
  </si>
  <si>
    <t>2026-05-25 07:29:15</t>
  </si>
  <si>
    <t>13861738</t>
  </si>
  <si>
    <t>ba1b56ec-6940-4561-847a-3b3baba24216</t>
  </si>
  <si>
    <t>2026-05-25 07:29:14</t>
  </si>
  <si>
    <t>27814695869</t>
  </si>
  <si>
    <t>13861739</t>
  </si>
  <si>
    <t>c376e503-747c-4d8b-a1c8-31e554cd8187</t>
  </si>
  <si>
    <t>27818103653</t>
  </si>
  <si>
    <t>13861740</t>
  </si>
  <si>
    <t>c7410d20-1405-49cf-9df3-360e8f05b94e</t>
  </si>
  <si>
    <t>27820458559</t>
  </si>
  <si>
    <t>13861734</t>
  </si>
  <si>
    <t>3136614f-8edf-408d-9699-3cf819ab47f9</t>
  </si>
  <si>
    <t>2026-05-25 07:29:12</t>
  </si>
  <si>
    <t>2026-06-01 10:03:49</t>
  </si>
  <si>
    <t>27798298337</t>
  </si>
  <si>
    <t>13861735</t>
  </si>
  <si>
    <t>d23233f2-eb7d-41d6-a295-eea21036e707</t>
  </si>
  <si>
    <t>27798345510</t>
  </si>
  <si>
    <t>13861662</t>
  </si>
  <si>
    <t>7cdbfad1-5286-44aa-924c-55db3f6b9ae7</t>
  </si>
  <si>
    <t>27726474151</t>
  </si>
  <si>
    <t>2026-05-25 07:28:57</t>
  </si>
  <si>
    <t>13861732</t>
  </si>
  <si>
    <t>f599fee1-b7a3-4a2f-8bce-50226a5e4a45</t>
  </si>
  <si>
    <t>2026-05-25 07:28:43</t>
  </si>
  <si>
    <t>27797865972</t>
  </si>
  <si>
    <t>39e467d4-dc1d-4a98-ad15-9d3a9f8bf9ae</t>
  </si>
  <si>
    <t>27714469856</t>
  </si>
  <si>
    <t>2026-05-25 07:28:26</t>
  </si>
  <si>
    <t>13861638</t>
  </si>
  <si>
    <t>f35ec11f-40e1-4366-bd60-cbe9922b76ff</t>
  </si>
  <si>
    <t>27713269808</t>
  </si>
  <si>
    <t>2026-05-25 07:28:17</t>
  </si>
  <si>
    <t>13861637</t>
  </si>
  <si>
    <t>acb946a3-c9a9-4c64-a1f0-a25f76d917dd</t>
  </si>
  <si>
    <t>2026-05-25 07:28:16</t>
  </si>
  <si>
    <t>27713185822</t>
  </si>
  <si>
    <t>13861495</t>
  </si>
  <si>
    <t>66accd23-738d-42be-9205-c9a66c537d8f</t>
  </si>
  <si>
    <t>2026-05-25 07:28:10</t>
  </si>
  <si>
    <t>27760890996</t>
  </si>
  <si>
    <t>13863036</t>
  </si>
  <si>
    <t>08b3ce2d-78b9-4f63-a945-4b3e2e1f1ab5</t>
  </si>
  <si>
    <t>2026-05-25 07:28:06</t>
  </si>
  <si>
    <t>27606583334</t>
  </si>
  <si>
    <t>13861494</t>
  </si>
  <si>
    <t>3fbcff03-bb0c-488d-aeaa-687dc29fbb49</t>
  </si>
  <si>
    <t>2026-05-25 07:28:04</t>
  </si>
  <si>
    <t>27760649621</t>
  </si>
  <si>
    <t>13861672</t>
  </si>
  <si>
    <t>3d264690-15bc-4f83-b240-cb73d7cbcf62</t>
  </si>
  <si>
    <t>27729744709</t>
  </si>
  <si>
    <t>13863080</t>
  </si>
  <si>
    <t>91e8ec70-8c81-448d-8204-b360f2d2417c</t>
  </si>
  <si>
    <t>2026-05-25 07:28:02</t>
  </si>
  <si>
    <t>27720497082</t>
  </si>
  <si>
    <t>13861670</t>
  </si>
  <si>
    <t>8da97ff3-5b35-4135-a68c-98679db814bc</t>
  </si>
  <si>
    <t>2026-05-25 07:28:00</t>
  </si>
  <si>
    <t>27728511169</t>
  </si>
  <si>
    <t>13863033</t>
  </si>
  <si>
    <t>6b36507e-5956-42db-813c-d768c7b0cd44</t>
  </si>
  <si>
    <t>27796246677</t>
  </si>
  <si>
    <t>13863034</t>
  </si>
  <si>
    <t>2aff757f-9515-457e-887b-bb9f5cd3500f</t>
  </si>
  <si>
    <t>27796460722</t>
  </si>
  <si>
    <t>13861666</t>
  </si>
  <si>
    <t>8539c5e9-3fb9-4f65-aaab-97056df75778</t>
  </si>
  <si>
    <t>2026-05-25 07:27:59</t>
  </si>
  <si>
    <t>27727157591</t>
  </si>
  <si>
    <t>13863078</t>
  </si>
  <si>
    <t>8752b188-b0ea-48ee-9b24-b7009b066c62</t>
  </si>
  <si>
    <t>2026-05-25 07:27:42</t>
  </si>
  <si>
    <t>27716290836</t>
  </si>
  <si>
    <t>13861492</t>
  </si>
  <si>
    <t>78a1f0b9-fa66-484d-b125-1052c5054af5</t>
  </si>
  <si>
    <t>2026-05-25 07:27:38</t>
  </si>
  <si>
    <t>27760377508</t>
  </si>
  <si>
    <t>13863090</t>
  </si>
  <si>
    <t>445430d7-86e9-4687-b6de-cdfcc5700799</t>
  </si>
  <si>
    <t>2026-05-25 07:27:32</t>
  </si>
  <si>
    <t>27723208020</t>
  </si>
  <si>
    <t>13863066</t>
  </si>
  <si>
    <t>5cad6cbe-3be3-4d1b-8683-459cbf1e56d2</t>
  </si>
  <si>
    <t>2026-05-25 07:27:28</t>
  </si>
  <si>
    <t>27711041336</t>
  </si>
  <si>
    <t>13863074</t>
  </si>
  <si>
    <t>9eb4b88b-fd1d-4ccc-8b95-8eb315dc88ca</t>
  </si>
  <si>
    <t>2026-05-25 07:27:25</t>
  </si>
  <si>
    <t>27713321228</t>
  </si>
  <si>
    <t>13861660</t>
  </si>
  <si>
    <t>bab8f182-14b8-4ba6-8e89-fa77aed8c1ad</t>
  </si>
  <si>
    <t>2026-05-25 07:27:23</t>
  </si>
  <si>
    <t>27725243768</t>
  </si>
  <si>
    <t>13863085</t>
  </si>
  <si>
    <t>12ad77fa-6f64-4fe3-8507-42aec3d54503</t>
  </si>
  <si>
    <t>27721868976</t>
  </si>
  <si>
    <t>13863087</t>
  </si>
  <si>
    <t>43dfba5d-7549-481c-a8aa-53f822486c08</t>
  </si>
  <si>
    <t>27722322950</t>
  </si>
  <si>
    <t>13863088</t>
  </si>
  <si>
    <t>34be780e-ccb0-4ac4-89b4-8ed3160c3407</t>
  </si>
  <si>
    <t>27722383803</t>
  </si>
  <si>
    <t>13863070</t>
  </si>
  <si>
    <t>9c65967c-b24a-414a-b30b-332754bc34f6</t>
  </si>
  <si>
    <t>2026-05-25 07:23:56</t>
  </si>
  <si>
    <t>27712153877</t>
  </si>
  <si>
    <t>13863072</t>
  </si>
  <si>
    <t>b07ca797-cb6c-4bdd-aa68-94d98a95c567</t>
  </si>
  <si>
    <t>27713029233</t>
  </si>
  <si>
    <t>13863073</t>
  </si>
  <si>
    <t>3be7e7a9-c75d-4ac3-8d56-e047f512cada</t>
  </si>
  <si>
    <t>27713122856</t>
  </si>
  <si>
    <t>40e1694f-5178-4536-bc4e-ed7275582687</t>
  </si>
  <si>
    <t>2026-05-25 07:21:11</t>
  </si>
  <si>
    <t>27723688107</t>
  </si>
  <si>
    <t>62e05335-5fdb-47cb-adf0-9f2c236771f7</t>
  </si>
  <si>
    <t>27664687060</t>
  </si>
  <si>
    <t>13863063</t>
  </si>
  <si>
    <t>cf223a0b-5bbf-4ab6-97c2-41ffe867c2b7</t>
  </si>
  <si>
    <t>27665382222</t>
  </si>
  <si>
    <t>13863032</t>
  </si>
  <si>
    <t>5ad5ecf7-48a1-4df0-aa01-d3346c43d103</t>
  </si>
  <si>
    <t>2026-05-25 07:20:36</t>
  </si>
  <si>
    <t>27794241046</t>
  </si>
  <si>
    <t>13861636</t>
  </si>
  <si>
    <t>e24c1b0a-6c11-460e-897c-1544a49ff588</t>
  </si>
  <si>
    <t>2026-05-25 07:20:32</t>
  </si>
  <si>
    <t>27713013111</t>
  </si>
  <si>
    <t>9e84931f-5a74-4d6b-8678-cf08fda0e61b</t>
  </si>
  <si>
    <t>27792400482</t>
  </si>
  <si>
    <t>13863027</t>
  </si>
  <si>
    <t>98b87270-62c5-4357-8fb4-b77409007ebf</t>
  </si>
  <si>
    <t>27769749251</t>
  </si>
  <si>
    <t>2026-05-25 07:20:27</t>
  </si>
  <si>
    <t>13863029</t>
  </si>
  <si>
    <t>c5313641-8092-41bf-8c80-b1d88b49279d</t>
  </si>
  <si>
    <t>2026-05-25 07:20:07</t>
  </si>
  <si>
    <t>27790275764</t>
  </si>
  <si>
    <t>13861476</t>
  </si>
  <si>
    <t>03876218-b4ca-473b-b733-9be5fe6be377</t>
  </si>
  <si>
    <t>2026-05-25 07:20:04</t>
  </si>
  <si>
    <t>27726350248</t>
  </si>
  <si>
    <t>13863025</t>
  </si>
  <si>
    <t>2e28c372-899b-4d84-a743-c8ff46b88b52</t>
  </si>
  <si>
    <t>2026-05-25 07:19:40</t>
  </si>
  <si>
    <t>27768553155</t>
  </si>
  <si>
    <t>13862998</t>
  </si>
  <si>
    <t>13057f9e-2cd6-4a86-81b6-437fd3558619</t>
  </si>
  <si>
    <t>27665080601</t>
  </si>
  <si>
    <t>2026-05-25 07:19:35</t>
  </si>
  <si>
    <t>13862999</t>
  </si>
  <si>
    <t>f748d127-e195-4bd2-90c8-42806731d538</t>
  </si>
  <si>
    <t>27665483832</t>
  </si>
  <si>
    <t>13863000</t>
  </si>
  <si>
    <t>672e3e2b-ef01-4dcb-9d60-fc16ab3075eb</t>
  </si>
  <si>
    <t>27665647452</t>
  </si>
  <si>
    <t>13863001</t>
  </si>
  <si>
    <t>b96f58b1-0e7e-4c47-89ff-b4419484700f</t>
  </si>
  <si>
    <t>27673403351</t>
  </si>
  <si>
    <t>13862994</t>
  </si>
  <si>
    <t>7fe3c144-d37e-498b-9ac2-e3080aa787d9</t>
  </si>
  <si>
    <t>2026-05-25 07:19:02</t>
  </si>
  <si>
    <t>27661687144</t>
  </si>
  <si>
    <t>13862996</t>
  </si>
  <si>
    <t>64ce749e-5ecd-436e-91aa-4ccacfad4c61</t>
  </si>
  <si>
    <t>27663717206</t>
  </si>
  <si>
    <t>13862997</t>
  </si>
  <si>
    <t>79f27c76-2447-416b-917c-e77c989699b6</t>
  </si>
  <si>
    <t>27663758931</t>
  </si>
  <si>
    <t>13862170</t>
  </si>
  <si>
    <t>02e62e15-a503-48f4-87ae-c193af51dd54</t>
  </si>
  <si>
    <t>27769016165</t>
  </si>
  <si>
    <t>OAL</t>
  </si>
  <si>
    <t>Over Age Limit</t>
  </si>
  <si>
    <t>2026-05-25 07:18:35</t>
  </si>
  <si>
    <t>13862993</t>
  </si>
  <si>
    <t>f5b499ba-ab01-43ff-9343-d6f9f10da455</t>
  </si>
  <si>
    <t>27660758444</t>
  </si>
  <si>
    <t>2026-05-25 07:18:34</t>
  </si>
  <si>
    <t>13862992</t>
  </si>
  <si>
    <t>88f3df4c-b6e9-45e0-8edc-09980207fd19</t>
  </si>
  <si>
    <t>27648435866</t>
  </si>
  <si>
    <t>2026-05-25 07:18:31</t>
  </si>
  <si>
    <t>13862990</t>
  </si>
  <si>
    <t>8cc0b1f2-1b11-4390-a576-d8ff4cccf381</t>
  </si>
  <si>
    <t>2026-05-25 07:18:23</t>
  </si>
  <si>
    <t>27609899277</t>
  </si>
  <si>
    <t>13862930</t>
  </si>
  <si>
    <t>03c300db-da63-4197-8a67-7a352e4e6cc6</t>
  </si>
  <si>
    <t>27766355006</t>
  </si>
  <si>
    <t>2026-05-25 07:18:17</t>
  </si>
  <si>
    <t>13862985</t>
  </si>
  <si>
    <t>380bee3c-5db2-4dad-bf09-e8afa336b3e3</t>
  </si>
  <si>
    <t>2026-05-25 07:17:57</t>
  </si>
  <si>
    <t>27799656406</t>
  </si>
  <si>
    <t>13862986</t>
  </si>
  <si>
    <t>fd876e56-0228-47a1-92d8-2ee34595a1ff</t>
  </si>
  <si>
    <t>27799857593</t>
  </si>
  <si>
    <t>13862988</t>
  </si>
  <si>
    <t>7fc37d06-756f-4b65-ac8f-36ea187ef37e</t>
  </si>
  <si>
    <t>27818120708</t>
  </si>
  <si>
    <t>13862984</t>
  </si>
  <si>
    <t>03216882-6c4c-4fc9-87d6-e7c373d7bc42</t>
  </si>
  <si>
    <t>27797472205</t>
  </si>
  <si>
    <t>2026-05-25 07:17:28</t>
  </si>
  <si>
    <t>13862981</t>
  </si>
  <si>
    <t>7f539b12-c001-42d0-ae97-bed9a0873962</t>
  </si>
  <si>
    <t>27793228963</t>
  </si>
  <si>
    <t>2026-05-25 07:17:21</t>
  </si>
  <si>
    <t>13862979</t>
  </si>
  <si>
    <t>aac2266f-8ad4-411a-9a5b-9f7bc8728951</t>
  </si>
  <si>
    <t>2026-05-25 07:17:15</t>
  </si>
  <si>
    <t>27791092446</t>
  </si>
  <si>
    <t>13862931</t>
  </si>
  <si>
    <t>69416d5d-352e-43a5-808c-4133dfe38e59</t>
  </si>
  <si>
    <t>2026-05-25 07:17:11</t>
  </si>
  <si>
    <t>27767716001</t>
  </si>
  <si>
    <t>13862932</t>
  </si>
  <si>
    <t>11b20a44-fa7f-4765-a246-c8ec526c7dbd</t>
  </si>
  <si>
    <t>27768047381</t>
  </si>
  <si>
    <t>13862935</t>
  </si>
  <si>
    <t>f59e71e1-9ed8-4466-891a-3c8c962ab438</t>
  </si>
  <si>
    <t>27773819790</t>
  </si>
  <si>
    <t>13864477</t>
  </si>
  <si>
    <t>8a067d0d-7dea-4691-b5d1-b0bdbd6c7154</t>
  </si>
  <si>
    <t>27798835151</t>
  </si>
  <si>
    <t>2026-05-25 07:16:55</t>
  </si>
  <si>
    <t>13862929</t>
  </si>
  <si>
    <t>429c2da6-83bd-49e4-a592-5f14b2059606</t>
  </si>
  <si>
    <t>2026-05-25 07:16:32</t>
  </si>
  <si>
    <t>27762356081</t>
  </si>
  <si>
    <t>13862222</t>
  </si>
  <si>
    <t>39ebf89c-a7b5-4854-85fa-3fcdfda74f19</t>
  </si>
  <si>
    <t>2026-05-25 07:16:31</t>
  </si>
  <si>
    <t>27606128194</t>
  </si>
  <si>
    <t>13862914</t>
  </si>
  <si>
    <t>cf7fc565-0c88-456b-bc90-6a8c0f7de7cb</t>
  </si>
  <si>
    <t>27646479384</t>
  </si>
  <si>
    <t>2026-05-25 07:16:30</t>
  </si>
  <si>
    <t>13862926</t>
  </si>
  <si>
    <t>29eda5b3-ea33-47d8-a629-154c574a58b4</t>
  </si>
  <si>
    <t>27729306995</t>
  </si>
  <si>
    <t>13862928</t>
  </si>
  <si>
    <t>10d24f65-1161-4ffe-a6ef-39aae78fc7df</t>
  </si>
  <si>
    <t>27729786749</t>
  </si>
  <si>
    <t>13862923</t>
  </si>
  <si>
    <t>92703e45-5483-4451-9c66-ce6bd7597bea</t>
  </si>
  <si>
    <t>2026-05-25 07:16:29</t>
  </si>
  <si>
    <t>27721721446</t>
  </si>
  <si>
    <t>13862918</t>
  </si>
  <si>
    <t>c87d3708-9dc4-4826-ad62-01e28450b9e6</t>
  </si>
  <si>
    <t>2026-05-25 07:16:18</t>
  </si>
  <si>
    <t>27665371269</t>
  </si>
  <si>
    <t>13862917</t>
  </si>
  <si>
    <t>ccce1c46-89c4-4240-bc91-a3ea860e8fd9</t>
  </si>
  <si>
    <t>2026-05-25 07:16:13</t>
  </si>
  <si>
    <t>27660897384</t>
  </si>
  <si>
    <t>13862833</t>
  </si>
  <si>
    <t>34a9ba63-f7e8-4925-b76e-a4ebec226a88</t>
  </si>
  <si>
    <t>27769280059</t>
  </si>
  <si>
    <t>2026-05-25 07:15:52</t>
  </si>
  <si>
    <t>13862915</t>
  </si>
  <si>
    <t>870d6063-c635-4697-a316-38f215488dce</t>
  </si>
  <si>
    <t>27647086549</t>
  </si>
  <si>
    <t>2026-05-25 07:15:50</t>
  </si>
  <si>
    <t>13862913</t>
  </si>
  <si>
    <t>06f2cfe0-7d9f-4ece-9645-8a7ff76b5853</t>
  </si>
  <si>
    <t>2026-05-25 07:15:40</t>
  </si>
  <si>
    <t>27646369487</t>
  </si>
  <si>
    <t>13862910</t>
  </si>
  <si>
    <t>77ec0938-3ae9-4581-b786-c1a083b2facb</t>
  </si>
  <si>
    <t>2026-05-25 07:15:37</t>
  </si>
  <si>
    <t>27798957504</t>
  </si>
  <si>
    <t>13862804</t>
  </si>
  <si>
    <t>f52ef424-c395-49c8-a78d-72fa20426e4b</t>
  </si>
  <si>
    <t>2026-05-25 07:15:35</t>
  </si>
  <si>
    <t>27763211665</t>
  </si>
  <si>
    <t>13862194</t>
  </si>
  <si>
    <t>85862c80-134b-4486-886b-68536fc6b5e2</t>
  </si>
  <si>
    <t>2026-05-25 07:15:33</t>
  </si>
  <si>
    <t>27797874546</t>
  </si>
  <si>
    <t>13862801</t>
  </si>
  <si>
    <t>7e3c15c7-3c3d-4e7e-b7f7-ebda177345df</t>
  </si>
  <si>
    <t>27762581809</t>
  </si>
  <si>
    <t>13862839</t>
  </si>
  <si>
    <t>b8ffe5dc-b6c5-4149-9a5a-b4a77bee1efc</t>
  </si>
  <si>
    <t>27774369627</t>
  </si>
  <si>
    <t>13862840</t>
  </si>
  <si>
    <t>afbb7d4f-f35d-403a-afc7-b3050e869597</t>
  </si>
  <si>
    <t>27783494671</t>
  </si>
  <si>
    <t>13862800</t>
  </si>
  <si>
    <t>4c4f1b8e-3c53-4c0d-9df3-e6785b37eac6</t>
  </si>
  <si>
    <t>2026-05-25 07:15:20</t>
  </si>
  <si>
    <t>27762542313</t>
  </si>
  <si>
    <t>13862836</t>
  </si>
  <si>
    <t>b06db6a3-a4da-4409-86c9-8c20cfb7fb5b</t>
  </si>
  <si>
    <t>2026-05-25 07:15:17</t>
  </si>
  <si>
    <t>27769918636</t>
  </si>
  <si>
    <t>13862798</t>
  </si>
  <si>
    <t>aeef730b-9ec8-47df-8bce-f956eca87fdf</t>
  </si>
  <si>
    <t>2026-05-25 07:14:49</t>
  </si>
  <si>
    <t>27762020585</t>
  </si>
  <si>
    <t>13862799</t>
  </si>
  <si>
    <t>02633a54-7aaa-4d42-86c2-5342775ef684</t>
  </si>
  <si>
    <t>27762388916</t>
  </si>
  <si>
    <t>13862832</t>
  </si>
  <si>
    <t>af8bd732-a18f-447b-bfcc-06215639d0fc</t>
  </si>
  <si>
    <t>27769028484</t>
  </si>
  <si>
    <t>13862797</t>
  </si>
  <si>
    <t>479e8afc-7e18-471c-a0c4-09ef97326e21</t>
  </si>
  <si>
    <t>2026-05-25 07:14:48</t>
  </si>
  <si>
    <t>27761926669</t>
  </si>
  <si>
    <t>13862831</t>
  </si>
  <si>
    <t>ef5fa306-17ce-4760-9ded-3a480a08f35b</t>
  </si>
  <si>
    <t>27768576873</t>
  </si>
  <si>
    <t>2026-05-25 07:14:39</t>
  </si>
  <si>
    <t>13861589</t>
  </si>
  <si>
    <t>a5b91ccb-7d9a-4aef-8c5b-589601d642d0</t>
  </si>
  <si>
    <t>2026-05-25 07:14:34</t>
  </si>
  <si>
    <t>27837483528</t>
  </si>
  <si>
    <t>13862796</t>
  </si>
  <si>
    <t>1548cd45-1d2f-48e4-a5a3-01eecc5d548b</t>
  </si>
  <si>
    <t>27761709967</t>
  </si>
  <si>
    <t>13862829</t>
  </si>
  <si>
    <t>5759ac9f-7306-4f68-8514-809f8dfe9367</t>
  </si>
  <si>
    <t>27768471982</t>
  </si>
  <si>
    <t>13862830</t>
  </si>
  <si>
    <t>1c95a241-e497-4643-90e9-c96d7d2d8fd1</t>
  </si>
  <si>
    <t>27768519469</t>
  </si>
  <si>
    <t>13862828</t>
  </si>
  <si>
    <t>5892634f-0208-4376-a585-8d189eec71be</t>
  </si>
  <si>
    <t>2026-05-25 07:14:33</t>
  </si>
  <si>
    <t>27768384013</t>
  </si>
  <si>
    <t>13862824</t>
  </si>
  <si>
    <t>2a06c525-238d-488a-854d-99fa6b06d11d</t>
  </si>
  <si>
    <t>2026-05-25 07:14:26</t>
  </si>
  <si>
    <t>27767375522</t>
  </si>
  <si>
    <t>13862822</t>
  </si>
  <si>
    <t>c22412b3-e7ae-47ea-83fc-8ad054630b86</t>
  </si>
  <si>
    <t>2026-05-25 07:14:18</t>
  </si>
  <si>
    <t>27767226446</t>
  </si>
  <si>
    <t>13862193</t>
  </si>
  <si>
    <t>00bd0a63-e9b8-4c15-bf06-b544b0d5a09c</t>
  </si>
  <si>
    <t>2026-05-25 07:14:13</t>
  </si>
  <si>
    <t>27797738319</t>
  </si>
  <si>
    <t>13862820</t>
  </si>
  <si>
    <t>ddd61da1-bcc1-46b9-bdf6-b49c634dfc2a</t>
  </si>
  <si>
    <t>27766965439</t>
  </si>
  <si>
    <t>13862821</t>
  </si>
  <si>
    <t>7ea6696c-9230-42ca-8592-d064766d9002</t>
  </si>
  <si>
    <t>27767021506</t>
  </si>
  <si>
    <t>13862817</t>
  </si>
  <si>
    <t>61c3c736-9613-4cf5-ba92-279487c501fa</t>
  </si>
  <si>
    <t>2026-05-25 07:14:12</t>
  </si>
  <si>
    <t>27766192354</t>
  </si>
  <si>
    <t>13862792</t>
  </si>
  <si>
    <t>3dd591b4-257c-4f82-b31d-8d221b5864ff</t>
  </si>
  <si>
    <t>27760615836</t>
  </si>
  <si>
    <t>2026-05-25 07:12:34</t>
  </si>
  <si>
    <t>13862793</t>
  </si>
  <si>
    <t>dce47cbe-ddc9-4edd-a85f-21b3feecfb26</t>
  </si>
  <si>
    <t>27760802791</t>
  </si>
  <si>
    <t>13862794</t>
  </si>
  <si>
    <t>f8c1aa27-6df3-4b16-83ea-68a2587c6b70</t>
  </si>
  <si>
    <t>27761135714</t>
  </si>
  <si>
    <t>13864372</t>
  </si>
  <si>
    <t>90ed0181-42eb-4999-babc-dcafe2a94d97</t>
  </si>
  <si>
    <t>27728381108</t>
  </si>
  <si>
    <t>13862663</t>
  </si>
  <si>
    <t>68771c25-3e72-4c5b-a310-86904d746fc2</t>
  </si>
  <si>
    <t>27790277818</t>
  </si>
  <si>
    <t>2026-05-25 07:12:00</t>
  </si>
  <si>
    <t>13862788</t>
  </si>
  <si>
    <t>6189a10c-844f-4fab-909b-4839c83137a3</t>
  </si>
  <si>
    <t>2026-05-25 07:11:56</t>
  </si>
  <si>
    <t>27742743056</t>
  </si>
  <si>
    <t>13862789</t>
  </si>
  <si>
    <t>9d03640d-11e2-450b-a561-2e82d3612339</t>
  </si>
  <si>
    <t>27746565635</t>
  </si>
  <si>
    <t>13862787</t>
  </si>
  <si>
    <t>217b2a00-a231-4676-8ca6-d068a9aa88b3</t>
  </si>
  <si>
    <t>2026-05-25 07:11:55</t>
  </si>
  <si>
    <t>27732739260</t>
  </si>
  <si>
    <t>13862784</t>
  </si>
  <si>
    <t>48278429-9c14-4323-9544-7aef8087472a</t>
  </si>
  <si>
    <t>2026-05-25 07:11:52</t>
  </si>
  <si>
    <t>27729214596</t>
  </si>
  <si>
    <t>13862781</t>
  </si>
  <si>
    <t>a2002987-4475-42d6-8b12-ade295310409</t>
  </si>
  <si>
    <t>2026-05-25 07:11:41</t>
  </si>
  <si>
    <t>27728496644</t>
  </si>
  <si>
    <t>13862343</t>
  </si>
  <si>
    <t>01840b5f-1b25-4919-8afc-cb1f5f1d1775</t>
  </si>
  <si>
    <t>2026-05-25 07:11:35</t>
  </si>
  <si>
    <t>27795528563</t>
  </si>
  <si>
    <t>13864320</t>
  </si>
  <si>
    <t>378aa083-5084-404f-8fbd-3832e2ab9a96</t>
  </si>
  <si>
    <t>27720263597</t>
  </si>
  <si>
    <t>13864580</t>
  </si>
  <si>
    <t>02b30f25-13b1-4706-9547-0ee9f24fb9f8</t>
  </si>
  <si>
    <t>27711975426</t>
  </si>
  <si>
    <t>13864435</t>
  </si>
  <si>
    <t>83e257fd-d83e-4051-9740-b68a1e9ac214</t>
  </si>
  <si>
    <t>2026-05-25 07:11:06</t>
  </si>
  <si>
    <t>27791435856</t>
  </si>
  <si>
    <t>13862310</t>
  </si>
  <si>
    <t>f01d72d7-def5-405e-9dc8-c7a8625460dc</t>
  </si>
  <si>
    <t>2026-05-25 07:10:59</t>
  </si>
  <si>
    <t>27763224790</t>
  </si>
  <si>
    <t>13864210</t>
  </si>
  <si>
    <t>46b375e5-cc4b-4988-81ac-32595bfebbbf</t>
  </si>
  <si>
    <t>27822672736</t>
  </si>
  <si>
    <t>13862443</t>
  </si>
  <si>
    <t>f279753c-d028-4b06-b723-0fbfbebf0817</t>
  </si>
  <si>
    <t>27724487824</t>
  </si>
  <si>
    <t>2026-05-25 07:10:19</t>
  </si>
  <si>
    <t>13862451</t>
  </si>
  <si>
    <t>e2a26ab1-6e13-477e-aa72-ee3710c7fe62</t>
  </si>
  <si>
    <t>2026-05-25 07:10:11</t>
  </si>
  <si>
    <t>27727102008</t>
  </si>
  <si>
    <t>13864731</t>
  </si>
  <si>
    <t>5754c3e6-dce9-4ad9-88dc-ce15ae1ddfe0</t>
  </si>
  <si>
    <t>2026-05-25 07:10:08</t>
  </si>
  <si>
    <t>27792772083</t>
  </si>
  <si>
    <t>13864691</t>
  </si>
  <si>
    <t>cb34285d-7e54-4b48-b4ab-6130cd7c8c88</t>
  </si>
  <si>
    <t>2026-05-25 07:10:06</t>
  </si>
  <si>
    <t>27764244880</t>
  </si>
  <si>
    <t>13864690</t>
  </si>
  <si>
    <t>fbb42355-27d4-4b31-ae37-ffe7df85faa5</t>
  </si>
  <si>
    <t>2026-05-25 07:10:05</t>
  </si>
  <si>
    <t>27763898496</t>
  </si>
  <si>
    <t>13864729</t>
  </si>
  <si>
    <t>07aea483-6d35-4987-98d9-893ec60def14</t>
  </si>
  <si>
    <t>2026-05-25 07:10:03</t>
  </si>
  <si>
    <t>27792236314</t>
  </si>
  <si>
    <t>13864727</t>
  </si>
  <si>
    <t>918b37fb-4d55-4480-be55-44083a6da497</t>
  </si>
  <si>
    <t>2026-05-25 07:10:02</t>
  </si>
  <si>
    <t>27791628103</t>
  </si>
  <si>
    <t>13864688</t>
  </si>
  <si>
    <t>76fba94d-b4c7-4356-9cec-61ab3033aaa3</t>
  </si>
  <si>
    <t>2026-05-25 07:10:00</t>
  </si>
  <si>
    <t>27763130955</t>
  </si>
  <si>
    <t>13864725</t>
  </si>
  <si>
    <t>3990b1fd-aedf-4a30-b518-34ad7f105df2</t>
  </si>
  <si>
    <t>2026-05-25 07:09:57</t>
  </si>
  <si>
    <t>27790935966</t>
  </si>
  <si>
    <t>13864722</t>
  </si>
  <si>
    <t>6b86ad3c-7f87-4ec1-ae15-818e849d6376</t>
  </si>
  <si>
    <t>27790490452</t>
  </si>
  <si>
    <t>2026-05-25 07:09:56</t>
  </si>
  <si>
    <t>13864723</t>
  </si>
  <si>
    <t>3344cdf2-a958-4abc-a846-cfbad0ab796e</t>
  </si>
  <si>
    <t>27790719595</t>
  </si>
  <si>
    <t>13862178</t>
  </si>
  <si>
    <t>7a50f7fd-e44d-4bdf-a665-557a9a90afef</t>
  </si>
  <si>
    <t>2026-05-25 07:09:55</t>
  </si>
  <si>
    <t>27791628619</t>
  </si>
  <si>
    <t>13864715</t>
  </si>
  <si>
    <t>d07e3daa-0cc6-43c4-88fe-cfbba3c56ac7</t>
  </si>
  <si>
    <t>27769488847</t>
  </si>
  <si>
    <t>13864717</t>
  </si>
  <si>
    <t>5e57b5a0-4352-492c-810a-d90080918607</t>
  </si>
  <si>
    <t>27769835440</t>
  </si>
  <si>
    <t>13864719</t>
  </si>
  <si>
    <t>00df97fc-2ed4-49fc-b96d-1dc731b4b007</t>
  </si>
  <si>
    <t>27773910176</t>
  </si>
  <si>
    <t>13864720</t>
  </si>
  <si>
    <t>23349203-60c6-4111-880f-3d1437469928</t>
  </si>
  <si>
    <t>27774346573</t>
  </si>
  <si>
    <t>13864714</t>
  </si>
  <si>
    <t>62dde246-c5e9-4324-94c9-cf456c41f674</t>
  </si>
  <si>
    <t>27769466525</t>
  </si>
  <si>
    <t>2026-05-25 07:09:54</t>
  </si>
  <si>
    <t>13864713</t>
  </si>
  <si>
    <t>783efe59-cbc7-470f-9d57-09785203ba30</t>
  </si>
  <si>
    <t>27768392267</t>
  </si>
  <si>
    <t>2026-05-25 07:09:50</t>
  </si>
  <si>
    <t>13864687</t>
  </si>
  <si>
    <t>adf328d9-bff0-40d7-8649-61ca8b5b2c97</t>
  </si>
  <si>
    <t>27762926068</t>
  </si>
  <si>
    <t>2026-05-25 07:09:40</t>
  </si>
  <si>
    <t>13864705</t>
  </si>
  <si>
    <t>48220808-47ad-4d4d-82e7-b961c1d263ad</t>
  </si>
  <si>
    <t>2026-05-25 07:09:37</t>
  </si>
  <si>
    <t>27766401752</t>
  </si>
  <si>
    <t>13864707</t>
  </si>
  <si>
    <t>343763b5-2ac0-4203-91c8-dfc6c3dad8d1</t>
  </si>
  <si>
    <t>27766641114</t>
  </si>
  <si>
    <t>13864708</t>
  </si>
  <si>
    <t>610253e1-c404-4db7-be75-0a46fe91d2c5</t>
  </si>
  <si>
    <t>27766822074</t>
  </si>
  <si>
    <t>13864709</t>
  </si>
  <si>
    <t>2720e005-875a-4fd1-bd52-eba53fd225ab</t>
  </si>
  <si>
    <t>27767017186</t>
  </si>
  <si>
    <t>13862711</t>
  </si>
  <si>
    <t>9b145d45-c4db-44f4-8ffa-d5022576e8e8</t>
  </si>
  <si>
    <t>2026-05-25 07:09:16</t>
  </si>
  <si>
    <t>27631605239</t>
  </si>
  <si>
    <t>13862710</t>
  </si>
  <si>
    <t>163c9645-e096-4eb6-9709-21edc86e69f1</t>
  </si>
  <si>
    <t>2026-05-25 07:09:02</t>
  </si>
  <si>
    <t>27623437301</t>
  </si>
  <si>
    <t>13862707</t>
  </si>
  <si>
    <t>f7d14d74-fb12-45d9-8691-3ba7189af1b6</t>
  </si>
  <si>
    <t>2026-05-25 07:08:45</t>
  </si>
  <si>
    <t>27608488411</t>
  </si>
  <si>
    <t>13862709</t>
  </si>
  <si>
    <t>41a23cc1-5ac1-4812-bbd8-6f2b50acf374</t>
  </si>
  <si>
    <t>27609348706</t>
  </si>
  <si>
    <t>13863220</t>
  </si>
  <si>
    <t>604f9659-328f-44d8-9bef-21fd536c7b26</t>
  </si>
  <si>
    <t>27827911182</t>
  </si>
  <si>
    <t>2026-05-25 07:08:41</t>
  </si>
  <si>
    <t>13864682</t>
  </si>
  <si>
    <t>bdda7d7b-2ea4-4f94-be97-f700eebf4d1a</t>
  </si>
  <si>
    <t>2026-05-25 07:08:24</t>
  </si>
  <si>
    <t>27761647447</t>
  </si>
  <si>
    <t>13864681</t>
  </si>
  <si>
    <t>dea0252e-3104-4e8b-a483-865a98db5bce</t>
  </si>
  <si>
    <t>2026-05-25 07:08:19</t>
  </si>
  <si>
    <t>27761585408</t>
  </si>
  <si>
    <t>4e482740-8ba5-49b7-86f6-de7ca0e64ba4</t>
  </si>
  <si>
    <t>2026-05-25 07:08:12</t>
  </si>
  <si>
    <t>27761410144</t>
  </si>
  <si>
    <t>13864677</t>
  </si>
  <si>
    <t>23e75de1-9258-4748-8169-32e2cdb995cb</t>
  </si>
  <si>
    <t>2026-05-25 07:08:06</t>
  </si>
  <si>
    <t>27761134957</t>
  </si>
  <si>
    <t>13864676</t>
  </si>
  <si>
    <t>036951dd-6054-4d60-afaa-dae84acbbc6f</t>
  </si>
  <si>
    <t>2026-05-25 07:08:05</t>
  </si>
  <si>
    <t>27761107611</t>
  </si>
  <si>
    <t>13862706</t>
  </si>
  <si>
    <t>8f5ab9be-97e2-4779-8840-3078cbceecf0</t>
  </si>
  <si>
    <t>2026-05-25 07:08:00</t>
  </si>
  <si>
    <t>27608173391</t>
  </si>
  <si>
    <t>13862704</t>
  </si>
  <si>
    <t>283712f5-7cd1-4f1b-a55c-9ab76d239429</t>
  </si>
  <si>
    <t>2026-05-25 07:07:51</t>
  </si>
  <si>
    <t>27606373603</t>
  </si>
  <si>
    <t>13862703</t>
  </si>
  <si>
    <t>7af53f39-e94f-4fda-9ea2-6b40fef98b54</t>
  </si>
  <si>
    <t>2026-05-25 07:07:47</t>
  </si>
  <si>
    <t>27847321073</t>
  </si>
  <si>
    <t>13864669</t>
  </si>
  <si>
    <t>b5ceb22f-b0e9-4b88-81ec-ec4d16fc937b</t>
  </si>
  <si>
    <t>27742128077</t>
  </si>
  <si>
    <t>13864617</t>
  </si>
  <si>
    <t>aebffb6d-d5ec-4b20-beb4-05e3092f01d9</t>
  </si>
  <si>
    <t>27721374849</t>
  </si>
  <si>
    <t>2026-05-25 07:07:24</t>
  </si>
  <si>
    <t>13862600</t>
  </si>
  <si>
    <t>7825e4f3-ecad-4d8c-a1e2-71aba23eb0b6</t>
  </si>
  <si>
    <t>2026-05-25 07:06:44</t>
  </si>
  <si>
    <t>27721843566</t>
  </si>
  <si>
    <t>13862569</t>
  </si>
  <si>
    <t>d9e8022c-0fb4-485e-be3b-ca456aea0bdc</t>
  </si>
  <si>
    <t>2026-05-25 07:06:38</t>
  </si>
  <si>
    <t>27665087345</t>
  </si>
  <si>
    <t>13862309</t>
  </si>
  <si>
    <t>5de4a2a1-14a0-4fa4-9347-0520b0945a1e</t>
  </si>
  <si>
    <t>2026-05-25 07:06:36</t>
  </si>
  <si>
    <t>27762995869</t>
  </si>
  <si>
    <t>13862388</t>
  </si>
  <si>
    <t>56465b92-ef70-4026-b524-33c195c0856c</t>
  </si>
  <si>
    <t>27646113292</t>
  </si>
  <si>
    <t>13864625</t>
  </si>
  <si>
    <t>c85733d6-a0d8-44cd-81fa-923c110aa73c</t>
  </si>
  <si>
    <t>27722844314</t>
  </si>
  <si>
    <t>13862273</t>
  </si>
  <si>
    <t>b8e8e146-b698-4b9a-ac9f-34d25a61e690</t>
  </si>
  <si>
    <t>27721544944</t>
  </si>
  <si>
    <t>2026-05-25 07:06:30</t>
  </si>
  <si>
    <t>13862341</t>
  </si>
  <si>
    <t>1709cf88-ac90-45cd-a969-b6f04447989c</t>
  </si>
  <si>
    <t>2026-05-25 07:06:25</t>
  </si>
  <si>
    <t>27794680245</t>
  </si>
  <si>
    <t>13864624</t>
  </si>
  <si>
    <t>f5912542-1f41-478d-9ec1-bf99da14873b</t>
  </si>
  <si>
    <t>2026-05-25 07:06:22</t>
  </si>
  <si>
    <t>27722218639</t>
  </si>
  <si>
    <t>13862671</t>
  </si>
  <si>
    <t>af9b3e14-0ee1-429f-8c40-0bd643093d1b</t>
  </si>
  <si>
    <t>2026-05-25 07:06:20</t>
  </si>
  <si>
    <t>27794141525</t>
  </si>
  <si>
    <t>13862668</t>
  </si>
  <si>
    <t>3260085f-59ba-423b-ac55-427bc8772fa8</t>
  </si>
  <si>
    <t>2026-05-25 07:06:14</t>
  </si>
  <si>
    <t>27792929450</t>
  </si>
  <si>
    <t>13862670</t>
  </si>
  <si>
    <t>a8f38bb2-7f79-4c1f-9a23-11f21c2feb9d</t>
  </si>
  <si>
    <t>27793519287</t>
  </si>
  <si>
    <t>13862667</t>
  </si>
  <si>
    <t>8274341d-1a52-44fa-bcb6-092f892bb80d</t>
  </si>
  <si>
    <t>2026-05-25 07:06:00</t>
  </si>
  <si>
    <t>27792738614</t>
  </si>
  <si>
    <t>13864619</t>
  </si>
  <si>
    <t>88543f20-6f95-4d49-9f73-4db3f663d727</t>
  </si>
  <si>
    <t>2026-05-25 07:05:58</t>
  </si>
  <si>
    <t>27721577767</t>
  </si>
  <si>
    <t>13864618</t>
  </si>
  <si>
    <t>a1f21476-00ca-4f05-9ecc-a0ca93623897</t>
  </si>
  <si>
    <t>2026-05-25 07:05:53</t>
  </si>
  <si>
    <t>27721503846</t>
  </si>
  <si>
    <t>13864615</t>
  </si>
  <si>
    <t>6fe9792b-152a-4ab9-b894-569cb03d0500</t>
  </si>
  <si>
    <t>27721128904</t>
  </si>
  <si>
    <t>2026-05-25 07:05:45</t>
  </si>
  <si>
    <t>13864614</t>
  </si>
  <si>
    <t>fc91afaf-1558-4ee1-b808-56cb4ee31491</t>
  </si>
  <si>
    <t>2026-05-25 07:05:37</t>
  </si>
  <si>
    <t>27720693044</t>
  </si>
  <si>
    <t>13864613</t>
  </si>
  <si>
    <t>5c36b5e6-0c9c-4658-9392-5ffad1d9fd90</t>
  </si>
  <si>
    <t>2026-05-25 07:05:29</t>
  </si>
  <si>
    <t>27720516783</t>
  </si>
  <si>
    <t>13864609</t>
  </si>
  <si>
    <t>d97638ed-851b-4e5e-bfdc-302132f06acf</t>
  </si>
  <si>
    <t>2026-05-25 07:05:23</t>
  </si>
  <si>
    <t>27716990027</t>
  </si>
  <si>
    <t>13862665</t>
  </si>
  <si>
    <t>12a1affa-7f4d-4512-9131-a4c2613f3490</t>
  </si>
  <si>
    <t>2026-05-25 07:05:22</t>
  </si>
  <si>
    <t>27792352454</t>
  </si>
  <si>
    <t>13862664</t>
  </si>
  <si>
    <t>41d663b0-8a3b-44a3-a583-0f141b7838d2</t>
  </si>
  <si>
    <t>2026-05-25 07:05:21</t>
  </si>
  <si>
    <t>27791774951</t>
  </si>
  <si>
    <t>13864604</t>
  </si>
  <si>
    <t>2d69b03e-c6eb-4ec4-9900-3adc47baf055</t>
  </si>
  <si>
    <t>2026-05-25 07:05:13</t>
  </si>
  <si>
    <t>27715965654</t>
  </si>
  <si>
    <t>13864578</t>
  </si>
  <si>
    <t>fc220a61-b79f-4fa8-815a-111e4a9d0fd8</t>
  </si>
  <si>
    <t>27711494671</t>
  </si>
  <si>
    <t>2026-05-25 07:04:56</t>
  </si>
  <si>
    <t>13864434</t>
  </si>
  <si>
    <t>d2be3d30-e73b-48a1-9640-20dbe8162e77</t>
  </si>
  <si>
    <t>27791125505</t>
  </si>
  <si>
    <t>13862328</t>
  </si>
  <si>
    <t>60e1bf17-8f8c-4a51-8aad-8f7d709d99e5</t>
  </si>
  <si>
    <t>27769262081</t>
  </si>
  <si>
    <t>2026-05-25 07:04:51</t>
  </si>
  <si>
    <t>13864571</t>
  </si>
  <si>
    <t>e7c5bc9c-02ff-49ba-9f72-b78a1c83b9d4</t>
  </si>
  <si>
    <t>27673768942</t>
  </si>
  <si>
    <t>2026-05-25 07:04:35</t>
  </si>
  <si>
    <t>e20578da-e9ed-4653-b741-36e74be5527b</t>
  </si>
  <si>
    <t>2026-05-25 07:03:54</t>
  </si>
  <si>
    <t>27711439312</t>
  </si>
  <si>
    <t>13862646</t>
  </si>
  <si>
    <t>2a9e79cb-caef-4edb-becb-a052bb84eba0</t>
  </si>
  <si>
    <t>2026-05-25 07:03:53</t>
  </si>
  <si>
    <t>27766288206</t>
  </si>
  <si>
    <t>13862648</t>
  </si>
  <si>
    <t>3ed16da1-e714-44f1-86a8-7ffab466d19d</t>
  </si>
  <si>
    <t>27766443409</t>
  </si>
  <si>
    <t>13862649</t>
  </si>
  <si>
    <t>1f8b0e7e-ce19-4518-869c-313cd62af1cb</t>
  </si>
  <si>
    <t>27766481454</t>
  </si>
  <si>
    <t>13862645</t>
  </si>
  <si>
    <t>7928c74a-b6cf-4fc4-9272-6a7bb7bb61b6</t>
  </si>
  <si>
    <t>2026-05-25 07:03:52</t>
  </si>
  <si>
    <t>27765843477</t>
  </si>
  <si>
    <t>13864569</t>
  </si>
  <si>
    <t>704990b1-db89-4d24-9cf7-aa3a0a0a31ec</t>
  </si>
  <si>
    <t>2026-05-25 07:03:51</t>
  </si>
  <si>
    <t>27673443411</t>
  </si>
  <si>
    <t>13864570</t>
  </si>
  <si>
    <t>316ee6a8-a6bf-4528-9f45-e095c36ae774</t>
  </si>
  <si>
    <t>27673564503</t>
  </si>
  <si>
    <t>13864566</t>
  </si>
  <si>
    <t>fc74ef59-77d6-4f70-ba9b-8cb2ae7c4f24</t>
  </si>
  <si>
    <t>2026-05-25 07:03:19</t>
  </si>
  <si>
    <t>27665540139</t>
  </si>
  <si>
    <t>13864568</t>
  </si>
  <si>
    <t>0d5ce62a-dcd3-4e22-9153-c1b7d7b585a4</t>
  </si>
  <si>
    <t>27673261509</t>
  </si>
  <si>
    <t>13864563</t>
  </si>
  <si>
    <t>1c12981c-8103-4149-a166-b22fcde6003e</t>
  </si>
  <si>
    <t>2026-05-25 07:03:17</t>
  </si>
  <si>
    <t>27664352546</t>
  </si>
  <si>
    <t>13864564</t>
  </si>
  <si>
    <t>708b1f7c-c2d5-49ba-846a-c81ea03d335c</t>
  </si>
  <si>
    <t>27664958473</t>
  </si>
  <si>
    <t>13864565</t>
  </si>
  <si>
    <t>ce283023-5405-442a-945d-10439225ceda</t>
  </si>
  <si>
    <t>27665519440</t>
  </si>
  <si>
    <t>13864562</t>
  </si>
  <si>
    <t>08c55414-2c07-4e5d-990d-3d1472416d07</t>
  </si>
  <si>
    <t>2026-05-25 07:03:16</t>
  </si>
  <si>
    <t>27664344598</t>
  </si>
  <si>
    <t>13864559</t>
  </si>
  <si>
    <t>c25f69d7-a6cd-4b56-a20a-c597142e26f7</t>
  </si>
  <si>
    <t>2026-05-25 07:03:09</t>
  </si>
  <si>
    <t>27663707628</t>
  </si>
  <si>
    <t>13864557</t>
  </si>
  <si>
    <t>3c447a26-172e-4f5c-9f94-b9ee686eafcb</t>
  </si>
  <si>
    <t>2026-05-25 07:03:07</t>
  </si>
  <si>
    <t>27663230219</t>
  </si>
  <si>
    <t>13862308</t>
  </si>
  <si>
    <t>9245a16e-de39-4688-9af0-ff9866814786</t>
  </si>
  <si>
    <t>2026-05-25 07:02:49</t>
  </si>
  <si>
    <t>27761967766</t>
  </si>
  <si>
    <t>13862568</t>
  </si>
  <si>
    <t>86e1ddfe-68da-4997-a5aa-fd85893bbcc0</t>
  </si>
  <si>
    <t>27664359179</t>
  </si>
  <si>
    <t>13862340</t>
  </si>
  <si>
    <t>2dcb4b42-5c18-426c-9f5c-d8bb3592fea5</t>
  </si>
  <si>
    <t>2026-05-25 07:02:26</t>
  </si>
  <si>
    <t>27794059265</t>
  </si>
  <si>
    <t>13862272</t>
  </si>
  <si>
    <t>5175ae59-9298-48fd-9a25-205db3331ec7</t>
  </si>
  <si>
    <t>2026-05-25 07:02:25</t>
  </si>
  <si>
    <t>27721506066</t>
  </si>
  <si>
    <t>13862387</t>
  </si>
  <si>
    <t>f331a4b9-6d58-4260-a593-a42fc45beade</t>
  </si>
  <si>
    <t>2026-05-25 07:02:21</t>
  </si>
  <si>
    <t>27637682516</t>
  </si>
  <si>
    <t>e5077a39-1c3e-4c42-846a-2aca8bcb907b</t>
  </si>
  <si>
    <t>2026-05-25 07:02:17</t>
  </si>
  <si>
    <t>27713751475</t>
  </si>
  <si>
    <t>13864504</t>
  </si>
  <si>
    <t>9c34c649-7968-4726-834f-85757f9c293d</t>
  </si>
  <si>
    <t>27824366905</t>
  </si>
  <si>
    <t>13864475</t>
  </si>
  <si>
    <t>5d6e4e75-8004-44e2-b7b4-cd22f1ebe9a3</t>
  </si>
  <si>
    <t>2026-05-25 07:02:11</t>
  </si>
  <si>
    <t>27798638182</t>
  </si>
  <si>
    <t>13864473</t>
  </si>
  <si>
    <t>f13f8025-38a0-4331-b6bb-9e3a2a3e849b</t>
  </si>
  <si>
    <t>2026-05-25 07:02:10</t>
  </si>
  <si>
    <t>27798237084</t>
  </si>
  <si>
    <t>13864502</t>
  </si>
  <si>
    <t>3df097f4-bedb-4f4f-95c3-2c7009837bcc</t>
  </si>
  <si>
    <t>27823249788</t>
  </si>
  <si>
    <t>13864503</t>
  </si>
  <si>
    <t>eb6c552c-d93c-42bb-b16e-1ac1ed2e9765</t>
  </si>
  <si>
    <t>27824065178</t>
  </si>
  <si>
    <t>13864501</t>
  </si>
  <si>
    <t>d81ca5f9-5544-4f10-b388-25c033e54f05</t>
  </si>
  <si>
    <t>2026-05-25 07:01:56</t>
  </si>
  <si>
    <t>27823083350</t>
  </si>
  <si>
    <t>13864472</t>
  </si>
  <si>
    <t>e77d82cd-3c20-4018-acbd-f5f18fd268fc</t>
  </si>
  <si>
    <t>2026-05-25 07:01:41</t>
  </si>
  <si>
    <t>27798128937</t>
  </si>
  <si>
    <t>13864471</t>
  </si>
  <si>
    <t>17169ba7-1d6f-4214-9e23-800c123e0e01</t>
  </si>
  <si>
    <t>2026-05-25 07:01:38</t>
  </si>
  <si>
    <t>27797883227</t>
  </si>
  <si>
    <t>13864500</t>
  </si>
  <si>
    <t>ad652604-801f-4f2f-bdc4-728ea9cc49fd</t>
  </si>
  <si>
    <t>27822835357</t>
  </si>
  <si>
    <t>13864498</t>
  </si>
  <si>
    <t>6834a4ae-a98d-4d25-b1db-529d98784d52</t>
  </si>
  <si>
    <t>2026-05-25 07:01:37</t>
  </si>
  <si>
    <t>27822600760</t>
  </si>
  <si>
    <t>13861576</t>
  </si>
  <si>
    <t>7de18715-e1bb-4d7e-9bda-aabeaf1d0972</t>
  </si>
  <si>
    <t>2026-05-25 07:01:01</t>
  </si>
  <si>
    <t>27826215319</t>
  </si>
  <si>
    <t>13861575</t>
  </si>
  <si>
    <t>1e03ec0a-dd62-4b12-8539-3be6c547a394</t>
  </si>
  <si>
    <t>2026-05-25 07:00:59</t>
  </si>
  <si>
    <t>27825837885</t>
  </si>
  <si>
    <t>13861574</t>
  </si>
  <si>
    <t>602e7f34-a465-4e3a-9976-688f69e6791f</t>
  </si>
  <si>
    <t>2026-05-25 07:00:55</t>
  </si>
  <si>
    <t>27825460670</t>
  </si>
  <si>
    <t>13862302</t>
  </si>
  <si>
    <t>f2a8651d-e3b0-4ffc-95e9-21fe594ec9aa</t>
  </si>
  <si>
    <t>27760534599</t>
  </si>
  <si>
    <t>13862589</t>
  </si>
  <si>
    <t>f0788acd-fb12-460a-ae0f-21a21c664e7e</t>
  </si>
  <si>
    <t>27714447417</t>
  </si>
  <si>
    <t>13861572</t>
  </si>
  <si>
    <t>0323c30d-12cf-4a0d-9d64-0c06fc2d6e9c</t>
  </si>
  <si>
    <t>2026-05-25 07:00:54</t>
  </si>
  <si>
    <t>27824843292</t>
  </si>
  <si>
    <t>13862586</t>
  </si>
  <si>
    <t>eb8d8628-6259-466f-ae28-3b1beb1fb5c5</t>
  </si>
  <si>
    <t>2026-05-25 07:00:47</t>
  </si>
  <si>
    <t>27712873066</t>
  </si>
  <si>
    <t>13862587</t>
  </si>
  <si>
    <t>db67d0a8-cad9-4ba2-a980-894e2e8677db</t>
  </si>
  <si>
    <t>27712988610</t>
  </si>
  <si>
    <t>13864486</t>
  </si>
  <si>
    <t>a52e826d-4f61-487e-8de5-492799befd8a</t>
  </si>
  <si>
    <t>27799632171</t>
  </si>
  <si>
    <t>13864488</t>
  </si>
  <si>
    <t>369d6906-c491-48ed-83f6-b629f1ad5b56</t>
  </si>
  <si>
    <t>27818268248</t>
  </si>
  <si>
    <t>13862566</t>
  </si>
  <si>
    <t>f825e378-deb4-43f5-9b6a-bcef268dce54</t>
  </si>
  <si>
    <t>2026-05-25 06:59:56</t>
  </si>
  <si>
    <t>27663921766</t>
  </si>
  <si>
    <t>13864470</t>
  </si>
  <si>
    <t>4f010974-90dc-4170-823d-e72636ff7205</t>
  </si>
  <si>
    <t>27797785747</t>
  </si>
  <si>
    <t>13862562</t>
  </si>
  <si>
    <t>36a83f3e-53b2-4d13-8c16-d8d5cdc96571</t>
  </si>
  <si>
    <t>27660572149</t>
  </si>
  <si>
    <t>2026-05-25 06:59:43</t>
  </si>
  <si>
    <t>13864459</t>
  </si>
  <si>
    <t>3bdaa3cc-21b9-4219-9db2-2f4ae72264f7</t>
  </si>
  <si>
    <t>27796142557</t>
  </si>
  <si>
    <t>13862565</t>
  </si>
  <si>
    <t>70bf7e0a-2e9a-4d35-a5fd-f9b21ebf5344</t>
  </si>
  <si>
    <t>2026-05-25 06:59:41</t>
  </si>
  <si>
    <t>27663399591</t>
  </si>
  <si>
    <t>13862560</t>
  </si>
  <si>
    <t>b234d475-1db4-40fa-bf5c-1db7ae98b5b0</t>
  </si>
  <si>
    <t>2026-05-25 06:59:15</t>
  </si>
  <si>
    <t>27649078929</t>
  </si>
  <si>
    <t>13862564</t>
  </si>
  <si>
    <t>1074524d-1d89-487f-bc8a-9db05b5e06ba</t>
  </si>
  <si>
    <t>27661702591</t>
  </si>
  <si>
    <t>13862558</t>
  </si>
  <si>
    <t>acfc1e48-d665-4049-aa02-14806e8c80a3</t>
  </si>
  <si>
    <t>2026-05-25 06:59:14</t>
  </si>
  <si>
    <t>27647876859</t>
  </si>
  <si>
    <t>13862559</t>
  </si>
  <si>
    <t>eb8c87a3-4a36-4a24-a98d-22cf44b10cf7</t>
  </si>
  <si>
    <t>27648463994</t>
  </si>
  <si>
    <t>13862556</t>
  </si>
  <si>
    <t>3f74ea73-a29b-4d8c-8f6b-84c949183420</t>
  </si>
  <si>
    <t>2026-05-25 06:59:13</t>
  </si>
  <si>
    <t>27647358749</t>
  </si>
  <si>
    <t>13862557</t>
  </si>
  <si>
    <t>25a305d2-ff0e-4b2d-9999-54442029179b</t>
  </si>
  <si>
    <t>27647873363</t>
  </si>
  <si>
    <t>13864433</t>
  </si>
  <si>
    <t>9954bd63-7bfe-4677-80f0-b9674e284009</t>
  </si>
  <si>
    <t>2026-05-25 06:58:24</t>
  </si>
  <si>
    <t>27791072635</t>
  </si>
  <si>
    <t>13861453</t>
  </si>
  <si>
    <t>b6b5e62b-ca0d-4ba9-a6e5-c408396cba29</t>
  </si>
  <si>
    <t>2026-05-25 06:58:23</t>
  </si>
  <si>
    <t>27714383391</t>
  </si>
  <si>
    <t>13862523</t>
  </si>
  <si>
    <t>59d5811a-52cb-4c01-82c2-14c958f42601</t>
  </si>
  <si>
    <t>27824276280</t>
  </si>
  <si>
    <t>13864432</t>
  </si>
  <si>
    <t>14def636-894a-4f72-b707-71371bc8de14</t>
  </si>
  <si>
    <t>27791026571</t>
  </si>
  <si>
    <t>13862519</t>
  </si>
  <si>
    <t>38a63d15-b959-4e1f-9c27-460e31b995ca</t>
  </si>
  <si>
    <t>2026-05-25 06:58:20</t>
  </si>
  <si>
    <t>27823442900</t>
  </si>
  <si>
    <t>13862520</t>
  </si>
  <si>
    <t>aa2d9e32-cf80-409e-bbdc-06ec57fab062</t>
  </si>
  <si>
    <t>27823456391</t>
  </si>
  <si>
    <t>13862518</t>
  </si>
  <si>
    <t>02baf5f4-4696-4b5b-a4e0-321dcd5daef5</t>
  </si>
  <si>
    <t>2026-05-25 06:57:53</t>
  </si>
  <si>
    <t>27822564214</t>
  </si>
  <si>
    <t>13864361</t>
  </si>
  <si>
    <t>1d3e2439-038e-46d6-94c3-d3d12bbcdf3b</t>
  </si>
  <si>
    <t>27726788432</t>
  </si>
  <si>
    <t>2026-05-25 06:57:42</t>
  </si>
  <si>
    <t>13864425</t>
  </si>
  <si>
    <t>740a8caf-3514-4f0d-973b-ff9c6baa0a0a</t>
  </si>
  <si>
    <t>2026-05-25 06:57:30</t>
  </si>
  <si>
    <t>27773864283</t>
  </si>
  <si>
    <t>13862511</t>
  </si>
  <si>
    <t>d5ad5cb0-cf26-4fbd-a281-2f0543c3a3c0</t>
  </si>
  <si>
    <t>2026-05-25 06:57:26</t>
  </si>
  <si>
    <t>27818594793</t>
  </si>
  <si>
    <t>13862512</t>
  </si>
  <si>
    <t>88091cc2-193d-4f4a-978b-5006fa527383</t>
  </si>
  <si>
    <t>27818717756</t>
  </si>
  <si>
    <t>13862514</t>
  </si>
  <si>
    <t>313d320c-d524-41c3-b892-20e08981b2ff</t>
  </si>
  <si>
    <t>27818911104</t>
  </si>
  <si>
    <t>13862515</t>
  </si>
  <si>
    <t>743c46d4-81ab-444c-8f9a-6da77826a696</t>
  </si>
  <si>
    <t>27818925075</t>
  </si>
  <si>
    <t>13864424</t>
  </si>
  <si>
    <t>549aa011-06c1-4090-8f40-94527e7a7998</t>
  </si>
  <si>
    <t>27769948814</t>
  </si>
  <si>
    <t>e1651e10-e6f7-4854-ba51-0d746a77c62f</t>
  </si>
  <si>
    <t>2026-05-25 06:57:19</t>
  </si>
  <si>
    <t>27799519996</t>
  </si>
  <si>
    <t>13862501</t>
  </si>
  <si>
    <t>32f27807-0c58-4a2e-a408-673b94fec156</t>
  </si>
  <si>
    <t>2026-05-25 06:57:05</t>
  </si>
  <si>
    <t>27796382342</t>
  </si>
  <si>
    <t>13862500</t>
  </si>
  <si>
    <t>466ea911-5982-49e8-9cfd-3046c8b4d563</t>
  </si>
  <si>
    <t>2026-05-25 06:56:32</t>
  </si>
  <si>
    <t>27795978105</t>
  </si>
  <si>
    <t>13864410</t>
  </si>
  <si>
    <t>3dfab750-b6dc-43ec-a149-bcfd40aebd0e</t>
  </si>
  <si>
    <t>2026-05-25 06:56:29</t>
  </si>
  <si>
    <t>27767249105</t>
  </si>
  <si>
    <t>13862307</t>
  </si>
  <si>
    <t>b6bb33da-49a8-453e-86b8-e1f3856ac251</t>
  </si>
  <si>
    <t>2026-05-25 06:56:23</t>
  </si>
  <si>
    <t>27761958180</t>
  </si>
  <si>
    <t>13862448</t>
  </si>
  <si>
    <t>4a00d164-cea3-4d98-8482-8ca8c8e9c710</t>
  </si>
  <si>
    <t>27726218735</t>
  </si>
  <si>
    <t>13862269</t>
  </si>
  <si>
    <t>f1a00d12-9dd9-47d9-b1f9-2207c7e6023c</t>
  </si>
  <si>
    <t>2026-05-25 06:56:19</t>
  </si>
  <si>
    <t>27720919207</t>
  </si>
  <si>
    <t>13862384</t>
  </si>
  <si>
    <t>6940da5e-1956-43b1-9267-9e96e610aa77</t>
  </si>
  <si>
    <t>2026-05-25 06:56:18</t>
  </si>
  <si>
    <t>27637040747</t>
  </si>
  <si>
    <t>13864272</t>
  </si>
  <si>
    <t>b1ab3ee4-6b38-4109-b3b2-ed831a76bae9</t>
  </si>
  <si>
    <t>2026-05-25 06:56:09</t>
  </si>
  <si>
    <t>27649665769</t>
  </si>
  <si>
    <t>13861564</t>
  </si>
  <si>
    <t>61227d30-60f2-469e-9851-1bb59016805f</t>
  </si>
  <si>
    <t>2026-05-25 06:56:05</t>
  </si>
  <si>
    <t>27799344358</t>
  </si>
  <si>
    <t>13862069</t>
  </si>
  <si>
    <t>e1ef0c54-cad9-4bc9-8b50-bb22873c9a5f</t>
  </si>
  <si>
    <t>27607212704</t>
  </si>
  <si>
    <t>13862268</t>
  </si>
  <si>
    <t>ee2d4f5a-1e4f-43a2-870c-a09894d820ea</t>
  </si>
  <si>
    <t>27720793349</t>
  </si>
  <si>
    <t>13862383</t>
  </si>
  <si>
    <t>9ccd9a68-1f90-4cfc-9965-b0d6187847c1</t>
  </si>
  <si>
    <t>27636228393</t>
  </si>
  <si>
    <t>13864240</t>
  </si>
  <si>
    <t>7bb1cdb2-ba1f-43c0-b1d4-8bab3d7312f9</t>
  </si>
  <si>
    <t>27842539736</t>
  </si>
  <si>
    <t>13862446</t>
  </si>
  <si>
    <t>582cdeff-8ddf-4232-b8dc-4a4eb1aee091</t>
  </si>
  <si>
    <t>2026-05-25 06:56:00</t>
  </si>
  <si>
    <t>27724947101</t>
  </si>
  <si>
    <t>13862445</t>
  </si>
  <si>
    <t>85048041-f46b-4594-a995-7c62bfab46c2</t>
  </si>
  <si>
    <t>2026-05-25 06:55:50</t>
  </si>
  <si>
    <t>27724761848</t>
  </si>
  <si>
    <t>13864362</t>
  </si>
  <si>
    <t>c3319a4a-48d1-4885-90d5-737ea73ff8af</t>
  </si>
  <si>
    <t>27726807668</t>
  </si>
  <si>
    <t>13864358</t>
  </si>
  <si>
    <t>b17a405e-d63b-4765-b191-01afa0d1cd12</t>
  </si>
  <si>
    <t>2026-05-25 06:55:10</t>
  </si>
  <si>
    <t>27726359287</t>
  </si>
  <si>
    <t>13864355</t>
  </si>
  <si>
    <t>41ce5502-f0c4-48b5-bc4b-8cab4fb700e6</t>
  </si>
  <si>
    <t>2026-05-25 06:55:04</t>
  </si>
  <si>
    <t>27725517599</t>
  </si>
  <si>
    <t>13864356</t>
  </si>
  <si>
    <t>540b902e-0e28-4ac5-81a8-dfd41673f772</t>
  </si>
  <si>
    <t>27725652194</t>
  </si>
  <si>
    <t>13864357</t>
  </si>
  <si>
    <t>aa9d2249-4036-4b1a-90fa-c7dcc99da697</t>
  </si>
  <si>
    <t>27725812878</t>
  </si>
  <si>
    <t>13864353</t>
  </si>
  <si>
    <t>5dbcf394-8201-47ff-b33c-81d3d1b2f533</t>
  </si>
  <si>
    <t>2026-05-25 06:55:03</t>
  </si>
  <si>
    <t>27725477094</t>
  </si>
  <si>
    <t>13862442</t>
  </si>
  <si>
    <t>c6208164-c3f0-42ed-8703-f49c7e4d3427</t>
  </si>
  <si>
    <t>2026-05-25 06:54:44</t>
  </si>
  <si>
    <t>27723980618</t>
  </si>
  <si>
    <t>13862440</t>
  </si>
  <si>
    <t>e194a342-8a5f-433b-9110-6345b1bfd690</t>
  </si>
  <si>
    <t>2026-05-25 06:54:36</t>
  </si>
  <si>
    <t>27723331054</t>
  </si>
  <si>
    <t>13862441</t>
  </si>
  <si>
    <t>7fbabe34-f746-4d28-b8d1-dd2755a0f862</t>
  </si>
  <si>
    <t>27723960422</t>
  </si>
  <si>
    <t>13864346</t>
  </si>
  <si>
    <t>ccbcf72d-1070-4323-8364-d269e7b32277</t>
  </si>
  <si>
    <t>2026-05-25 06:54:19</t>
  </si>
  <si>
    <t>27724724573</t>
  </si>
  <si>
    <t>13862337</t>
  </si>
  <si>
    <t>4afb800f-43d9-4ab1-bf88-af52c82dc833</t>
  </si>
  <si>
    <t>2026-05-25 06:54:12</t>
  </si>
  <si>
    <t>27792944117</t>
  </si>
  <si>
    <t>13864239</t>
  </si>
  <si>
    <t>5d33872d-d41d-4a80-b19e-625c44fa2e37</t>
  </si>
  <si>
    <t>2026-05-25 06:54:06</t>
  </si>
  <si>
    <t>27840860907</t>
  </si>
  <si>
    <t>13862267</t>
  </si>
  <si>
    <t>c991a612-1acd-4628-93ca-394b9816df51</t>
  </si>
  <si>
    <t>2026-05-25 06:54:04</t>
  </si>
  <si>
    <t>27720419286</t>
  </si>
  <si>
    <t>13864313</t>
  </si>
  <si>
    <t>02385380-bfc0-492a-a8c7-905cf6523a74</t>
  </si>
  <si>
    <t>2026-05-25 06:54:02</t>
  </si>
  <si>
    <t>27715062133</t>
  </si>
  <si>
    <t>13862305</t>
  </si>
  <si>
    <t>27b95e80-22d6-4942-aaf0-5d073b0aee66</t>
  </si>
  <si>
    <t>27761606859</t>
  </si>
  <si>
    <t>2026-05-25 06:53:53</t>
  </si>
  <si>
    <t>13864312</t>
  </si>
  <si>
    <t>421bccb2-aaf3-4560-8dd0-f370bdb8c6db</t>
  </si>
  <si>
    <t>27714736547</t>
  </si>
  <si>
    <t>13862382</t>
  </si>
  <si>
    <t>b371435e-30c6-4493-9e5d-a01a73354695</t>
  </si>
  <si>
    <t>2026-05-25 06:53:16</t>
  </si>
  <si>
    <t>27632488581</t>
  </si>
  <si>
    <t>13862381</t>
  </si>
  <si>
    <t>d6542511-e1a4-411d-bd28-010a79218fac</t>
  </si>
  <si>
    <t>2026-05-25 06:53:15</t>
  </si>
  <si>
    <t>27609236697</t>
  </si>
  <si>
    <t>13862380</t>
  </si>
  <si>
    <t>f46a5cb8-0910-4059-afd3-2041b3645ceb</t>
  </si>
  <si>
    <t>2026-05-25 06:52:58</t>
  </si>
  <si>
    <t>27608584306</t>
  </si>
  <si>
    <t>13862378</t>
  </si>
  <si>
    <t>a42757bc-26cb-4301-849e-8669d13f028f</t>
  </si>
  <si>
    <t>2026-05-25 06:52:53</t>
  </si>
  <si>
    <t>27606288065</t>
  </si>
  <si>
    <t>13862377</t>
  </si>
  <si>
    <t>42127f72-ef51-432c-b0ff-6df086c6c12b</t>
  </si>
  <si>
    <t>2026-05-25 06:52:46</t>
  </si>
  <si>
    <t>27847479600</t>
  </si>
  <si>
    <t>13862373</t>
  </si>
  <si>
    <t>e0ca7f40-ce6b-43bf-9133-bcdc5f2e7d47</t>
  </si>
  <si>
    <t>2026-05-25 06:52:45</t>
  </si>
  <si>
    <t>27832226141</t>
  </si>
  <si>
    <t>13862374</t>
  </si>
  <si>
    <t>6950424c-a96d-43a5-a22e-9577ac15abef</t>
  </si>
  <si>
    <t>27835896004</t>
  </si>
  <si>
    <t>13862376</t>
  </si>
  <si>
    <t>c7ec7999-dbdb-4ba5-9628-b4b8ff1bb337</t>
  </si>
  <si>
    <t>27842526406</t>
  </si>
  <si>
    <t>13862365</t>
  </si>
  <si>
    <t>9df1ef5d-bf82-47f3-9852-dd5f12b69e75</t>
  </si>
  <si>
    <t>2026-05-25 06:51:40</t>
  </si>
  <si>
    <t>27825211441</t>
  </si>
  <si>
    <t>3e572de1-686f-43ce-8c4e-674eaa528e9f</t>
  </si>
  <si>
    <t>27827607942</t>
  </si>
  <si>
    <t>13862371</t>
  </si>
  <si>
    <t>4c32b8fa-67a0-423c-addd-31cd0e333a1c</t>
  </si>
  <si>
    <t>27828641772</t>
  </si>
  <si>
    <t>13862372</t>
  </si>
  <si>
    <t>fa9673a6-3c72-48a1-b709-7b925cfa805d</t>
  </si>
  <si>
    <t>27829434870</t>
  </si>
  <si>
    <t>13862362</t>
  </si>
  <si>
    <t>ac48576e-799a-4bad-8582-3d509e32eb46</t>
  </si>
  <si>
    <t>2026-05-25 06:49:43</t>
  </si>
  <si>
    <t>27823586769</t>
  </si>
  <si>
    <t>13862304</t>
  </si>
  <si>
    <t>83786d27-d23b-4c9b-9594-b6dda96370b6</t>
  </si>
  <si>
    <t>2026-05-25 06:49:25</t>
  </si>
  <si>
    <t>27760788110</t>
  </si>
  <si>
    <t>13862332</t>
  </si>
  <si>
    <t>93be4da2-c43d-4b75-a6e8-949f1a19b303</t>
  </si>
  <si>
    <t>2026-05-25 06:49:20</t>
  </si>
  <si>
    <t>27786324839</t>
  </si>
  <si>
    <t>13862334</t>
  </si>
  <si>
    <t>99d4194a-553a-4a5d-8b63-b1eb3d145103</t>
  </si>
  <si>
    <t>27791080704</t>
  </si>
  <si>
    <t>13862335</t>
  </si>
  <si>
    <t>53ead756-920f-40da-ab92-9a6db5d5b777</t>
  </si>
  <si>
    <t>27792187289</t>
  </si>
  <si>
    <t>13864267</t>
  </si>
  <si>
    <t>9b61f4a0-7caa-45e5-ad6c-8f4fe94367e3</t>
  </si>
  <si>
    <t>27646792875</t>
  </si>
  <si>
    <t>13862329</t>
  </si>
  <si>
    <t>802103ba-a907-4115-beb9-cb07a9618d85</t>
  </si>
  <si>
    <t>2026-05-25 06:48:26</t>
  </si>
  <si>
    <t>27773656214</t>
  </si>
  <si>
    <t>13862330</t>
  </si>
  <si>
    <t>b9634f51-7045-4ac2-89ce-ced8836b4cb2</t>
  </si>
  <si>
    <t>27774246511</t>
  </si>
  <si>
    <t>13862331</t>
  </si>
  <si>
    <t>56313c9a-1bd7-4ea3-a780-10574036e938</t>
  </si>
  <si>
    <t>27774879373</t>
  </si>
  <si>
    <t>13862326</t>
  </si>
  <si>
    <t>b5151f7c-4c06-4ce3-9594-4a0d6eb51da3</t>
  </si>
  <si>
    <t>2026-05-25 06:48:25</t>
  </si>
  <si>
    <t>27768825442</t>
  </si>
  <si>
    <t>13862325</t>
  </si>
  <si>
    <t>8519195d-57f5-4ef6-9f10-f636f1d0c802</t>
  </si>
  <si>
    <t>2026-05-25 06:48:21</t>
  </si>
  <si>
    <t>27768403775</t>
  </si>
  <si>
    <t>13862324</t>
  </si>
  <si>
    <t>a9e977f2-456e-4b19-a796-11e7a54a4ea5</t>
  </si>
  <si>
    <t>2026-05-25 06:48:20</t>
  </si>
  <si>
    <t>27767268498</t>
  </si>
  <si>
    <t>13864248</t>
  </si>
  <si>
    <t>c0c2902f-eaab-4437-b7fb-5a0f1119579a</t>
  </si>
  <si>
    <t>2026-05-25 06:48:11</t>
  </si>
  <si>
    <t>27607397038</t>
  </si>
  <si>
    <t>13862303</t>
  </si>
  <si>
    <t>47f818ba-675d-4c47-839e-4594968cbb4b</t>
  </si>
  <si>
    <t>2026-05-25 06:47:22</t>
  </si>
  <si>
    <t>27760685281</t>
  </si>
  <si>
    <t>13862300</t>
  </si>
  <si>
    <t>9b88d4b7-1b00-4343-908f-89da30d0c741</t>
  </si>
  <si>
    <t>2026-05-25 06:46:56</t>
  </si>
  <si>
    <t>27739162154</t>
  </si>
  <si>
    <t>13862299</t>
  </si>
  <si>
    <t>40ea1cf8-a818-47d0-9bbb-1bd2caea52fa</t>
  </si>
  <si>
    <t>2026-05-25 06:46:52</t>
  </si>
  <si>
    <t>27738768434</t>
  </si>
  <si>
    <t>13862295</t>
  </si>
  <si>
    <t>865e36b0-8294-45fe-abcb-02214cbcbd29</t>
  </si>
  <si>
    <t>2026-05-25 06:46:51</t>
  </si>
  <si>
    <t>27728837703</t>
  </si>
  <si>
    <t>13862297</t>
  </si>
  <si>
    <t>9625fe6c-5fea-4624-8b18-553a36263c1d</t>
  </si>
  <si>
    <t>27729585952</t>
  </si>
  <si>
    <t>13862298</t>
  </si>
  <si>
    <t>2d5cbbcb-4089-4649-8543-dadff67ac8fb</t>
  </si>
  <si>
    <t>27729888456</t>
  </si>
  <si>
    <t>13863242</t>
  </si>
  <si>
    <t>6dff757b-f792-4fb8-a104-ce5dd118f384</t>
  </si>
  <si>
    <t>DQQD</t>
  </si>
  <si>
    <t>DNQ Quote Declined</t>
  </si>
  <si>
    <t>2026-05-25 06:45:31</t>
  </si>
  <si>
    <t>27646088589</t>
  </si>
  <si>
    <t>13862292</t>
  </si>
  <si>
    <t>745c6bfe-adbf-4cab-87b2-8e71f75fc3d1</t>
  </si>
  <si>
    <t>2026-05-25 06:45:29</t>
  </si>
  <si>
    <t>27728200296</t>
  </si>
  <si>
    <t>13862293</t>
  </si>
  <si>
    <t>30728488-e5d9-4be6-af53-69e3a01a1ec0</t>
  </si>
  <si>
    <t>27728245997</t>
  </si>
  <si>
    <t>13862294</t>
  </si>
  <si>
    <t>f28a0e54-dbb9-42cd-a9f1-d10db2f0df47</t>
  </si>
  <si>
    <t>27728521143</t>
  </si>
  <si>
    <t>13862290</t>
  </si>
  <si>
    <t>4bbba356-2d78-40fb-b428-ab45cd6fdbe7</t>
  </si>
  <si>
    <t>2026-05-25 06:45:28</t>
  </si>
  <si>
    <t>27726541402</t>
  </si>
  <si>
    <t>13862263</t>
  </si>
  <si>
    <t>ae4a26df-4de3-465f-8036-7bc1b8ad1696</t>
  </si>
  <si>
    <t>2026-05-25 06:44:35</t>
  </si>
  <si>
    <t>27716156902</t>
  </si>
  <si>
    <t>13862264</t>
  </si>
  <si>
    <t>f9d29fed-9ea0-4496-a189-7dfdea6ada7c</t>
  </si>
  <si>
    <t>27716436038</t>
  </si>
  <si>
    <t>13862266</t>
  </si>
  <si>
    <t>0d53d3b7-3dc0-4fd8-b77d-fb5a5e2d016b</t>
  </si>
  <si>
    <t>27719421873</t>
  </si>
  <si>
    <t>13864197</t>
  </si>
  <si>
    <t>717e18c8-4edc-4963-9b24-ff2c1ab4eb7d</t>
  </si>
  <si>
    <t>2026-05-25 06:43:45</t>
  </si>
  <si>
    <t>27799410462</t>
  </si>
  <si>
    <t>13864196</t>
  </si>
  <si>
    <t>b38f5ba4-c4c1-4faa-82f6-d75a76f3a2fc</t>
  </si>
  <si>
    <t>2026-05-25 06:43:44</t>
  </si>
  <si>
    <t>27799151024</t>
  </si>
  <si>
    <t>13864194</t>
  </si>
  <si>
    <t>06368b10-963f-4802-8099-eda9c29de538</t>
  </si>
  <si>
    <t>2026-05-25 06:43:43</t>
  </si>
  <si>
    <t>27798421070</t>
  </si>
  <si>
    <t>13864195</t>
  </si>
  <si>
    <t>ebf8e558-9629-4095-b3ec-e0b4add9c8ac</t>
  </si>
  <si>
    <t>27799112897</t>
  </si>
  <si>
    <t>13864193</t>
  </si>
  <si>
    <t>0d65d8b3-d169-4816-bb11-c8f4ef2f8bd0</t>
  </si>
  <si>
    <t>2026-05-25 06:43:29</t>
  </si>
  <si>
    <t>27798184103</t>
  </si>
  <si>
    <t>13862261</t>
  </si>
  <si>
    <t>9eee9fd2-83a1-44d1-87a1-e00e3c4e6781</t>
  </si>
  <si>
    <t>2026-05-25 06:43:26</t>
  </si>
  <si>
    <t>27714846073</t>
  </si>
  <si>
    <t>13862259</t>
  </si>
  <si>
    <t>018adebf-3206-4b3c-9b7b-4a33e5b30c37</t>
  </si>
  <si>
    <t>2026-05-25 06:43:24</t>
  </si>
  <si>
    <t>27713281247</t>
  </si>
  <si>
    <t>e575ba9b-9235-4a39-a1f8-4b04f4bd7c22</t>
  </si>
  <si>
    <t>2026-05-25 06:43:09</t>
  </si>
  <si>
    <t>27673429834</t>
  </si>
  <si>
    <t>13862257</t>
  </si>
  <si>
    <t>5fe1088f-2d54-473a-9d72-3e2582611922</t>
  </si>
  <si>
    <t>27712951103</t>
  </si>
  <si>
    <t>13862258</t>
  </si>
  <si>
    <t>3d27a18e-8031-4684-973b-de5e5169c2e8</t>
  </si>
  <si>
    <t>27713042839</t>
  </si>
  <si>
    <t>13863181</t>
  </si>
  <si>
    <t>0bec2619-a16f-4bfc-91a1-f701f4250e7d</t>
  </si>
  <si>
    <t>2026-05-25 06:42:14</t>
  </si>
  <si>
    <t>27796521788</t>
  </si>
  <si>
    <t>13863216</t>
  </si>
  <si>
    <t>50bb97d8-5ad0-48fe-9be3-7bc552a8cab6</t>
  </si>
  <si>
    <t>27826487391</t>
  </si>
  <si>
    <t>2026-05-25 06:42:08</t>
  </si>
  <si>
    <t>13863221</t>
  </si>
  <si>
    <t>8a94878c-6f0d-494b-8aaa-7070a2da30cd</t>
  </si>
  <si>
    <t>27828347815</t>
  </si>
  <si>
    <t>13864739</t>
  </si>
  <si>
    <t>682d20e2-f91f-4157-9c2d-3f1865bb9480</t>
  </si>
  <si>
    <t>27794045162</t>
  </si>
  <si>
    <t>2026-05-25 06:41:24</t>
  </si>
  <si>
    <t>13864742</t>
  </si>
  <si>
    <t>317f2fd3-db2c-4ae8-a856-52b5a2409035</t>
  </si>
  <si>
    <t>2026-05-25 06:41:20</t>
  </si>
  <si>
    <t>27794764761</t>
  </si>
  <si>
    <t>13864744</t>
  </si>
  <si>
    <t>39b29eb2-27f2-4ddb-9d9c-c5d8d0d08ab1</t>
  </si>
  <si>
    <t>2026-05-25 06:41:15</t>
  </si>
  <si>
    <t>27795807520</t>
  </si>
  <si>
    <t>13863212</t>
  </si>
  <si>
    <t>1148c1a3-02b9-4219-b43b-fd02a4689c70</t>
  </si>
  <si>
    <t>2026-05-25 06:41:14</t>
  </si>
  <si>
    <t>27825338812</t>
  </si>
  <si>
    <t>13863213</t>
  </si>
  <si>
    <t>4bc4bf81-f9e1-4d0a-b563-5ef1c04e0de5</t>
  </si>
  <si>
    <t>2026-05-25 06:41:13</t>
  </si>
  <si>
    <t>27825392718</t>
  </si>
  <si>
    <t>13863214</t>
  </si>
  <si>
    <t>f4a22201-e89e-40fb-b2b1-1f457ebfb6b6</t>
  </si>
  <si>
    <t>27825426975</t>
  </si>
  <si>
    <t>13863215</t>
  </si>
  <si>
    <t>5be0a05a-91b2-4b44-b79d-f9882b127bb7</t>
  </si>
  <si>
    <t>27826279750</t>
  </si>
  <si>
    <t>13863190</t>
  </si>
  <si>
    <t>85286b0c-11e5-41e5-9041-4f56665ae46a</t>
  </si>
  <si>
    <t>27797392627</t>
  </si>
  <si>
    <t>2026-05-25 06:37:53</t>
  </si>
  <si>
    <t>13863202</t>
  </si>
  <si>
    <t>f702b06e-2554-4700-a9ae-2421bbad332a</t>
  </si>
  <si>
    <t>2026-05-25 06:37:04</t>
  </si>
  <si>
    <t>27818676144</t>
  </si>
  <si>
    <t>13863210</t>
  </si>
  <si>
    <t>8a425e13-f29e-4fa7-ac35-ef4353af9abb</t>
  </si>
  <si>
    <t>2026-05-25 06:37:03</t>
  </si>
  <si>
    <t>27824824745</t>
  </si>
  <si>
    <t>13863211</t>
  </si>
  <si>
    <t>7c929a1c-ec0a-4ad9-af07-60241d0acc5d</t>
  </si>
  <si>
    <t>27825093145</t>
  </si>
  <si>
    <t>13864775</t>
  </si>
  <si>
    <t>727bc7dd-24f4-4012-bb7e-c28a5d8f9837</t>
  </si>
  <si>
    <t>27824985786</t>
  </si>
  <si>
    <t>2026-05-25 06:37:00</t>
  </si>
  <si>
    <t>13864145</t>
  </si>
  <si>
    <t>c6ba6ea8-5ac1-4a84-b641-478d5cd8333f</t>
  </si>
  <si>
    <t>2026-05-25 06:35:09</t>
  </si>
  <si>
    <t>27768485899</t>
  </si>
  <si>
    <t>13863852</t>
  </si>
  <si>
    <t>6fe95da9-e299-48f9-8558-8aaa083ade56</t>
  </si>
  <si>
    <t>2026-05-25 06:35:08</t>
  </si>
  <si>
    <t>27769745189</t>
  </si>
  <si>
    <t>13864143</t>
  </si>
  <si>
    <t>6e1e8a17-1150-4d1f-9f3d-d76633f0a8ed</t>
  </si>
  <si>
    <t>27768275527</t>
  </si>
  <si>
    <t>13864751</t>
  </si>
  <si>
    <t>bf4f6230-b312-4107-9f22-18cea22c25ad</t>
  </si>
  <si>
    <t>27798009775</t>
  </si>
  <si>
    <t>2026-05-25 06:34:05</t>
  </si>
  <si>
    <t>13864785</t>
  </si>
  <si>
    <t>3d896d5d-4c88-4e2f-b05e-bca50a5e04c7</t>
  </si>
  <si>
    <t>27827686685</t>
  </si>
  <si>
    <t>2026-05-25 06:33:24</t>
  </si>
  <si>
    <t>13863208</t>
  </si>
  <si>
    <t>a86e7270-3cf7-4bbc-9666-eedfec73da35</t>
  </si>
  <si>
    <t>2026-05-25 06:32:59</t>
  </si>
  <si>
    <t>27823993993</t>
  </si>
  <si>
    <t>13863209</t>
  </si>
  <si>
    <t>9249da67-c171-4b28-89e6-12f67b684a1d</t>
  </si>
  <si>
    <t>27824302526</t>
  </si>
  <si>
    <t>2026-05-25 06:32:44</t>
  </si>
  <si>
    <t>13863203</t>
  </si>
  <si>
    <t>eb117d12-49cb-4aad-bcb6-b6e96a1e9a12</t>
  </si>
  <si>
    <t>2026-05-25 06:32:38</t>
  </si>
  <si>
    <t>27818782321</t>
  </si>
  <si>
    <t>13864745</t>
  </si>
  <si>
    <t>49cdf831-618b-4ef6-9056-410728ac6f05</t>
  </si>
  <si>
    <t>2026-05-25 06:32:14</t>
  </si>
  <si>
    <t>27796289581</t>
  </si>
  <si>
    <t>13864750</t>
  </si>
  <si>
    <t>519c23a4-57d9-4305-b5bf-edbd3241e7a2</t>
  </si>
  <si>
    <t>2026-05-25 06:32:08</t>
  </si>
  <si>
    <t>27797983279</t>
  </si>
  <si>
    <t>13864752</t>
  </si>
  <si>
    <t>016a7650-9b8a-4f8b-b785-d8e9d01dee3c</t>
  </si>
  <si>
    <t>2026-05-25 06:31:43</t>
  </si>
  <si>
    <t>27798245957</t>
  </si>
  <si>
    <t>e6415971-3682-4bf3-a26d-eed3dde2ba7f</t>
  </si>
  <si>
    <t>2026-05-25 06:31:37</t>
  </si>
  <si>
    <t>27799286493</t>
  </si>
  <si>
    <t>13864758</t>
  </si>
  <si>
    <t>261c4c7c-ecb8-48ec-83d3-e2c78a284c64</t>
  </si>
  <si>
    <t>2026-05-25 06:31:30</t>
  </si>
  <si>
    <t>27799495412</t>
  </si>
  <si>
    <t>13864759</t>
  </si>
  <si>
    <t>fa29f168-2a9b-41db-9298-16e024ad6a87</t>
  </si>
  <si>
    <t>2026-05-25 06:31:29</t>
  </si>
  <si>
    <t>27799795244</t>
  </si>
  <si>
    <t>13864760</t>
  </si>
  <si>
    <t>d3066e0a-34ac-4b66-915e-32b6a36016bf</t>
  </si>
  <si>
    <t>2026-05-25 06:31:20</t>
  </si>
  <si>
    <t>27818260280</t>
  </si>
  <si>
    <t>13864761</t>
  </si>
  <si>
    <t>1d20b296-2d99-4846-bb22-a50bae51152e</t>
  </si>
  <si>
    <t>2026-05-25 06:31:15</t>
  </si>
  <si>
    <t>27820733446</t>
  </si>
  <si>
    <t>13864764</t>
  </si>
  <si>
    <t>50b9f1e6-63ff-4838-bf09-2928f1788d67</t>
  </si>
  <si>
    <t>2026-05-25 06:31:08</t>
  </si>
  <si>
    <t>27822310749</t>
  </si>
  <si>
    <t>13864765</t>
  </si>
  <si>
    <t>ebbca73c-7824-4cc2-8158-6348cb6d6cf8</t>
  </si>
  <si>
    <t>2026-05-25 06:31:05</t>
  </si>
  <si>
    <t>27822506697</t>
  </si>
  <si>
    <t>13864774</t>
  </si>
  <si>
    <t>6bc0a1fa-4d77-447b-8f24-71af8bd92eb3</t>
  </si>
  <si>
    <t>27824754718</t>
  </si>
  <si>
    <t>165e8371-effd-4338-849f-b15262ac3ac5</t>
  </si>
  <si>
    <t>2026-05-25 06:31:04</t>
  </si>
  <si>
    <t>27825128869</t>
  </si>
  <si>
    <t>13863225</t>
  </si>
  <si>
    <t>4546a5b7-1355-421f-a93e-8c57af5329b2</t>
  </si>
  <si>
    <t>2026-05-25 06:30:27</t>
  </si>
  <si>
    <t>27836864068</t>
  </si>
  <si>
    <t>13863227</t>
  </si>
  <si>
    <t>ee0f06b7-8697-4a1c-bbb8-59dd91ad225b</t>
  </si>
  <si>
    <t>27606427309</t>
  </si>
  <si>
    <t>13863226</t>
  </si>
  <si>
    <t>903744ba-0258-44fa-9bc3-615f3b83eefd</t>
  </si>
  <si>
    <t>2026-05-25 06:30:26</t>
  </si>
  <si>
    <t>27848807269</t>
  </si>
  <si>
    <t>13863230</t>
  </si>
  <si>
    <t>834977ae-753c-480d-af7b-8df29d849e8b</t>
  </si>
  <si>
    <t>27608061600</t>
  </si>
  <si>
    <t>13864778</t>
  </si>
  <si>
    <t>c1d0c0e2-3ff7-435f-9d38-a9e3220ac0d6</t>
  </si>
  <si>
    <t>2026-05-25 06:29:57</t>
  </si>
  <si>
    <t>27825485418</t>
  </si>
  <si>
    <t>13864779</t>
  </si>
  <si>
    <t>573fb005-ba2f-4405-8020-3e25554b6a41</t>
  </si>
  <si>
    <t>2026-05-25 06:29:48</t>
  </si>
  <si>
    <t>27825538485</t>
  </si>
  <si>
    <t>13864780</t>
  </si>
  <si>
    <t>feb17c73-c0df-46cb-b075-3c95e0256087</t>
  </si>
  <si>
    <t>2026-05-25 06:29:42</t>
  </si>
  <si>
    <t>27825726157</t>
  </si>
  <si>
    <t>13863238</t>
  </si>
  <si>
    <t>5b5510e3-3691-4697-a459-d3632408fcd3</t>
  </si>
  <si>
    <t>2026-05-25 06:29:39</t>
  </si>
  <si>
    <t>27636713907</t>
  </si>
  <si>
    <t>13863239</t>
  </si>
  <si>
    <t>8029ea9a-b3e9-4c3c-8d97-617e625f072e</t>
  </si>
  <si>
    <t>2026-05-25 06:29:36</t>
  </si>
  <si>
    <t>27637285974</t>
  </si>
  <si>
    <t>13863344</t>
  </si>
  <si>
    <t>a6f71623-40ac-42e1-9e2f-b8690f5f8996</t>
  </si>
  <si>
    <t>27764688997</t>
  </si>
  <si>
    <t>13862176</t>
  </si>
  <si>
    <t>09cc8d4f-08c2-44a3-a914-d241590ef1cc</t>
  </si>
  <si>
    <t>2026-05-25 06:28:13</t>
  </si>
  <si>
    <t>27788274738</t>
  </si>
  <si>
    <t>13862173</t>
  </si>
  <si>
    <t>f601cd27-c69f-4a37-ae8a-a6e2c502081f</t>
  </si>
  <si>
    <t>2026-05-25 06:28:11</t>
  </si>
  <si>
    <t>27769950051</t>
  </si>
  <si>
    <t>13862175</t>
  </si>
  <si>
    <t>e78c7563-9fe4-4e64-9610-aeb9f634d40f</t>
  </si>
  <si>
    <t>27786247647</t>
  </si>
  <si>
    <t>13862168</t>
  </si>
  <si>
    <t>fc75ac7f-d4be-4983-b44c-9d64cf2c3e58</t>
  </si>
  <si>
    <t>2026-05-25 06:28:10</t>
  </si>
  <si>
    <t>27768923655</t>
  </si>
  <si>
    <t>13862172</t>
  </si>
  <si>
    <t>306d09b9-6932-4d05-a0b0-3cc8f85a33e6</t>
  </si>
  <si>
    <t>27769776302</t>
  </si>
  <si>
    <t>13862001</t>
  </si>
  <si>
    <t>932b9ab4-f026-4df0-b657-9065902e8d13</t>
  </si>
  <si>
    <t>27761714300</t>
  </si>
  <si>
    <t>2026-05-25 06:27:48</t>
  </si>
  <si>
    <t>13862167</t>
  </si>
  <si>
    <t>65dc52ff-18a8-46d0-99e8-8c18b0c37640</t>
  </si>
  <si>
    <t>27768738159</t>
  </si>
  <si>
    <t>13862166</t>
  </si>
  <si>
    <t>f9e2c065-e5f9-41f9-9e3a-a40e76d1f3c4</t>
  </si>
  <si>
    <t>2026-05-25 06:27:38</t>
  </si>
  <si>
    <t>27768642418</t>
  </si>
  <si>
    <t>13862160</t>
  </si>
  <si>
    <t>a648149d-e841-4bcb-9c51-a82217793ba8</t>
  </si>
  <si>
    <t>2026-05-25 06:27:31</t>
  </si>
  <si>
    <t>27764774035</t>
  </si>
  <si>
    <t>13862162</t>
  </si>
  <si>
    <t>6dbba55f-d93b-4ee9-8b62-de19e712f58d</t>
  </si>
  <si>
    <t>27765827218</t>
  </si>
  <si>
    <t>e5604267-6aa4-47c6-a01d-5da39fad35e8</t>
  </si>
  <si>
    <t>27766601176</t>
  </si>
  <si>
    <t>13862165</t>
  </si>
  <si>
    <t>6c6166a9-6858-4c38-9c01-b0645e254b3e</t>
  </si>
  <si>
    <t>27766672292</t>
  </si>
  <si>
    <t>13863245</t>
  </si>
  <si>
    <t>8ab97c55-7c05-4dbb-91f9-c3cc18af6a17</t>
  </si>
  <si>
    <t>27647689684</t>
  </si>
  <si>
    <t>2026-05-25 06:26:24</t>
  </si>
  <si>
    <t>13863267</t>
  </si>
  <si>
    <t>f1274ce8-c711-4c8f-940b-695143690228</t>
  </si>
  <si>
    <t>2026-05-25 06:25:48</t>
  </si>
  <si>
    <t>27712624668</t>
  </si>
  <si>
    <t>13864781</t>
  </si>
  <si>
    <t>4144e0b0-4432-4b60-9a29-fdfb9efaf288</t>
  </si>
  <si>
    <t>2026-05-25 06:25:45</t>
  </si>
  <si>
    <t>27826384394</t>
  </si>
  <si>
    <t>13864782</t>
  </si>
  <si>
    <t>5cda0cdb-9419-4963-8846-9739394c0579</t>
  </si>
  <si>
    <t>27826917753</t>
  </si>
  <si>
    <t>13863309</t>
  </si>
  <si>
    <t>63c6a86e-68b2-4b07-8ba2-88cae97bbb75</t>
  </si>
  <si>
    <t>27726533232</t>
  </si>
  <si>
    <t>2026-05-25 06:25:09</t>
  </si>
  <si>
    <t>13863240</t>
  </si>
  <si>
    <t>062dadce-ca1c-4c4d-a2ed-868526d7cacd</t>
  </si>
  <si>
    <t>2026-05-25 06:24:52</t>
  </si>
  <si>
    <t>27637540560</t>
  </si>
  <si>
    <t>13863310</t>
  </si>
  <si>
    <t>ff9d2afc-7c0f-4e1c-a340-9af3459a25e9</t>
  </si>
  <si>
    <t>2026-05-25 06:24:51</t>
  </si>
  <si>
    <t>27727226423</t>
  </si>
  <si>
    <t>13864154</t>
  </si>
  <si>
    <t>21db86ef-ce8a-4e36-9020-af289ce7d40f</t>
  </si>
  <si>
    <t>2026-05-25 06:24:50</t>
  </si>
  <si>
    <t>27769425144</t>
  </si>
  <si>
    <t>13863278</t>
  </si>
  <si>
    <t>5550403b-178b-4344-919e-f2fed2c12631</t>
  </si>
  <si>
    <t>2026-05-25 06:24:47</t>
  </si>
  <si>
    <t>27715391544</t>
  </si>
  <si>
    <t>13864783</t>
  </si>
  <si>
    <t>92df2d68-7559-48f0-9801-dcd976cc77cf</t>
  </si>
  <si>
    <t>27827142181</t>
  </si>
  <si>
    <t>13863301</t>
  </si>
  <si>
    <t>b2cd3bf3-6872-4a98-91fc-037104078e19</t>
  </si>
  <si>
    <t>2026-05-25 06:24:28</t>
  </si>
  <si>
    <t>27724646432</t>
  </si>
  <si>
    <t>13863308</t>
  </si>
  <si>
    <t>0c7de278-c4d9-4612-b6e5-11d68ff075ae</t>
  </si>
  <si>
    <t>27726291530</t>
  </si>
  <si>
    <t>13864786</t>
  </si>
  <si>
    <t>c0889bce-e78d-4bc7-8f91-4fd0b6aebbae</t>
  </si>
  <si>
    <t>27828272406</t>
  </si>
  <si>
    <t>2026-05-25 06:23:23</t>
  </si>
  <si>
    <t>13864787</t>
  </si>
  <si>
    <t>3b25cbe9-5110-451e-9738-6d289570ba81</t>
  </si>
  <si>
    <t>2026-05-25 06:23:22</t>
  </si>
  <si>
    <t>27828462218</t>
  </si>
  <si>
    <t>13864789</t>
  </si>
  <si>
    <t>4f8b2fd6-aac3-42c0-a3a0-720343a07b10</t>
  </si>
  <si>
    <t>27829301765</t>
  </si>
  <si>
    <t>13863269</t>
  </si>
  <si>
    <t>07c1fefb-dbb2-420e-aa4c-bfcc3968fada</t>
  </si>
  <si>
    <t>2026-05-25 06:23:09</t>
  </si>
  <si>
    <t>27713002471</t>
  </si>
  <si>
    <t>13863270</t>
  </si>
  <si>
    <t>a6e226f8-6fb7-473c-95b9-e7098bcb78c8</t>
  </si>
  <si>
    <t>27713491074</t>
  </si>
  <si>
    <t>13862113</t>
  </si>
  <si>
    <t>00c4254c-6a70-4fe9-9082-debeac8041d3</t>
  </si>
  <si>
    <t>2026-05-25 06:22:39</t>
  </si>
  <si>
    <t>27720989874</t>
  </si>
  <si>
    <t>13862112</t>
  </si>
  <si>
    <t>6be92b69-7b9a-4ea7-adea-0c514ab65d86</t>
  </si>
  <si>
    <t>2026-05-25 06:22:37</t>
  </si>
  <si>
    <t>27720495005</t>
  </si>
  <si>
    <t>13865303</t>
  </si>
  <si>
    <t>d225a8c8-0985-4386-be78-a013ea916e63</t>
  </si>
  <si>
    <t>WN</t>
  </si>
  <si>
    <t>Wrong Number</t>
  </si>
  <si>
    <t>2026-05-25 06:22:26</t>
  </si>
  <si>
    <t>27820437138</t>
  </si>
  <si>
    <t>13862110</t>
  </si>
  <si>
    <t>8a3caba8-8edf-43dc-92fa-3142e70bf198</t>
  </si>
  <si>
    <t>2026-05-25 06:22:19</t>
  </si>
  <si>
    <t>27716479853</t>
  </si>
  <si>
    <t>13862111</t>
  </si>
  <si>
    <t>0d157d13-873d-40b6-b990-47dd422882d0</t>
  </si>
  <si>
    <t>27716940632</t>
  </si>
  <si>
    <t>13862108</t>
  </si>
  <si>
    <t>4af5b0fe-2df6-4554-91a1-9914390b9060</t>
  </si>
  <si>
    <t>2026-05-25 06:22:18</t>
  </si>
  <si>
    <t>27715102628</t>
  </si>
  <si>
    <t>13864002</t>
  </si>
  <si>
    <t>2d22f139-d400-4062-92c5-3e2dcc4cfb37</t>
  </si>
  <si>
    <t>27663476680</t>
  </si>
  <si>
    <t>13864790</t>
  </si>
  <si>
    <t>4941f6cf-498b-465d-b28e-96a8e6bc8b59</t>
  </si>
  <si>
    <t>2026-05-25 06:21:15</t>
  </si>
  <si>
    <t>27829330078</t>
  </si>
  <si>
    <t>13864791</t>
  </si>
  <si>
    <t>d6566223-957d-434c-a901-c9f69a27d24a</t>
  </si>
  <si>
    <t>2026-05-25 06:21:12</t>
  </si>
  <si>
    <t>27829590970</t>
  </si>
  <si>
    <t>13863276</t>
  </si>
  <si>
    <t>66263d67-2db6-49a6-89fe-cecbcdf8a899</t>
  </si>
  <si>
    <t>2026-05-25 06:20:53</t>
  </si>
  <si>
    <t>27714958560</t>
  </si>
  <si>
    <t>13863271</t>
  </si>
  <si>
    <t>a85f1d4d-9067-44ad-81d8-9add3581d324</t>
  </si>
  <si>
    <t>27713569538</t>
  </si>
  <si>
    <t>13863272</t>
  </si>
  <si>
    <t>47dc13eb-3b52-443a-9587-fc9f792dc461</t>
  </si>
  <si>
    <t>27713829852</t>
  </si>
  <si>
    <t>13864793</t>
  </si>
  <si>
    <t>96adecfe-0cb3-425b-80db-3449af0e44da</t>
  </si>
  <si>
    <t>27833896123</t>
  </si>
  <si>
    <t>2026-05-25 06:20:42</t>
  </si>
  <si>
    <t>13864808</t>
  </si>
  <si>
    <t>70445842-eac3-4cbd-8792-a3383d2fd1f3</t>
  </si>
  <si>
    <t>27608348778</t>
  </si>
  <si>
    <t>2026-05-25 06:20:29</t>
  </si>
  <si>
    <t>13864794</t>
  </si>
  <si>
    <t>b912185d-5eb7-492a-99b7-bba02ecb0a79</t>
  </si>
  <si>
    <t>2026-05-25 06:19:47</t>
  </si>
  <si>
    <t>27844165267</t>
  </si>
  <si>
    <t>13864795</t>
  </si>
  <si>
    <t>3db7acf0-1ea0-45f3-b667-b281ddbfd72e</t>
  </si>
  <si>
    <t>2026-05-25 06:19:46</t>
  </si>
  <si>
    <t>27606263019</t>
  </si>
  <si>
    <t>13864809</t>
  </si>
  <si>
    <t>7a14045b-795f-42ba-80ac-0a1b29f8bacc</t>
  </si>
  <si>
    <t>27608522616</t>
  </si>
  <si>
    <t>13864810</t>
  </si>
  <si>
    <t>c3e7730d-f1d0-4041-a6fb-aae44d4e2613</t>
  </si>
  <si>
    <t>2026-05-25 06:18:53</t>
  </si>
  <si>
    <t>27608624754</t>
  </si>
  <si>
    <t>13863292</t>
  </si>
  <si>
    <t>ca20b2eb-3400-4e0c-b860-a0fe8e1ab63b</t>
  </si>
  <si>
    <t>2026-05-25 06:18:50</t>
  </si>
  <si>
    <t>27722518520</t>
  </si>
  <si>
    <t>13863293</t>
  </si>
  <si>
    <t>fe6ac2a6-b3d5-4d35-b40b-7b3a424c754a</t>
  </si>
  <si>
    <t>2026-05-25 06:18:49</t>
  </si>
  <si>
    <t>27722788932</t>
  </si>
  <si>
    <t>13863294</t>
  </si>
  <si>
    <t>6485a6d0-c991-4607-bc42-1c20cb4816ed</t>
  </si>
  <si>
    <t>27723031559</t>
  </si>
  <si>
    <t>13863295</t>
  </si>
  <si>
    <t>3c46187a-fc92-4cd6-85e5-7e499287e0dd</t>
  </si>
  <si>
    <t>27723140648</t>
  </si>
  <si>
    <t>13863289</t>
  </si>
  <si>
    <t>0987a7f4-1977-4469-bb51-acfab1502d8c</t>
  </si>
  <si>
    <t>27721340278</t>
  </si>
  <si>
    <t>2026-05-25 06:16:58</t>
  </si>
  <si>
    <t>13863288</t>
  </si>
  <si>
    <t>537cac82-b458-479a-a385-9bb1a663aa05</t>
  </si>
  <si>
    <t>2026-05-25 06:13:46</t>
  </si>
  <si>
    <t>27721296158</t>
  </si>
  <si>
    <t>13863290</t>
  </si>
  <si>
    <t>e9d08658-5368-49a8-a3cc-682bcce5fff9</t>
  </si>
  <si>
    <t>27721975469</t>
  </si>
  <si>
    <t>13863950</t>
  </si>
  <si>
    <t>a30ec538-b40b-44e4-bc2f-af2c9925be5e</t>
  </si>
  <si>
    <t>2026-05-25 06:13:07</t>
  </si>
  <si>
    <t>27845329700</t>
  </si>
  <si>
    <t>13862073</t>
  </si>
  <si>
    <t>5f9cf57f-6ec5-486b-a22d-cc0eb2c444c3</t>
  </si>
  <si>
    <t>2026-05-25 06:13:04</t>
  </si>
  <si>
    <t>27607807968</t>
  </si>
  <si>
    <t>13862076</t>
  </si>
  <si>
    <t>18ee96bf-594e-4e72-b6d7-8d0fec0cd301</t>
  </si>
  <si>
    <t>27636367718</t>
  </si>
  <si>
    <t>13862078</t>
  </si>
  <si>
    <t>c1398f7b-1707-4a37-9f2d-3e276f990bf9</t>
  </si>
  <si>
    <t>27637274995</t>
  </si>
  <si>
    <t>13863948</t>
  </si>
  <si>
    <t>a2b0c8fa-90e5-4b67-a907-7ad902ff550d</t>
  </si>
  <si>
    <t>27829073014</t>
  </si>
  <si>
    <t>13864811</t>
  </si>
  <si>
    <t>f266037e-61e0-4c6e-900c-56e2b37b8c5d</t>
  </si>
  <si>
    <t>2026-05-25 06:11:18</t>
  </si>
  <si>
    <t>27608799450</t>
  </si>
  <si>
    <t>13863299</t>
  </si>
  <si>
    <t>f2e41882-f87b-4eaf-bcf8-a8ebae048f99</t>
  </si>
  <si>
    <t>2026-05-25 06:11:15</t>
  </si>
  <si>
    <t>27724112105</t>
  </si>
  <si>
    <t>13864812</t>
  </si>
  <si>
    <t>c49e3ab1-2033-46c0-a165-0dc4b1aa2494</t>
  </si>
  <si>
    <t>27609057094</t>
  </si>
  <si>
    <t>13863296</t>
  </si>
  <si>
    <t>04c5c2ad-d829-4988-b57d-9667c70d641a</t>
  </si>
  <si>
    <t>2026-05-25 06:10:56</t>
  </si>
  <si>
    <t>27723906749</t>
  </si>
  <si>
    <t>13863297</t>
  </si>
  <si>
    <t>ea4c3ba8-92fb-4f0f-bcf0-5be4f24123f5</t>
  </si>
  <si>
    <t>27724023787</t>
  </si>
  <si>
    <t>13863298</t>
  </si>
  <si>
    <t>68af534a-bf98-4f06-a90c-15d2ab96a71e</t>
  </si>
  <si>
    <t>2026-05-25 06:10:54</t>
  </si>
  <si>
    <t>27724081138</t>
  </si>
  <si>
    <t>13863302</t>
  </si>
  <si>
    <t>331b4278-cb74-4961-aa7e-a5301a9f8d1e</t>
  </si>
  <si>
    <t>2026-05-25 06:10:45</t>
  </si>
  <si>
    <t>27724695720</t>
  </si>
  <si>
    <t>13863304</t>
  </si>
  <si>
    <t>6f1a956a-1bb4-4d17-9fa9-43dea20b3a09</t>
  </si>
  <si>
    <t>27724846436</t>
  </si>
  <si>
    <t>13863305</t>
  </si>
  <si>
    <t>ccdf09f8-341a-44ad-a17a-168ec0125c15</t>
  </si>
  <si>
    <t>27725353822</t>
  </si>
  <si>
    <t>13863307</t>
  </si>
  <si>
    <t>00206d9e-60e0-4de7-b701-f8986fed888d</t>
  </si>
  <si>
    <t>27725754548</t>
  </si>
  <si>
    <t>13863306</t>
  </si>
  <si>
    <t>f69f4080-3f06-459f-9163-9be8c4bfb221</t>
  </si>
  <si>
    <t>GTTB</t>
  </si>
  <si>
    <t>Go to the Branch</t>
  </si>
  <si>
    <t>2026-05-25 06:08:47</t>
  </si>
  <si>
    <t>27725595578</t>
  </si>
  <si>
    <t>13864813</t>
  </si>
  <si>
    <t>3b861907-0cb6-416a-8fad-2db40d610195</t>
  </si>
  <si>
    <t>2026-05-25 06:08:29</t>
  </si>
  <si>
    <t>27609378618</t>
  </si>
  <si>
    <t>13864825</t>
  </si>
  <si>
    <t>4a6d381f-697a-42e5-8c2c-5e02d0fe3c8f</t>
  </si>
  <si>
    <t>2026-05-25 06:08:19</t>
  </si>
  <si>
    <t>27646360662</t>
  </si>
  <si>
    <t>13864832</t>
  </si>
  <si>
    <t>8844287d-8ce0-4fb3-b7b7-bcaced988c61</t>
  </si>
  <si>
    <t>2026-05-25 06:08:12</t>
  </si>
  <si>
    <t>27660022150</t>
  </si>
  <si>
    <t>13864833</t>
  </si>
  <si>
    <t>188eda6c-ff58-4863-ab97-386b450fa0b7</t>
  </si>
  <si>
    <t>27660426901</t>
  </si>
  <si>
    <t>13864834</t>
  </si>
  <si>
    <t>184adb9d-9f2d-4e1c-a69f-16dad2389c76</t>
  </si>
  <si>
    <t>2026-05-25 06:07:53</t>
  </si>
  <si>
    <t>27660555496</t>
  </si>
  <si>
    <t>13863323</t>
  </si>
  <si>
    <t>18c8129a-f21e-4668-af3f-44aa4ec93392</t>
  </si>
  <si>
    <t>2026-05-25 06:07:52</t>
  </si>
  <si>
    <t>27732146511</t>
  </si>
  <si>
    <t>13863330</t>
  </si>
  <si>
    <t>2a05b438-19a3-4100-841e-bd4e15555eed</t>
  </si>
  <si>
    <t>2026-05-25 06:07:47</t>
  </si>
  <si>
    <t>27760947702</t>
  </si>
  <si>
    <t>13863333</t>
  </si>
  <si>
    <t>c3405e17-3cc5-47d1-ad9a-799518176a7c</t>
  </si>
  <si>
    <t>27761287397</t>
  </si>
  <si>
    <t>13863324</t>
  </si>
  <si>
    <t>3f49af51-eb13-4912-85ca-58349c96d2d8</t>
  </si>
  <si>
    <t>2026-05-25 06:07:36</t>
  </si>
  <si>
    <t>27732745777</t>
  </si>
  <si>
    <t>13864837</t>
  </si>
  <si>
    <t>eb85563f-3f5e-4cbb-ba6b-b45d738492dc</t>
  </si>
  <si>
    <t>2026-05-25 06:07:31</t>
  </si>
  <si>
    <t>27661081769</t>
  </si>
  <si>
    <t>13864838</t>
  </si>
  <si>
    <t>88671826-b562-44d0-81ea-599f29d43064</t>
  </si>
  <si>
    <t>2026-05-25 06:07:23</t>
  </si>
  <si>
    <t>27661576708</t>
  </si>
  <si>
    <t>13864839</t>
  </si>
  <si>
    <t>74ab5abd-33a4-42de-bce7-69bc9a4619c5</t>
  </si>
  <si>
    <t>2026-05-25 06:07:18</t>
  </si>
  <si>
    <t>27661711417</t>
  </si>
  <si>
    <t>13864840</t>
  </si>
  <si>
    <t>79e0f8c0-9167-4d23-9fe1-78d6152b8b51</t>
  </si>
  <si>
    <t>2026-05-25 06:07:14</t>
  </si>
  <si>
    <t>27661770970</t>
  </si>
  <si>
    <t>13864841</t>
  </si>
  <si>
    <t>64b4ec5b-438f-463e-adea-dd7b2b151d21</t>
  </si>
  <si>
    <t>27662230786</t>
  </si>
  <si>
    <t>13864842</t>
  </si>
  <si>
    <t>a3b5dbdd-0a2e-4f08-a29b-a4e769af6e18</t>
  </si>
  <si>
    <t>2026-05-25 06:07:08</t>
  </si>
  <si>
    <t>27663170157</t>
  </si>
  <si>
    <t>13863325</t>
  </si>
  <si>
    <t>ad6d8058-9244-4a3d-9a23-9affaf3603b7</t>
  </si>
  <si>
    <t>2026-05-25 06:06:58</t>
  </si>
  <si>
    <t>27743746482</t>
  </si>
  <si>
    <t>13863327</t>
  </si>
  <si>
    <t>cbb8023f-e87b-476d-bb73-bae76d171b31</t>
  </si>
  <si>
    <t>27760631908</t>
  </si>
  <si>
    <t>13863328</t>
  </si>
  <si>
    <t>01278bf3-c1e1-4ea0-b07b-e5c767d63312</t>
  </si>
  <si>
    <t>27760835300</t>
  </si>
  <si>
    <t>13863329</t>
  </si>
  <si>
    <t>a92f6f18-f281-40fd-8c40-c09a1d15dd69</t>
  </si>
  <si>
    <t>27760897078</t>
  </si>
  <si>
    <t>13861561</t>
  </si>
  <si>
    <t>6febd05e-2645-491e-a259-ff7bc75c61d5</t>
  </si>
  <si>
    <t>2026-05-24 11:34:46</t>
  </si>
  <si>
    <t>27799261237</t>
  </si>
  <si>
    <t>13863889</t>
  </si>
  <si>
    <t>f9153c37-5e19-408d-956f-1bd90df13ee4</t>
  </si>
  <si>
    <t>27797586065</t>
  </si>
  <si>
    <t>2026-05-24 07:48:53</t>
  </si>
  <si>
    <t>13861777</t>
  </si>
  <si>
    <t>24813850-b39b-4d85-b81a-5ea9918232af</t>
  </si>
  <si>
    <t>27662508339</t>
  </si>
  <si>
    <t>2026-05-24 02:43:17</t>
  </si>
  <si>
    <t>13864932</t>
  </si>
  <si>
    <t>2c437863-e3ea-4b0a-8097-c9f652d14fe3</t>
  </si>
  <si>
    <t>27762414974</t>
  </si>
  <si>
    <t>2026-05-23 16:22:42</t>
  </si>
  <si>
    <t>13864457</t>
  </si>
  <si>
    <t>1c658a2d-331b-4f03-88b1-603ca4655a6d</t>
  </si>
  <si>
    <t>27795392418</t>
  </si>
  <si>
    <t>2026-05-23 16:18:19</t>
  </si>
  <si>
    <t>13865807</t>
  </si>
  <si>
    <t>00ffbf47-0f30-45df-9158-91731120e539</t>
  </si>
  <si>
    <t>27793607516</t>
  </si>
  <si>
    <t>2026-05-23 13:31:49</t>
  </si>
  <si>
    <t>13863565</t>
  </si>
  <si>
    <t>eb43f19d-752d-40e4-9805-6b3688a8c031</t>
  </si>
  <si>
    <t>27762774092</t>
  </si>
  <si>
    <t>2026-05-23 13:13:35</t>
  </si>
  <si>
    <t>13863968</t>
  </si>
  <si>
    <t>64c6d8c4-3b24-4384-b685-aca55599e9c6</t>
  </si>
  <si>
    <t>27636484791</t>
  </si>
  <si>
    <t>2026-05-23 11:51:54</t>
  </si>
  <si>
    <t>13863798</t>
  </si>
  <si>
    <t>5810316a-12e4-4b6b-9314-ae4b2d91990f</t>
  </si>
  <si>
    <t>27728161936</t>
  </si>
  <si>
    <t>2026-05-23 11:48:49</t>
  </si>
  <si>
    <t>13861631</t>
  </si>
  <si>
    <t>efca38cc-e4d5-4cbe-b82b-d46b66dd8c0d</t>
  </si>
  <si>
    <t>27711906206</t>
  </si>
  <si>
    <t>2026-05-23 11:29:14</t>
  </si>
  <si>
    <t>13864266</t>
  </si>
  <si>
    <t>5e69cbb8-57fe-472e-9d42-3f5aed1233d0</t>
  </si>
  <si>
    <t>27646675083</t>
  </si>
  <si>
    <t>2026-05-23 11:08:47</t>
  </si>
  <si>
    <t>13864208</t>
  </si>
  <si>
    <t>29d42e9e-40fd-4579-a74a-2f57d9420b32</t>
  </si>
  <si>
    <t>27822150441</t>
  </si>
  <si>
    <t>2026-05-23 10:59:24</t>
  </si>
  <si>
    <t>13864450</t>
  </si>
  <si>
    <t>ab0327e0-37d7-457f-8ad0-e96f0d7d3fb4</t>
  </si>
  <si>
    <t>27794064785</t>
  </si>
  <si>
    <t>2026-05-23 10:54:52</t>
  </si>
  <si>
    <t>13864455</t>
  </si>
  <si>
    <t>fc9ca81b-e446-4aa9-a15a-d9dac814b769</t>
  </si>
  <si>
    <t>2026-05-23 10:54:30</t>
  </si>
  <si>
    <t>27794876960</t>
  </si>
  <si>
    <t>13861933</t>
  </si>
  <si>
    <t>9ab5a8f9-30d1-4582-99f0-7ced846fde74</t>
  </si>
  <si>
    <t>2026-05-23 10:54:03</t>
  </si>
  <si>
    <t>27648112252</t>
  </si>
  <si>
    <t>13864454</t>
  </si>
  <si>
    <t>b5636404-2cbe-4708-a3cb-d1cc13a21b9c</t>
  </si>
  <si>
    <t>27794414405</t>
  </si>
  <si>
    <t>13864185</t>
  </si>
  <si>
    <t>27a0dadd-09f6-47b8-9788-ba64b4be8b75</t>
  </si>
  <si>
    <t>27795925312</t>
  </si>
  <si>
    <t>2026-05-23 10:53:56</t>
  </si>
  <si>
    <t>13864142</t>
  </si>
  <si>
    <t>40f49c3a-8e6a-4108-9462-058f414e0f94</t>
  </si>
  <si>
    <t>2026-05-23 10:53:31</t>
  </si>
  <si>
    <t>27768081124</t>
  </si>
  <si>
    <t>13863815</t>
  </si>
  <si>
    <t>b47091ed-c2a7-4030-a33e-221fe8711124</t>
  </si>
  <si>
    <t>2026-05-23 10:53:29</t>
  </si>
  <si>
    <t>27761137520</t>
  </si>
  <si>
    <t>13863828</t>
  </si>
  <si>
    <t>3412deeb-063a-4e82-bef5-184863ddecb7</t>
  </si>
  <si>
    <t>2026-05-23 10:53:26</t>
  </si>
  <si>
    <t>27764289763</t>
  </si>
  <si>
    <t>13864096</t>
  </si>
  <si>
    <t>45107f67-35f6-41e6-b7ec-19242c1a0b7e</t>
  </si>
  <si>
    <t>2026-05-23 10:53:24</t>
  </si>
  <si>
    <t>27760473975</t>
  </si>
  <si>
    <t>13863969</t>
  </si>
  <si>
    <t>4f078039-15b2-4df1-ac43-cfd6c6f2675a</t>
  </si>
  <si>
    <t>2026-05-23 10:53:18</t>
  </si>
  <si>
    <t>27636856556</t>
  </si>
  <si>
    <t>13863933</t>
  </si>
  <si>
    <t>3b98bb5c-1725-4f63-969e-18764804a0f3</t>
  </si>
  <si>
    <t>27827564208</t>
  </si>
  <si>
    <t>13861894</t>
  </si>
  <si>
    <t>34f70d7c-b06b-48c7-8a3d-d3d0bd424ddf</t>
  </si>
  <si>
    <t>27818802004</t>
  </si>
  <si>
    <t>2026-05-23 10:53:12</t>
  </si>
  <si>
    <t>13863899</t>
  </si>
  <si>
    <t>7285f3b7-f9b8-4353-a8d8-507330b5c1d9</t>
  </si>
  <si>
    <t>2026-05-23 10:53:08</t>
  </si>
  <si>
    <t>27799484483</t>
  </si>
  <si>
    <t>13864416</t>
  </si>
  <si>
    <t>0cb51634-bf3e-4ab9-b92b-52605eb3c9bb</t>
  </si>
  <si>
    <t>2026-05-23 10:52:54</t>
  </si>
  <si>
    <t>27768608212</t>
  </si>
  <si>
    <t>13864414</t>
  </si>
  <si>
    <t>77834303-385b-45dc-a71f-51f48a0cbc94</t>
  </si>
  <si>
    <t>2026-05-23 10:52:50</t>
  </si>
  <si>
    <t>27768531467</t>
  </si>
  <si>
    <t>13864413</t>
  </si>
  <si>
    <t>41bc1173-4cf5-44f2-bd9b-6b876f1e47d6</t>
  </si>
  <si>
    <t>2026-05-23 10:52:49</t>
  </si>
  <si>
    <t>27768165880</t>
  </si>
  <si>
    <t>13861906</t>
  </si>
  <si>
    <t>18f9093d-4d8f-4e63-9632-8bdcdd691e8c</t>
  </si>
  <si>
    <t>2026-05-23 10:52:48</t>
  </si>
  <si>
    <t>27824524103</t>
  </si>
  <si>
    <t>13864411</t>
  </si>
  <si>
    <t>8c1a26eb-a5f7-4770-a52b-156d486e5d6e</t>
  </si>
  <si>
    <t>2026-05-23 10:52:45</t>
  </si>
  <si>
    <t>27767410528</t>
  </si>
  <si>
    <t>13864409</t>
  </si>
  <si>
    <t>d1f6a8b3-d0ed-47b4-b972-66ee5d2d7c89</t>
  </si>
  <si>
    <t>2026-05-23 10:52:37</t>
  </si>
  <si>
    <t>27766969731</t>
  </si>
  <si>
    <t>13861565</t>
  </si>
  <si>
    <t>a8f2036f-8f17-4ef1-b859-312377e17f56</t>
  </si>
  <si>
    <t>2026-05-23 10:52:32</t>
  </si>
  <si>
    <t>27799732947</t>
  </si>
  <si>
    <t>13861891</t>
  </si>
  <si>
    <t>ce4fa339-c3f0-45f8-83fc-d207aec63db7</t>
  </si>
  <si>
    <t>2026-05-23 10:52:31</t>
  </si>
  <si>
    <t>27798723665</t>
  </si>
  <si>
    <t>17e1528e-60a4-4132-8c6e-a39034a9ae5e</t>
  </si>
  <si>
    <t>27799935082</t>
  </si>
  <si>
    <t>13864397</t>
  </si>
  <si>
    <t>6a2ad356-a37d-4e14-aa05-1caffd4a9e78</t>
  </si>
  <si>
    <t>27762934413</t>
  </si>
  <si>
    <t>13864391</t>
  </si>
  <si>
    <t>783a4cf3-d821-4916-8638-5e91608e6895</t>
  </si>
  <si>
    <t>2026-05-23 10:51:58</t>
  </si>
  <si>
    <t>27762215321</t>
  </si>
  <si>
    <t>13864393</t>
  </si>
  <si>
    <t>244762e5-680f-4899-8d81-cb03da2371e8</t>
  </si>
  <si>
    <t>27762266356</t>
  </si>
  <si>
    <t>13864395</t>
  </si>
  <si>
    <t>f1c2cd02-0d6a-4926-9f74-37b7c7c352d0</t>
  </si>
  <si>
    <t>27762441746</t>
  </si>
  <si>
    <t>13864396</t>
  </si>
  <si>
    <t>e07ff0a1-f43a-49b1-8644-ae35face00f6</t>
  </si>
  <si>
    <t>27762500900</t>
  </si>
  <si>
    <t>13861838</t>
  </si>
  <si>
    <t>4a0003f4-cfb0-45ab-9f5a-4ed8c88830ba</t>
  </si>
  <si>
    <t>27763748012</t>
  </si>
  <si>
    <t>2026-05-23 10:50:59</t>
  </si>
  <si>
    <t>13861556</t>
  </si>
  <si>
    <t>079937ba-62af-4aed-9107-421d9dcd34a8</t>
  </si>
  <si>
    <t>2026-05-23 10:50:24</t>
  </si>
  <si>
    <t>27797876109</t>
  </si>
  <si>
    <t>13864311</t>
  </si>
  <si>
    <t>5b26157a-cef9-4db4-8dc8-0c05f404bd0f</t>
  </si>
  <si>
    <t>27714683806</t>
  </si>
  <si>
    <t>13861874</t>
  </si>
  <si>
    <t>c35eb94f-dbf6-4ac0-8912-1dffc25b0e3f</t>
  </si>
  <si>
    <t>2026-05-23 10:50:09</t>
  </si>
  <si>
    <t>27794330867</t>
  </si>
  <si>
    <t>13861873</t>
  </si>
  <si>
    <t>26793626-55d0-4d76-bd86-0bbe160adc7c</t>
  </si>
  <si>
    <t>2026-05-23 10:50:04</t>
  </si>
  <si>
    <t>27794278505</t>
  </si>
  <si>
    <t>13863313</t>
  </si>
  <si>
    <t>daaa9f0f-a0da-4e29-9bd8-12d0d5d561df</t>
  </si>
  <si>
    <t>2026-05-23 10:49:49</t>
  </si>
  <si>
    <t>27727832357</t>
  </si>
  <si>
    <t>13864374</t>
  </si>
  <si>
    <t>79c463dd-b066-41a2-ae10-20cefae7e8d4</t>
  </si>
  <si>
    <t>2026-05-23 10:49:45</t>
  </si>
  <si>
    <t>27728742443</t>
  </si>
  <si>
    <t>13864373</t>
  </si>
  <si>
    <t>b2e33658-de3c-4786-9e06-4bed7b2e45af</t>
  </si>
  <si>
    <t>2026-05-23 10:49:39</t>
  </si>
  <si>
    <t>27728551644</t>
  </si>
  <si>
    <t>13864371</t>
  </si>
  <si>
    <t>8d51be87-ccd0-4c0e-a565-392d9924f645</t>
  </si>
  <si>
    <t>2026-05-23 10:49:37</t>
  </si>
  <si>
    <t>27728141501</t>
  </si>
  <si>
    <t>13861756</t>
  </si>
  <si>
    <t>2be6b9aa-6e75-470f-a8ab-45a58b927806</t>
  </si>
  <si>
    <t>2026-05-23 10:49:31</t>
  </si>
  <si>
    <t>27827218929</t>
  </si>
  <si>
    <t>13861802</t>
  </si>
  <si>
    <t>2fa57fe9-32f7-4178-b2cb-d1907583babd</t>
  </si>
  <si>
    <t>2026-05-23 10:49:24</t>
  </si>
  <si>
    <t>27717009789</t>
  </si>
  <si>
    <t>13861567</t>
  </si>
  <si>
    <t>5aa4240d-d7c8-42f9-b2aa-afe4aecfe9a7</t>
  </si>
  <si>
    <t>2026-05-23 10:49:20</t>
  </si>
  <si>
    <t>27822212049</t>
  </si>
  <si>
    <t>13864352</t>
  </si>
  <si>
    <t>77526e59-2d2f-4511-aeac-9132f6a99c6f</t>
  </si>
  <si>
    <t>27725417670</t>
  </si>
  <si>
    <t>13861853</t>
  </si>
  <si>
    <t>1b035555-1f5d-4ff4-8b7a-25de9f4a3f81</t>
  </si>
  <si>
    <t>2026-05-23 10:48:49</t>
  </si>
  <si>
    <t>27773863291</t>
  </si>
  <si>
    <t>13861849</t>
  </si>
  <si>
    <t>015f3c5e-fc58-441e-a170-cbfa5024ecb1</t>
  </si>
  <si>
    <t>2026-05-23 10:48:43</t>
  </si>
  <si>
    <t>27769337910</t>
  </si>
  <si>
    <t>13861850</t>
  </si>
  <si>
    <t>190b3d0b-37c6-45fd-9ec8-a6fd0af5fa71</t>
  </si>
  <si>
    <t>27769398174</t>
  </si>
  <si>
    <t>13861851</t>
  </si>
  <si>
    <t>04f6c830-a012-4f36-887b-fcab951c1fc9</t>
  </si>
  <si>
    <t>27769666183</t>
  </si>
  <si>
    <t>13861846</t>
  </si>
  <si>
    <t>5af6ef26-4012-4dc1-8efa-57340a9509e6</t>
  </si>
  <si>
    <t>27766616055</t>
  </si>
  <si>
    <t>2026-05-23 10:48:42</t>
  </si>
  <si>
    <t>13861837</t>
  </si>
  <si>
    <t>7075d4aa-1052-4b92-a522-3c7c697b3856</t>
  </si>
  <si>
    <t>27763562272</t>
  </si>
  <si>
    <t>2026-05-23 10:46:11</t>
  </si>
  <si>
    <t>13861835</t>
  </si>
  <si>
    <t>4f430d40-ec06-415e-bf87-7b4f032bec95</t>
  </si>
  <si>
    <t>2026-05-23 10:46:00</t>
  </si>
  <si>
    <t>27762147021</t>
  </si>
  <si>
    <t>13864343</t>
  </si>
  <si>
    <t>7aa62403-0fb5-4680-a4fd-c9fe591f4c3e</t>
  </si>
  <si>
    <t>27724161180</t>
  </si>
  <si>
    <t>13864344</t>
  </si>
  <si>
    <t>9b5f175e-5b22-468f-b1b7-e791419055a9</t>
  </si>
  <si>
    <t>27724519920</t>
  </si>
  <si>
    <t>13861826</t>
  </si>
  <si>
    <t>87aeff8e-7dc0-46f9-8a2e-6dadb1a0cd3d</t>
  </si>
  <si>
    <t>2026-05-23 10:43:08</t>
  </si>
  <si>
    <t>27729795928</t>
  </si>
  <si>
    <t>13864342</t>
  </si>
  <si>
    <t>df434240-b667-4a4a-b30a-be152cd3f335</t>
  </si>
  <si>
    <t>27724064973</t>
  </si>
  <si>
    <t>13864339</t>
  </si>
  <si>
    <t>7be7901c-5ea0-4332-a70a-cf35853c4b2a</t>
  </si>
  <si>
    <t>27723480380</t>
  </si>
  <si>
    <t>13861794</t>
  </si>
  <si>
    <t>413f3c25-6bd4-44c0-9b7b-31f4f260f60e</t>
  </si>
  <si>
    <t>27714880669</t>
  </si>
  <si>
    <t>2026-05-23 10:42:59</t>
  </si>
  <si>
    <t>13861823</t>
  </si>
  <si>
    <t>2d731324-d9bb-44ee-a9fd-612300ef28ac</t>
  </si>
  <si>
    <t>2026-05-23 10:42:55</t>
  </si>
  <si>
    <t>27728748443</t>
  </si>
  <si>
    <t>13861825</t>
  </si>
  <si>
    <t>47bda21a-0453-450a-a7ad-265b2c3ce966</t>
  </si>
  <si>
    <t>27728870281</t>
  </si>
  <si>
    <t>13861750</t>
  </si>
  <si>
    <t>5f939437-3c72-457e-91f8-f2b76cd32f94</t>
  </si>
  <si>
    <t>2026-05-23 10:42:30</t>
  </si>
  <si>
    <t>27823637153</t>
  </si>
  <si>
    <t>13864265</t>
  </si>
  <si>
    <t>b51c22cd-486e-42da-b1ee-7d3a779ce65a</t>
  </si>
  <si>
    <t>27646316583</t>
  </si>
  <si>
    <t>13864304</t>
  </si>
  <si>
    <t>4775c3a1-7bc7-4766-9e11-f9c3ece67c45</t>
  </si>
  <si>
    <t>2026-05-23 10:42:26</t>
  </si>
  <si>
    <t>27713627016</t>
  </si>
  <si>
    <t>13861799</t>
  </si>
  <si>
    <t>2deb77d5-d0bb-4762-a28b-4c41c61b6458</t>
  </si>
  <si>
    <t>2026-05-23 10:42:21</t>
  </si>
  <si>
    <t>27716518613</t>
  </si>
  <si>
    <t>13861797</t>
  </si>
  <si>
    <t>edb64211-a671-4f34-9417-597b42b2048a</t>
  </si>
  <si>
    <t>2026-05-23 10:42:19</t>
  </si>
  <si>
    <t>27716248754</t>
  </si>
  <si>
    <t>13861795</t>
  </si>
  <si>
    <t>d779b8c6-de97-430d-ab7a-69e7374a36cb</t>
  </si>
  <si>
    <t>2026-05-23 10:42:16</t>
  </si>
  <si>
    <t>27714958444</t>
  </si>
  <si>
    <t>13861796</t>
  </si>
  <si>
    <t>697599e0-102e-470f-89cb-267cce50c4b9</t>
  </si>
  <si>
    <t>27715342820</t>
  </si>
  <si>
    <t>13861755</t>
  </si>
  <si>
    <t>5db8dc17-e117-4fbb-bf2a-5792546b5117</t>
  </si>
  <si>
    <t>2026-05-23 10:41:23</t>
  </si>
  <si>
    <t>27826969327</t>
  </si>
  <si>
    <t>13864302</t>
  </si>
  <si>
    <t>e6a0f5c5-ba70-4ab3-879a-7254545a892c</t>
  </si>
  <si>
    <t>2026-05-23 10:41:22</t>
  </si>
  <si>
    <t>27713583300</t>
  </si>
  <si>
    <t>13861772</t>
  </si>
  <si>
    <t>749b8840-9ef9-4cc5-8c6c-f1033490d474</t>
  </si>
  <si>
    <t>27648778661</t>
  </si>
  <si>
    <t>2026-05-23 10:41:06</t>
  </si>
  <si>
    <t>13861774</t>
  </si>
  <si>
    <t>12e51c5f-78f0-47ba-ac13-3616a77f1838</t>
  </si>
  <si>
    <t>2026-05-23 10:41:00</t>
  </si>
  <si>
    <t>27649328165</t>
  </si>
  <si>
    <t>13863228</t>
  </si>
  <si>
    <t>579322f4-185c-4786-9e19-73dba534b75c</t>
  </si>
  <si>
    <t>27606844327</t>
  </si>
  <si>
    <t>2026-05-23 10:40:50</t>
  </si>
  <si>
    <t>13864298</t>
  </si>
  <si>
    <t>e44e41e0-0511-4130-b56e-4fe10eb2ebe8</t>
  </si>
  <si>
    <t>27712797955</t>
  </si>
  <si>
    <t>13864303</t>
  </si>
  <si>
    <t>28474166-d085-44b6-8cc9-034d01865671</t>
  </si>
  <si>
    <t>2026-05-23 10:36:08</t>
  </si>
  <si>
    <t>27713597884</t>
  </si>
  <si>
    <t>13864305</t>
  </si>
  <si>
    <t>963781a2-092f-4f1f-86cb-32ab34aec051</t>
  </si>
  <si>
    <t>27713954028</t>
  </si>
  <si>
    <t>13864307</t>
  </si>
  <si>
    <t>f97118c7-9d86-4f82-ac2c-cbd5d9d5e180</t>
  </si>
  <si>
    <t>27714183166</t>
  </si>
  <si>
    <t>13864300</t>
  </si>
  <si>
    <t>1132850d-72cf-4cef-8fef-4457e370edce</t>
  </si>
  <si>
    <t>2026-05-23 10:35:16</t>
  </si>
  <si>
    <t>27713004191</t>
  </si>
  <si>
    <t>13864297</t>
  </si>
  <si>
    <t>2827a078-77d8-486c-b78f-5f047c672d1b</t>
  </si>
  <si>
    <t>2026-05-23 10:35:15</t>
  </si>
  <si>
    <t>27712731856</t>
  </si>
  <si>
    <t>13864299</t>
  </si>
  <si>
    <t>d1f9f5d9-e10b-43d4-aa4f-4b66f4033f9d</t>
  </si>
  <si>
    <t>27712977164</t>
  </si>
  <si>
    <t>13861711</t>
  </si>
  <si>
    <t>c12daa51-207d-4024-b73e-b62a61652882</t>
  </si>
  <si>
    <t>2026-05-23 10:34:23</t>
  </si>
  <si>
    <t>27791127583</t>
  </si>
  <si>
    <t>13861749</t>
  </si>
  <si>
    <t>5e3f9e2e-411e-4e33-ab6e-cfdafe84b28a</t>
  </si>
  <si>
    <t>2026-05-23 10:34:19</t>
  </si>
  <si>
    <t>27823634440</t>
  </si>
  <si>
    <t>13864288</t>
  </si>
  <si>
    <t>22937ec9-5f5f-42d5-87bc-5c2d96b09d96</t>
  </si>
  <si>
    <t>2026-05-23 10:34:14</t>
  </si>
  <si>
    <t>27673785745</t>
  </si>
  <si>
    <t>13864287</t>
  </si>
  <si>
    <t>45208122-c348-4a39-82de-9d0524945bd8</t>
  </si>
  <si>
    <t>2026-05-23 10:34:13</t>
  </si>
  <si>
    <t>27673726853</t>
  </si>
  <si>
    <t>13861752</t>
  </si>
  <si>
    <t>aa8987f1-3397-4f72-ab55-8b2e3dd90dc0</t>
  </si>
  <si>
    <t>2026-05-23 10:34:12</t>
  </si>
  <si>
    <t>27824065736</t>
  </si>
  <si>
    <t>13864286</t>
  </si>
  <si>
    <t>373cab8d-4f07-4894-904e-70465a64c8f4</t>
  </si>
  <si>
    <t>27673199566</t>
  </si>
  <si>
    <t>13861725</t>
  </si>
  <si>
    <t>a24fab17-6300-4f1b-81f0-2d3aa13a570e</t>
  </si>
  <si>
    <t>27795395416</t>
  </si>
  <si>
    <t>2026-05-23 10:33:11</t>
  </si>
  <si>
    <t>13861748</t>
  </si>
  <si>
    <t>d0087504-db52-4fce-bb76-1270957a7907</t>
  </si>
  <si>
    <t>2026-05-23 10:32:54</t>
  </si>
  <si>
    <t>27823470349</t>
  </si>
  <si>
    <t>13863207</t>
  </si>
  <si>
    <t>d44a149b-5b7f-4936-8624-92bc740a8e00</t>
  </si>
  <si>
    <t>27823158092</t>
  </si>
  <si>
    <t>13864278</t>
  </si>
  <si>
    <t>838f6b7f-c9ad-48e4-855e-1fb9930e4716</t>
  </si>
  <si>
    <t>27662702872</t>
  </si>
  <si>
    <t>13861562</t>
  </si>
  <si>
    <t>f187e0d3-6143-4cc2-bdfa-83690e324d32</t>
  </si>
  <si>
    <t>2026-05-23 10:32:23</t>
  </si>
  <si>
    <t>27799301911</t>
  </si>
  <si>
    <t>13861727</t>
  </si>
  <si>
    <t>3e33dcd7-ea4d-4155-80b3-288bb4ab9fe8</t>
  </si>
  <si>
    <t>27795777512</t>
  </si>
  <si>
    <t>13861443</t>
  </si>
  <si>
    <t>d6760f5f-7a56-4732-8618-bb76cd9eca93</t>
  </si>
  <si>
    <t>2026-05-23 10:31:43</t>
  </si>
  <si>
    <t>27664053104</t>
  </si>
  <si>
    <t>13864257</t>
  </si>
  <si>
    <t>cd9f5a5a-722c-410a-9793-cbbcc81c7c37</t>
  </si>
  <si>
    <t>27617238353</t>
  </si>
  <si>
    <t>13861720</t>
  </si>
  <si>
    <t>b6a753f5-1ab2-4854-8755-8893d6787023</t>
  </si>
  <si>
    <t>2026-05-23 10:31:42</t>
  </si>
  <si>
    <t>27793798353</t>
  </si>
  <si>
    <t>13861716</t>
  </si>
  <si>
    <t>32f6e8b5-f827-4a33-ab65-6cc27e95489f</t>
  </si>
  <si>
    <t>27792885853</t>
  </si>
  <si>
    <t>13861647</t>
  </si>
  <si>
    <t>59da17e6-e51e-4bc1-9d25-954ca72a759e</t>
  </si>
  <si>
    <t>27716754736</t>
  </si>
  <si>
    <t>2026-05-23 10:28:21</t>
  </si>
  <si>
    <t>13861558</t>
  </si>
  <si>
    <t>8218731e-67f7-488e-b4ba-6a76042327d8</t>
  </si>
  <si>
    <t>27798040057</t>
  </si>
  <si>
    <t>2026-05-23 10:25:53</t>
  </si>
  <si>
    <t>13864182</t>
  </si>
  <si>
    <t>7f675ebb-20b6-40ff-9d8c-cc41acc6052b</t>
  </si>
  <si>
    <t>27794325208</t>
  </si>
  <si>
    <t>2026-05-23 10:20:25</t>
  </si>
  <si>
    <t>13864258</t>
  </si>
  <si>
    <t>82c4a524-f686-4a20-ac1f-de76e1c9049a</t>
  </si>
  <si>
    <t>27632281950</t>
  </si>
  <si>
    <t>2026-05-23 10:19:13</t>
  </si>
  <si>
    <t>13861705</t>
  </si>
  <si>
    <t>927301b1-d966-4b06-8992-a2eec85923b0</t>
  </si>
  <si>
    <t>2026-05-23 10:18:43</t>
  </si>
  <si>
    <t>27769337275</t>
  </si>
  <si>
    <t>13864275</t>
  </si>
  <si>
    <t>b5637619-0231-496e-9058-9b32707ae309</t>
  </si>
  <si>
    <t>27660217868</t>
  </si>
  <si>
    <t>13864276</t>
  </si>
  <si>
    <t>669405bd-67bb-4f21-8e93-86d13b792979</t>
  </si>
  <si>
    <t>27660881214</t>
  </si>
  <si>
    <t>13861671</t>
  </si>
  <si>
    <t>b70ffe39-82af-40cf-afca-54a6eaf03cae</t>
  </si>
  <si>
    <t>27729343627</t>
  </si>
  <si>
    <t>2026-05-23 10:18:37</t>
  </si>
  <si>
    <t>13861674</t>
  </si>
  <si>
    <t>b22bb6ba-7a62-404e-83fd-c00b66aa68c7</t>
  </si>
  <si>
    <t>2026-05-23 10:18:23</t>
  </si>
  <si>
    <t>27760509653</t>
  </si>
  <si>
    <t>13861693</t>
  </si>
  <si>
    <t>1314afc7-aa67-41cf-be03-1a9d8e60959f</t>
  </si>
  <si>
    <t>27767152057</t>
  </si>
  <si>
    <t>13861690</t>
  </si>
  <si>
    <t>f8dc23a5-d714-4694-bb65-7ddfa187a77b</t>
  </si>
  <si>
    <t>2026-05-23 10:18:11</t>
  </si>
  <si>
    <t>27766404320</t>
  </si>
  <si>
    <t>13861692</t>
  </si>
  <si>
    <t>b44d67a8-0a23-4008-8937-d06d974e9f55</t>
  </si>
  <si>
    <t>27767102273</t>
  </si>
  <si>
    <t>13864259</t>
  </si>
  <si>
    <t>67fe745b-c8b0-448e-ae56-bae55773c68e</t>
  </si>
  <si>
    <t>2026-05-23 10:17:45</t>
  </si>
  <si>
    <t>27637001057</t>
  </si>
  <si>
    <t>13864254</t>
  </si>
  <si>
    <t>df00f816-c743-4c65-9a20-94aa90c1bd1e</t>
  </si>
  <si>
    <t>2026-05-23 10:17:39</t>
  </si>
  <si>
    <t>27608758921</t>
  </si>
  <si>
    <t>13861635</t>
  </si>
  <si>
    <t>eab64621-4c1b-4f66-b96c-9838f34d09b4</t>
  </si>
  <si>
    <t>2026-05-23 10:17:14</t>
  </si>
  <si>
    <t>27712671952</t>
  </si>
  <si>
    <t>13861651</t>
  </si>
  <si>
    <t>461f63c0-edef-405e-922b-3eb04982276b</t>
  </si>
  <si>
    <t>27720803819</t>
  </si>
  <si>
    <t>13861673</t>
  </si>
  <si>
    <t>17dba36c-e773-492c-9d1a-3199d404f1a1</t>
  </si>
  <si>
    <t>27760439854</t>
  </si>
  <si>
    <t>13863083</t>
  </si>
  <si>
    <t>51552e4e-0f43-4dc2-94f7-dd67bac54f05</t>
  </si>
  <si>
    <t>27721241760</t>
  </si>
  <si>
    <t>13864192</t>
  </si>
  <si>
    <t>8f752cc9-5ab4-401c-a9c8-c06809b8b798</t>
  </si>
  <si>
    <t>27798130625</t>
  </si>
  <si>
    <t>13864230</t>
  </si>
  <si>
    <t>cd08db00-3de9-423e-b7d2-c4cec1371e7e</t>
  </si>
  <si>
    <t>2026-05-23 10:17:02</t>
  </si>
  <si>
    <t>27827674044</t>
  </si>
  <si>
    <t>13861665</t>
  </si>
  <si>
    <t>fd8d127d-cb71-4962-a51f-257c94d870af</t>
  </si>
  <si>
    <t>2026-05-23 10:16:50</t>
  </si>
  <si>
    <t>27727124560</t>
  </si>
  <si>
    <t>13864226</t>
  </si>
  <si>
    <t>ef45f9c2-1caf-4aaa-961c-ec0fb058b96f</t>
  </si>
  <si>
    <t>27826731559</t>
  </si>
  <si>
    <t>13864228</t>
  </si>
  <si>
    <t>7e6a0fbd-69e6-4a2b-8c42-2c318004004a</t>
  </si>
  <si>
    <t>27827445410</t>
  </si>
  <si>
    <t>13861659</t>
  </si>
  <si>
    <t>c16afe6a-c7a5-454e-98da-3a3d4e46afdd</t>
  </si>
  <si>
    <t>27724903264</t>
  </si>
  <si>
    <t>2026-05-23 10:13:06</t>
  </si>
  <si>
    <t>13864183</t>
  </si>
  <si>
    <t>6e90f915-1cb2-43d7-ba1f-7385d233e210</t>
  </si>
  <si>
    <t>2026-05-23 10:12:25</t>
  </si>
  <si>
    <t>27794584969</t>
  </si>
  <si>
    <t>13861650</t>
  </si>
  <si>
    <t>1a50967f-d15f-4db6-bab4-638a6c493af2</t>
  </si>
  <si>
    <t>2026-05-23 10:12:18</t>
  </si>
  <si>
    <t>27720725749</t>
  </si>
  <si>
    <t>13861643</t>
  </si>
  <si>
    <t>ea9f11a8-9042-4153-b9e9-aee9786c4d5e</t>
  </si>
  <si>
    <t>2026-05-23 10:12:16</t>
  </si>
  <si>
    <t>27714974447</t>
  </si>
  <si>
    <t>13861646</t>
  </si>
  <si>
    <t>616933f9-c938-4bf6-8b42-8fb1dfd27497</t>
  </si>
  <si>
    <t>27715552113</t>
  </si>
  <si>
    <t>13861649</t>
  </si>
  <si>
    <t>b095afa4-74bd-4ab1-bb3c-df698485c2b4</t>
  </si>
  <si>
    <t>27720254888</t>
  </si>
  <si>
    <t>13861634</t>
  </si>
  <si>
    <t>6b7e43a7-95cc-47a7-ad21-8e03f396e46f</t>
  </si>
  <si>
    <t>2026-05-23 10:07:13</t>
  </si>
  <si>
    <t>27712615205</t>
  </si>
  <si>
    <t>13861633</t>
  </si>
  <si>
    <t>20351acf-95bd-4834-b847-e5e1c58b96d4</t>
  </si>
  <si>
    <t>2026-05-23 10:07:01</t>
  </si>
  <si>
    <t>27712472185</t>
  </si>
  <si>
    <t>13861632</t>
  </si>
  <si>
    <t>17e5e4f6-f0a7-4cfd-ad11-97d61f11e75b</t>
  </si>
  <si>
    <t>2026-05-23 10:06:36</t>
  </si>
  <si>
    <t>27712208682</t>
  </si>
  <si>
    <t>13864209</t>
  </si>
  <si>
    <t>07ffcd25-93fd-430e-9f80-8c9b259c3be9</t>
  </si>
  <si>
    <t>2026-05-23 10:06:33</t>
  </si>
  <si>
    <t>27822259925</t>
  </si>
  <si>
    <t>13864206</t>
  </si>
  <si>
    <t>704f9859-05e5-4b4a-952e-5ea7b48c5aab</t>
  </si>
  <si>
    <t>2026-05-23 10:06:18</t>
  </si>
  <si>
    <t>27820563387</t>
  </si>
  <si>
    <t>13861625</t>
  </si>
  <si>
    <t>51e4f66a-b03b-4ee4-afc5-a2d0cb8c9a37</t>
  </si>
  <si>
    <t>2026-05-23 10:06:15</t>
  </si>
  <si>
    <t>27711227094</t>
  </si>
  <si>
    <t>13861624</t>
  </si>
  <si>
    <t>aec1155b-4d73-4cb0-96d0-ec18dab55994</t>
  </si>
  <si>
    <t>2026-05-23 10:06:14</t>
  </si>
  <si>
    <t>27711079143</t>
  </si>
  <si>
    <t>13864200</t>
  </si>
  <si>
    <t>342fee1d-100a-4124-a8ab-4efe987faea9</t>
  </si>
  <si>
    <t>27799829108</t>
  </si>
  <si>
    <t>13864191</t>
  </si>
  <si>
    <t>c40ff0d7-65a1-49ea-96b9-41381a506fef</t>
  </si>
  <si>
    <t>2026-05-23 10:05:04</t>
  </si>
  <si>
    <t>27798048584</t>
  </si>
  <si>
    <t>13864186</t>
  </si>
  <si>
    <t>4aad5a19-c7f9-49a7-859f-a4233c790af7</t>
  </si>
  <si>
    <t>2026-05-23 10:04:46</t>
  </si>
  <si>
    <t>27796519705</t>
  </si>
  <si>
    <t>13864187</t>
  </si>
  <si>
    <t>166eb1ea-9653-4a43-9c4e-4b1abb2f0c57</t>
  </si>
  <si>
    <t>27796956709</t>
  </si>
  <si>
    <t>13864188</t>
  </si>
  <si>
    <t>112f9cd4-61e6-4dcd-94f2-2e620ffd36df</t>
  </si>
  <si>
    <t>27797243939</t>
  </si>
  <si>
    <t>13864190</t>
  </si>
  <si>
    <t>87cfcce4-1d34-45d4-a82f-838c1986feeb</t>
  </si>
  <si>
    <t>27798014914</t>
  </si>
  <si>
    <t>13864181</t>
  </si>
  <si>
    <t>08ef373c-09c7-490d-aba8-37fb403bf423</t>
  </si>
  <si>
    <t>2026-05-23 10:03:12</t>
  </si>
  <si>
    <t>27794234758</t>
  </si>
  <si>
    <t>13864172</t>
  </si>
  <si>
    <t>fac0283c-bccf-4ea4-94ab-2093a678fc04</t>
  </si>
  <si>
    <t>2026-05-23 10:03:11</t>
  </si>
  <si>
    <t>27792152820</t>
  </si>
  <si>
    <t>13864174</t>
  </si>
  <si>
    <t>60d30f4b-7fb4-4213-9316-9f50dcbe13b7</t>
  </si>
  <si>
    <t>27793584736</t>
  </si>
  <si>
    <t>13864177</t>
  </si>
  <si>
    <t>eebb1e8a-5941-40a5-afe4-b3cbca430e58</t>
  </si>
  <si>
    <t>27793885383</t>
  </si>
  <si>
    <t>13861535</t>
  </si>
  <si>
    <t>605a7818-cf31-4845-ad00-5c6e71892acc</t>
  </si>
  <si>
    <t>27792090084</t>
  </si>
  <si>
    <t>2026-05-23 09:46:11</t>
  </si>
  <si>
    <t>13863506</t>
  </si>
  <si>
    <t>dd1f0db7-4a3a-4037-80f6-f39c79bd0c8e</t>
  </si>
  <si>
    <t>27714104863</t>
  </si>
  <si>
    <t>2026-05-23 09:41:48</t>
  </si>
  <si>
    <t>e790c83c-1ca4-451c-bfe6-489ee97b3c27</t>
  </si>
  <si>
    <t>2026-05-23 09:14:55</t>
  </si>
  <si>
    <t>27794067046</t>
  </si>
  <si>
    <t>13864176</t>
  </si>
  <si>
    <t>28ec7e23-2d8f-4c0a-a5f0-6a42c0da2b0c</t>
  </si>
  <si>
    <t>2026-05-23 09:14:54</t>
  </si>
  <si>
    <t>27793840541</t>
  </si>
  <si>
    <t>13864178</t>
  </si>
  <si>
    <t>15ed8384-e02d-4416-aae5-b545db8f12eb</t>
  </si>
  <si>
    <t>27793961742</t>
  </si>
  <si>
    <t>13864179</t>
  </si>
  <si>
    <t>b0114e27-cc48-45c7-8cd7-3f9b2e87202b</t>
  </si>
  <si>
    <t>27794064333</t>
  </si>
  <si>
    <t>13863909</t>
  </si>
  <si>
    <t>ff3b86b4-4398-442c-a502-71f71e52f98b</t>
  </si>
  <si>
    <t>2026-05-23 09:14:26</t>
  </si>
  <si>
    <t>27820955524</t>
  </si>
  <si>
    <t>13864164</t>
  </si>
  <si>
    <t>e5e8e81f-ab60-43d5-93d9-910465cf289e</t>
  </si>
  <si>
    <t>2026-05-23 09:14:25</t>
  </si>
  <si>
    <t>27790585537</t>
  </si>
  <si>
    <t>13864157</t>
  </si>
  <si>
    <t>ad162261-ec20-45cf-9774-26d2c2a07fbd</t>
  </si>
  <si>
    <t>2026-05-23 09:14:24</t>
  </si>
  <si>
    <t>27769713340</t>
  </si>
  <si>
    <t>13864161</t>
  </si>
  <si>
    <t>2b95df39-bf28-4779-8fc9-7887f0fd2edf</t>
  </si>
  <si>
    <t>27773866749</t>
  </si>
  <si>
    <t>13864162</t>
  </si>
  <si>
    <t>91ac196b-44c2-4e19-83ac-ab85a7ae9021</t>
  </si>
  <si>
    <t>27786712448</t>
  </si>
  <si>
    <t>13864163</t>
  </si>
  <si>
    <t>343d6b1d-1faf-4965-9625-7b233b5ac2b6</t>
  </si>
  <si>
    <t>27790221699</t>
  </si>
  <si>
    <t>13864151</t>
  </si>
  <si>
    <t>99d501a3-fff6-4123-b20a-edf9f92cbe02</t>
  </si>
  <si>
    <t>2026-05-23 09:11:56</t>
  </si>
  <si>
    <t>27769090644</t>
  </si>
  <si>
    <t>13864148</t>
  </si>
  <si>
    <t>590a5777-5575-4896-b514-31919bb39213</t>
  </si>
  <si>
    <t>2026-05-23 09:11:50</t>
  </si>
  <si>
    <t>27768794322</t>
  </si>
  <si>
    <t>13864149</t>
  </si>
  <si>
    <t>daa5119a-ee3e-4be9-800c-14b32fe6add2</t>
  </si>
  <si>
    <t>27768887742</t>
  </si>
  <si>
    <t>13864150</t>
  </si>
  <si>
    <t>a933581d-fabf-46bd-96a5-6b1cac0e84d1</t>
  </si>
  <si>
    <t>27768940152</t>
  </si>
  <si>
    <t>13864146</t>
  </si>
  <si>
    <t>f9138dd3-4c17-49d8-887e-e392bf9153e5</t>
  </si>
  <si>
    <t>27768650715</t>
  </si>
  <si>
    <t>13864140</t>
  </si>
  <si>
    <t>6d41f958-0b89-4a66-999c-7061c54f01b7</t>
  </si>
  <si>
    <t>2026-05-23 09:07:40</t>
  </si>
  <si>
    <t>27767868372</t>
  </si>
  <si>
    <t>13864141</t>
  </si>
  <si>
    <t>132eb802-73e2-4109-a051-69b7db5a0385</t>
  </si>
  <si>
    <t>27767920501</t>
  </si>
  <si>
    <t>13864136</t>
  </si>
  <si>
    <t>6b69f2a0-db47-4aee-9d09-ccbf68f1c5a9</t>
  </si>
  <si>
    <t>2026-05-23 09:07:39</t>
  </si>
  <si>
    <t>27767234824</t>
  </si>
  <si>
    <t>e891000c-d197-4883-9324-f530e899c9f7</t>
  </si>
  <si>
    <t>27767326541</t>
  </si>
  <si>
    <t>13864139</t>
  </si>
  <si>
    <t>4c003ab9-2079-4f2c-adc9-95b90d2d1a06</t>
  </si>
  <si>
    <t>27767518014</t>
  </si>
  <si>
    <t>13864115</t>
  </si>
  <si>
    <t>ea256e9d-108d-48e4-a9ef-4f73b44700e2</t>
  </si>
  <si>
    <t>2026-05-23 09:07:24</t>
  </si>
  <si>
    <t>27764827171</t>
  </si>
  <si>
    <t>13864112</t>
  </si>
  <si>
    <t>1cf3a199-61d9-4ee7-805d-c8d270411553</t>
  </si>
  <si>
    <t>27764159323</t>
  </si>
  <si>
    <t>2026-05-23 09:07:23</t>
  </si>
  <si>
    <t>13863985</t>
  </si>
  <si>
    <t>fc0b43c7-e670-4cb3-bfc5-7e362b811bf5</t>
  </si>
  <si>
    <t>27649834651</t>
  </si>
  <si>
    <t>2026-05-23 09:07:17</t>
  </si>
  <si>
    <t>13864104</t>
  </si>
  <si>
    <t>d120421a-1841-49ea-a31e-b05c1dc83356</t>
  </si>
  <si>
    <t>2026-05-23 09:07:09</t>
  </si>
  <si>
    <t>27761687455</t>
  </si>
  <si>
    <t>13864051</t>
  </si>
  <si>
    <t>9ae3af15-06f1-41b9-9e51-0cd8c69b23d7</t>
  </si>
  <si>
    <t>2026-05-23 09:07:07</t>
  </si>
  <si>
    <t>27721723131</t>
  </si>
  <si>
    <t>e1549d89-f7a0-4fbd-8b65-401a41a98982</t>
  </si>
  <si>
    <t>27764214269</t>
  </si>
  <si>
    <t>13864103</t>
  </si>
  <si>
    <t>1c3a11b9-50e7-4e04-bec2-87afc8a5339b</t>
  </si>
  <si>
    <t>2026-05-23 09:07:06</t>
  </si>
  <si>
    <t>27761470649</t>
  </si>
  <si>
    <t>13864107</t>
  </si>
  <si>
    <t>3fabd119-e385-4175-bb2e-816939e58b9c</t>
  </si>
  <si>
    <t>2026-05-23 09:06:45</t>
  </si>
  <si>
    <t>27762965051</t>
  </si>
  <si>
    <t>13864108</t>
  </si>
  <si>
    <t>56ecf0ce-ef5b-4186-92b2-549c7ec31495</t>
  </si>
  <si>
    <t>27763600917</t>
  </si>
  <si>
    <t>13864110</t>
  </si>
  <si>
    <t>dc6dc6e7-7dec-410b-88dd-d62806d20437</t>
  </si>
  <si>
    <t>27763850443</t>
  </si>
  <si>
    <t>13864111</t>
  </si>
  <si>
    <t>11c47382-e027-4b62-97d9-39e0c6d65243</t>
  </si>
  <si>
    <t>27764035854</t>
  </si>
  <si>
    <t>13864105</t>
  </si>
  <si>
    <t>9ae0b0b7-6271-47d5-9147-2cbe60406a59</t>
  </si>
  <si>
    <t>2026-05-23 09:05:37</t>
  </si>
  <si>
    <t>27761817296</t>
  </si>
  <si>
    <t>13864101</t>
  </si>
  <si>
    <t>620821be-6f38-4224-82f9-9d7946c52d1f</t>
  </si>
  <si>
    <t>2026-05-23 09:05:21</t>
  </si>
  <si>
    <t>27761156053</t>
  </si>
  <si>
    <t>13864102</t>
  </si>
  <si>
    <t>88d99c7b-fbae-4762-b9b3-71a76565f796</t>
  </si>
  <si>
    <t>27761443391</t>
  </si>
  <si>
    <t>13863831</t>
  </si>
  <si>
    <t>b8c3de57-78e5-445a-adec-e07b0b95414f</t>
  </si>
  <si>
    <t>27764995683</t>
  </si>
  <si>
    <t>2026-05-23 09:05:06</t>
  </si>
  <si>
    <t>13864090</t>
  </si>
  <si>
    <t>e86a26d7-11cb-4a08-870c-0b1343487aed</t>
  </si>
  <si>
    <t>27733238455</t>
  </si>
  <si>
    <t>2026-05-23 09:04:59</t>
  </si>
  <si>
    <t>13864099</t>
  </si>
  <si>
    <t>a6ac0533-55d2-4d7d-ac77-b7ddd206181a</t>
  </si>
  <si>
    <t>2026-05-23 09:04:41</t>
  </si>
  <si>
    <t>27760743571</t>
  </si>
  <si>
    <t>13864091</t>
  </si>
  <si>
    <t>9744ff6e-95a0-49f7-986a-acb9c01d6c50</t>
  </si>
  <si>
    <t>2026-05-23 09:04:35</t>
  </si>
  <si>
    <t>27735648090</t>
  </si>
  <si>
    <t>13864093</t>
  </si>
  <si>
    <t>5ed327bd-f546-4bf4-8695-1b1bbc8e9884</t>
  </si>
  <si>
    <t>27741067606</t>
  </si>
  <si>
    <t>13864094</t>
  </si>
  <si>
    <t>d71fb9fc-09cc-47ae-87e5-0f0a54358a61</t>
  </si>
  <si>
    <t>27747310975</t>
  </si>
  <si>
    <t>13861605</t>
  </si>
  <si>
    <t>a7a8d00e-749b-414e-9b50-80e593dacf20</t>
  </si>
  <si>
    <t>2026-05-23 09:03:41</t>
  </si>
  <si>
    <t>27636326228</t>
  </si>
  <si>
    <t>13864082</t>
  </si>
  <si>
    <t>e5de62b3-c2fa-4d24-86ec-4d10d9cb98af</t>
  </si>
  <si>
    <t>2026-05-23 09:03:35</t>
  </si>
  <si>
    <t>27728582493</t>
  </si>
  <si>
    <t>13861600</t>
  </si>
  <si>
    <t>4df69ce2-3282-4b22-8118-f791f97781c7</t>
  </si>
  <si>
    <t>2026-05-23 09:03:33</t>
  </si>
  <si>
    <t>27609558460</t>
  </si>
  <si>
    <t>13861601</t>
  </si>
  <si>
    <t>f06f4210-0b4f-4136-b418-02b69d9ceaaa</t>
  </si>
  <si>
    <t>27609892603</t>
  </si>
  <si>
    <t>13864067</t>
  </si>
  <si>
    <t>6a3ddde6-12d9-4c15-af31-77fac9a015ac</t>
  </si>
  <si>
    <t>27725230020</t>
  </si>
  <si>
    <t>13864074</t>
  </si>
  <si>
    <t>c3cb364f-9d43-4b75-a4ac-3663a6bd1e23</t>
  </si>
  <si>
    <t>27727181990</t>
  </si>
  <si>
    <t>13864036</t>
  </si>
  <si>
    <t>8f1ca32c-8d1d-4a2b-8611-1e1ed517c03f</t>
  </si>
  <si>
    <t>27715071730</t>
  </si>
  <si>
    <t>2026-05-23 08:56:42</t>
  </si>
  <si>
    <t>13863060</t>
  </si>
  <si>
    <t>5d8606bb-3bfc-428f-8528-44a8c738549b</t>
  </si>
  <si>
    <t>2026-05-23 08:56:17</t>
  </si>
  <si>
    <t>27660836692</t>
  </si>
  <si>
    <t>13864045</t>
  </si>
  <si>
    <t>d4bf6dc8-068a-4d22-ad15-1cf45bbb2c5f</t>
  </si>
  <si>
    <t>27720282676</t>
  </si>
  <si>
    <t>13864038</t>
  </si>
  <si>
    <t>94165d14-029d-46a0-ac9c-8ef17a967a58</t>
  </si>
  <si>
    <t>2026-05-23 08:56:16</t>
  </si>
  <si>
    <t>27715209944</t>
  </si>
  <si>
    <t>13864005</t>
  </si>
  <si>
    <t>f233915a-df75-4dd7-9df1-be480edbb01d</t>
  </si>
  <si>
    <t>27664111070</t>
  </si>
  <si>
    <t>2026-05-23 08:55:44</t>
  </si>
  <si>
    <t>13863851</t>
  </si>
  <si>
    <t>bd8c6d69-2c93-4faa-95df-2f224b9d1137</t>
  </si>
  <si>
    <t>2026-05-23 08:55:36</t>
  </si>
  <si>
    <t>27769517485</t>
  </si>
  <si>
    <t>13864006</t>
  </si>
  <si>
    <t>f0660092-11f3-47be-8af8-67a25b54689e</t>
  </si>
  <si>
    <t>2026-05-23 08:55:30</t>
  </si>
  <si>
    <t>27664572349</t>
  </si>
  <si>
    <t>13864001</t>
  </si>
  <si>
    <t>d61cdb41-cfac-40eb-99b4-b60d48d59f16</t>
  </si>
  <si>
    <t>2026-05-23 08:55:24</t>
  </si>
  <si>
    <t>27663388218</t>
  </si>
  <si>
    <t>13864003</t>
  </si>
  <si>
    <t>0f27d75e-adec-4bbc-b396-6f39c081aae0</t>
  </si>
  <si>
    <t>27663989551</t>
  </si>
  <si>
    <t>e407976f-12ce-4387-9f9b-2d2318765068</t>
  </si>
  <si>
    <t>27664040413</t>
  </si>
  <si>
    <t>13863981</t>
  </si>
  <si>
    <t>d4208cdd-2a88-4a5b-9598-fa8ebdf39bd2</t>
  </si>
  <si>
    <t>27647916466</t>
  </si>
  <si>
    <t>2026-05-23 08:54:32</t>
  </si>
  <si>
    <t>01e78919-9abf-4610-961c-c4305353b086</t>
  </si>
  <si>
    <t>27649684521</t>
  </si>
  <si>
    <t>2026-05-23 08:52:34</t>
  </si>
  <si>
    <t>13863994</t>
  </si>
  <si>
    <t>070342a7-1a41-41bc-bcaf-fa8cc3636c4d</t>
  </si>
  <si>
    <t>2026-05-23 08:52:05</t>
  </si>
  <si>
    <t>27660934650</t>
  </si>
  <si>
    <t>13863988</t>
  </si>
  <si>
    <t>139f73cb-a27c-43cf-ba1c-39ad077916c3</t>
  </si>
  <si>
    <t>2026-05-23 08:52:02</t>
  </si>
  <si>
    <t>27659629589</t>
  </si>
  <si>
    <t>13863990</t>
  </si>
  <si>
    <t>ad47fc5f-81a4-4c1d-8a7e-63bbd26386f1</t>
  </si>
  <si>
    <t>27660484473</t>
  </si>
  <si>
    <t>06e0740d-66cf-4f2f-b341-2153426a20e3</t>
  </si>
  <si>
    <t>27660492967</t>
  </si>
  <si>
    <t>13863992</t>
  </si>
  <si>
    <t>2904d096-f7a8-4cd4-b202-5873d712f61e</t>
  </si>
  <si>
    <t>27660708074</t>
  </si>
  <si>
    <t>13863978</t>
  </si>
  <si>
    <t>903164fb-3a37-4dbd-928f-ca97ef5bbbe1</t>
  </si>
  <si>
    <t>2026-05-23 08:51:33</t>
  </si>
  <si>
    <t>27646965235</t>
  </si>
  <si>
    <t>13863980</t>
  </si>
  <si>
    <t>0f92ee34-e48f-4809-85e4-0ae9080a3b59</t>
  </si>
  <si>
    <t>27647877002</t>
  </si>
  <si>
    <t>13863982</t>
  </si>
  <si>
    <t>c7880a2b-58e3-459d-9fd2-18480ac46232</t>
  </si>
  <si>
    <t>27649619767</t>
  </si>
  <si>
    <t>13861437</t>
  </si>
  <si>
    <t>984f2e49-28ea-4931-a123-ffcb9c169d07</t>
  </si>
  <si>
    <t>2026-05-23 08:50:20</t>
  </si>
  <si>
    <t>27649407367</t>
  </si>
  <si>
    <t>13863958</t>
  </si>
  <si>
    <t>2eac4a7d-4631-4704-8ae4-f53b9bc814d5</t>
  </si>
  <si>
    <t>27608427640</t>
  </si>
  <si>
    <t>13863962</t>
  </si>
  <si>
    <t>2ae0701f-d57b-40c1-aa1e-a9681c812b7e</t>
  </si>
  <si>
    <t>27609234680</t>
  </si>
  <si>
    <t>13863964</t>
  </si>
  <si>
    <t>f4441db0-7f24-4dc7-9efb-c3e3d31e1c13</t>
  </si>
  <si>
    <t>27609476350</t>
  </si>
  <si>
    <t>13863922</t>
  </si>
  <si>
    <t>61327988-6fec-4af5-80ab-3e042ed44fa8</t>
  </si>
  <si>
    <t>2026-05-23 08:48:10</t>
  </si>
  <si>
    <t>27824719618</t>
  </si>
  <si>
    <t>13863947</t>
  </si>
  <si>
    <t>33289ab1-f37f-4d5d-94af-cb267b86ee2b</t>
  </si>
  <si>
    <t>27828803181</t>
  </si>
  <si>
    <t>13863946</t>
  </si>
  <si>
    <t>3a6be011-e543-45fe-8f49-b869cda53dd8</t>
  </si>
  <si>
    <t>2026-05-23 08:47:47</t>
  </si>
  <si>
    <t>27828668946</t>
  </si>
  <si>
    <t>13863940</t>
  </si>
  <si>
    <t>f615c434-72a2-46dc-904c-81dbfb4ee636</t>
  </si>
  <si>
    <t>27827994626</t>
  </si>
  <si>
    <t>2026-05-23 08:47:42</t>
  </si>
  <si>
    <t>13863942</t>
  </si>
  <si>
    <t>84670643-976b-491f-97e1-c15fd69e524c</t>
  </si>
  <si>
    <t>27828464625</t>
  </si>
  <si>
    <t>13863943</t>
  </si>
  <si>
    <t>aba8181c-db13-4e35-8424-a8cf31951696</t>
  </si>
  <si>
    <t>27828624496</t>
  </si>
  <si>
    <t>13863945</t>
  </si>
  <si>
    <t>1f8517c5-7d0b-4f22-887c-009a9e4afcbd</t>
  </si>
  <si>
    <t>27828663960</t>
  </si>
  <si>
    <t>13863373</t>
  </si>
  <si>
    <t>875d8266-1f6c-4578-8ead-2a12a87f4da1</t>
  </si>
  <si>
    <t>27774703290</t>
  </si>
  <si>
    <t>2026-05-23 08:47:24</t>
  </si>
  <si>
    <t>13863932</t>
  </si>
  <si>
    <t>795cf2aa-52b6-4e9c-9961-575d037162eb</t>
  </si>
  <si>
    <t>2026-05-23 08:45:22</t>
  </si>
  <si>
    <t>27827207848</t>
  </si>
  <si>
    <t>13863921</t>
  </si>
  <si>
    <t>79f753fb-ee1f-4c36-97f3-1b50646f465c</t>
  </si>
  <si>
    <t>2026-05-23 08:45:20</t>
  </si>
  <si>
    <t>27824312222</t>
  </si>
  <si>
    <t>13863930</t>
  </si>
  <si>
    <t>bab854ec-f101-4bbf-b8f0-91bfa84b95ca</t>
  </si>
  <si>
    <t>2026-05-23 08:45:03</t>
  </si>
  <si>
    <t>27826420720</t>
  </si>
  <si>
    <t>13863923</t>
  </si>
  <si>
    <t>b3d0250f-e247-43ed-99f6-aa1d9a819b0c</t>
  </si>
  <si>
    <t>27824889388</t>
  </si>
  <si>
    <t>2026-05-23 08:45:02</t>
  </si>
  <si>
    <t>13863929</t>
  </si>
  <si>
    <t>2f40b337-1e12-4a6f-9bb6-de11e45e3cf1</t>
  </si>
  <si>
    <t>27826372870</t>
  </si>
  <si>
    <t>13865455</t>
  </si>
  <si>
    <t>1b070d47-d89f-48a4-89b2-78b75a4b6b74</t>
  </si>
  <si>
    <t>2026-05-23 08:44:08</t>
  </si>
  <si>
    <t>27728926561</t>
  </si>
  <si>
    <t>13861585</t>
  </si>
  <si>
    <t>dcef4c24-ee27-4868-a022-78fa0c9c74f6</t>
  </si>
  <si>
    <t>2026-05-23 08:44:05</t>
  </si>
  <si>
    <t>27829351872</t>
  </si>
  <si>
    <t>13863917</t>
  </si>
  <si>
    <t>165d8daa-c617-48a6-ba8a-be4517d4713a</t>
  </si>
  <si>
    <t>2026-05-23 08:43:58</t>
  </si>
  <si>
    <t>27823016597</t>
  </si>
  <si>
    <t>13863919</t>
  </si>
  <si>
    <t>067d3cbd-e3de-44cf-ae0b-eeb7c6d90173</t>
  </si>
  <si>
    <t>27823631124</t>
  </si>
  <si>
    <t>13863908</t>
  </si>
  <si>
    <t>2a9fae36-c170-4e83-924e-b4fa948e3ea7</t>
  </si>
  <si>
    <t>2026-05-23 08:43:16</t>
  </si>
  <si>
    <t>27820770581</t>
  </si>
  <si>
    <t>13863898</t>
  </si>
  <si>
    <t>3864f343-149c-45e3-8ae3-3f8d75d23f78</t>
  </si>
  <si>
    <t>2026-05-23 08:43:11</t>
  </si>
  <si>
    <t>27799163908</t>
  </si>
  <si>
    <t>13863907</t>
  </si>
  <si>
    <t>dba78495-9b5c-4c76-acc5-297eaf8eef7e</t>
  </si>
  <si>
    <t>2026-05-23 08:43:08</t>
  </si>
  <si>
    <t>27820542096</t>
  </si>
  <si>
    <t>13863905</t>
  </si>
  <si>
    <t>adfb2f44-1f8f-4328-8277-5bba637a55de</t>
  </si>
  <si>
    <t>2026-05-23 08:43:07</t>
  </si>
  <si>
    <t>27820454760</t>
  </si>
  <si>
    <t>13863903</t>
  </si>
  <si>
    <t>180e83e8-3aa1-436a-9885-bb48d4230736</t>
  </si>
  <si>
    <t>2026-05-23 08:43:05</t>
  </si>
  <si>
    <t>27815544789</t>
  </si>
  <si>
    <t>13863901</t>
  </si>
  <si>
    <t>2d3a7cc2-2276-43f6-ab01-9d6508019d32</t>
  </si>
  <si>
    <t>2026-05-23 08:42:53</t>
  </si>
  <si>
    <t>27799869673</t>
  </si>
  <si>
    <t>13863893</t>
  </si>
  <si>
    <t>fad5c084-8bf5-461d-b939-be48add2c993</t>
  </si>
  <si>
    <t>2026-05-23 08:42:36</t>
  </si>
  <si>
    <t>27797939684</t>
  </si>
  <si>
    <t>13863895</t>
  </si>
  <si>
    <t>783e72b5-645f-493e-8293-c1354d0a7a2f</t>
  </si>
  <si>
    <t>27798624390</t>
  </si>
  <si>
    <t>13863896</t>
  </si>
  <si>
    <t>f3379f37-cf07-41e1-9b2a-495ffa46d2e7</t>
  </si>
  <si>
    <t>27798783749</t>
  </si>
  <si>
    <t>13863897</t>
  </si>
  <si>
    <t>f66f7172-0b28-48b3-8df8-6974fcab5453</t>
  </si>
  <si>
    <t>27798933219</t>
  </si>
  <si>
    <t>13863849</t>
  </si>
  <si>
    <t>e1e1d2d3-07dd-4a4b-b39f-d942848509dc</t>
  </si>
  <si>
    <t>27769175783</t>
  </si>
  <si>
    <t>2026-05-23 08:42:29</t>
  </si>
  <si>
    <t>13863711</t>
  </si>
  <si>
    <t>720efbf2-b207-4e29-a0f7-6be0d8d25e94</t>
  </si>
  <si>
    <t>27649289748</t>
  </si>
  <si>
    <t>2026-05-23 08:42:02</t>
  </si>
  <si>
    <t>13863803</t>
  </si>
  <si>
    <t>56b19d02-5cdf-4879-b2cc-ffc1805269d3</t>
  </si>
  <si>
    <t>2026-05-23 08:40:40</t>
  </si>
  <si>
    <t>27728946687</t>
  </si>
  <si>
    <t>13863861</t>
  </si>
  <si>
    <t>10caa0f2-b815-4712-b97b-a8c002bc23d2</t>
  </si>
  <si>
    <t>2026-05-23 08:40:36</t>
  </si>
  <si>
    <t>27791660373</t>
  </si>
  <si>
    <t>13863871</t>
  </si>
  <si>
    <t>eb51acf1-b52a-4ead-bf34-28320331c27a</t>
  </si>
  <si>
    <t>27794006334</t>
  </si>
  <si>
    <t>13863837</t>
  </si>
  <si>
    <t>1c485d2e-2dde-4ee9-b747-7cab1a954ea2</t>
  </si>
  <si>
    <t>27766920057</t>
  </si>
  <si>
    <t>13863827</t>
  </si>
  <si>
    <t>399e48dc-4883-4108-873a-35546b29ed59</t>
  </si>
  <si>
    <t>2026-05-23 08:40:33</t>
  </si>
  <si>
    <t>27764245082</t>
  </si>
  <si>
    <t>13861578</t>
  </si>
  <si>
    <t>e7bb3add-a80a-4140-bdbc-6cd87d5dd1a3</t>
  </si>
  <si>
    <t>2026-05-23 08:40:21</t>
  </si>
  <si>
    <t>27827410439</t>
  </si>
  <si>
    <t>13863870</t>
  </si>
  <si>
    <t>0cb51568-5d84-4c47-b7a3-c4e28e7aeea5</t>
  </si>
  <si>
    <t>27793780165</t>
  </si>
  <si>
    <t>13863868</t>
  </si>
  <si>
    <t>e59c3e9a-8129-437e-8382-5fb7f7293195</t>
  </si>
  <si>
    <t>2026-05-23 08:40:05</t>
  </si>
  <si>
    <t>27793252159</t>
  </si>
  <si>
    <t>13863867</t>
  </si>
  <si>
    <t>15aaa686-adc6-4758-ac7c-d2dfc70c2e6c</t>
  </si>
  <si>
    <t>2026-05-23 08:39:59</t>
  </si>
  <si>
    <t>27793203522</t>
  </si>
  <si>
    <t>13863865</t>
  </si>
  <si>
    <t>b1093def-fc32-43bf-8181-37369a8d2165</t>
  </si>
  <si>
    <t>2026-05-23 08:39:53</t>
  </si>
  <si>
    <t>27793009155</t>
  </si>
  <si>
    <t>13863842</t>
  </si>
  <si>
    <t>93102660-c55c-406c-87ae-fd01d12b1e7e</t>
  </si>
  <si>
    <t>2026-05-23 08:39:42</t>
  </si>
  <si>
    <t>27767822219</t>
  </si>
  <si>
    <t>13863759</t>
  </si>
  <si>
    <t>bb1cb373-de97-45eb-b1b5-6f9db5700f00</t>
  </si>
  <si>
    <t>27721736935</t>
  </si>
  <si>
    <t>2026-05-23 08:39:38</t>
  </si>
  <si>
    <t>13863860</t>
  </si>
  <si>
    <t>09a04b41-f51e-49cc-b393-7c4df4cdeec2</t>
  </si>
  <si>
    <t>2026-05-23 08:39:28</t>
  </si>
  <si>
    <t>27791324091</t>
  </si>
  <si>
    <t>13863846</t>
  </si>
  <si>
    <t>8526cae8-ad0c-40c3-853c-d39c65bf1494</t>
  </si>
  <si>
    <t>27768599691</t>
  </si>
  <si>
    <t>2026-05-23 08:39:18</t>
  </si>
  <si>
    <t>13863856</t>
  </si>
  <si>
    <t>9b8fe784-e9a3-4677-aff6-7207cc1d8a2e</t>
  </si>
  <si>
    <t>2026-05-23 08:39:12</t>
  </si>
  <si>
    <t>27790316452</t>
  </si>
  <si>
    <t>13863858</t>
  </si>
  <si>
    <t>391d47cc-c647-4bae-a5fb-f13afc58cb13</t>
  </si>
  <si>
    <t>27790903897</t>
  </si>
  <si>
    <t>13863859</t>
  </si>
  <si>
    <t>aad2d5ab-2be5-4c10-831d-a853a8f6799d</t>
  </si>
  <si>
    <t>27790955283</t>
  </si>
  <si>
    <t>13863848</t>
  </si>
  <si>
    <t>5ffe137f-70dc-4b77-ad02-5d977c8d6df5</t>
  </si>
  <si>
    <t>2026-05-23 08:38:41</t>
  </si>
  <si>
    <t>27769166780</t>
  </si>
  <si>
    <t>13863836</t>
  </si>
  <si>
    <t>800560b5-3208-4c97-99a1-47e009291654</t>
  </si>
  <si>
    <t>27766761222</t>
  </si>
  <si>
    <t>2026-05-23 08:38:30</t>
  </si>
  <si>
    <t>13863844</t>
  </si>
  <si>
    <t>d41a20df-f63d-44d6-99e1-61f313e8e7f0</t>
  </si>
  <si>
    <t>27768319348</t>
  </si>
  <si>
    <t>0e87046a-01ec-49da-a9be-ac76f7cdc2d1</t>
  </si>
  <si>
    <t>27768627178</t>
  </si>
  <si>
    <t>13863838</t>
  </si>
  <si>
    <t>64ab22cb-d12f-479c-a26d-ded25ca17195</t>
  </si>
  <si>
    <t>2026-05-23 08:35:09</t>
  </si>
  <si>
    <t>27766955977</t>
  </si>
  <si>
    <t>13863840</t>
  </si>
  <si>
    <t>6ab55021-d5bb-47dc-8c8c-85ac8fd58f94</t>
  </si>
  <si>
    <t>27767439661</t>
  </si>
  <si>
    <t>13863841</t>
  </si>
  <si>
    <t>ac80a806-4188-48da-a4d8-47824e578fd4</t>
  </si>
  <si>
    <t>27767798354</t>
  </si>
  <si>
    <t>13863826</t>
  </si>
  <si>
    <t>9dbc2f73-5799-4534-94b7-03156db8af42</t>
  </si>
  <si>
    <t>2026-05-23 08:33:46</t>
  </si>
  <si>
    <t>27764046995</t>
  </si>
  <si>
    <t>13863833</t>
  </si>
  <si>
    <t>172ce3dd-6f1d-4d90-ae5f-0b259413dd6f</t>
  </si>
  <si>
    <t>27766560590</t>
  </si>
  <si>
    <t>13863835</t>
  </si>
  <si>
    <t>8842cdef-cea5-4211-befb-cfd742040cbb</t>
  </si>
  <si>
    <t>27766707536</t>
  </si>
  <si>
    <t>13863818</t>
  </si>
  <si>
    <t>9efa180e-e087-4d73-ae90-f74fc909ac33</t>
  </si>
  <si>
    <t>27761514849</t>
  </si>
  <si>
    <t>2026-05-23 08:31:53</t>
  </si>
  <si>
    <t>13863825</t>
  </si>
  <si>
    <t>c1ca44d0-3529-42e8-ba0e-a8aeae423adf</t>
  </si>
  <si>
    <t>2026-05-23 08:31:21</t>
  </si>
  <si>
    <t>27763733816</t>
  </si>
  <si>
    <t>13863817</t>
  </si>
  <si>
    <t>ce94e7e5-6f54-41d4-850a-6195c489d2f1</t>
  </si>
  <si>
    <t>27761498923</t>
  </si>
  <si>
    <t>2026-05-23 08:31:20</t>
  </si>
  <si>
    <t>13863821</t>
  </si>
  <si>
    <t>44c0dde5-7b44-4214-9952-ec5e387f3961</t>
  </si>
  <si>
    <t>27762451020</t>
  </si>
  <si>
    <t>13863093</t>
  </si>
  <si>
    <t>0c14e409-8029-4f30-8d80-6351dc419276</t>
  </si>
  <si>
    <t>27723562897</t>
  </si>
  <si>
    <t>2026-05-23 08:18:42</t>
  </si>
  <si>
    <t>13864879</t>
  </si>
  <si>
    <t>96d4d536-1648-4342-948a-ea07ff85d6f2</t>
  </si>
  <si>
    <t>27715549501</t>
  </si>
  <si>
    <t>2026-05-23 08:09:56</t>
  </si>
  <si>
    <t>13863819</t>
  </si>
  <si>
    <t>d3302123-dd24-41b1-b5f6-d65b42e31362</t>
  </si>
  <si>
    <t>2026-05-23 08:08:09</t>
  </si>
  <si>
    <t>27761647773</t>
  </si>
  <si>
    <t>13863822</t>
  </si>
  <si>
    <t>907a68e9-e199-4fe7-a227-a3fd5e36e347</t>
  </si>
  <si>
    <t>27762725634</t>
  </si>
  <si>
    <t>13863823</t>
  </si>
  <si>
    <t>663acdf6-d7a9-42c6-96e0-ca34872c4147</t>
  </si>
  <si>
    <t>27762784619</t>
  </si>
  <si>
    <t>13863824</t>
  </si>
  <si>
    <t>df682e69-4dcc-41c4-94e6-d15334d1274c</t>
  </si>
  <si>
    <t>27763186421</t>
  </si>
  <si>
    <t>13863375</t>
  </si>
  <si>
    <t>36e0f299-4962-43f1-b22b-f59e7f2571ac</t>
  </si>
  <si>
    <t>27784949835</t>
  </si>
  <si>
    <t>2026-05-23 08:06:28</t>
  </si>
  <si>
    <t>13863037</t>
  </si>
  <si>
    <t>d5b02191-b5e9-449c-9d54-668449d96d6e</t>
  </si>
  <si>
    <t>2026-05-23 08:05:25</t>
  </si>
  <si>
    <t>27606977701</t>
  </si>
  <si>
    <t>13863813</t>
  </si>
  <si>
    <t>2b9f0f3a-506f-4e1f-8668-9a6c203d2ad1</t>
  </si>
  <si>
    <t>2026-05-23 08:05:23</t>
  </si>
  <si>
    <t>27744869194</t>
  </si>
  <si>
    <t>13863806</t>
  </si>
  <si>
    <t>c6b74c7a-48e6-4468-b52d-d072beb310c5</t>
  </si>
  <si>
    <t>2026-05-23 08:05:07</t>
  </si>
  <si>
    <t>27729367712</t>
  </si>
  <si>
    <t>1712967e-460b-4c7b-8bf8-f695237091fd</t>
  </si>
  <si>
    <t>27729687477</t>
  </si>
  <si>
    <t>13863812</t>
  </si>
  <si>
    <t>d975a9f8-7c53-4cc9-8b2f-0ffd31c6ae2c</t>
  </si>
  <si>
    <t>27734002144</t>
  </si>
  <si>
    <t>13863734</t>
  </si>
  <si>
    <t>b814ae08-3788-45a1-8ef7-c1ff6ec6f74d</t>
  </si>
  <si>
    <t>27673038386</t>
  </si>
  <si>
    <t>2026-05-23 08:04:42</t>
  </si>
  <si>
    <t>13863802</t>
  </si>
  <si>
    <t>e129e0cc-6e78-4026-89d6-5a46ab8b4d7b</t>
  </si>
  <si>
    <t>2026-05-23 08:03:58</t>
  </si>
  <si>
    <t>27728682033</t>
  </si>
  <si>
    <t>13863794</t>
  </si>
  <si>
    <t>776de5da-e73d-4403-8547-dbb539692414</t>
  </si>
  <si>
    <t>2026-05-23 08:03:56</t>
  </si>
  <si>
    <t>27727653935</t>
  </si>
  <si>
    <t>13863797</t>
  </si>
  <si>
    <t>6324fadf-6afc-4c9a-83d5-fddf2d986a7c</t>
  </si>
  <si>
    <t>27728151357</t>
  </si>
  <si>
    <t>13863800</t>
  </si>
  <si>
    <t>080f7477-9a19-4a11-9715-6852474001b4</t>
  </si>
  <si>
    <t>27728644895</t>
  </si>
  <si>
    <t>13863779</t>
  </si>
  <si>
    <t>a8d939fd-e8ae-4182-b4ab-e714c35a648a</t>
  </si>
  <si>
    <t>2026-05-23 08:02:24</t>
  </si>
  <si>
    <t>27725519977</t>
  </si>
  <si>
    <t>13863743</t>
  </si>
  <si>
    <t>5a9682ec-84b4-4299-99be-669d810eb0c8</t>
  </si>
  <si>
    <t>27714092706</t>
  </si>
  <si>
    <t>2026-05-23 08:02:21</t>
  </si>
  <si>
    <t>13863720</t>
  </si>
  <si>
    <t>1c641770-45a4-495a-9467-53557a48f2b2</t>
  </si>
  <si>
    <t>2026-05-23 08:02:17</t>
  </si>
  <si>
    <t>27660403379</t>
  </si>
  <si>
    <t>13863778</t>
  </si>
  <si>
    <t>343642c3-edb6-4e37-8c9c-f6deecf5832c</t>
  </si>
  <si>
    <t>27725504789</t>
  </si>
  <si>
    <t>2026-05-23 08:02:15</t>
  </si>
  <si>
    <t>13863775</t>
  </si>
  <si>
    <t>92d04a81-b62c-49f2-9d67-c7c9ab34de08</t>
  </si>
  <si>
    <t>2026-05-23 08:01:59</t>
  </si>
  <si>
    <t>27725064561</t>
  </si>
  <si>
    <t>13863776</t>
  </si>
  <si>
    <t>c128ba3c-479a-459c-8b57-19308eac8b78</t>
  </si>
  <si>
    <t>27725131765</t>
  </si>
  <si>
    <t>13863773</t>
  </si>
  <si>
    <t>2df74b64-c4a8-4c75-a1d6-6bc9dc70b413</t>
  </si>
  <si>
    <t>2026-05-23 08:01:47</t>
  </si>
  <si>
    <t>27724848357</t>
  </si>
  <si>
    <t>13863770</t>
  </si>
  <si>
    <t>49f17e8d-a51e-410f-bd29-559ad8745e07</t>
  </si>
  <si>
    <t>2026-05-23 08:01:46</t>
  </si>
  <si>
    <t>27724336995</t>
  </si>
  <si>
    <t>13863772</t>
  </si>
  <si>
    <t>08cf158d-b1f0-439d-9808-d72a71fb9f35</t>
  </si>
  <si>
    <t>27724801689</t>
  </si>
  <si>
    <t>13863761</t>
  </si>
  <si>
    <t>4ba87680-e667-4535-8da5-0f433f3a70d1</t>
  </si>
  <si>
    <t>2026-05-23 08:00:32</t>
  </si>
  <si>
    <t>27722281054</t>
  </si>
  <si>
    <t>13863760</t>
  </si>
  <si>
    <t>304635a3-afa3-4f21-a674-897dd6b96423</t>
  </si>
  <si>
    <t>2026-05-23 08:00:30</t>
  </si>
  <si>
    <t>27721971165</t>
  </si>
  <si>
    <t>13863723</t>
  </si>
  <si>
    <t>9ca9d032-ed80-45d1-810e-783d746da49e</t>
  </si>
  <si>
    <t>27661328033</t>
  </si>
  <si>
    <t>2026-05-23 08:00:21</t>
  </si>
  <si>
    <t>13863758</t>
  </si>
  <si>
    <t>0a8d03c5-d54c-43a8-9809-d9f84a2846b4</t>
  </si>
  <si>
    <t>2026-05-23 08:00:18</t>
  </si>
  <si>
    <t>27721702389</t>
  </si>
  <si>
    <t>13863756</t>
  </si>
  <si>
    <t>ed31e515-57ba-4bcc-915a-e1b6969f0ff1</t>
  </si>
  <si>
    <t>2026-05-23 08:00:06</t>
  </si>
  <si>
    <t>27721430599</t>
  </si>
  <si>
    <t>13863030</t>
  </si>
  <si>
    <t>d1ba02ae-5725-4016-96fe-21c072e3b24a</t>
  </si>
  <si>
    <t>2026-05-23 07:59:50</t>
  </si>
  <si>
    <t>27791771550</t>
  </si>
  <si>
    <t>13863740</t>
  </si>
  <si>
    <t>f957b449-feb8-4dcd-9399-5947ea41aaca</t>
  </si>
  <si>
    <t>2026-05-23 07:59:45</t>
  </si>
  <si>
    <t>27713080108</t>
  </si>
  <si>
    <t>13863732</t>
  </si>
  <si>
    <t>4177b8cd-33a8-4831-bc92-e66dec0a9549</t>
  </si>
  <si>
    <t>2026-05-23 07:59:41</t>
  </si>
  <si>
    <t>27665197136</t>
  </si>
  <si>
    <t>13863719</t>
  </si>
  <si>
    <t>02cf21ec-a113-4773-8c7b-a2d3f89bd399</t>
  </si>
  <si>
    <t>2026-05-23 07:59:34</t>
  </si>
  <si>
    <t>27660274035</t>
  </si>
  <si>
    <t>13863738</t>
  </si>
  <si>
    <t>b625c56f-c740-48d1-8180-bb45da1352a9</t>
  </si>
  <si>
    <t>2026-05-23 07:59:24</t>
  </si>
  <si>
    <t>27712108340</t>
  </si>
  <si>
    <t>13863737</t>
  </si>
  <si>
    <t>2ed0d419-e066-4ea5-a67f-a03f4d6d3c64</t>
  </si>
  <si>
    <t>2026-05-23 07:59:13</t>
  </si>
  <si>
    <t>27711497361</t>
  </si>
  <si>
    <t>13863736</t>
  </si>
  <si>
    <t>886c360a-f0d4-483c-80fb-c96b6f49048a</t>
  </si>
  <si>
    <t>2026-05-23 07:59:09</t>
  </si>
  <si>
    <t>27711071361</t>
  </si>
  <si>
    <t>13863730</t>
  </si>
  <si>
    <t>6945f6fd-435f-4517-8614-1dfc1d3bb93e</t>
  </si>
  <si>
    <t>2026-05-23 07:58:54</t>
  </si>
  <si>
    <t>27664477913</t>
  </si>
  <si>
    <t>13863731</t>
  </si>
  <si>
    <t>b0416c11-6b63-4f72-8c17-f6ed6d1c35b6</t>
  </si>
  <si>
    <t>27664834640</t>
  </si>
  <si>
    <t>2026-05-23 07:58:52</t>
  </si>
  <si>
    <t>13863729</t>
  </si>
  <si>
    <t>a1163023-aa7b-4304-b6ce-826a7fb85b33</t>
  </si>
  <si>
    <t>2026-05-23 07:58:40</t>
  </si>
  <si>
    <t>27663991899</t>
  </si>
  <si>
    <t>13864848</t>
  </si>
  <si>
    <t>0fc8c48a-bd2a-4a23-a041-7c860df17318</t>
  </si>
  <si>
    <t>27664936025</t>
  </si>
  <si>
    <t>2026-05-23 07:58:17</t>
  </si>
  <si>
    <t>13863028</t>
  </si>
  <si>
    <t>de724efb-9e3d-4900-b5dc-f533d08ddaf5</t>
  </si>
  <si>
    <t>2026-05-23 07:57:23</t>
  </si>
  <si>
    <t>27769780783</t>
  </si>
  <si>
    <t>13863713</t>
  </si>
  <si>
    <t>f65ae5ea-b2a5-4e83-a376-0b3de7d13c7c</t>
  </si>
  <si>
    <t>27649427686</t>
  </si>
  <si>
    <t>13863718</t>
  </si>
  <si>
    <t>db4ab156-6653-473d-a39f-e663aeb0b8c2</t>
  </si>
  <si>
    <t>27660108185</t>
  </si>
  <si>
    <t>13864876</t>
  </si>
  <si>
    <t>2692ad80-03f6-4ac8-89da-33fe5368d2ce</t>
  </si>
  <si>
    <t>27714707492</t>
  </si>
  <si>
    <t>2026-05-23 07:54:09</t>
  </si>
  <si>
    <t>13863630</t>
  </si>
  <si>
    <t>1e4f4797-4c7c-4795-ba29-08a373f16346</t>
  </si>
  <si>
    <t>2026-05-23 07:50:33</t>
  </si>
  <si>
    <t>27795910380</t>
  </si>
  <si>
    <t>13863026</t>
  </si>
  <si>
    <t>4604f16d-102a-4880-8414-585f8e1c4b58</t>
  </si>
  <si>
    <t>2026-05-23 07:50:32</t>
  </si>
  <si>
    <t>27768869021</t>
  </si>
  <si>
    <t>13863610</t>
  </si>
  <si>
    <t>e40bdb79-5f6d-44ba-baf9-e9aefc6b4462</t>
  </si>
  <si>
    <t>27791729018</t>
  </si>
  <si>
    <t>13863609</t>
  </si>
  <si>
    <t>1a3813c7-8350-46fd-8d52-a09df5e67e80</t>
  </si>
  <si>
    <t>2026-05-23 07:49:46</t>
  </si>
  <si>
    <t>27791682440</t>
  </si>
  <si>
    <t>13863693</t>
  </si>
  <si>
    <t>d78137e1-663f-48bc-9390-3e491edc2f05</t>
  </si>
  <si>
    <t>2026-05-23 07:49:42</t>
  </si>
  <si>
    <t>27609322584</t>
  </si>
  <si>
    <t>13863691</t>
  </si>
  <si>
    <t>4b51a4ef-543c-4f60-8c38-d988094c6150</t>
  </si>
  <si>
    <t>2026-05-23 07:49:41</t>
  </si>
  <si>
    <t>27608514022</t>
  </si>
  <si>
    <t>13863692</t>
  </si>
  <si>
    <t>ecc9b77c-63ff-412a-b1fd-98c275014fe4</t>
  </si>
  <si>
    <t>27609077358</t>
  </si>
  <si>
    <t>13863683</t>
  </si>
  <si>
    <t>12e12d66-05a5-41fe-8c3b-604bfa52a0f4</t>
  </si>
  <si>
    <t>2026-05-23 07:49:40</t>
  </si>
  <si>
    <t>27606633371</t>
  </si>
  <si>
    <t>13863687</t>
  </si>
  <si>
    <t>eb97dd71-ead1-44a0-922c-0275aa2908fc</t>
  </si>
  <si>
    <t>27607697392</t>
  </si>
  <si>
    <t>13863688</t>
  </si>
  <si>
    <t>b4563cd5-c314-4d9b-9770-3f1f785a798a</t>
  </si>
  <si>
    <t>27608060843</t>
  </si>
  <si>
    <t>13863690</t>
  </si>
  <si>
    <t>1067696b-fe21-40b8-8185-3343b351ff72</t>
  </si>
  <si>
    <t>27608344028</t>
  </si>
  <si>
    <t>13863595</t>
  </si>
  <si>
    <t>61394592-5784-48ef-b753-5c9a892fc49d</t>
  </si>
  <si>
    <t>2026-05-23 07:49:36</t>
  </si>
  <si>
    <t>27774574155</t>
  </si>
  <si>
    <t>13863628</t>
  </si>
  <si>
    <t>d7dcecb6-ad8e-485f-995c-a5cb001939f2</t>
  </si>
  <si>
    <t>2026-05-23 07:49:31</t>
  </si>
  <si>
    <t>27795647243</t>
  </si>
  <si>
    <t>13864850</t>
  </si>
  <si>
    <t>983d144a-1527-44b3-b46f-93e85d6897af</t>
  </si>
  <si>
    <t>27665316104</t>
  </si>
  <si>
    <t>2026-05-23 07:49:14</t>
  </si>
  <si>
    <t>13864852</t>
  </si>
  <si>
    <t>8d5c3828-5b08-40c5-92d3-c856f443bc2b</t>
  </si>
  <si>
    <t>2026-05-23 07:49:12</t>
  </si>
  <si>
    <t>27670389325</t>
  </si>
  <si>
    <t>13864007</t>
  </si>
  <si>
    <t>34a313d0-e9b9-451d-9958-2671699d53a5</t>
  </si>
  <si>
    <t>2026-05-23 07:49:09</t>
  </si>
  <si>
    <t>27664676533</t>
  </si>
  <si>
    <t>13864008</t>
  </si>
  <si>
    <t>0ab24cf3-c32d-4b19-9225-734639164d31</t>
  </si>
  <si>
    <t>27665027186</t>
  </si>
  <si>
    <t>13864010</t>
  </si>
  <si>
    <t>4ef18ce6-5470-49ac-b43e-f7921ba8b925</t>
  </si>
  <si>
    <t>27673173268</t>
  </si>
  <si>
    <t>13864011</t>
  </si>
  <si>
    <t>a7828529-acf1-4020-af09-a61fe91e5b6d</t>
  </si>
  <si>
    <t>27673529194</t>
  </si>
  <si>
    <t>13864020</t>
  </si>
  <si>
    <t>a755bd5d-0906-4c47-8c76-5ac6ba8048d8</t>
  </si>
  <si>
    <t>27711807634</t>
  </si>
  <si>
    <t>2026-05-23 07:48:47</t>
  </si>
  <si>
    <t>13864034</t>
  </si>
  <si>
    <t>2fe3c45d-126e-477e-be1e-ab8851413268</t>
  </si>
  <si>
    <t>27714822351</t>
  </si>
  <si>
    <t>2026-05-23 07:48:02</t>
  </si>
  <si>
    <t>13863542</t>
  </si>
  <si>
    <t>69d06ea9-f7f9-4485-b46a-a062389581af</t>
  </si>
  <si>
    <t>2026-05-23 07:46:56</t>
  </si>
  <si>
    <t>27726496154</t>
  </si>
  <si>
    <t>13863527</t>
  </si>
  <si>
    <t>0c4c0848-9c92-4401-aad5-ce945db83a02</t>
  </si>
  <si>
    <t>27722540812</t>
  </si>
  <si>
    <t>2026-05-23 07:46:55</t>
  </si>
  <si>
    <t>13864853</t>
  </si>
  <si>
    <t>ac884d97-5d5f-43b1-8ee4-594189c8e999</t>
  </si>
  <si>
    <t>27671594556</t>
  </si>
  <si>
    <t>13864854</t>
  </si>
  <si>
    <t>160f98ee-7972-4b0f-8112-ca3c2efe3743</t>
  </si>
  <si>
    <t>27673251722</t>
  </si>
  <si>
    <t>e345541b-2ae6-4e33-8b15-f9dd0349379f</t>
  </si>
  <si>
    <t>27673890967</t>
  </si>
  <si>
    <t>13864017</t>
  </si>
  <si>
    <t>c0f88078-3f5f-426a-805e-0e9b22821dcf</t>
  </si>
  <si>
    <t>2026-05-23 07:46:42</t>
  </si>
  <si>
    <t>27711644550</t>
  </si>
  <si>
    <t>13864018</t>
  </si>
  <si>
    <t>79dd5f05-abe2-4c78-8d9f-2aba015e10a3</t>
  </si>
  <si>
    <t>27711671444</t>
  </si>
  <si>
    <t>13864019</t>
  </si>
  <si>
    <t>049ae369-039e-4c98-9b8f-726189a03fd7</t>
  </si>
  <si>
    <t>2026-05-23 07:46:40</t>
  </si>
  <si>
    <t>27711696368</t>
  </si>
  <si>
    <t>13863594</t>
  </si>
  <si>
    <t>b353903f-3407-4a9a-b0f0-2c1755a9854f</t>
  </si>
  <si>
    <t>2026-05-23 07:46:38</t>
  </si>
  <si>
    <t>27774431895</t>
  </si>
  <si>
    <t>13864027</t>
  </si>
  <si>
    <t>8808c383-29cf-4527-9d85-aaf74d2ed439</t>
  </si>
  <si>
    <t>2026-05-23 07:46:34</t>
  </si>
  <si>
    <t>27713466926</t>
  </si>
  <si>
    <t>13864022</t>
  </si>
  <si>
    <t>93ae63ce-6363-4ce5-9bed-94a539a709ee</t>
  </si>
  <si>
    <t>2026-05-23 07:46:21</t>
  </si>
  <si>
    <t>27712470283</t>
  </si>
  <si>
    <t>13864023</t>
  </si>
  <si>
    <t>4591a4a1-5888-4acb-aac7-e99abe594828</t>
  </si>
  <si>
    <t>27712550034</t>
  </si>
  <si>
    <t>13864025</t>
  </si>
  <si>
    <t>65b0aa77-da91-4f96-ad16-41aec32a993a</t>
  </si>
  <si>
    <t>27712746059</t>
  </si>
  <si>
    <t>13864044</t>
  </si>
  <si>
    <t>dcee786d-7e42-4323-a152-b430b1019806</t>
  </si>
  <si>
    <t>27720164642</t>
  </si>
  <si>
    <t>2026-05-23 07:45:58</t>
  </si>
  <si>
    <t>13863624</t>
  </si>
  <si>
    <t>6db03e47-ce6e-4296-9167-46b24c64fca1</t>
  </si>
  <si>
    <t>2026-05-23 07:45:39</t>
  </si>
  <si>
    <t>27794634441</t>
  </si>
  <si>
    <t>13864035</t>
  </si>
  <si>
    <t>aa662b8c-fc0b-4341-a7d2-965ad53c70e5</t>
  </si>
  <si>
    <t>27714860329</t>
  </si>
  <si>
    <t>13864856</t>
  </si>
  <si>
    <t>0f415310-26f9-48ef-9ac3-35536fffc23c</t>
  </si>
  <si>
    <t>27673990566</t>
  </si>
  <si>
    <t>13864869</t>
  </si>
  <si>
    <t>d2279fcc-8573-480d-845b-38468b36dbd5</t>
  </si>
  <si>
    <t>27713260258</t>
  </si>
  <si>
    <t>13863316</t>
  </si>
  <si>
    <t>52a4104e-6648-4436-9865-7ee5715c5c61</t>
  </si>
  <si>
    <t>27728614164</t>
  </si>
  <si>
    <t>2026-05-23 07:45:16</t>
  </si>
  <si>
    <t>13864031</t>
  </si>
  <si>
    <t>e2c75408-89cf-4c46-941c-0edf6a99e0f2</t>
  </si>
  <si>
    <t>2026-05-23 07:44:39</t>
  </si>
  <si>
    <t>27714398822</t>
  </si>
  <si>
    <t>13864033</t>
  </si>
  <si>
    <t>5081b306-9b07-45fb-8434-e9adb233df6d</t>
  </si>
  <si>
    <t>27714811301</t>
  </si>
  <si>
    <t>13863623</t>
  </si>
  <si>
    <t>34e22f23-cb00-46e4-b6fc-6e16730013ef</t>
  </si>
  <si>
    <t>2026-05-23 07:44:07</t>
  </si>
  <si>
    <t>27794417249</t>
  </si>
  <si>
    <t>13863620</t>
  </si>
  <si>
    <t>d2af261e-1c04-4b6f-bfc0-f39490f7adcc</t>
  </si>
  <si>
    <t>2026-05-23 07:43:52</t>
  </si>
  <si>
    <t>27793767867</t>
  </si>
  <si>
    <t>13863621</t>
  </si>
  <si>
    <t>131289b1-bfb4-4e77-8cde-7a6a54d865ab</t>
  </si>
  <si>
    <t>27794114615</t>
  </si>
  <si>
    <t>13863622</t>
  </si>
  <si>
    <t>8a3644c3-7450-4412-b440-e23758139110</t>
  </si>
  <si>
    <t>27794400313</t>
  </si>
  <si>
    <t>13863617</t>
  </si>
  <si>
    <t>4aa405fb-78a1-48d7-b02f-5f6a0c8c6fea</t>
  </si>
  <si>
    <t>2026-05-23 07:43:51</t>
  </si>
  <si>
    <t>27793133169</t>
  </si>
  <si>
    <t>13863607</t>
  </si>
  <si>
    <t>844f3040-35c9-4b59-a107-8aed1dc2f45f</t>
  </si>
  <si>
    <t>2026-05-23 07:43:11</t>
  </si>
  <si>
    <t>27790775362</t>
  </si>
  <si>
    <t>13863608</t>
  </si>
  <si>
    <t>d3195865-9a7b-4e0b-803d-2ccf6c62b6c4</t>
  </si>
  <si>
    <t>27791344584</t>
  </si>
  <si>
    <t>13865791</t>
  </si>
  <si>
    <t>253545cf-56ab-4152-a48b-33c125034177</t>
  </si>
  <si>
    <t>2026-05-23 07:43:10</t>
  </si>
  <si>
    <t>27790748189</t>
  </si>
  <si>
    <t>13863599</t>
  </si>
  <si>
    <t>308fca13-4f5d-4347-8ddd-060f281b2b61</t>
  </si>
  <si>
    <t>2026-05-23 07:43:00</t>
  </si>
  <si>
    <t>27787096492</t>
  </si>
  <si>
    <t>13863602</t>
  </si>
  <si>
    <t>abb4ae1f-fd53-4fbc-a326-657df90ef484</t>
  </si>
  <si>
    <t>27790124997</t>
  </si>
  <si>
    <t>13863603</t>
  </si>
  <si>
    <t>e10e3fc4-a068-4121-9baa-252ca2cc6d70</t>
  </si>
  <si>
    <t>27790419592</t>
  </si>
  <si>
    <t>13863604</t>
  </si>
  <si>
    <t>723b1026-7fca-42b3-8650-d7d7afe4ea06</t>
  </si>
  <si>
    <t>27790573075</t>
  </si>
  <si>
    <t>13863500</t>
  </si>
  <si>
    <t>c18a3006-769e-4d45-b9d3-8c77b2e33209</t>
  </si>
  <si>
    <t>27712270418</t>
  </si>
  <si>
    <t>2026-05-23 07:42:14</t>
  </si>
  <si>
    <t>e619e709-58da-4ec2-b320-75ead543a9d4</t>
  </si>
  <si>
    <t>27761996683</t>
  </si>
  <si>
    <t>2026-05-23 07:42:01</t>
  </si>
  <si>
    <t>13863593</t>
  </si>
  <si>
    <t>d6200d4d-d2c3-4ef0-9f54-0abb4dc1615a</t>
  </si>
  <si>
    <t>2026-05-23 07:41:49</t>
  </si>
  <si>
    <t>27773699655</t>
  </si>
  <si>
    <t>1e781557-f21f-4ebe-8b89-327d6666a24c</t>
  </si>
  <si>
    <t>2026-05-23 07:41:48</t>
  </si>
  <si>
    <t>27768567593</t>
  </si>
  <si>
    <t>13863591</t>
  </si>
  <si>
    <t>d715de63-bef9-45a4-862e-fb0ededc8089</t>
  </si>
  <si>
    <t>27768760451</t>
  </si>
  <si>
    <t>13863592</t>
  </si>
  <si>
    <t>d62be681-147a-4774-914b-9c4340d0e2bc</t>
  </si>
  <si>
    <t>27769989089</t>
  </si>
  <si>
    <t>13863586</t>
  </si>
  <si>
    <t>35bc4a87-432a-46c9-98e1-c649e8d45c7f</t>
  </si>
  <si>
    <t>2026-05-23 07:41:39</t>
  </si>
  <si>
    <t>27767628845</t>
  </si>
  <si>
    <t>13863495</t>
  </si>
  <si>
    <t>1f3729db-095d-4bad-8fc8-0efc754522d6</t>
  </si>
  <si>
    <t>2026-05-23 07:41:37</t>
  </si>
  <si>
    <t>27673910057</t>
  </si>
  <si>
    <t>13863505</t>
  </si>
  <si>
    <t>f3aab51d-37ac-4363-8c76-bdb013e7d337</t>
  </si>
  <si>
    <t>2026-05-23 07:41:32</t>
  </si>
  <si>
    <t>27713824786</t>
  </si>
  <si>
    <t>44e37768-cc9f-4bef-a946-fa2e46f55324</t>
  </si>
  <si>
    <t>2026-05-23 07:41:26</t>
  </si>
  <si>
    <t>27713769468</t>
  </si>
  <si>
    <t>e5306b2d-5436-4430-906c-a5c9cb4053fa</t>
  </si>
  <si>
    <t>2026-05-23 07:41:01</t>
  </si>
  <si>
    <t>27761782419</t>
  </si>
  <si>
    <t>13864877</t>
  </si>
  <si>
    <t>c2a7448b-90b2-4edf-a11f-9781a738e2be</t>
  </si>
  <si>
    <t>2026-05-23 07:41:00</t>
  </si>
  <si>
    <t>27714944845</t>
  </si>
  <si>
    <t>13863562</t>
  </si>
  <si>
    <t>414b87e5-4963-4b7d-9419-9aae42a58715</t>
  </si>
  <si>
    <t>2026-05-23 07:40:55</t>
  </si>
  <si>
    <t>27761109070</t>
  </si>
  <si>
    <t>13864040</t>
  </si>
  <si>
    <t>a4e0b0af-6bc2-4f41-8e6f-937bc6180e23</t>
  </si>
  <si>
    <t>2026-05-23 07:40:54</t>
  </si>
  <si>
    <t>27715707152</t>
  </si>
  <si>
    <t>13864042</t>
  </si>
  <si>
    <t>6611d986-09f4-4745-8fe3-ba2922846a8c</t>
  </si>
  <si>
    <t>27716356203</t>
  </si>
  <si>
    <t>13864043</t>
  </si>
  <si>
    <t>829915ae-f954-4b75-9180-c0eb8bfae3db</t>
  </si>
  <si>
    <t>27716860536</t>
  </si>
  <si>
    <t>13863557</t>
  </si>
  <si>
    <t>bcb55659-5c63-47fa-89a4-5a694b4a70f3</t>
  </si>
  <si>
    <t>2026-05-23 07:40:22</t>
  </si>
  <si>
    <t>27741966123</t>
  </si>
  <si>
    <t>13863560</t>
  </si>
  <si>
    <t>fa24571c-3811-44eb-9e25-0a1c6174e5ae</t>
  </si>
  <si>
    <t>27760404496</t>
  </si>
  <si>
    <t>13863561</t>
  </si>
  <si>
    <t>f90cf362-40a0-4620-8192-2b0039268f42</t>
  </si>
  <si>
    <t>27760943092</t>
  </si>
  <si>
    <t>13863524</t>
  </si>
  <si>
    <t>efa68d40-8aab-425c-a6b1-03c902db3358</t>
  </si>
  <si>
    <t>27720975095</t>
  </si>
  <si>
    <t>2026-05-23 07:39:49</t>
  </si>
  <si>
    <t>13863535</t>
  </si>
  <si>
    <t>d2cb215c-fb03-4088-b7ef-27631d5489a5</t>
  </si>
  <si>
    <t>27724764259</t>
  </si>
  <si>
    <t>2026-05-23 07:39:34</t>
  </si>
  <si>
    <t>13863525</t>
  </si>
  <si>
    <t>285a6359-86a0-4dfa-94b5-b91c014eb40e</t>
  </si>
  <si>
    <t>2026-05-23 07:39:25</t>
  </si>
  <si>
    <t>27721125430</t>
  </si>
  <si>
    <t>13863541</t>
  </si>
  <si>
    <t>0b8d1d45-8edb-49d3-b2fd-66bf49d67c42</t>
  </si>
  <si>
    <t>27726429052</t>
  </si>
  <si>
    <t>13863499</t>
  </si>
  <si>
    <t>259562cc-a4d4-4d1e-86a9-18f6ccd87e63</t>
  </si>
  <si>
    <t>27711349445</t>
  </si>
  <si>
    <t>2026-05-23 07:39:07</t>
  </si>
  <si>
    <t>13863540</t>
  </si>
  <si>
    <t>4be51ced-68d0-4e62-9519-ecef4faac785</t>
  </si>
  <si>
    <t>2026-05-23 07:39:04</t>
  </si>
  <si>
    <t>27726020099</t>
  </si>
  <si>
    <t>13864883</t>
  </si>
  <si>
    <t>96f90d72-2cb2-4879-9228-af2b0e4c9439</t>
  </si>
  <si>
    <t>27716355500</t>
  </si>
  <si>
    <t>13863539</t>
  </si>
  <si>
    <t>b4eadfcb-4674-46a5-94f1-b1b8b73cebe0</t>
  </si>
  <si>
    <t>2026-05-23 07:38:48</t>
  </si>
  <si>
    <t>27725934172</t>
  </si>
  <si>
    <t>13863537</t>
  </si>
  <si>
    <t>5b3b47ff-c002-4751-ba9d-ff60e7898db4</t>
  </si>
  <si>
    <t>2026-05-23 07:38:47</t>
  </si>
  <si>
    <t>27725606866</t>
  </si>
  <si>
    <t>13863538</t>
  </si>
  <si>
    <t>17b341d6-937f-4bcb-9847-2c3394314a53</t>
  </si>
  <si>
    <t>27725860865</t>
  </si>
  <si>
    <t>e1784fee-dd1f-4715-9eeb-df90864b7117</t>
  </si>
  <si>
    <t>27829645955</t>
  </si>
  <si>
    <t>2026-05-23 07:38:01</t>
  </si>
  <si>
    <t>13864046</t>
  </si>
  <si>
    <t>36181fb8-9852-45ed-b023-0ad02ef25860</t>
  </si>
  <si>
    <t>27720346453</t>
  </si>
  <si>
    <t>2026-05-23 07:36:07</t>
  </si>
  <si>
    <t>13864048</t>
  </si>
  <si>
    <t>85a7f4d8-c770-42c9-af9e-82a4bf997cb2</t>
  </si>
  <si>
    <t>27721232138</t>
  </si>
  <si>
    <t>13864049</t>
  </si>
  <si>
    <t>dc0e28d9-69e3-41d6-856a-5c4aaeb86b2c</t>
  </si>
  <si>
    <t>27721352234</t>
  </si>
  <si>
    <t>13864050</t>
  </si>
  <si>
    <t>334a6fb5-e8f5-487b-b917-56c91bc0da1e</t>
  </si>
  <si>
    <t>27721397500</t>
  </si>
  <si>
    <t>13863518</t>
  </si>
  <si>
    <t>ba8444df-e6d0-4488-b2b3-b0ed0e4480bc</t>
  </si>
  <si>
    <t>2026-05-23 07:34:43</t>
  </si>
  <si>
    <t>27718763886</t>
  </si>
  <si>
    <t>13863520</t>
  </si>
  <si>
    <t>343df9b8-09f9-4b4e-9b59-1c84aa92ee19</t>
  </si>
  <si>
    <t>27720205860</t>
  </si>
  <si>
    <t>13863521</t>
  </si>
  <si>
    <t>347614ff-1bb7-4cd1-88fb-4cba97d53d23</t>
  </si>
  <si>
    <t>27720386407</t>
  </si>
  <si>
    <t>13863522</t>
  </si>
  <si>
    <t>08d082c7-730f-47a9-a07d-e626819fe049</t>
  </si>
  <si>
    <t>27720482403</t>
  </si>
  <si>
    <t>1e930b4b-6ad1-4a8e-b62b-ae759f8b3af4</t>
  </si>
  <si>
    <t>27664042887</t>
  </si>
  <si>
    <t>2026-05-23 07:34:00</t>
  </si>
  <si>
    <t>13863480</t>
  </si>
  <si>
    <t>08f5b130-66e4-4596-bbc0-a47653e91c97</t>
  </si>
  <si>
    <t>2026-05-23 07:33:59</t>
  </si>
  <si>
    <t>27648162771</t>
  </si>
  <si>
    <t>13863504</t>
  </si>
  <si>
    <t>88b3f84b-79db-4189-aafd-c35257a9eaf2</t>
  </si>
  <si>
    <t>2026-05-23 07:33:57</t>
  </si>
  <si>
    <t>27713571889</t>
  </si>
  <si>
    <t>13863491</t>
  </si>
  <si>
    <t>6697804f-95b1-46cb-8035-cf86abc2f6c6</t>
  </si>
  <si>
    <t>2026-05-23 07:33:55</t>
  </si>
  <si>
    <t>27664551929</t>
  </si>
  <si>
    <t>13863492</t>
  </si>
  <si>
    <t>3d7e9da0-93fc-401b-b7f6-61ec81d9412e</t>
  </si>
  <si>
    <t>27664577799</t>
  </si>
  <si>
    <t>13863498</t>
  </si>
  <si>
    <t>49e4f401-1265-4554-92a1-1c5ad4416adb</t>
  </si>
  <si>
    <t>2026-05-23 07:33:47</t>
  </si>
  <si>
    <t>27711176001</t>
  </si>
  <si>
    <t>13863497</t>
  </si>
  <si>
    <t>2408b11d-7daf-4b36-9d9c-6709dcbeeff6</t>
  </si>
  <si>
    <t>2026-05-23 07:33:46</t>
  </si>
  <si>
    <t>27674667127</t>
  </si>
  <si>
    <t>13863494</t>
  </si>
  <si>
    <t>09a29d8a-21e4-42c8-a3ef-913d0f943c5e</t>
  </si>
  <si>
    <t>2026-05-23 07:33:43</t>
  </si>
  <si>
    <t>27673115317</t>
  </si>
  <si>
    <t>13863490</t>
  </si>
  <si>
    <t>2a88bc29-c516-4c1c-aef7-8f7f92c4afc7</t>
  </si>
  <si>
    <t>2026-05-23 07:33:26</t>
  </si>
  <si>
    <t>27664380721</t>
  </si>
  <si>
    <t>13863096</t>
  </si>
  <si>
    <t>a3e85d06-327d-4b65-81df-eae40fba5afb</t>
  </si>
  <si>
    <t>27724362478</t>
  </si>
  <si>
    <t>2026-05-23 07:33:06</t>
  </si>
  <si>
    <t>e499df0c-f194-4eca-a969-f8c0d512d963</t>
  </si>
  <si>
    <t>2026-05-23 07:32:39</t>
  </si>
  <si>
    <t>27647290232</t>
  </si>
  <si>
    <t>13863477</t>
  </si>
  <si>
    <t>83864f5c-e41b-4614-af46-be9bbf9b082a</t>
  </si>
  <si>
    <t>27647430235</t>
  </si>
  <si>
    <t>13863479</t>
  </si>
  <si>
    <t>03e082b2-bb6b-4999-8646-12121b222811</t>
  </si>
  <si>
    <t>27647779063</t>
  </si>
  <si>
    <t>13863474</t>
  </si>
  <si>
    <t>ab95a75d-367a-41e0-89a7-6990a3a22c16</t>
  </si>
  <si>
    <t>2026-05-23 07:32:10</t>
  </si>
  <si>
    <t>27646797610</t>
  </si>
  <si>
    <t>13863475</t>
  </si>
  <si>
    <t>7f0d6562-5b26-40ba-9726-26e084d49486</t>
  </si>
  <si>
    <t>27646900663</t>
  </si>
  <si>
    <t>13863472</t>
  </si>
  <si>
    <t>d3cd757d-df66-4775-a368-a2f4df8b9490</t>
  </si>
  <si>
    <t>2026-05-23 07:32:00</t>
  </si>
  <si>
    <t>27646472177</t>
  </si>
  <si>
    <t>13863444</t>
  </si>
  <si>
    <t>04fd791b-1477-479e-b4d7-76d8dc58ac01</t>
  </si>
  <si>
    <t>2026-05-23 07:31:43</t>
  </si>
  <si>
    <t>27826367953</t>
  </si>
  <si>
    <t>e6687a8b-7a5c-49f7-a59f-d09a3df7b2f6</t>
  </si>
  <si>
    <t>2026-05-23 07:31:33</t>
  </si>
  <si>
    <t>27606357303</t>
  </si>
  <si>
    <t>13863461</t>
  </si>
  <si>
    <t>74858bd7-2b28-4cec-85dc-9e885ca7813b</t>
  </si>
  <si>
    <t>27606699859</t>
  </si>
  <si>
    <t>13863458</t>
  </si>
  <si>
    <t>d2263423-4878-4f28-981e-fa070f2a3964</t>
  </si>
  <si>
    <t>2026-05-23 07:31:12</t>
  </si>
  <si>
    <t>27829622269</t>
  </si>
  <si>
    <t>13863450</t>
  </si>
  <si>
    <t>64c31625-e3f8-4e00-be73-fdc0f7c144cd</t>
  </si>
  <si>
    <t>2026-05-23 07:31:04</t>
  </si>
  <si>
    <t>27827404545</t>
  </si>
  <si>
    <t>13863456</t>
  </si>
  <si>
    <t>0100dd5b-8f49-4ac5-9652-c95582fab2a7</t>
  </si>
  <si>
    <t>27828361029</t>
  </si>
  <si>
    <t>e4206505-c5ba-4ddd-b924-10b57e021f4b</t>
  </si>
  <si>
    <t>27828952823</t>
  </si>
  <si>
    <t>13863443</t>
  </si>
  <si>
    <t>8466c43f-c6e1-4f80-88a8-c1976393f979</t>
  </si>
  <si>
    <t>2026-05-23 07:30:31</t>
  </si>
  <si>
    <t>27826313491</t>
  </si>
  <si>
    <t>13863440</t>
  </si>
  <si>
    <t>72ed03da-5a5c-415f-9721-180f206f7663</t>
  </si>
  <si>
    <t>2026-05-23 07:30:23</t>
  </si>
  <si>
    <t>27825607730</t>
  </si>
  <si>
    <t>13863436</t>
  </si>
  <si>
    <t>440ab3a7-9808-48e2-87af-973000751f8e</t>
  </si>
  <si>
    <t>2026-05-23 07:30:19</t>
  </si>
  <si>
    <t>27824187905</t>
  </si>
  <si>
    <t>13863438</t>
  </si>
  <si>
    <t>d04073f7-0f4d-4e10-be17-89c95de00d95</t>
  </si>
  <si>
    <t>27825131936</t>
  </si>
  <si>
    <t>13863432</t>
  </si>
  <si>
    <t>33cd38c7-8c7f-4ddf-9be1-6569826e82ae</t>
  </si>
  <si>
    <t>2026-05-23 07:30:06</t>
  </si>
  <si>
    <t>27823751968</t>
  </si>
  <si>
    <t>13863434</t>
  </si>
  <si>
    <t>48235fc0-130b-4414-9bac-9cc5e8c7ccf0</t>
  </si>
  <si>
    <t>27824084695</t>
  </si>
  <si>
    <t>13863435</t>
  </si>
  <si>
    <t>c68885ba-e794-419d-acb0-67a4b9382f6a</t>
  </si>
  <si>
    <t>27824118381</t>
  </si>
  <si>
    <t>13863404</t>
  </si>
  <si>
    <t>887c2918-0838-4d88-bcd6-e5b091e57df2</t>
  </si>
  <si>
    <t>27795153341</t>
  </si>
  <si>
    <t>2026-05-23 07:29:58</t>
  </si>
  <si>
    <t>13863376</t>
  </si>
  <si>
    <t>25f11a4c-6722-46b8-9668-9d4e17a52ab1</t>
  </si>
  <si>
    <t>2026-05-23 07:29:15</t>
  </si>
  <si>
    <t>27788044512</t>
  </si>
  <si>
    <t>13863415</t>
  </si>
  <si>
    <t>69308500-1d78-4342-95aa-005851c7af05</t>
  </si>
  <si>
    <t>2026-05-23 07:29:14</t>
  </si>
  <si>
    <t>27797423542</t>
  </si>
  <si>
    <t>13863395</t>
  </si>
  <si>
    <t>9f41621b-7f4c-4c26-826a-ed9ff1efd2f8</t>
  </si>
  <si>
    <t>27793142393</t>
  </si>
  <si>
    <t>2026-05-23 07:29:01</t>
  </si>
  <si>
    <t>13863401</t>
  </si>
  <si>
    <t>61483244-b9cc-4ddf-b328-c7b6601b4a57</t>
  </si>
  <si>
    <t>27794572475</t>
  </si>
  <si>
    <t>13863413</t>
  </si>
  <si>
    <t>8b7b3333-f2bf-4098-bb9b-87e84b2b93bb</t>
  </si>
  <si>
    <t>27797270914</t>
  </si>
  <si>
    <t>13863412</t>
  </si>
  <si>
    <t>aaae7370-7433-41d2-8f95-1692006c39fa</t>
  </si>
  <si>
    <t>2026-05-23 07:28:38</t>
  </si>
  <si>
    <t>27796794524</t>
  </si>
  <si>
    <t>13863406</t>
  </si>
  <si>
    <t>b233d8ff-6a78-479a-838c-5375958324d7</t>
  </si>
  <si>
    <t>2026-05-23 07:28:35</t>
  </si>
  <si>
    <t>27795852774</t>
  </si>
  <si>
    <t>13863409</t>
  </si>
  <si>
    <t>4efeaeaf-4986-4a50-932c-14d7b7de9248</t>
  </si>
  <si>
    <t>27796020720</t>
  </si>
  <si>
    <t>13863410</t>
  </si>
  <si>
    <t>b49b965a-8e42-4d37-94b4-3ec36e542fad</t>
  </si>
  <si>
    <t>27796292659</t>
  </si>
  <si>
    <t>13863411</t>
  </si>
  <si>
    <t>8f4694cb-14e6-4af2-a7d0-35e5fceb9cb7</t>
  </si>
  <si>
    <t>27796658962</t>
  </si>
  <si>
    <t>13863392</t>
  </si>
  <si>
    <t>f2e8b31c-71f5-44c0-abd2-199301544a47</t>
  </si>
  <si>
    <t>2026-05-23 07:28:29</t>
  </si>
  <si>
    <t>27792965433</t>
  </si>
  <si>
    <t>13863394</t>
  </si>
  <si>
    <t>bb317ddf-18d0-47f6-b120-26791c091c2b</t>
  </si>
  <si>
    <t>27793063657</t>
  </si>
  <si>
    <t>13863396</t>
  </si>
  <si>
    <t>a195c816-c243-47f5-8585-880042a46dc2</t>
  </si>
  <si>
    <t>27793470256</t>
  </si>
  <si>
    <t>13863099</t>
  </si>
  <si>
    <t>5ee376af-e0a5-4679-8596-d81dcee8b509</t>
  </si>
  <si>
    <t>2026-05-23 07:26:18</t>
  </si>
  <si>
    <t>27725513885</t>
  </si>
  <si>
    <t>13863286</t>
  </si>
  <si>
    <t>97f19665-6337-4584-8f9a-e487f753c133</t>
  </si>
  <si>
    <t>2026-05-23 07:26:12</t>
  </si>
  <si>
    <t>27720748938</t>
  </si>
  <si>
    <t>991e3971-eaba-42ab-bd8c-4f7166172825</t>
  </si>
  <si>
    <t>27783470537</t>
  </si>
  <si>
    <t>13863369</t>
  </si>
  <si>
    <t>7c4437fa-5375-4a33-be06-e4985a23f62a</t>
  </si>
  <si>
    <t>27773559894</t>
  </si>
  <si>
    <t>13863372</t>
  </si>
  <si>
    <t>2ad37291-68b9-4804-9d41-1e8f8eaa44cd</t>
  </si>
  <si>
    <t>2026-05-23 07:26:11</t>
  </si>
  <si>
    <t>27774601825</t>
  </si>
  <si>
    <t>13863370</t>
  </si>
  <si>
    <t>4d2a86d9-a408-4773-8921-958018cad9d1</t>
  </si>
  <si>
    <t>2026-05-23 07:26:06</t>
  </si>
  <si>
    <t>27773605773</t>
  </si>
  <si>
    <t>13863371</t>
  </si>
  <si>
    <t>a6814f60-91d5-4454-b41e-b1075dc12808</t>
  </si>
  <si>
    <t>27774096980</t>
  </si>
  <si>
    <t>13863367</t>
  </si>
  <si>
    <t>200425d8-16a8-4ffe-9781-38aec6c26635</t>
  </si>
  <si>
    <t>27769572092</t>
  </si>
  <si>
    <t>13863368</t>
  </si>
  <si>
    <t>bab75272-15c0-4ce9-a534-8bf70f155e32</t>
  </si>
  <si>
    <t>27772041184</t>
  </si>
  <si>
    <t>13863261</t>
  </si>
  <si>
    <t>42193ab0-1780-42d5-8c37-6caf4d9c9130</t>
  </si>
  <si>
    <t>27665333699</t>
  </si>
  <si>
    <t>2026-05-23 07:25:05</t>
  </si>
  <si>
    <t>13863363</t>
  </si>
  <si>
    <t>90df7dc7-8058-4b93-9645-06afe676fd1e</t>
  </si>
  <si>
    <t>2026-05-23 07:24:46</t>
  </si>
  <si>
    <t>27768942874</t>
  </si>
  <si>
    <t>13863365</t>
  </si>
  <si>
    <t>0535c549-0a3f-49f7-8c6c-f7f999ed4ebe</t>
  </si>
  <si>
    <t>27769415106</t>
  </si>
  <si>
    <t>13863321</t>
  </si>
  <si>
    <t>6b635485-6862-4aec-8f66-c13ddaf6bbc6</t>
  </si>
  <si>
    <t>2026-05-23 07:24:30</t>
  </si>
  <si>
    <t>27729928355</t>
  </si>
  <si>
    <t>13863189</t>
  </si>
  <si>
    <t>23181876-4a47-4aa2-89db-9c33a0b1bc37</t>
  </si>
  <si>
    <t>2026-05-23 07:24:13</t>
  </si>
  <si>
    <t>27797300062</t>
  </si>
  <si>
    <t>13863343</t>
  </si>
  <si>
    <t>3f53a6cf-d9a8-4c55-a28e-090a92f6d68a</t>
  </si>
  <si>
    <t>27764578909</t>
  </si>
  <si>
    <t>13863141</t>
  </si>
  <si>
    <t>4a7264c1-a362-4a4f-b98d-49e78120f489</t>
  </si>
  <si>
    <t>2026-05-23 07:24:07</t>
  </si>
  <si>
    <t>27766422088</t>
  </si>
  <si>
    <t>13861539</t>
  </si>
  <si>
    <t>cce2608f-0d49-42d3-853a-91e83b2ca20c</t>
  </si>
  <si>
    <t>2026-05-23 07:23:58</t>
  </si>
  <si>
    <t>27793390558</t>
  </si>
  <si>
    <t>13863339</t>
  </si>
  <si>
    <t>ca268597-4e24-434f-9f57-daf5d916ebbe</t>
  </si>
  <si>
    <t>27763107670</t>
  </si>
  <si>
    <t>13863340</t>
  </si>
  <si>
    <t>d32b7be9-52a8-4b04-8373-ec5e4f1e5388</t>
  </si>
  <si>
    <t>27763332917</t>
  </si>
  <si>
    <t>13863341</t>
  </si>
  <si>
    <t>edfe1624-e31a-4e78-9174-85dbe55411fe</t>
  </si>
  <si>
    <t>27763638311</t>
  </si>
  <si>
    <t>13863331</t>
  </si>
  <si>
    <t>797589c2-abe7-48ce-9e23-a764d134f8b1</t>
  </si>
  <si>
    <t>2026-05-23 07:23:54</t>
  </si>
  <si>
    <t>27760988837</t>
  </si>
  <si>
    <t>13863335</t>
  </si>
  <si>
    <t>9fb50005-5b12-4ffa-a5cb-e77b55821eba</t>
  </si>
  <si>
    <t>27761917664</t>
  </si>
  <si>
    <t>13863336</t>
  </si>
  <si>
    <t>686910d8-3631-4e4b-a85d-eda5cc116909</t>
  </si>
  <si>
    <t>27762191274</t>
  </si>
  <si>
    <t>13863337</t>
  </si>
  <si>
    <t>7a2d3e65-ab69-4a67-ac3b-35638d80e745</t>
  </si>
  <si>
    <t>27762717626</t>
  </si>
  <si>
    <t>13864884</t>
  </si>
  <si>
    <t>19ef703e-9893-44e1-87e9-f92290130d9c</t>
  </si>
  <si>
    <t>2026-05-23 07:22:15</t>
  </si>
  <si>
    <t>27716361916</t>
  </si>
  <si>
    <t>77e2408b-979b-436e-8371-520c3968feec</t>
  </si>
  <si>
    <t>27791479976</t>
  </si>
  <si>
    <t>2026-05-23 07:22:07</t>
  </si>
  <si>
    <t>13863318</t>
  </si>
  <si>
    <t>6e5c903b-8be0-41ca-8fb3-ffa40d9374f5</t>
  </si>
  <si>
    <t>2026-05-23 07:22:06</t>
  </si>
  <si>
    <t>27728691563</t>
  </si>
  <si>
    <t>13863320</t>
  </si>
  <si>
    <t>d0e0a0ac-a4c9-47d2-a2a3-786013ba8c2b</t>
  </si>
  <si>
    <t>27729519722</t>
  </si>
  <si>
    <t>13863317</t>
  </si>
  <si>
    <t>f286daa7-b716-457b-9266-96415a65c501</t>
  </si>
  <si>
    <t>2026-05-23 07:21:43</t>
  </si>
  <si>
    <t>27728616293</t>
  </si>
  <si>
    <t>13863312</t>
  </si>
  <si>
    <t>974aa7ad-7733-48e5-bb12-fc4e14b4c457</t>
  </si>
  <si>
    <t>2026-05-23 07:21:38</t>
  </si>
  <si>
    <t>27727658058</t>
  </si>
  <si>
    <t>13863314</t>
  </si>
  <si>
    <t>419f8eb0-7f14-4d1e-9cbf-7ede9f24367a</t>
  </si>
  <si>
    <t>27727975820</t>
  </si>
  <si>
    <t>13863315</t>
  </si>
  <si>
    <t>aa146c59-1710-4f39-b9c5-355f7c43e63e</t>
  </si>
  <si>
    <t>27728019437</t>
  </si>
  <si>
    <t>13863179</t>
  </si>
  <si>
    <t>fb585b18-e751-47a9-b762-058e75d09b2d</t>
  </si>
  <si>
    <t>2026-05-23 07:19:05</t>
  </si>
  <si>
    <t>27795403119</t>
  </si>
  <si>
    <t>13863201</t>
  </si>
  <si>
    <t>f2a93495-ae54-44f7-b52c-d372395ecac5</t>
  </si>
  <si>
    <t>2026-05-23 07:19:04</t>
  </si>
  <si>
    <t>27818655948</t>
  </si>
  <si>
    <t>13863188</t>
  </si>
  <si>
    <t>17113803-8a3d-4406-8df2-d7da6c0a7780</t>
  </si>
  <si>
    <t>2026-05-23 07:19:03</t>
  </si>
  <si>
    <t>27797238935</t>
  </si>
  <si>
    <t>13863236</t>
  </si>
  <si>
    <t>cebfe3bc-b122-43d1-831e-f52cbe096c43</t>
  </si>
  <si>
    <t>2026-05-23 07:19:01</t>
  </si>
  <si>
    <t>27630232434</t>
  </si>
  <si>
    <t>13863254</t>
  </si>
  <si>
    <t>71941785-9e4a-4853-bd92-c7be7d75dafb</t>
  </si>
  <si>
    <t>27660378986</t>
  </si>
  <si>
    <t>13863140</t>
  </si>
  <si>
    <t>b5f89f76-f222-475d-8fe3-8cc2cfd5d0cf</t>
  </si>
  <si>
    <t>2026-05-23 07:19:00</t>
  </si>
  <si>
    <t>27766311860</t>
  </si>
  <si>
    <t>13863285</t>
  </si>
  <si>
    <t>6b2b881c-7813-4dcf-9121-194e7bcf241e</t>
  </si>
  <si>
    <t>27720444211</t>
  </si>
  <si>
    <t>13863263</t>
  </si>
  <si>
    <t>356f456f-9290-4742-9207-ee2c2f7b135d</t>
  </si>
  <si>
    <t>27674457232</t>
  </si>
  <si>
    <t>13863283</t>
  </si>
  <si>
    <t>9995b214-cb11-43e3-9fcb-c494841e7357</t>
  </si>
  <si>
    <t>27717784101</t>
  </si>
  <si>
    <t>2026-05-23 07:18:53</t>
  </si>
  <si>
    <t>13863284</t>
  </si>
  <si>
    <t>a480271a-8e59-4ee3-8c41-f23906ed0723</t>
  </si>
  <si>
    <t>27718591272</t>
  </si>
  <si>
    <t>13863281</t>
  </si>
  <si>
    <t>298e1a20-4050-4b41-9392-da890d63bc26</t>
  </si>
  <si>
    <t>2026-05-23 07:18:52</t>
  </si>
  <si>
    <t>27716137940</t>
  </si>
  <si>
    <t>13863280</t>
  </si>
  <si>
    <t>d91b34d9-3a72-4319-8463-18f0aefa84f5</t>
  </si>
  <si>
    <t>2026-05-23 07:18:39</t>
  </si>
  <si>
    <t>27715856546</t>
  </si>
  <si>
    <t>13863279</t>
  </si>
  <si>
    <t>607d93a7-dd23-49f9-be1e-50a05d4c260c</t>
  </si>
  <si>
    <t>2026-05-23 07:18:36</t>
  </si>
  <si>
    <t>27715734449</t>
  </si>
  <si>
    <t>13863277</t>
  </si>
  <si>
    <t>c75e1229-3ecc-491a-bd76-b12b21a5026c</t>
  </si>
  <si>
    <t>2026-05-23 07:18:35</t>
  </si>
  <si>
    <t>27715107470</t>
  </si>
  <si>
    <t>13863262</t>
  </si>
  <si>
    <t>2c3157a1-bfb5-4be9-bafd-dac33e3b985e</t>
  </si>
  <si>
    <t>2026-05-23 07:18:30</t>
  </si>
  <si>
    <t>27673202724</t>
  </si>
  <si>
    <t>13863249</t>
  </si>
  <si>
    <t>5b37b62a-1629-44aa-9565-fc0f4272e426</t>
  </si>
  <si>
    <t>27649612278</t>
  </si>
  <si>
    <t>2026-05-23 07:18:27</t>
  </si>
  <si>
    <t>13863260</t>
  </si>
  <si>
    <t>e54c9cab-99e5-4863-b4cb-92f92a93ee5c</t>
  </si>
  <si>
    <t>2026-05-23 07:18:10</t>
  </si>
  <si>
    <t>27665310983</t>
  </si>
  <si>
    <t>13863248</t>
  </si>
  <si>
    <t>3757724a-28a5-4345-bc38-458fab80f9fb</t>
  </si>
  <si>
    <t>2026-05-23 07:18:09</t>
  </si>
  <si>
    <t>27649583870</t>
  </si>
  <si>
    <t>13863020</t>
  </si>
  <si>
    <t>21d7fbc2-9b60-42f0-89a8-e58dc29ddcdd</t>
  </si>
  <si>
    <t>2026-05-23 07:18:03</t>
  </si>
  <si>
    <t>27761868568</t>
  </si>
  <si>
    <t>13863256</t>
  </si>
  <si>
    <t>080a4fd3-728d-4812-b0e1-27f683bdcb75</t>
  </si>
  <si>
    <t>27661096796</t>
  </si>
  <si>
    <t>13863259</t>
  </si>
  <si>
    <t>abcf3ec1-24b0-4b7d-9a61-c672a9cda3f0</t>
  </si>
  <si>
    <t>27663921130</t>
  </si>
  <si>
    <t>13863244</t>
  </si>
  <si>
    <t>47ba54b3-413b-4328-9168-9e9eba7185e5</t>
  </si>
  <si>
    <t>2026-05-23 07:17:06</t>
  </si>
  <si>
    <t>27647399859</t>
  </si>
  <si>
    <t>13863246</t>
  </si>
  <si>
    <t>5feae7f1-2d86-4dce-8078-5cc401345ad1</t>
  </si>
  <si>
    <t>27648246725</t>
  </si>
  <si>
    <t>13863247</t>
  </si>
  <si>
    <t>60deb58b-e113-4fc5-9a82-17c9f6f3971c</t>
  </si>
  <si>
    <t>27648865390</t>
  </si>
  <si>
    <t>13863235</t>
  </si>
  <si>
    <t>c9ce433a-d432-4318-a63a-768e4a8ef5d9</t>
  </si>
  <si>
    <t>2026-05-23 07:16:17</t>
  </si>
  <si>
    <t>27609593237</t>
  </si>
  <si>
    <t>13863233</t>
  </si>
  <si>
    <t>4b268549-153a-4dac-8e65-ea5733d5edd8</t>
  </si>
  <si>
    <t>2026-05-23 07:16:11</t>
  </si>
  <si>
    <t>27609216252</t>
  </si>
  <si>
    <t>13863234</t>
  </si>
  <si>
    <t>89c3acef-b541-45e7-8530-9067f3e59d37</t>
  </si>
  <si>
    <t>27609476337</t>
  </si>
  <si>
    <t>13864909</t>
  </si>
  <si>
    <t>eb0516ee-6bcd-46c2-8bc5-bacd48a64273</t>
  </si>
  <si>
    <t>27726759199</t>
  </si>
  <si>
    <t>2026-05-23 07:15:58</t>
  </si>
  <si>
    <t>13861538</t>
  </si>
  <si>
    <t>5053df63-f44b-4951-860a-7c0845ea9d81</t>
  </si>
  <si>
    <t>27793373270</t>
  </si>
  <si>
    <t>2026-05-23 07:15:55</t>
  </si>
  <si>
    <t>13863229</t>
  </si>
  <si>
    <t>ea98c5c8-f904-4c52-aeac-48ecf7c11872</t>
  </si>
  <si>
    <t>2026-05-23 07:15:53</t>
  </si>
  <si>
    <t>27606846188</t>
  </si>
  <si>
    <t>13863231</t>
  </si>
  <si>
    <t>8b8567c4-c302-435d-8f3e-6d3539eab0e5</t>
  </si>
  <si>
    <t>27608070535</t>
  </si>
  <si>
    <t>13863232</t>
  </si>
  <si>
    <t>71ac9417-08a0-4dbd-a19b-04a5c50a68fd</t>
  </si>
  <si>
    <t>27608107992</t>
  </si>
  <si>
    <t>13863187</t>
  </si>
  <si>
    <t>47c8b537-30db-4a95-bbad-1996d8474257</t>
  </si>
  <si>
    <t>2026-05-23 07:15:22</t>
  </si>
  <si>
    <t>27797235060</t>
  </si>
  <si>
    <t>13863200</t>
  </si>
  <si>
    <t>62714e9b-3768-4986-8610-fceb1736d6f9</t>
  </si>
  <si>
    <t>2026-05-23 07:15:18</t>
  </si>
  <si>
    <t>27818338132</t>
  </si>
  <si>
    <t>13863150</t>
  </si>
  <si>
    <t>c1ffcfb5-d850-46a3-b2c4-453739428cc5</t>
  </si>
  <si>
    <t>2026-05-23 07:15:12</t>
  </si>
  <si>
    <t>27769080582</t>
  </si>
  <si>
    <t>13863176</t>
  </si>
  <si>
    <t>db04ebf6-e07d-4553-934e-ea93dfd45d62</t>
  </si>
  <si>
    <t>2026-05-23 07:15:10</t>
  </si>
  <si>
    <t>27793987857</t>
  </si>
  <si>
    <t>13863139</t>
  </si>
  <si>
    <t>bb8da8ee-fca1-4211-89f9-dc1a54696b77</t>
  </si>
  <si>
    <t>27766050291</t>
  </si>
  <si>
    <t>13864914</t>
  </si>
  <si>
    <t>7a562ad5-cddc-4864-8b7e-143c512eec20</t>
  </si>
  <si>
    <t>27728498922</t>
  </si>
  <si>
    <t>13863199</t>
  </si>
  <si>
    <t>a579605c-8bde-415c-93a2-e3183caa2979</t>
  </si>
  <si>
    <t>27818285404</t>
  </si>
  <si>
    <t>2026-05-23 07:15:04</t>
  </si>
  <si>
    <t>13863186</t>
  </si>
  <si>
    <t>c17a0580-12fa-41b7-86bf-0679d12224e2</t>
  </si>
  <si>
    <t>2026-05-23 07:15:01</t>
  </si>
  <si>
    <t>27797158883</t>
  </si>
  <si>
    <t>13863161</t>
  </si>
  <si>
    <t>22c7d02d-4bcd-4f02-a43e-f4c186f8a26d</t>
  </si>
  <si>
    <t>27790912083</t>
  </si>
  <si>
    <t>13863192</t>
  </si>
  <si>
    <t>9214aeb7-620c-4836-ada3-7ffcfad9ed7c</t>
  </si>
  <si>
    <t>2026-05-23 07:14:56</t>
  </si>
  <si>
    <t>27797821189</t>
  </si>
  <si>
    <t>13863195</t>
  </si>
  <si>
    <t>828166f1-edde-4a3c-be47-ca506a296e8b</t>
  </si>
  <si>
    <t>27799304082</t>
  </si>
  <si>
    <t>13863197</t>
  </si>
  <si>
    <t>7275536a-7f22-4f74-834b-0fcf19337a4e</t>
  </si>
  <si>
    <t>27799389832</t>
  </si>
  <si>
    <t>13863198</t>
  </si>
  <si>
    <t>d5b84e7d-34be-434a-a10f-2016eca9f331</t>
  </si>
  <si>
    <t>27799880727</t>
  </si>
  <si>
    <t>13863175</t>
  </si>
  <si>
    <t>501b14b9-a2ac-4485-8356-2267faff462d</t>
  </si>
  <si>
    <t>2026-05-23 07:13:55</t>
  </si>
  <si>
    <t>27793927830</t>
  </si>
  <si>
    <t>13863185</t>
  </si>
  <si>
    <t>0b7238d8-fcae-4e94-90bb-c3c1972ecf1d</t>
  </si>
  <si>
    <t>2026-05-23 07:13:52</t>
  </si>
  <si>
    <t>27797104684</t>
  </si>
  <si>
    <t>13863180</t>
  </si>
  <si>
    <t>076d67e9-3bba-42cc-bdcb-ddf9cd3dec55</t>
  </si>
  <si>
    <t>27795509591</t>
  </si>
  <si>
    <t>2026-05-23 07:13:47</t>
  </si>
  <si>
    <t>13863183</t>
  </si>
  <si>
    <t>948dcacf-872c-43a5-bd0b-ab40c8f05766</t>
  </si>
  <si>
    <t>27797042241</t>
  </si>
  <si>
    <t>13861545</t>
  </si>
  <si>
    <t>97d9aa73-63c0-4258-8b2b-e1d5b6970a61</t>
  </si>
  <si>
    <t>2026-05-23 07:13:20</t>
  </si>
  <si>
    <t>27795182101</t>
  </si>
  <si>
    <t>13861544</t>
  </si>
  <si>
    <t>ddcf75e2-5181-4082-b46f-165c7f1fcdb7</t>
  </si>
  <si>
    <t>2026-05-23 07:13:09</t>
  </si>
  <si>
    <t>27794997829</t>
  </si>
  <si>
    <t>13861541</t>
  </si>
  <si>
    <t>26f6094e-ed77-4a1b-b399-7dbaf3225ae4</t>
  </si>
  <si>
    <t>2026-05-23 07:13:08</t>
  </si>
  <si>
    <t>27794055046</t>
  </si>
  <si>
    <t>13861543</t>
  </si>
  <si>
    <t>6a606ac6-6519-4bef-ac22-186f0da22da9</t>
  </si>
  <si>
    <t>27794286524</t>
  </si>
  <si>
    <t>e8971b0a-6b4e-44ee-a9d7-7d82c571cb98</t>
  </si>
  <si>
    <t>2026-05-23 07:12:07</t>
  </si>
  <si>
    <t>27768631288</t>
  </si>
  <si>
    <t>13863152</t>
  </si>
  <si>
    <t>10558643-0341-4d9a-beba-686b9638aae8</t>
  </si>
  <si>
    <t>2026-05-23 07:12:01</t>
  </si>
  <si>
    <t>27769318331</t>
  </si>
  <si>
    <t>13863157</t>
  </si>
  <si>
    <t>7c654fbe-4782-4d69-93a6-f5e88897cdee</t>
  </si>
  <si>
    <t>27781396715</t>
  </si>
  <si>
    <t>13863158</t>
  </si>
  <si>
    <t>bbff8265-4fd1-40ef-bb9a-1e6f4df299e1</t>
  </si>
  <si>
    <t>27786768659</t>
  </si>
  <si>
    <t>13863160</t>
  </si>
  <si>
    <t>60c97a22-539f-4060-a6ce-4f9e7bfdda16</t>
  </si>
  <si>
    <t>27790501379</t>
  </si>
  <si>
    <t>13863143</t>
  </si>
  <si>
    <t>dc638620-5997-473d-93cf-3482b8d48e96</t>
  </si>
  <si>
    <t>2026-05-23 07:11:40</t>
  </si>
  <si>
    <t>27766883005</t>
  </si>
  <si>
    <t>13863145</t>
  </si>
  <si>
    <t>c32ecd8f-7c13-475e-b7f0-fa0dbffe98f7</t>
  </si>
  <si>
    <t>27767736057</t>
  </si>
  <si>
    <t>13863146</t>
  </si>
  <si>
    <t>24ab923d-de8c-4797-9afe-63a98fa7406c</t>
  </si>
  <si>
    <t>27767770497</t>
  </si>
  <si>
    <t>13863147</t>
  </si>
  <si>
    <t>b95d552a-3b17-40b5-91e1-63626c5c7d22</t>
  </si>
  <si>
    <t>27767837426</t>
  </si>
  <si>
    <t>13863138</t>
  </si>
  <si>
    <t>2faaed9e-1c1b-44cb-a5c7-54c388aaf5e6</t>
  </si>
  <si>
    <t>2026-05-23 07:09:57</t>
  </si>
  <si>
    <t>27765666248</t>
  </si>
  <si>
    <t>13863137</t>
  </si>
  <si>
    <t>5c489e48-e529-46a7-aca9-a0c354e7affc</t>
  </si>
  <si>
    <t>2026-05-23 07:09:49</t>
  </si>
  <si>
    <t>27765362842</t>
  </si>
  <si>
    <t>13863136</t>
  </si>
  <si>
    <t>b1a09b61-fcc8-419f-9394-cb9af56b807d</t>
  </si>
  <si>
    <t>2026-05-23 07:09:46</t>
  </si>
  <si>
    <t>27765115948</t>
  </si>
  <si>
    <t>13863131</t>
  </si>
  <si>
    <t>3c13f0e0-589f-4ce6-a9ea-31a26cfa3a9b</t>
  </si>
  <si>
    <t>2026-05-23 07:09:35</t>
  </si>
  <si>
    <t>27764085905</t>
  </si>
  <si>
    <t>13863133</t>
  </si>
  <si>
    <t>8cf622cd-d819-4dc2-b435-0a6777e2e956</t>
  </si>
  <si>
    <t>27764434982</t>
  </si>
  <si>
    <t>13864916</t>
  </si>
  <si>
    <t>d312fbfb-62a6-460e-baac-ac597f8de80a</t>
  </si>
  <si>
    <t>2026-05-23 07:09:33</t>
  </si>
  <si>
    <t>27729150053</t>
  </si>
  <si>
    <t>13864058</t>
  </si>
  <si>
    <t>205691f9-c485-4191-9ec2-0564292acd0f</t>
  </si>
  <si>
    <t>2026-05-23 07:09:30</t>
  </si>
  <si>
    <t>27723064310</t>
  </si>
  <si>
    <t>13864055</t>
  </si>
  <si>
    <t>082b3cf4-da61-48c2-9915-593292d37eaf</t>
  </si>
  <si>
    <t>2026-05-23 07:09:29</t>
  </si>
  <si>
    <t>27722473527</t>
  </si>
  <si>
    <t>13864056</t>
  </si>
  <si>
    <t>8df43766-7d1b-4bd4-abdd-5ed365e5e958</t>
  </si>
  <si>
    <t>27722574753</t>
  </si>
  <si>
    <t>13864061</t>
  </si>
  <si>
    <t>de513f1e-dce9-476e-b793-af83708fa46e</t>
  </si>
  <si>
    <t>27723904057</t>
  </si>
  <si>
    <t>13864062</t>
  </si>
  <si>
    <t>d4148ce6-190f-4582-a5ad-be6e079ebc4f</t>
  </si>
  <si>
    <t>2026-05-23 07:06:46</t>
  </si>
  <si>
    <t>27723970795</t>
  </si>
  <si>
    <t>13864063</t>
  </si>
  <si>
    <t>b9be2eb5-c628-42c6-ba87-ff7e94597d35</t>
  </si>
  <si>
    <t>27724277448</t>
  </si>
  <si>
    <t>13864064</t>
  </si>
  <si>
    <t>38a52bb2-0119-4b94-a4bf-e8e1a0d474df</t>
  </si>
  <si>
    <t>27724746906</t>
  </si>
  <si>
    <t>13864066</t>
  </si>
  <si>
    <t>5bae17e5-9670-4a6d-88a3-d4a7b0fc021a</t>
  </si>
  <si>
    <t>27724936151</t>
  </si>
  <si>
    <t>13864065</t>
  </si>
  <si>
    <t>bc382d38-8ab8-4212-ab2a-c29338c2d850</t>
  </si>
  <si>
    <t>2026-05-23 07:05:41</t>
  </si>
  <si>
    <t>27724872599</t>
  </si>
  <si>
    <t>13863098</t>
  </si>
  <si>
    <t>c310b716-ce70-44d0-a8d1-6794a671e8e9</t>
  </si>
  <si>
    <t>2026-05-23 07:05:29</t>
  </si>
  <si>
    <t>27725308389</t>
  </si>
  <si>
    <t>13864921</t>
  </si>
  <si>
    <t>f1d801e0-79f4-48d3-8f0b-b2bb53c8528e</t>
  </si>
  <si>
    <t>2026-05-23 07:05:28</t>
  </si>
  <si>
    <t>27729865573</t>
  </si>
  <si>
    <t>13864925</t>
  </si>
  <si>
    <t>7f01d753-6dd9-48b1-888b-bca5f6952094</t>
  </si>
  <si>
    <t>2026-05-23 07:05:22</t>
  </si>
  <si>
    <t>27748702160</t>
  </si>
  <si>
    <t>13864923</t>
  </si>
  <si>
    <t>cc166a05-d672-4765-b7c2-060034528d6e</t>
  </si>
  <si>
    <t>27732733339</t>
  </si>
  <si>
    <t>0606e451-22dd-413d-b05a-6fb80f76a2eb</t>
  </si>
  <si>
    <t>2026-05-23 07:04:50</t>
  </si>
  <si>
    <t>27726414535</t>
  </si>
  <si>
    <t>13864070</t>
  </si>
  <si>
    <t>d7c8136e-0969-4ecb-b9e9-e9e58e47594f</t>
  </si>
  <si>
    <t>2026-05-23 07:04:36</t>
  </si>
  <si>
    <t>27725624598</t>
  </si>
  <si>
    <t>13864071</t>
  </si>
  <si>
    <t>23d415d6-9605-4f17-926d-db8f55a5a645</t>
  </si>
  <si>
    <t>27725870855</t>
  </si>
  <si>
    <t>13864072</t>
  </si>
  <si>
    <t>d7156829-003b-4897-b50a-e3d1d64d42a4</t>
  </si>
  <si>
    <t>27726309225</t>
  </si>
  <si>
    <t>e5974571-a1aa-4a81-b83a-4cca1c3120ad</t>
  </si>
  <si>
    <t>2026-05-23 07:04:20</t>
  </si>
  <si>
    <t>27724733999</t>
  </si>
  <si>
    <t>13864926</t>
  </si>
  <si>
    <t>1426af89-5cdc-41e0-9f25-57c12267cc36</t>
  </si>
  <si>
    <t>27760835794</t>
  </si>
  <si>
    <t>13864927</t>
  </si>
  <si>
    <t>622e9a6c-81bd-48ef-82cd-dc103128fdf7</t>
  </si>
  <si>
    <t>27761267418</t>
  </si>
  <si>
    <t>13863089</t>
  </si>
  <si>
    <t>ff91433d-0bf7-4fc5-bf93-78917b92950e</t>
  </si>
  <si>
    <t>2026-05-23 07:03:35</t>
  </si>
  <si>
    <t>27722577411</t>
  </si>
  <si>
    <t>13863091</t>
  </si>
  <si>
    <t>c7f4ca37-4d0d-4e42-b255-7c0941b8518e</t>
  </si>
  <si>
    <t>27723409980</t>
  </si>
  <si>
    <t>13863092</t>
  </si>
  <si>
    <t>5d090680-4009-4a12-ba61-e9c50c58e75f</t>
  </si>
  <si>
    <t>27723448324</t>
  </si>
  <si>
    <t>13864076</t>
  </si>
  <si>
    <t>cef743a9-64e2-4abe-aec3-d4889fc19cc7</t>
  </si>
  <si>
    <t>2026-05-23 07:03:03</t>
  </si>
  <si>
    <t>27727542988</t>
  </si>
  <si>
    <t>13864077</t>
  </si>
  <si>
    <t>b5c914b1-53ef-4802-bacb-e3c7e81ead2f</t>
  </si>
  <si>
    <t>27727574700</t>
  </si>
  <si>
    <t>13864078</t>
  </si>
  <si>
    <t>7847f98b-1330-4073-9891-a5e4085a8d6d</t>
  </si>
  <si>
    <t>27727870914</t>
  </si>
  <si>
    <t>13864080</t>
  </si>
  <si>
    <t>2398b71c-d414-421a-a4cc-6d32b7483ce8</t>
  </si>
  <si>
    <t>27728197864</t>
  </si>
  <si>
    <t>13863174</t>
  </si>
  <si>
    <t>dd40f590-b7b9-459d-b5c6-bc1b42bb6b1a</t>
  </si>
  <si>
    <t>27793819641</t>
  </si>
  <si>
    <t>2026-05-23 05:51:56</t>
  </si>
  <si>
    <t>13861105</t>
  </si>
  <si>
    <t>66d99a54-6110-42e6-b793-d716fb8a6db9</t>
  </si>
  <si>
    <t>27648464742</t>
  </si>
  <si>
    <t>2026-05-22 18:55:57</t>
  </si>
  <si>
    <t>13864672</t>
  </si>
  <si>
    <t>f94b7832-7eed-4df3-bc01-64743c06aa21</t>
  </si>
  <si>
    <t>27760343706</t>
  </si>
  <si>
    <t>2026-05-22 15:09:42</t>
  </si>
  <si>
    <t>13864439</t>
  </si>
  <si>
    <t>346a37d6-73e0-4d56-af0a-d0094a8dce6a</t>
  </si>
  <si>
    <t>27791937357</t>
  </si>
  <si>
    <t>2026-05-22 14:55:23</t>
  </si>
  <si>
    <t>13863224</t>
  </si>
  <si>
    <t>97c3b9b5-198d-4ad2-a7e6-9f2f7d5b4195</t>
  </si>
  <si>
    <t>2026-05-22 12:48:44</t>
  </si>
  <si>
    <t>27829949475</t>
  </si>
  <si>
    <t>13864201</t>
  </si>
  <si>
    <t>c075333d-10cf-4a55-89eb-6ae5404e4f61</t>
  </si>
  <si>
    <t>27818048887</t>
  </si>
  <si>
    <t>13864203</t>
  </si>
  <si>
    <t>c1ebe22e-cb36-477c-af19-10c9e2090b06</t>
  </si>
  <si>
    <t>27818642879</t>
  </si>
  <si>
    <t>13864205</t>
  </si>
  <si>
    <t>0df5b99a-ecec-47d7-a0ba-7fdb2d84edf2</t>
  </si>
  <si>
    <t>27818766245</t>
  </si>
  <si>
    <t>13864213</t>
  </si>
  <si>
    <t>27630000-1d0e-42f3-b95c-3ab81823a323</t>
  </si>
  <si>
    <t>27823955021</t>
  </si>
  <si>
    <t>2026-05-22 12:40:32</t>
  </si>
  <si>
    <t>13864220</t>
  </si>
  <si>
    <t>d89ded42-aa89-45af-b494-9db5b4b5ed31</t>
  </si>
  <si>
    <t>27825729082</t>
  </si>
  <si>
    <t>2026-05-22 12:39:46</t>
  </si>
  <si>
    <t>13864207</t>
  </si>
  <si>
    <t>897bb645-baa5-4cc7-a2d0-beed4399552f</t>
  </si>
  <si>
    <t>2026-05-22 12:39:19</t>
  </si>
  <si>
    <t>27820636728</t>
  </si>
  <si>
    <t>13864211</t>
  </si>
  <si>
    <t>efca9b53-41d3-40e5-9a4f-c8e12bc0f4c6</t>
  </si>
  <si>
    <t>2026-05-22 12:38:56</t>
  </si>
  <si>
    <t>27823285621</t>
  </si>
  <si>
    <t>13864212</t>
  </si>
  <si>
    <t>066a2cd5-a4be-49f3-bef8-1bc79068541b</t>
  </si>
  <si>
    <t>27823487254</t>
  </si>
  <si>
    <t>13864323</t>
  </si>
  <si>
    <t>575c83ba-b2b5-4001-b782-d0030d629ad2</t>
  </si>
  <si>
    <t>27720435873</t>
  </si>
  <si>
    <t>2026-05-22 12:36:33</t>
  </si>
  <si>
    <t>13864216</t>
  </si>
  <si>
    <t>210cfcac-de5f-464d-9da4-38362dc2a9c6</t>
  </si>
  <si>
    <t>2026-05-22 12:36:17</t>
  </si>
  <si>
    <t>27825114865</t>
  </si>
  <si>
    <t>13864225</t>
  </si>
  <si>
    <t>c1ccc301-47b5-4ba9-a495-1e56ed5b1a6e</t>
  </si>
  <si>
    <t>27826643043</t>
  </si>
  <si>
    <t>2026-05-22 12:36:15</t>
  </si>
  <si>
    <t>13864214</t>
  </si>
  <si>
    <t>b5f08f0d-0b02-46d8-a4b3-290b86a70aa1</t>
  </si>
  <si>
    <t>2026-05-22 12:36:11</t>
  </si>
  <si>
    <t>27824097808</t>
  </si>
  <si>
    <t>13864218</t>
  </si>
  <si>
    <t>d681a133-ff88-4036-8bd3-10020b6b465b</t>
  </si>
  <si>
    <t>27825484000</t>
  </si>
  <si>
    <t>13864222</t>
  </si>
  <si>
    <t>174689bc-138a-4c41-bb45-3b477b028ba7</t>
  </si>
  <si>
    <t>2026-05-22 12:34:57</t>
  </si>
  <si>
    <t>27825940694</t>
  </si>
  <si>
    <t>13864223</t>
  </si>
  <si>
    <t>6d9ba513-2263-42f9-a374-c2527b9a7286</t>
  </si>
  <si>
    <t>27826409105</t>
  </si>
  <si>
    <t>13864224</t>
  </si>
  <si>
    <t>01e4b0e3-0412-4063-9b3a-e04dd8f41493</t>
  </si>
  <si>
    <t>27826431348</t>
  </si>
  <si>
    <t>13864235</t>
  </si>
  <si>
    <t>6d82a6ba-feeb-4f1b-b523-8112dfaebeec</t>
  </si>
  <si>
    <t>2026-05-22 12:33:30</t>
  </si>
  <si>
    <t>27828822279</t>
  </si>
  <si>
    <t>13864237</t>
  </si>
  <si>
    <t>936d6e06-0543-4f55-a402-56f279d907d4</t>
  </si>
  <si>
    <t>2026-05-22 12:33:28</t>
  </si>
  <si>
    <t>27835266630</t>
  </si>
  <si>
    <t>13864231</t>
  </si>
  <si>
    <t>b43730be-a68e-47ea-b5c9-c50c66b7a7c6</t>
  </si>
  <si>
    <t>2026-05-22 12:33:17</t>
  </si>
  <si>
    <t>27827988243</t>
  </si>
  <si>
    <t>13864232</t>
  </si>
  <si>
    <t>28a4c9d2-e83a-4dfd-8f01-9b228ebc72cc</t>
  </si>
  <si>
    <t>27828401802</t>
  </si>
  <si>
    <t>13864234</t>
  </si>
  <si>
    <t>bc81a4ff-5068-44da-bf6b-71466a4d72ba</t>
  </si>
  <si>
    <t>27828699527</t>
  </si>
  <si>
    <t>13864236</t>
  </si>
  <si>
    <t>68bcd5b7-971d-44ac-89ff-eb502047e23c</t>
  </si>
  <si>
    <t>27828878484</t>
  </si>
  <si>
    <t>13864241</t>
  </si>
  <si>
    <t>9310a348-b531-4aac-bedd-c6089304bf1a</t>
  </si>
  <si>
    <t>27605082185</t>
  </si>
  <si>
    <t>2026-05-22 12:29:55</t>
  </si>
  <si>
    <t>13864244</t>
  </si>
  <si>
    <t>10af73b2-4151-44af-9fea-cbee72f5179b</t>
  </si>
  <si>
    <t>2026-05-22 12:29:37</t>
  </si>
  <si>
    <t>27606798618</t>
  </si>
  <si>
    <t>13864242</t>
  </si>
  <si>
    <t>066b93eb-0c5c-486e-89fc-f1d6054bf697</t>
  </si>
  <si>
    <t>2026-05-22 12:29:31</t>
  </si>
  <si>
    <t>27606041158</t>
  </si>
  <si>
    <t>13864243</t>
  </si>
  <si>
    <t>ea9460c5-029d-4110-a0cd-113c1210bdc1</t>
  </si>
  <si>
    <t>2026-05-22 12:29:30</t>
  </si>
  <si>
    <t>27606559364</t>
  </si>
  <si>
    <t>71e2130a-23dd-413a-8983-4273a2baf49c</t>
  </si>
  <si>
    <t>2026-05-22 12:28:23</t>
  </si>
  <si>
    <t>27793648496</t>
  </si>
  <si>
    <t>13864928</t>
  </si>
  <si>
    <t>53464f63-3d72-4c3c-8fe3-de691dafe1f7</t>
  </si>
  <si>
    <t>27761522691</t>
  </si>
  <si>
    <t>13864944</t>
  </si>
  <si>
    <t>bdad3e75-9dc6-49b7-8274-7e51667f6199</t>
  </si>
  <si>
    <t>27765734146</t>
  </si>
  <si>
    <t>13863172</t>
  </si>
  <si>
    <t>711b4d9a-4e49-46c2-93d7-52d8053c1f25</t>
  </si>
  <si>
    <t>2026-05-22 12:28:22</t>
  </si>
  <si>
    <t>27793617686</t>
  </si>
  <si>
    <t>13864989</t>
  </si>
  <si>
    <t>c9b7e048-70ff-4b26-8be6-ec4a338d86bc</t>
  </si>
  <si>
    <t>27795555182</t>
  </si>
  <si>
    <t>2026-05-22 12:27:45</t>
  </si>
  <si>
    <t>13863170</t>
  </si>
  <si>
    <t>6548c668-1774-41c6-88f2-c07d54e8a7de</t>
  </si>
  <si>
    <t>2026-05-22 12:27:02</t>
  </si>
  <si>
    <t>27792921363</t>
  </si>
  <si>
    <t>13863171</t>
  </si>
  <si>
    <t>05cd8445-b165-4df0-8bcf-b0306039a397</t>
  </si>
  <si>
    <t>27793477218</t>
  </si>
  <si>
    <t>13864911</t>
  </si>
  <si>
    <t>ad19585c-a6c7-4994-b5c5-59cc24dbbefa</t>
  </si>
  <si>
    <t>27727109007</t>
  </si>
  <si>
    <t>2026-05-22 12:26:48</t>
  </si>
  <si>
    <t>13863169</t>
  </si>
  <si>
    <t>17bd018b-9635-4add-9db5-b92244ada0f3</t>
  </si>
  <si>
    <t>2026-05-22 12:26:41</t>
  </si>
  <si>
    <t>27792727265</t>
  </si>
  <si>
    <t>13861478</t>
  </si>
  <si>
    <t>2fe51dea-e647-432b-abb6-8e4be4873fa4</t>
  </si>
  <si>
    <t>2026-05-22 12:26:40</t>
  </si>
  <si>
    <t>27726948656</t>
  </si>
  <si>
    <t>13863166</t>
  </si>
  <si>
    <t>8bba1dd9-b374-4ffb-8589-dfe80f2b5b28</t>
  </si>
  <si>
    <t>27791964965</t>
  </si>
  <si>
    <t>e11370aa-ac85-4271-88c5-3535ab31452e</t>
  </si>
  <si>
    <t>2026-05-22 12:26:39</t>
  </si>
  <si>
    <t>27791077634</t>
  </si>
  <si>
    <t>13864957</t>
  </si>
  <si>
    <t>0130c1b7-6c43-4dfe-a0d6-00f1477813dd</t>
  </si>
  <si>
    <t>27768612727</t>
  </si>
  <si>
    <t>2026-05-22 12:25:57</t>
  </si>
  <si>
    <t>0e6702e6-9d02-4d86-88ff-84f708f0fb4f</t>
  </si>
  <si>
    <t>27647352121</t>
  </si>
  <si>
    <t>2026-05-22 12:25:42</t>
  </si>
  <si>
    <t>13864945</t>
  </si>
  <si>
    <t>52da1712-4d1c-4cce-9e34-2605a2c734aa</t>
  </si>
  <si>
    <t>2026-05-22 12:25:38</t>
  </si>
  <si>
    <t>27766184506</t>
  </si>
  <si>
    <t>13864947</t>
  </si>
  <si>
    <t>a6533ec8-bc62-4c06-8e8f-b9e9bf9d261f</t>
  </si>
  <si>
    <t>2026-05-22 12:25:28</t>
  </si>
  <si>
    <t>27766220460</t>
  </si>
  <si>
    <t>13864264</t>
  </si>
  <si>
    <t>38eac205-ab08-40a0-b6a4-17e8e8f3fcd1</t>
  </si>
  <si>
    <t>2026-05-22 12:25:22</t>
  </si>
  <si>
    <t>27646147951</t>
  </si>
  <si>
    <t>13864260</t>
  </si>
  <si>
    <t>2d31a21b-5628-41c7-b58d-297f54c774b4</t>
  </si>
  <si>
    <t>2026-05-22 12:25:21</t>
  </si>
  <si>
    <t>27637053205</t>
  </si>
  <si>
    <t>4e76038c-3bce-4253-86a2-539693fe6b97</t>
  </si>
  <si>
    <t>27637133096</t>
  </si>
  <si>
    <t>13864263</t>
  </si>
  <si>
    <t>449e99b0-8c8c-4381-9d21-29070e8b3563</t>
  </si>
  <si>
    <t>27646013082</t>
  </si>
  <si>
    <t>13864271</t>
  </si>
  <si>
    <t>b9e28f84-5762-4741-9e49-7c3a9e9f0d3a</t>
  </si>
  <si>
    <t>2026-05-22 12:24:57</t>
  </si>
  <si>
    <t>27648225763</t>
  </si>
  <si>
    <t>13864949</t>
  </si>
  <si>
    <t>f20da303-c031-43d9-a43b-0ffd6f5d048b</t>
  </si>
  <si>
    <t>27766890667</t>
  </si>
  <si>
    <t>13864950</t>
  </si>
  <si>
    <t>ba022419-10fd-4dab-921f-0271e42be60f</t>
  </si>
  <si>
    <t>27767315894</t>
  </si>
  <si>
    <t>13864951</t>
  </si>
  <si>
    <t>e9c5437b-13cb-43c0-99de-84fbaddc590d</t>
  </si>
  <si>
    <t>27767637288</t>
  </si>
  <si>
    <t>13864961</t>
  </si>
  <si>
    <t>17ff92e2-bc77-4768-a3cb-5f23656d304f</t>
  </si>
  <si>
    <t>27773912964</t>
  </si>
  <si>
    <t>2026-05-22 12:24:25</t>
  </si>
  <si>
    <t>13864268</t>
  </si>
  <si>
    <t>6bd987d1-291a-4bb3-9608-860660ad164a</t>
  </si>
  <si>
    <t>2026-05-22 12:24:24</t>
  </si>
  <si>
    <t>27647057419</t>
  </si>
  <si>
    <t>13864269</t>
  </si>
  <si>
    <t>2fb5c383-20a5-40c9-9dc7-efb0eca97931</t>
  </si>
  <si>
    <t>27647234482</t>
  </si>
  <si>
    <t>13864270</t>
  </si>
  <si>
    <t>7750f81b-5fbe-4c45-ae9c-ac14196442e3</t>
  </si>
  <si>
    <t>27648144070</t>
  </si>
  <si>
    <t>13864282</t>
  </si>
  <si>
    <t>0f49b1c2-2627-4d7e-b322-e80eb20f64e8</t>
  </si>
  <si>
    <t>27664352804</t>
  </si>
  <si>
    <t>2026-05-22 12:23:44</t>
  </si>
  <si>
    <t>13864960</t>
  </si>
  <si>
    <t>3f36ed9c-df57-473f-ae7a-7d8ef1090e4c</t>
  </si>
  <si>
    <t>2026-05-22 12:23:36</t>
  </si>
  <si>
    <t>27769632472</t>
  </si>
  <si>
    <t>13864283</t>
  </si>
  <si>
    <t>11ac9d95-a33b-4cc7-a6f9-f88726f1df09</t>
  </si>
  <si>
    <t>2026-05-22 12:23:31</t>
  </si>
  <si>
    <t>27665365702</t>
  </si>
  <si>
    <t>13864284</t>
  </si>
  <si>
    <t>d5751a61-1a2d-44b2-9cf2-7ace2b5d1fc8</t>
  </si>
  <si>
    <t>2026-05-22 12:23:18</t>
  </si>
  <si>
    <t>27665601419</t>
  </si>
  <si>
    <t>13864280</t>
  </si>
  <si>
    <t>261480a5-247a-4d8b-9243-8f4d02ded82b</t>
  </si>
  <si>
    <t>2026-05-22 12:23:15</t>
  </si>
  <si>
    <t>27663312409</t>
  </si>
  <si>
    <t>13864296</t>
  </si>
  <si>
    <t>18fba7cd-5c26-447b-932e-ad11b62f825e</t>
  </si>
  <si>
    <t>2026-05-22 12:22:46</t>
  </si>
  <si>
    <t>27712601468</t>
  </si>
  <si>
    <t>13864962</t>
  </si>
  <si>
    <t>fc21659e-fdec-42af-b2c8-e68cc8d1febe</t>
  </si>
  <si>
    <t>27774865240</t>
  </si>
  <si>
    <t>13864963</t>
  </si>
  <si>
    <t>78e5fd9d-f7f7-4219-b651-f94921a771e1</t>
  </si>
  <si>
    <t>27781764891</t>
  </si>
  <si>
    <t>13864964</t>
  </si>
  <si>
    <t>9272f5b4-2b5b-48c3-8b9d-75418595520e</t>
  </si>
  <si>
    <t>27784171812</t>
  </si>
  <si>
    <t>13864293</t>
  </si>
  <si>
    <t>1d894114-3b60-40db-b2c0-c9e8fc67232c</t>
  </si>
  <si>
    <t>2026-05-22 12:21:56</t>
  </si>
  <si>
    <t>27711819729</t>
  </si>
  <si>
    <t>13864290</t>
  </si>
  <si>
    <t>bcd02a40-e6d1-4dce-9be1-99565b53b8b6</t>
  </si>
  <si>
    <t>2026-05-22 12:21:55</t>
  </si>
  <si>
    <t>27711325345</t>
  </si>
  <si>
    <t>13864291</t>
  </si>
  <si>
    <t>985944ed-47c9-47af-ba61-962ed196a373</t>
  </si>
  <si>
    <t>27711500648</t>
  </si>
  <si>
    <t>13864292</t>
  </si>
  <si>
    <t>e04d9622-8106-4295-8bd7-dde7835a247d</t>
  </si>
  <si>
    <t>27711653810</t>
  </si>
  <si>
    <t>13862968</t>
  </si>
  <si>
    <t>7fa1037c-248e-4214-ab6c-c809119587e1</t>
  </si>
  <si>
    <t>2026-05-22 12:20:23</t>
  </si>
  <si>
    <t>27762773738</t>
  </si>
  <si>
    <t>13864966</t>
  </si>
  <si>
    <t>b3efb7a9-f489-46ec-bc22-58792080b378</t>
  </si>
  <si>
    <t>27789361480</t>
  </si>
  <si>
    <t>2026-05-22 12:20:22</t>
  </si>
  <si>
    <t>13862967</t>
  </si>
  <si>
    <t>09917e41-f9ae-40c9-8462-8f56c969b775</t>
  </si>
  <si>
    <t>2026-05-22 12:20:09</t>
  </si>
  <si>
    <t>27738047845</t>
  </si>
  <si>
    <t>13863053</t>
  </si>
  <si>
    <t>b67c4b52-ccfe-40ee-8394-7fc906e412da</t>
  </si>
  <si>
    <t>2026-05-22 12:20:05</t>
  </si>
  <si>
    <t>27647253666</t>
  </si>
  <si>
    <t>13864968</t>
  </si>
  <si>
    <t>df816eb9-509e-4b19-a443-1a4762968ba9</t>
  </si>
  <si>
    <t>2026-05-22 12:20:04</t>
  </si>
  <si>
    <t>27790657819</t>
  </si>
  <si>
    <t>13864969</t>
  </si>
  <si>
    <t>97cb8c76-4b31-42ca-a291-c1a6bf355c6b</t>
  </si>
  <si>
    <t>2026-05-22 12:20:02</t>
  </si>
  <si>
    <t>27791424165</t>
  </si>
  <si>
    <t>13864981</t>
  </si>
  <si>
    <t>5744793f-3906-4885-b8af-09a7591777e0</t>
  </si>
  <si>
    <t>27793550554</t>
  </si>
  <si>
    <t>2026-05-22 12:19:58</t>
  </si>
  <si>
    <t>13864982</t>
  </si>
  <si>
    <t>a4fda64a-80af-48c3-9a2d-756b66d495b8</t>
  </si>
  <si>
    <t>2026-05-22 12:19:57</t>
  </si>
  <si>
    <t>27793696973</t>
  </si>
  <si>
    <t>13864986</t>
  </si>
  <si>
    <t>b755b77d-a181-4a87-92ef-bed5e0c0965d</t>
  </si>
  <si>
    <t>2026-05-22 12:19:46</t>
  </si>
  <si>
    <t>27795324070</t>
  </si>
  <si>
    <t>13864987</t>
  </si>
  <si>
    <t>bd223cad-dcea-4753-8f3f-83de1f72b137</t>
  </si>
  <si>
    <t>2026-05-22 12:19:42</t>
  </si>
  <si>
    <t>27795503473</t>
  </si>
  <si>
    <t>13864990</t>
  </si>
  <si>
    <t>3dca0596-04ea-4108-97d5-0e511158ba2b</t>
  </si>
  <si>
    <t>2026-05-22 12:19:37</t>
  </si>
  <si>
    <t>27795642284</t>
  </si>
  <si>
    <t>13864991</t>
  </si>
  <si>
    <t>14e2cfb8-3fc9-4cec-9941-927375d16870</t>
  </si>
  <si>
    <t>2026-05-22 12:19:31</t>
  </si>
  <si>
    <t>27795704178</t>
  </si>
  <si>
    <t>13864319</t>
  </si>
  <si>
    <t>534629c8-6268-488f-808a-27ff8f1ed262</t>
  </si>
  <si>
    <t>27720167266</t>
  </si>
  <si>
    <t>2026-05-22 12:19:26</t>
  </si>
  <si>
    <t>13864314</t>
  </si>
  <si>
    <t>f65d81bf-97bc-482c-acf4-ca41b8d68fc0</t>
  </si>
  <si>
    <t>2026-05-22 12:19:25</t>
  </si>
  <si>
    <t>27715394625</t>
  </si>
  <si>
    <t>13864315</t>
  </si>
  <si>
    <t>956860bd-1e47-4ec2-b983-ce6a34837c54</t>
  </si>
  <si>
    <t>27715507201</t>
  </si>
  <si>
    <t>13864316</t>
  </si>
  <si>
    <t>a6eba745-3daa-4117-bb5b-14a0e51287fd</t>
  </si>
  <si>
    <t>27715643562</t>
  </si>
  <si>
    <t>13864327</t>
  </si>
  <si>
    <t>c4374039-39d6-40bb-b8a0-4b31f40679d9</t>
  </si>
  <si>
    <t>2026-05-22 12:15:10</t>
  </si>
  <si>
    <t>27720943552</t>
  </si>
  <si>
    <t>13864321</t>
  </si>
  <si>
    <t>2dd9bb46-7358-425e-b277-38267be27b5f</t>
  </si>
  <si>
    <t>2026-05-22 12:15:08</t>
  </si>
  <si>
    <t>27720381339</t>
  </si>
  <si>
    <t>13864328</t>
  </si>
  <si>
    <t>49a8ee7f-07ea-4a67-b821-5f859661ef5b</t>
  </si>
  <si>
    <t>27720987744</t>
  </si>
  <si>
    <t>13864330</t>
  </si>
  <si>
    <t>513e3c89-9b0c-4d46-9ce5-756fd308b797</t>
  </si>
  <si>
    <t>2026-05-22 12:13:41</t>
  </si>
  <si>
    <t>27721035770</t>
  </si>
  <si>
    <t>13864333</t>
  </si>
  <si>
    <t>9c1e2782-4e11-4ee9-9cd2-d682ce403152</t>
  </si>
  <si>
    <t>27722108706</t>
  </si>
  <si>
    <t>13864332</t>
  </si>
  <si>
    <t>91cad6c1-86a9-4527-ba87-e925657db690</t>
  </si>
  <si>
    <t>2026-05-22 12:13:40</t>
  </si>
  <si>
    <t>27721538104</t>
  </si>
  <si>
    <t>13864338</t>
  </si>
  <si>
    <t>27da6263-37c6-470b-89fa-5591754bb282</t>
  </si>
  <si>
    <t>27723089629</t>
  </si>
  <si>
    <t>1098e319-c702-40ea-ad71-2ac34bc8b8e8</t>
  </si>
  <si>
    <t>27726860832</t>
  </si>
  <si>
    <t>2026-05-22 12:09:15</t>
  </si>
  <si>
    <t>13864334</t>
  </si>
  <si>
    <t>b03a89e9-63d1-42bc-85e2-aa2cda26dfe0</t>
  </si>
  <si>
    <t>2026-05-22 12:08:25</t>
  </si>
  <si>
    <t>27722508210</t>
  </si>
  <si>
    <t>13864335</t>
  </si>
  <si>
    <t>f38be385-7906-4cf6-83b7-e77ecbb1e03a</t>
  </si>
  <si>
    <t>27722566289</t>
  </si>
  <si>
    <t>13864336</t>
  </si>
  <si>
    <t>29d3f681-af06-451f-be9c-b17d9401bf60</t>
  </si>
  <si>
    <t>27722680963</t>
  </si>
  <si>
    <t>13864337</t>
  </si>
  <si>
    <t>8bec08e7-d7ec-4872-88f3-0d4927859141</t>
  </si>
  <si>
    <t>27722819302</t>
  </si>
  <si>
    <t>13864992</t>
  </si>
  <si>
    <t>610a6bf5-096b-4a50-8526-c473858561a6</t>
  </si>
  <si>
    <t>2026-05-22 12:07:37</t>
  </si>
  <si>
    <t>27795745207</t>
  </si>
  <si>
    <t>13864994</t>
  </si>
  <si>
    <t>6e069b7c-c991-4088-a242-c10fc2a1685b</t>
  </si>
  <si>
    <t>27796330926</t>
  </si>
  <si>
    <t>13864996</t>
  </si>
  <si>
    <t>84f98e66-a8f8-4276-be0e-6b4bcedb0e56</t>
  </si>
  <si>
    <t>27796451281</t>
  </si>
  <si>
    <t>13864998</t>
  </si>
  <si>
    <t>1768b463-8040-407a-a2f6-e071233c372b</t>
  </si>
  <si>
    <t>27797185777</t>
  </si>
  <si>
    <t>13864347</t>
  </si>
  <si>
    <t>5fe7c8d3-3e83-4343-a04f-6de5f0648d39</t>
  </si>
  <si>
    <t>2026-05-22 12:06:06</t>
  </si>
  <si>
    <t>27724788889</t>
  </si>
  <si>
    <t>13864348</t>
  </si>
  <si>
    <t>12690f3c-9c47-428a-9256-240af1122712</t>
  </si>
  <si>
    <t>27724971304</t>
  </si>
  <si>
    <t>13864350</t>
  </si>
  <si>
    <t>b01a82b7-8c69-4d9b-8f45-3c9e546ed1c0</t>
  </si>
  <si>
    <t>27725205311</t>
  </si>
  <si>
    <t>13864351</t>
  </si>
  <si>
    <t>129802eb-b1cb-4814-9463-2f8976d17c8d</t>
  </si>
  <si>
    <t>27725280640</t>
  </si>
  <si>
    <t>13862966</t>
  </si>
  <si>
    <t>6cf3cd22-9c76-41d8-9204-ecd10c4c5454</t>
  </si>
  <si>
    <t>2026-05-22 12:05:05</t>
  </si>
  <si>
    <t>27729229430</t>
  </si>
  <si>
    <t>13863051</t>
  </si>
  <si>
    <t>4539dd97-4c89-4a8d-9f2d-7ece9de92a63</t>
  </si>
  <si>
    <t>27637517389</t>
  </si>
  <si>
    <t>13863052</t>
  </si>
  <si>
    <t>6633a160-941f-4631-9df1-d3893d825530</t>
  </si>
  <si>
    <t>27637931549</t>
  </si>
  <si>
    <t>13864999</t>
  </si>
  <si>
    <t>5504b013-effa-43c7-978c-88c7d9b4b68c</t>
  </si>
  <si>
    <t>27797234411</t>
  </si>
  <si>
    <t>13865000</t>
  </si>
  <si>
    <t>44ff4386-c39c-4e67-a40c-76adbb5bf97f</t>
  </si>
  <si>
    <t>27797533271</t>
  </si>
  <si>
    <t>2026-05-22 12:05:02</t>
  </si>
  <si>
    <t>13863050</t>
  </si>
  <si>
    <t>6f243177-6f23-42ea-a58f-eb76c58f8948</t>
  </si>
  <si>
    <t>27637217088</t>
  </si>
  <si>
    <t>2026-05-22 12:04:51</t>
  </si>
  <si>
    <t>13865001</t>
  </si>
  <si>
    <t>7b479933-abbe-4868-9625-4568f406fa96</t>
  </si>
  <si>
    <t>2026-05-22 12:04:46</t>
  </si>
  <si>
    <t>27797666881</t>
  </si>
  <si>
    <t>13863049</t>
  </si>
  <si>
    <t>e39a9c01-627b-44cc-ad6d-915dcf0b8922</t>
  </si>
  <si>
    <t>2026-05-22 12:04:43</t>
  </si>
  <si>
    <t>27636967311</t>
  </si>
  <si>
    <t>13865006</t>
  </si>
  <si>
    <t>70210984-77c6-4bb8-bb05-87c24c41619b</t>
  </si>
  <si>
    <t>2026-05-22 12:04:42</t>
  </si>
  <si>
    <t>27798657473</t>
  </si>
  <si>
    <t>13863048</t>
  </si>
  <si>
    <t>6da058d1-0913-4c08-b7ef-ef61f00c98e6</t>
  </si>
  <si>
    <t>2026-05-22 12:04:02</t>
  </si>
  <si>
    <t>27626593430</t>
  </si>
  <si>
    <t>17e7539f-f428-4185-aaec-26198ae785a9</t>
  </si>
  <si>
    <t>27724293028</t>
  </si>
  <si>
    <t>2026-05-22 12:04:01</t>
  </si>
  <si>
    <t>13865014</t>
  </si>
  <si>
    <t>b3b2022f-abc8-4cfe-8f2b-aae705d74703</t>
  </si>
  <si>
    <t>27799398431</t>
  </si>
  <si>
    <t>13864369</t>
  </si>
  <si>
    <t>37340dfb-64d0-4157-9f8e-407b7ec54787</t>
  </si>
  <si>
    <t>2026-05-22 12:03:53</t>
  </si>
  <si>
    <t>27727695449</t>
  </si>
  <si>
    <t>13865015</t>
  </si>
  <si>
    <t>840a2f0c-31d3-408b-986e-4b807c5fc017</t>
  </si>
  <si>
    <t>27799601972</t>
  </si>
  <si>
    <t>e735f659-040f-4b9c-8af3-ae5cb05926cd</t>
  </si>
  <si>
    <t>27818094065</t>
  </si>
  <si>
    <t>13865017</t>
  </si>
  <si>
    <t>869b18e0-03f7-497f-a32c-4bc01a2b76d1</t>
  </si>
  <si>
    <t>27818113304</t>
  </si>
  <si>
    <t>13864367</t>
  </si>
  <si>
    <t>5bfdf499-2889-462d-b2da-47746dda68ae</t>
  </si>
  <si>
    <t>2026-05-22 12:03:52</t>
  </si>
  <si>
    <t>27727166230</t>
  </si>
  <si>
    <t>13864363</t>
  </si>
  <si>
    <t>c6cbdfbe-ec2b-4d60-8d79-e80162dd2239</t>
  </si>
  <si>
    <t>2026-05-22 12:03:51</t>
  </si>
  <si>
    <t>27726826127</t>
  </si>
  <si>
    <t>13864370</t>
  </si>
  <si>
    <t>ebd3554e-3a4b-435f-80d9-f0af2a8ec558</t>
  </si>
  <si>
    <t>2026-05-22 12:03:44</t>
  </si>
  <si>
    <t>27727798318</t>
  </si>
  <si>
    <t>13863046</t>
  </si>
  <si>
    <t>21335efb-c043-4936-bfe8-01855a252f2c</t>
  </si>
  <si>
    <t>2026-05-22 12:03:20</t>
  </si>
  <si>
    <t>27608970944</t>
  </si>
  <si>
    <t>13863044</t>
  </si>
  <si>
    <t>45aad25b-84d4-433c-bb89-bf02937709a0</t>
  </si>
  <si>
    <t>2026-05-22 12:03:15</t>
  </si>
  <si>
    <t>27607944073</t>
  </si>
  <si>
    <t>13863043</t>
  </si>
  <si>
    <t>052003ca-5d33-46df-b036-49d85bd53e21</t>
  </si>
  <si>
    <t>2026-05-22 12:03:02</t>
  </si>
  <si>
    <t>27607756113</t>
  </si>
  <si>
    <t>13863038</t>
  </si>
  <si>
    <t>dd8b6cb8-eaf1-4db8-8cce-6e589f211143</t>
  </si>
  <si>
    <t>2026-05-22 12:02:48</t>
  </si>
  <si>
    <t>27607129749</t>
  </si>
  <si>
    <t>13863040</t>
  </si>
  <si>
    <t>2c5e6db2-e23c-445a-b283-431a8eb703c7</t>
  </si>
  <si>
    <t>27607160521</t>
  </si>
  <si>
    <t>13863041</t>
  </si>
  <si>
    <t>fcbfc132-aac2-4fe1-b4e7-16e432177c79</t>
  </si>
  <si>
    <t>27607168557</t>
  </si>
  <si>
    <t>13863042</t>
  </si>
  <si>
    <t>eee0ee13-2108-4c88-adb1-8c8333ef7db9</t>
  </si>
  <si>
    <t>27607652775</t>
  </si>
  <si>
    <t>13865018</t>
  </si>
  <si>
    <t>654b49db-8a24-4e45-9602-22ea805d2b31</t>
  </si>
  <si>
    <t>2026-05-22 12:01:24</t>
  </si>
  <si>
    <t>27818518633</t>
  </si>
  <si>
    <t>13865019</t>
  </si>
  <si>
    <t>85774a5e-773a-4997-8494-79817ec4ac64</t>
  </si>
  <si>
    <t>27818592626</t>
  </si>
  <si>
    <t>13864382</t>
  </si>
  <si>
    <t>e80d1dea-ffa3-46be-9ac2-91b9c80dedee</t>
  </si>
  <si>
    <t>2026-05-22 12:01:23</t>
  </si>
  <si>
    <t>27760234814</t>
  </si>
  <si>
    <t>13865021</t>
  </si>
  <si>
    <t>c7390620-00bc-4723-84c8-9f127e493465</t>
  </si>
  <si>
    <t>27818935644</t>
  </si>
  <si>
    <t>13864404</t>
  </si>
  <si>
    <t>9eb2278d-b230-4754-8d4c-cd6175521479</t>
  </si>
  <si>
    <t>27765185898</t>
  </si>
  <si>
    <t>2026-05-22 12:01:02</t>
  </si>
  <si>
    <t>13864377</t>
  </si>
  <si>
    <t>f2ccc383-0972-4b34-9dca-78cbac3403b6</t>
  </si>
  <si>
    <t>2026-05-22 11:59:39</t>
  </si>
  <si>
    <t>27729843265</t>
  </si>
  <si>
    <t>13864381</t>
  </si>
  <si>
    <t>9c75b5a9-3ccb-4e0a-811d-b1de609fbb0f</t>
  </si>
  <si>
    <t>27760114612</t>
  </si>
  <si>
    <t>13864386</t>
  </si>
  <si>
    <t>74226946-7621-4cc2-9bcf-9279869411b7</t>
  </si>
  <si>
    <t>27760677921</t>
  </si>
  <si>
    <t>13864401</t>
  </si>
  <si>
    <t>c37af11c-cafd-4f9a-a581-86b5ef011f36</t>
  </si>
  <si>
    <t>27764488842</t>
  </si>
  <si>
    <t>13865081</t>
  </si>
  <si>
    <t>ff6de27c-1df1-4840-be10-91a1169398ee</t>
  </si>
  <si>
    <t>27649180092</t>
  </si>
  <si>
    <t>13864398</t>
  </si>
  <si>
    <t>e3fc5765-fc3b-4cc2-93fd-92238bfe505f</t>
  </si>
  <si>
    <t>27763403478</t>
  </si>
  <si>
    <t>2026-05-22 11:58:43</t>
  </si>
  <si>
    <t>13864399</t>
  </si>
  <si>
    <t>9cd628c8-02d3-4996-9bde-c480bc69b64d</t>
  </si>
  <si>
    <t>2026-05-22 11:58:24</t>
  </si>
  <si>
    <t>27763888960</t>
  </si>
  <si>
    <t>13864400</t>
  </si>
  <si>
    <t>1e35a628-14cc-4441-ad23-9caac0d3874a</t>
  </si>
  <si>
    <t>27764319708</t>
  </si>
  <si>
    <t>13864402</t>
  </si>
  <si>
    <t>c33c3a27-38bb-47c6-82a7-12d27424506d</t>
  </si>
  <si>
    <t>27764512533</t>
  </si>
  <si>
    <t>13864423</t>
  </si>
  <si>
    <t>674004d5-92cf-4b4a-9b01-377f626d4ee2</t>
  </si>
  <si>
    <t>27769778727</t>
  </si>
  <si>
    <t>2026-05-22 11:55:28</t>
  </si>
  <si>
    <t>13865027</t>
  </si>
  <si>
    <t>1b7cd8c4-0d17-4622-bacc-a41dfc3a6174</t>
  </si>
  <si>
    <t>27822140887</t>
  </si>
  <si>
    <t>13865029</t>
  </si>
  <si>
    <t>36f639b9-5382-47f2-9db2-3f8a10aa7593</t>
  </si>
  <si>
    <t>27822651674</t>
  </si>
  <si>
    <t>13865030</t>
  </si>
  <si>
    <t>c6192f11-9b2c-4067-869c-7aa24d53cffe</t>
  </si>
  <si>
    <t>27822842889</t>
  </si>
  <si>
    <t>13864417</t>
  </si>
  <si>
    <t>cb854a8a-cc9f-4ee1-a7e9-6f63dc88d635</t>
  </si>
  <si>
    <t>2026-05-22 11:54:23</t>
  </si>
  <si>
    <t>27768613755</t>
  </si>
  <si>
    <t>13864418</t>
  </si>
  <si>
    <t>59797be3-edf2-42b1-a53f-7bebefa42e2f</t>
  </si>
  <si>
    <t>27768701045</t>
  </si>
  <si>
    <t>13864421</t>
  </si>
  <si>
    <t>b8be875a-6c46-49a1-835f-e7920cb7f2eb</t>
  </si>
  <si>
    <t>27769367814</t>
  </si>
  <si>
    <t>13864426</t>
  </si>
  <si>
    <t>f6ef49aa-62ef-4f9c-9b4b-e8d2cfdb18a5</t>
  </si>
  <si>
    <t>27790309031</t>
  </si>
  <si>
    <t>2026-05-22 11:53:31</t>
  </si>
  <si>
    <t>13864429</t>
  </si>
  <si>
    <t>eeb04c13-c932-400e-ba94-b9fee853b1b6</t>
  </si>
  <si>
    <t>27790792273</t>
  </si>
  <si>
    <t>13864430</t>
  </si>
  <si>
    <t>cd33ffd3-acc0-47b6-8980-1f212dc752cb</t>
  </si>
  <si>
    <t>27790829681</t>
  </si>
  <si>
    <t>13864431</t>
  </si>
  <si>
    <t>9159ba3f-54f2-46ff-be22-f810b9e070da</t>
  </si>
  <si>
    <t>27790959795</t>
  </si>
  <si>
    <t>13862964</t>
  </si>
  <si>
    <t>bc9d4105-ad48-4763-b5a7-9de4d6c7cb36</t>
  </si>
  <si>
    <t>2026-05-22 11:51:37</t>
  </si>
  <si>
    <t>27725361319</t>
  </si>
  <si>
    <t>13865031</t>
  </si>
  <si>
    <t>b5ba5649-3f3e-4890-bf12-7b1ad49dbff1</t>
  </si>
  <si>
    <t>27823273168</t>
  </si>
  <si>
    <t>13865036</t>
  </si>
  <si>
    <t>a68b1951-57f6-42fd-9984-e04ed6b30d67</t>
  </si>
  <si>
    <t>2026-05-22 11:51:21</t>
  </si>
  <si>
    <t>27824381700</t>
  </si>
  <si>
    <t>13865038</t>
  </si>
  <si>
    <t>03c9aee9-da4d-43e9-bb9f-7c149fde44cd</t>
  </si>
  <si>
    <t>27825306336</t>
  </si>
  <si>
    <t>13865040</t>
  </si>
  <si>
    <t>cf8e1b4b-a6a0-4a3d-91a5-66ba227b1177</t>
  </si>
  <si>
    <t>27825671390</t>
  </si>
  <si>
    <t>e975ca54-6c7b-4ff5-b8e8-6275708a1d40</t>
  </si>
  <si>
    <t>2026-05-22 11:51:20</t>
  </si>
  <si>
    <t>27825723364</t>
  </si>
  <si>
    <t>13865208</t>
  </si>
  <si>
    <t>a67ed77d-35ce-4f19-aa97-4aa009d19a66</t>
  </si>
  <si>
    <t>EC</t>
  </si>
  <si>
    <t>Existing Client</t>
  </si>
  <si>
    <t>2026-05-22 11:50:51</t>
  </si>
  <si>
    <t>27763531472</t>
  </si>
  <si>
    <t>13865043</t>
  </si>
  <si>
    <t>f451c7d5-9285-4fbb-8625-8afb8729eaa3</t>
  </si>
  <si>
    <t>2026-05-22 11:50:41</t>
  </si>
  <si>
    <t>27826925067</t>
  </si>
  <si>
    <t>13864441</t>
  </si>
  <si>
    <t>3389c4be-28b2-4d21-a1c7-08a50ebcd760</t>
  </si>
  <si>
    <t>2026-05-22 11:50:36</t>
  </si>
  <si>
    <t>27792106919</t>
  </si>
  <si>
    <t>13864442</t>
  </si>
  <si>
    <t>8ae0b42b-1b4d-4872-a0bd-6f9f4c9d8fe5</t>
  </si>
  <si>
    <t>27792403612</t>
  </si>
  <si>
    <t>13864443</t>
  </si>
  <si>
    <t>33f5746d-99fb-472e-b8db-18ccee3fe1d1</t>
  </si>
  <si>
    <t>27793000962</t>
  </si>
  <si>
    <t>13864447</t>
  </si>
  <si>
    <t>b8977cca-31a2-464b-9c16-301301a9fd69</t>
  </si>
  <si>
    <t>2026-05-22 11:49:13</t>
  </si>
  <si>
    <t>27793957464</t>
  </si>
  <si>
    <t>13864449</t>
  </si>
  <si>
    <t>25ec99ff-b449-47fc-a076-aaa4828a1b46</t>
  </si>
  <si>
    <t>27794061088</t>
  </si>
  <si>
    <t>13864446</t>
  </si>
  <si>
    <t>68953708-84ac-4d71-8bca-edbf572138b8</t>
  </si>
  <si>
    <t>2026-05-22 11:48:26</t>
  </si>
  <si>
    <t>27793897040</t>
  </si>
  <si>
    <t>13864448</t>
  </si>
  <si>
    <t>3b5a49ec-c819-4f16-b2c7-32eef0843d43</t>
  </si>
  <si>
    <t>27794058080</t>
  </si>
  <si>
    <t>13864815</t>
  </si>
  <si>
    <t>929fdfb0-5323-4adb-967f-66ea3a685e64</t>
  </si>
  <si>
    <t>27609976074</t>
  </si>
  <si>
    <t>2026-05-22 11:48:16</t>
  </si>
  <si>
    <t>13864463</t>
  </si>
  <si>
    <t>e6a052e0-3117-4350-9fe5-d954842c6162</t>
  </si>
  <si>
    <t>2026-05-22 11:47:58</t>
  </si>
  <si>
    <t>27796784656</t>
  </si>
  <si>
    <t>13865047</t>
  </si>
  <si>
    <t>c7f18696-fb46-4f91-8703-456728fc54cc</t>
  </si>
  <si>
    <t>27828369435</t>
  </si>
  <si>
    <t>13864466</t>
  </si>
  <si>
    <t>de80da1b-ced8-42d6-a9a5-4e2fe568d7dc</t>
  </si>
  <si>
    <t>2026-05-22 11:47:47</t>
  </si>
  <si>
    <t>27797245230</t>
  </si>
  <si>
    <t>13864461</t>
  </si>
  <si>
    <t>767d533f-4ddd-413b-b998-a97c6504d7d6</t>
  </si>
  <si>
    <t>2026-05-22 11:47:46</t>
  </si>
  <si>
    <t>27796475046</t>
  </si>
  <si>
    <t>13864464</t>
  </si>
  <si>
    <t>516083f3-2b69-4f2e-b3a8-39bba0260b94</t>
  </si>
  <si>
    <t>27796818241</t>
  </si>
  <si>
    <t>13864469</t>
  </si>
  <si>
    <t>c0c5712d-d632-4bcb-88a6-0489cfcd8bba</t>
  </si>
  <si>
    <t>27797753965</t>
  </si>
  <si>
    <t>13864467</t>
  </si>
  <si>
    <t>30439e1c-d1a2-4875-8128-256461e87d8f</t>
  </si>
  <si>
    <t>2026-05-22 11:47:06</t>
  </si>
  <si>
    <t>27797407888</t>
  </si>
  <si>
    <t>13864460</t>
  </si>
  <si>
    <t>8990db7a-bde1-4fb4-8aa3-e6feabf1a207</t>
  </si>
  <si>
    <t>2026-05-22 11:46:55</t>
  </si>
  <si>
    <t>27796355421</t>
  </si>
  <si>
    <t>13864462</t>
  </si>
  <si>
    <t>ce8497b2-707b-4661-871e-370f771853b6</t>
  </si>
  <si>
    <t>27796776874</t>
  </si>
  <si>
    <t>13864465</t>
  </si>
  <si>
    <t>4e51a72d-e157-4e4b-be51-de3dd264a555</t>
  </si>
  <si>
    <t>27796892862</t>
  </si>
  <si>
    <t>13864468</t>
  </si>
  <si>
    <t>851945fc-d0c1-42fc-adac-540dd8509b81</t>
  </si>
  <si>
    <t>27797500602</t>
  </si>
  <si>
    <t>13865058</t>
  </si>
  <si>
    <t>7270700b-894c-4367-a50b-efade7d19eb4</t>
  </si>
  <si>
    <t>27607381223</t>
  </si>
  <si>
    <t>2026-05-22 11:46:05</t>
  </si>
  <si>
    <t>13865048</t>
  </si>
  <si>
    <t>6e9cec15-a061-49d6-9b60-541e9b6c693b</t>
  </si>
  <si>
    <t>2026-05-22 11:42:20</t>
  </si>
  <si>
    <t>27828472424</t>
  </si>
  <si>
    <t>13865060</t>
  </si>
  <si>
    <t>da742da9-7d48-46a2-960c-8e63a369ee2a</t>
  </si>
  <si>
    <t>2026-05-22 11:42:01</t>
  </si>
  <si>
    <t>27608047781</t>
  </si>
  <si>
    <t>13865061</t>
  </si>
  <si>
    <t>c5596b7c-7291-47bb-9087-546e32194b59</t>
  </si>
  <si>
    <t>27608280238</t>
  </si>
  <si>
    <t>13865062</t>
  </si>
  <si>
    <t>2e1bfcd0-2e96-4f5c-a1c6-7d8ce07267fc</t>
  </si>
  <si>
    <t>27608551447</t>
  </si>
  <si>
    <t>13865063</t>
  </si>
  <si>
    <t>bf929f2d-2c2d-4967-a0d2-1ebd0a2a7381</t>
  </si>
  <si>
    <t>2026-05-22 11:41:44</t>
  </si>
  <si>
    <t>27608921805</t>
  </si>
  <si>
    <t>13864479</t>
  </si>
  <si>
    <t>85d14a94-0eb6-435b-86b9-d657b0c9ae11</t>
  </si>
  <si>
    <t>27799213490</t>
  </si>
  <si>
    <t>2026-05-22 11:41:32</t>
  </si>
  <si>
    <t>13864481</t>
  </si>
  <si>
    <t>f94b86a8-bd05-4f17-83d8-c84aa5bf419b</t>
  </si>
  <si>
    <t>27799329153</t>
  </si>
  <si>
    <t>13864484</t>
  </si>
  <si>
    <t>43d44ec6-707b-40a4-a676-71df29ac788c</t>
  </si>
  <si>
    <t>27799580971</t>
  </si>
  <si>
    <t>13864483</t>
  </si>
  <si>
    <t>c98e98ba-9df1-4206-ac40-8eb2e92814e4</t>
  </si>
  <si>
    <t>2026-05-22 11:40:31</t>
  </si>
  <si>
    <t>27799491176</t>
  </si>
  <si>
    <t>13865065</t>
  </si>
  <si>
    <t>fd7b8bd3-04e5-497b-b480-b4cc535e279d</t>
  </si>
  <si>
    <t>2026-05-22 11:40:25</t>
  </si>
  <si>
    <t>27609210669</t>
  </si>
  <si>
    <t>13865066</t>
  </si>
  <si>
    <t>ace59c37-4f53-410e-a753-705e9dc70f20</t>
  </si>
  <si>
    <t>27609412202</t>
  </si>
  <si>
    <t>13865067</t>
  </si>
  <si>
    <t>76183510-a6a7-40d7-9161-2d0446b8a530</t>
  </si>
  <si>
    <t>27609528494</t>
  </si>
  <si>
    <t>13865068</t>
  </si>
  <si>
    <t>cb34f8c4-2f16-467a-83c9-78fd48c321f2</t>
  </si>
  <si>
    <t>27609724679</t>
  </si>
  <si>
    <t>13864490</t>
  </si>
  <si>
    <t>a0229562-28c8-4318-b2ef-31a8efd8aad8</t>
  </si>
  <si>
    <t>27818918010</t>
  </si>
  <si>
    <t>2026-05-22 11:38:53</t>
  </si>
  <si>
    <t>13864491</t>
  </si>
  <si>
    <t>c5dc90cc-1589-42ac-8ddd-b2378eefa647</t>
  </si>
  <si>
    <t>27818998176</t>
  </si>
  <si>
    <t>13864492</t>
  </si>
  <si>
    <t>e91e6d02-e85d-4208-9a0c-043523b65dd6</t>
  </si>
  <si>
    <t>2026-05-22 11:38:52</t>
  </si>
  <si>
    <t>27820428159</t>
  </si>
  <si>
    <t>13864493</t>
  </si>
  <si>
    <t>cee19636-8912-4c7c-a46b-a47a32ef9d11</t>
  </si>
  <si>
    <t>27820567984</t>
  </si>
  <si>
    <t>13862963</t>
  </si>
  <si>
    <t>89ace37f-0160-40d8-9d3e-cbca8875c631</t>
  </si>
  <si>
    <t>27724526918</t>
  </si>
  <si>
    <t>2026-05-22 11:37:12</t>
  </si>
  <si>
    <t>13864497</t>
  </si>
  <si>
    <t>eb33fb49-4da8-4efa-aebb-0b813c89af8b</t>
  </si>
  <si>
    <t>2026-05-22 11:37:02</t>
  </si>
  <si>
    <t>27822215341</t>
  </si>
  <si>
    <t>13864494</t>
  </si>
  <si>
    <t>19fc8c3f-e401-49d8-b497-815133274c20</t>
  </si>
  <si>
    <t>2026-05-22 11:36:51</t>
  </si>
  <si>
    <t>27820715559</t>
  </si>
  <si>
    <t>13864495</t>
  </si>
  <si>
    <t>9a1b5fee-b66e-484e-a834-38065780174e</t>
  </si>
  <si>
    <t>27820738059</t>
  </si>
  <si>
    <t>13864496</t>
  </si>
  <si>
    <t>6824961d-1c7d-4d2b-9218-2016d5820a1f</t>
  </si>
  <si>
    <t>27820920127</t>
  </si>
  <si>
    <t>13865075</t>
  </si>
  <si>
    <t>9457ae7e-8e08-485b-a3bd-ad5c9de20a18</t>
  </si>
  <si>
    <t>2026-05-22 11:36:21</t>
  </si>
  <si>
    <t>27647087401</t>
  </si>
  <si>
    <t>13862959</t>
  </si>
  <si>
    <t>5f54553d-7fbd-4a00-a3f0-b1a12406f8cd</t>
  </si>
  <si>
    <t>2026-05-22 11:36:08</t>
  </si>
  <si>
    <t>27711697698</t>
  </si>
  <si>
    <t>13865076</t>
  </si>
  <si>
    <t>7b23e262-e6e4-433f-9fec-54c49c40db2b</t>
  </si>
  <si>
    <t>27647294742</t>
  </si>
  <si>
    <t>2026-05-22 11:36:04</t>
  </si>
  <si>
    <t>13865078</t>
  </si>
  <si>
    <t>b98a7287-ca91-438f-bb24-dfb0e65d9eac</t>
  </si>
  <si>
    <t>27648668637</t>
  </si>
  <si>
    <t>13865079</t>
  </si>
  <si>
    <t>0818e246-c286-42e9-83a5-469ea39080c0</t>
  </si>
  <si>
    <t>27648784853</t>
  </si>
  <si>
    <t>13865080</t>
  </si>
  <si>
    <t>6cecf541-d052-4d53-b990-9bf59bdbc4ff</t>
  </si>
  <si>
    <t>2026-05-22 11:36:03</t>
  </si>
  <si>
    <t>27648935267</t>
  </si>
  <si>
    <t>13864511</t>
  </si>
  <si>
    <t>483cd0c9-0af1-434e-82bf-7a80a181cf8c</t>
  </si>
  <si>
    <t>2026-05-22 11:35:19</t>
  </si>
  <si>
    <t>27825312557</t>
  </si>
  <si>
    <t>13864505</t>
  </si>
  <si>
    <t>b196dda9-ed7d-4855-a79c-1ee6e7a0cd6b</t>
  </si>
  <si>
    <t>2026-05-22 11:35:18</t>
  </si>
  <si>
    <t>27824764141</t>
  </si>
  <si>
    <t>13864506</t>
  </si>
  <si>
    <t>30c854c2-c57f-4622-96df-0c4fcefc335f</t>
  </si>
  <si>
    <t>27825042884</t>
  </si>
  <si>
    <t>13864510</t>
  </si>
  <si>
    <t>7292487f-e9e8-4750-a3ab-ee8dedb47fd1</t>
  </si>
  <si>
    <t>27825218357</t>
  </si>
  <si>
    <t>13864623</t>
  </si>
  <si>
    <t>c41fd1ea-89d7-4f61-a831-4ed9dd2d3fff</t>
  </si>
  <si>
    <t>27722081656</t>
  </si>
  <si>
    <t>2026-05-22 11:33:00</t>
  </si>
  <si>
    <t>13865082</t>
  </si>
  <si>
    <t>c282040c-c062-42ef-b1b2-6736d25488e5</t>
  </si>
  <si>
    <t>27649444584</t>
  </si>
  <si>
    <t>2026-05-22 11:29:37</t>
  </si>
  <si>
    <t>13864518</t>
  </si>
  <si>
    <t>78a8c092-a098-4e74-9a91-3c13cd28006b</t>
  </si>
  <si>
    <t>2026-05-22 11:28:50</t>
  </si>
  <si>
    <t>27827952399</t>
  </si>
  <si>
    <t>13864515</t>
  </si>
  <si>
    <t>08d20bcf-bbd4-431f-ab0f-b3263c406d5b</t>
  </si>
  <si>
    <t>27825966297</t>
  </si>
  <si>
    <t>2026-05-22 11:28:46</t>
  </si>
  <si>
    <t>13864516</t>
  </si>
  <si>
    <t>90d9bac3-2d32-4156-b359-b43c6be1a9e4</t>
  </si>
  <si>
    <t>27826752042</t>
  </si>
  <si>
    <t>13864517</t>
  </si>
  <si>
    <t>25f0689e-02a1-43e4-8004-08258011cb49</t>
  </si>
  <si>
    <t>27827209896</t>
  </si>
  <si>
    <t>13864526</t>
  </si>
  <si>
    <t>c954249c-28a9-4ca1-bf34-171568f6d201</t>
  </si>
  <si>
    <t>2026-05-22 11:27:21</t>
  </si>
  <si>
    <t>27839575006</t>
  </si>
  <si>
    <t>13864535</t>
  </si>
  <si>
    <t>a38208fb-f64c-4854-90f1-5224dbc7a0eb</t>
  </si>
  <si>
    <t>2026-05-22 11:27:10</t>
  </si>
  <si>
    <t>27609585271</t>
  </si>
  <si>
    <t>13864522</t>
  </si>
  <si>
    <t>bfa5c7ca-81f5-46a3-9aa8-27e16f691322</t>
  </si>
  <si>
    <t>2026-05-22 11:27:04</t>
  </si>
  <si>
    <t>27832300717</t>
  </si>
  <si>
    <t>13864524</t>
  </si>
  <si>
    <t>044d01bc-aa4b-4359-9d53-aede6498eaf2</t>
  </si>
  <si>
    <t>27834765432</t>
  </si>
  <si>
    <t>13864525</t>
  </si>
  <si>
    <t>46f47368-6e06-4d4a-98e2-e33f1cc50cc3</t>
  </si>
  <si>
    <t>27837147152</t>
  </si>
  <si>
    <t>13864532</t>
  </si>
  <si>
    <t>5988114e-18ca-4dc2-9e8d-c93f0b6524fe</t>
  </si>
  <si>
    <t>27607899680</t>
  </si>
  <si>
    <t>2026-05-22 11:26:07</t>
  </si>
  <si>
    <t>13864538</t>
  </si>
  <si>
    <t>1aa24243-5c0f-45dc-a5f0-5fbd0cfd0899</t>
  </si>
  <si>
    <t>2026-05-22 11:25:51</t>
  </si>
  <si>
    <t>27636694771</t>
  </si>
  <si>
    <t>13864537</t>
  </si>
  <si>
    <t>01c836b8-50a0-48db-8177-f47a3c6efa3f</t>
  </si>
  <si>
    <t>2026-05-22 11:25:41</t>
  </si>
  <si>
    <t>27636124184</t>
  </si>
  <si>
    <t>13864533</t>
  </si>
  <si>
    <t>26ab8b74-2a9e-46c4-aaa1-d414c21f9bca</t>
  </si>
  <si>
    <t>27608207244</t>
  </si>
  <si>
    <t>13865084</t>
  </si>
  <si>
    <t>50333bbc-fc8c-41ca-b619-63f2e4fb8f93</t>
  </si>
  <si>
    <t>2026-05-22 11:23:14</t>
  </si>
  <si>
    <t>27660336406</t>
  </si>
  <si>
    <t>13864546</t>
  </si>
  <si>
    <t>ef093456-c2cf-4157-a573-b971ae00a85d</t>
  </si>
  <si>
    <t>2026-05-22 11:23:06</t>
  </si>
  <si>
    <t>27648545199</t>
  </si>
  <si>
    <t>13864542</t>
  </si>
  <si>
    <t>ff9483b7-1411-42e2-a20f-7394b787e577</t>
  </si>
  <si>
    <t>27637396238</t>
  </si>
  <si>
    <t>2026-05-22 11:22:57</t>
  </si>
  <si>
    <t>13864543</t>
  </si>
  <si>
    <t>fb2449b5-3303-4b42-baee-f314d68a2566</t>
  </si>
  <si>
    <t>27637473952</t>
  </si>
  <si>
    <t>13864545</t>
  </si>
  <si>
    <t>f02b7957-fb3d-4e3e-8a18-5dca1705a40f</t>
  </si>
  <si>
    <t>27648483968</t>
  </si>
  <si>
    <t>13865157</t>
  </si>
  <si>
    <t>b422327a-c88f-415b-bea5-a380db1db9f9</t>
  </si>
  <si>
    <t>27724809821</t>
  </si>
  <si>
    <t>2026-05-22 11:22:41</t>
  </si>
  <si>
    <t>13865085</t>
  </si>
  <si>
    <t>a67d59c2-c5a0-4ed3-a79a-d54f95f68256</t>
  </si>
  <si>
    <t>2026-05-22 11:22:34</t>
  </si>
  <si>
    <t>27660343110</t>
  </si>
  <si>
    <t>13864554</t>
  </si>
  <si>
    <t>11159cf0-4d9c-4bd9-8d81-64a1493c3a2a</t>
  </si>
  <si>
    <t>2026-05-22 11:22:17</t>
  </si>
  <si>
    <t>27660748555</t>
  </si>
  <si>
    <t>13864551</t>
  </si>
  <si>
    <t>c8d4d786-c19f-46b8-b373-64a3e9d7635f</t>
  </si>
  <si>
    <t>2026-05-22 11:22:12</t>
  </si>
  <si>
    <t>27649379780</t>
  </si>
  <si>
    <t>13864552</t>
  </si>
  <si>
    <t>1a97bcb0-bba5-4baa-949e-907fe6073d79</t>
  </si>
  <si>
    <t>27649756950</t>
  </si>
  <si>
    <t>13864553</t>
  </si>
  <si>
    <t>1f4838c9-18d6-4130-8568-1f20a8daa4c2</t>
  </si>
  <si>
    <t>27657418530</t>
  </si>
  <si>
    <t>13864576</t>
  </si>
  <si>
    <t>7da987e8-af30-4c90-981a-83175f6d75bd</t>
  </si>
  <si>
    <t>27711419990</t>
  </si>
  <si>
    <t>2026-05-22 11:22:00</t>
  </si>
  <si>
    <t>13862957</t>
  </si>
  <si>
    <t>17c3b269-9391-4ad6-828a-0a62bd239c09</t>
  </si>
  <si>
    <t>2026-05-22 11:21:48</t>
  </si>
  <si>
    <t>27673543730</t>
  </si>
  <si>
    <t>13865086</t>
  </si>
  <si>
    <t>e8e5d2b3-2f6b-424a-a311-95370ac2f464</t>
  </si>
  <si>
    <t>27662408272</t>
  </si>
  <si>
    <t>13862955</t>
  </si>
  <si>
    <t>b2986499-3ac4-4685-a6f5-b034a89b88bc</t>
  </si>
  <si>
    <t>2026-05-22 11:21:24</t>
  </si>
  <si>
    <t>27663774274</t>
  </si>
  <si>
    <t>13865092</t>
  </si>
  <si>
    <t>d9910758-e6f7-41b1-b1f3-356ebf147fc5</t>
  </si>
  <si>
    <t>27664327863</t>
  </si>
  <si>
    <t>13865093</t>
  </si>
  <si>
    <t>45a6d5ed-bbb8-4f7e-8fba-e996fe469f3f</t>
  </si>
  <si>
    <t>27664543163</t>
  </si>
  <si>
    <t>13864572</t>
  </si>
  <si>
    <t>027b0974-02f7-4d9c-b324-c30c5679aa06</t>
  </si>
  <si>
    <t>2026-05-22 11:21:02</t>
  </si>
  <si>
    <t>27673861544</t>
  </si>
  <si>
    <t>13864574</t>
  </si>
  <si>
    <t>5af0fac8-5b17-45a4-a20b-150017f47176</t>
  </si>
  <si>
    <t>27673952089</t>
  </si>
  <si>
    <t>13864575</t>
  </si>
  <si>
    <t>4c4e7b7e-96af-47eb-b65e-23ba20715fc8</t>
  </si>
  <si>
    <t>2026-05-22 11:20:55</t>
  </si>
  <si>
    <t>27710436839</t>
  </si>
  <si>
    <t>13865094</t>
  </si>
  <si>
    <t>910ae36c-8cbb-4750-82a7-78ba278d2a09</t>
  </si>
  <si>
    <t>2026-05-22 11:20:43</t>
  </si>
  <si>
    <t>27664955023</t>
  </si>
  <si>
    <t>13864583</t>
  </si>
  <si>
    <t>3844092e-f17e-40a1-be5d-9f7534145088</t>
  </si>
  <si>
    <t>2026-05-22 11:20:30</t>
  </si>
  <si>
    <t>27712221115</t>
  </si>
  <si>
    <t>13864584</t>
  </si>
  <si>
    <t>19f3c550-0d8a-4e04-9097-dcf5d2bcc384</t>
  </si>
  <si>
    <t>27712302332</t>
  </si>
  <si>
    <t>13864587</t>
  </si>
  <si>
    <t>d7f12493-cd3c-46e2-bef3-da02e7320e4b</t>
  </si>
  <si>
    <t>27713472796</t>
  </si>
  <si>
    <t>13864585</t>
  </si>
  <si>
    <t>5f24555b-9764-4831-9c1a-0a402567ae13</t>
  </si>
  <si>
    <t>2026-05-22 11:19:54</t>
  </si>
  <si>
    <t>27712457000</t>
  </si>
  <si>
    <t>13864608</t>
  </si>
  <si>
    <t>4b080f38-ae43-4fc5-8fa1-a1ae5e0e3e24</t>
  </si>
  <si>
    <t>2026-05-22 11:19:37</t>
  </si>
  <si>
    <t>27716972273</t>
  </si>
  <si>
    <t>13865095</t>
  </si>
  <si>
    <t>fc085ea1-90b2-459b-bda2-18b5ad5fb4eb</t>
  </si>
  <si>
    <t>27665015261</t>
  </si>
  <si>
    <t>13864633</t>
  </si>
  <si>
    <t>cd71b755-87ae-43ff-9308-8b52a0ff2a98</t>
  </si>
  <si>
    <t>2026-05-22 11:19:10</t>
  </si>
  <si>
    <t>27723628807</t>
  </si>
  <si>
    <t>13864605</t>
  </si>
  <si>
    <t>0b3de698-2ce7-4933-99ed-0aae13592e42</t>
  </si>
  <si>
    <t>2026-05-22 11:18:43</t>
  </si>
  <si>
    <t>27716224012</t>
  </si>
  <si>
    <t>13864606</t>
  </si>
  <si>
    <t>fbcc965a-c9f4-4fc5-9e7c-9cfdef601e1d</t>
  </si>
  <si>
    <t>27716336116</t>
  </si>
  <si>
    <t>13864607</t>
  </si>
  <si>
    <t>39dedb9b-b774-4523-bfca-0600a6194148</t>
  </si>
  <si>
    <t>27716620767</t>
  </si>
  <si>
    <t>13864621</t>
  </si>
  <si>
    <t>452957d5-9f2b-49bc-bc89-a53f8d201894</t>
  </si>
  <si>
    <t>2026-05-22 11:17:51</t>
  </si>
  <si>
    <t>27721900589</t>
  </si>
  <si>
    <t>13864631</t>
  </si>
  <si>
    <t>2085e1b7-d4ad-4893-9815-b81187b5500d</t>
  </si>
  <si>
    <t>27723317825</t>
  </si>
  <si>
    <t>13864620</t>
  </si>
  <si>
    <t>044ece13-09c7-4de3-a3bd-fd080a806111</t>
  </si>
  <si>
    <t>2026-05-22 11:17:11</t>
  </si>
  <si>
    <t>27721883528</t>
  </si>
  <si>
    <t>13864622</t>
  </si>
  <si>
    <t>f805c8d1-76fc-444a-aa14-1a6ab44489e4</t>
  </si>
  <si>
    <t>27721904331</t>
  </si>
  <si>
    <t>13864630</t>
  </si>
  <si>
    <t>95507555-585e-4032-a3b1-40966d282ca2</t>
  </si>
  <si>
    <t>27723180770</t>
  </si>
  <si>
    <t>13864632</t>
  </si>
  <si>
    <t>76f5feaa-8e77-4dc2-a1bf-d933f8ba17fb</t>
  </si>
  <si>
    <t>27723581803</t>
  </si>
  <si>
    <t>13862953</t>
  </si>
  <si>
    <t>1999567f-793d-40d1-a423-6f71ce49087e</t>
  </si>
  <si>
    <t>2026-05-22 11:15:35</t>
  </si>
  <si>
    <t>27649204131</t>
  </si>
  <si>
    <t>13862954</t>
  </si>
  <si>
    <t>9d180d17-4cbb-4c9e-acae-8b66409d2a43</t>
  </si>
  <si>
    <t>27649658037</t>
  </si>
  <si>
    <t>13862952</t>
  </si>
  <si>
    <t>3a3b31a4-279c-4db1-9bd2-6db6389a9d4a</t>
  </si>
  <si>
    <t>2026-05-22 11:15:05</t>
  </si>
  <si>
    <t>27648470897</t>
  </si>
  <si>
    <t>13862949</t>
  </si>
  <si>
    <t>68e9e354-9266-4352-964e-5a9ac1e021a8</t>
  </si>
  <si>
    <t>2026-05-22 11:14:47</t>
  </si>
  <si>
    <t>27637435164</t>
  </si>
  <si>
    <t>13862951</t>
  </si>
  <si>
    <t>88d805ef-ee49-4a7d-88a4-8d8ce808d441</t>
  </si>
  <si>
    <t>27648076163</t>
  </si>
  <si>
    <t>13865107</t>
  </si>
  <si>
    <t>8624ac72-0766-4534-841b-3ff6254a5656</t>
  </si>
  <si>
    <t>27710633513</t>
  </si>
  <si>
    <t>2026-05-22 11:14:31</t>
  </si>
  <si>
    <t>13865115</t>
  </si>
  <si>
    <t>322bcab0-b963-48d6-826a-29912b218400</t>
  </si>
  <si>
    <t>27711960978</t>
  </si>
  <si>
    <t>2026-05-22 11:14:11</t>
  </si>
  <si>
    <t>13865108</t>
  </si>
  <si>
    <t>47244ff2-8b2f-4a13-9add-e0de49dc4928</t>
  </si>
  <si>
    <t>2026-05-22 11:14:07</t>
  </si>
  <si>
    <t>27711014233</t>
  </si>
  <si>
    <t>13865109</t>
  </si>
  <si>
    <t>059c6586-f6a3-46f2-b95a-eb3984ea7b1a</t>
  </si>
  <si>
    <t>27711181495</t>
  </si>
  <si>
    <t>13865110</t>
  </si>
  <si>
    <t>18a551af-79fa-4829-8bcf-45c730501f09</t>
  </si>
  <si>
    <t>27711268097</t>
  </si>
  <si>
    <t>13865120</t>
  </si>
  <si>
    <t>75d11527-ad05-4212-8646-86cae11b02a1</t>
  </si>
  <si>
    <t>2026-05-22 11:13:22</t>
  </si>
  <si>
    <t>27712341279</t>
  </si>
  <si>
    <t>13865121</t>
  </si>
  <si>
    <t>eadf8a54-19ce-45d0-bac3-63ca9d8fa766</t>
  </si>
  <si>
    <t>27712393655</t>
  </si>
  <si>
    <t>13865112</t>
  </si>
  <si>
    <t>678c6386-48a8-4a16-9c9b-118dddd50637</t>
  </si>
  <si>
    <t>27711422452</t>
  </si>
  <si>
    <t>13865125</t>
  </si>
  <si>
    <t>2d98597b-2242-4a9b-bfb4-0d4907c02bfc</t>
  </si>
  <si>
    <t>2026-05-22 11:13:15</t>
  </si>
  <si>
    <t>27715002481</t>
  </si>
  <si>
    <t>13865130</t>
  </si>
  <si>
    <t>0ad9138f-b57b-4777-b307-5056adbdfb17</t>
  </si>
  <si>
    <t>2026-05-22 11:13:10</t>
  </si>
  <si>
    <t>27716369112</t>
  </si>
  <si>
    <t>13864658</t>
  </si>
  <si>
    <t>99daf14c-5e7e-4eef-a4de-9821fb3ad6ec</t>
  </si>
  <si>
    <t>27727841965</t>
  </si>
  <si>
    <t>2026-05-22 11:12:35</t>
  </si>
  <si>
    <t>13865148</t>
  </si>
  <si>
    <t>2cd06505-a6a3-4f4f-829e-ebf361c2a6f0</t>
  </si>
  <si>
    <t>27723693409</t>
  </si>
  <si>
    <t>13864652</t>
  </si>
  <si>
    <t>9c78c448-1414-4b9b-8a0a-8a059584c427</t>
  </si>
  <si>
    <t>2026-05-22 11:12:33</t>
  </si>
  <si>
    <t>27727002657</t>
  </si>
  <si>
    <t>13864653</t>
  </si>
  <si>
    <t>89f3c00b-0b8f-41d3-9def-acadf0901054</t>
  </si>
  <si>
    <t>27727287499</t>
  </si>
  <si>
    <t>13864657</t>
  </si>
  <si>
    <t>76c2c6a4-3299-4139-a523-52b6d2d22568</t>
  </si>
  <si>
    <t>27727711658</t>
  </si>
  <si>
    <t>13865661</t>
  </si>
  <si>
    <t>c4081f30-7857-4c6d-81c6-0fa2de24b291</t>
  </si>
  <si>
    <t>27712679473</t>
  </si>
  <si>
    <t>2026-05-22 11:12:14</t>
  </si>
  <si>
    <t>13865136</t>
  </si>
  <si>
    <t>2ac860cc-4ea3-4204-a9c2-fb6852b1a504</t>
  </si>
  <si>
    <t>2026-05-22 11:11:46</t>
  </si>
  <si>
    <t>27720899931</t>
  </si>
  <si>
    <t>13865146</t>
  </si>
  <si>
    <t>9a6d0711-f774-48e2-887a-58681fa35714</t>
  </si>
  <si>
    <t>27723531125</t>
  </si>
  <si>
    <t>13865147</t>
  </si>
  <si>
    <t>e9cbcfe4-17a1-4dda-919c-d954e036a1ec</t>
  </si>
  <si>
    <t>27723676236</t>
  </si>
  <si>
    <t>6e2601e4-3b84-461f-9ad2-5771c2a8c405</t>
  </si>
  <si>
    <t>2026-05-22 11:11:16</t>
  </si>
  <si>
    <t>27723724568</t>
  </si>
  <si>
    <t>13865151</t>
  </si>
  <si>
    <t>13a12dda-57db-4318-bdc1-0c2e2603f4cd</t>
  </si>
  <si>
    <t>27724249808</t>
  </si>
  <si>
    <t>13864674</t>
  </si>
  <si>
    <t>9fe7edbd-5e1b-4205-99fe-3e43320ea8de</t>
  </si>
  <si>
    <t>2026-05-22 11:11:15</t>
  </si>
  <si>
    <t>27760856915</t>
  </si>
  <si>
    <t>13865153</t>
  </si>
  <si>
    <t>cbdb590d-6414-47d1-a517-c5290519cbaf</t>
  </si>
  <si>
    <t>27724497184</t>
  </si>
  <si>
    <t>13865154</t>
  </si>
  <si>
    <t>8ff7fe08-4a24-4579-adcb-f96b59f60c82</t>
  </si>
  <si>
    <t>27724519593</t>
  </si>
  <si>
    <t>13865171</t>
  </si>
  <si>
    <t>7cb54f7d-81a8-4a80-86fc-b79de2f41066</t>
  </si>
  <si>
    <t>27727116536</t>
  </si>
  <si>
    <t>13864670</t>
  </si>
  <si>
    <t>b4a04a5d-e4e4-4cc0-9d5f-a46c7156336f</t>
  </si>
  <si>
    <t>2026-05-22 11:11:04</t>
  </si>
  <si>
    <t>27743347461</t>
  </si>
  <si>
    <t>13864671</t>
  </si>
  <si>
    <t>63eef4e2-23bd-44c8-8a43-63945747ac15</t>
  </si>
  <si>
    <t>27760129172</t>
  </si>
  <si>
    <t>13865156</t>
  </si>
  <si>
    <t>528bc57a-8873-4189-ac70-43f78fb78186</t>
  </si>
  <si>
    <t>2026-05-22 11:10:27</t>
  </si>
  <si>
    <t>27724809435</t>
  </si>
  <si>
    <t>13864686</t>
  </si>
  <si>
    <t>5a8c722e-9384-430e-b230-e2e6d8489d28</t>
  </si>
  <si>
    <t>2026-05-22 11:10:16</t>
  </si>
  <si>
    <t>27762349124</t>
  </si>
  <si>
    <t>13865168</t>
  </si>
  <si>
    <t>67fe8bff-3e7c-4dd4-a218-0ba714527fee</t>
  </si>
  <si>
    <t>27726596058</t>
  </si>
  <si>
    <t>13865169</t>
  </si>
  <si>
    <t>f0b38f7e-e1da-4335-a1ed-8ed69793d022</t>
  </si>
  <si>
    <t>27726900819</t>
  </si>
  <si>
    <t>13864684</t>
  </si>
  <si>
    <t>4b91dbdb-c5e1-4fe1-ad93-6d00db5a64d7</t>
  </si>
  <si>
    <t>27761886296</t>
  </si>
  <si>
    <t>2026-05-22 11:09:25</t>
  </si>
  <si>
    <t>13864683</t>
  </si>
  <si>
    <t>0d13f691-c211-4971-8e03-7d70e64eb738</t>
  </si>
  <si>
    <t>27761776210</t>
  </si>
  <si>
    <t>2026-05-22 11:09:09</t>
  </si>
  <si>
    <t>13864685</t>
  </si>
  <si>
    <t>1e01e887-f2d0-4695-844f-b4ce6e971565</t>
  </si>
  <si>
    <t>2026-05-22 11:09:07</t>
  </si>
  <si>
    <t>27762138538</t>
  </si>
  <si>
    <t>13865183</t>
  </si>
  <si>
    <t>99c8e3eb-d021-4ffa-86c3-348c12680469</t>
  </si>
  <si>
    <t>2026-05-22 11:08:35</t>
  </si>
  <si>
    <t>27728852010</t>
  </si>
  <si>
    <t>13865186</t>
  </si>
  <si>
    <t>714675a5-b4c0-4bd1-8b69-0f69cfc1bdf8</t>
  </si>
  <si>
    <t>27729111479</t>
  </si>
  <si>
    <t>13865187</t>
  </si>
  <si>
    <t>cbdf4905-64b9-4897-acc2-c8cfe5e5a32d</t>
  </si>
  <si>
    <t>2026-05-22 11:07:56</t>
  </si>
  <si>
    <t>27729183961</t>
  </si>
  <si>
    <t>13864702</t>
  </si>
  <si>
    <t>293f5273-ed7e-469b-87c4-081f11afbb36</t>
  </si>
  <si>
    <t>2026-05-22 11:07:50</t>
  </si>
  <si>
    <t>27766262613</t>
  </si>
  <si>
    <t>13864704</t>
  </si>
  <si>
    <t>7afbed74-d169-427e-91c6-9d18c0f7e792</t>
  </si>
  <si>
    <t>27766392013</t>
  </si>
  <si>
    <t>567e8467-5ea7-4057-80f8-365f860e593f</t>
  </si>
  <si>
    <t>27729451360</t>
  </si>
  <si>
    <t>13865189</t>
  </si>
  <si>
    <t>9770eb92-1f83-44a4-a8fc-e96d31ba0586</t>
  </si>
  <si>
    <t>27729714707</t>
  </si>
  <si>
    <t>13864700</t>
  </si>
  <si>
    <t>dd72fb66-7d82-45ca-bf7a-6582bbe2d002</t>
  </si>
  <si>
    <t>2026-05-22 11:07:40</t>
  </si>
  <si>
    <t>27765900238</t>
  </si>
  <si>
    <t>13864703</t>
  </si>
  <si>
    <t>ca794d2f-1e53-43a6-a1bf-85a106c5ae28</t>
  </si>
  <si>
    <t>27766326142</t>
  </si>
  <si>
    <t>13862883</t>
  </si>
  <si>
    <t>f06e05a4-2a41-4bdc-8907-5ed970b57bb5</t>
  </si>
  <si>
    <t>2026-05-22 11:06:51</t>
  </si>
  <si>
    <t>27827607565</t>
  </si>
  <si>
    <t>13862881</t>
  </si>
  <si>
    <t>63c215ca-9a4f-4480-b90b-49c1e78fe8b5</t>
  </si>
  <si>
    <t>2026-05-22 11:06:50</t>
  </si>
  <si>
    <t>27826967308</t>
  </si>
  <si>
    <t>13862880</t>
  </si>
  <si>
    <t>c1e40a28-e053-4982-a658-6c6207478c3d</t>
  </si>
  <si>
    <t>2026-05-22 11:06:49</t>
  </si>
  <si>
    <t>27826621866</t>
  </si>
  <si>
    <t>13862877</t>
  </si>
  <si>
    <t>87608889-607c-47ce-a001-d69c866252e8</t>
  </si>
  <si>
    <t>2026-05-22 11:06:44</t>
  </si>
  <si>
    <t>27825852754</t>
  </si>
  <si>
    <t>13862878</t>
  </si>
  <si>
    <t>e4d517c6-9063-445d-9192-5b9b551b231e</t>
  </si>
  <si>
    <t>27825897808</t>
  </si>
  <si>
    <t>13862875</t>
  </si>
  <si>
    <t>040c4bb4-96da-4308-9559-fa4d75644491</t>
  </si>
  <si>
    <t>2026-05-22 11:06:43</t>
  </si>
  <si>
    <t>27825180028</t>
  </si>
  <si>
    <t>13862876</t>
  </si>
  <si>
    <t>d2b26e0d-6bd4-43c6-ba12-27c46572c36c</t>
  </si>
  <si>
    <t>27825260053</t>
  </si>
  <si>
    <t>13861467</t>
  </si>
  <si>
    <t>6e8b9085-aaf1-4102-8a4a-e790cad59470</t>
  </si>
  <si>
    <t>2026-05-22 11:06:42</t>
  </si>
  <si>
    <t>27724018143</t>
  </si>
  <si>
    <t>13862874</t>
  </si>
  <si>
    <t>1ce0e7a1-f1f6-47b3-b914-482432049ba1</t>
  </si>
  <si>
    <t>27825007198</t>
  </si>
  <si>
    <t>13862872</t>
  </si>
  <si>
    <t>42a41533-1c99-47e5-99ee-90349eb46e2f</t>
  </si>
  <si>
    <t>2026-05-22 11:06:35</t>
  </si>
  <si>
    <t>27824464856</t>
  </si>
  <si>
    <t>13862871</t>
  </si>
  <si>
    <t>4416da3d-fd22-4112-afe9-8f6e9f5099ea</t>
  </si>
  <si>
    <t>2026-05-22 11:06:31</t>
  </si>
  <si>
    <t>27824260066</t>
  </si>
  <si>
    <t>13865195</t>
  </si>
  <si>
    <t>5db4b417-f49a-442f-8943-d28aa32e5ac1</t>
  </si>
  <si>
    <t>27760405050</t>
  </si>
  <si>
    <t>2026-05-22 11:06:20</t>
  </si>
  <si>
    <t>13862867</t>
  </si>
  <si>
    <t>a786f63b-cc4e-43f7-8056-7bbc771404b4</t>
  </si>
  <si>
    <t>2026-05-22 11:06:18</t>
  </si>
  <si>
    <t>27823405052</t>
  </si>
  <si>
    <t>13862869</t>
  </si>
  <si>
    <t>09d06cbc-612f-4acb-85f5-699c543f292d</t>
  </si>
  <si>
    <t>27823870485</t>
  </si>
  <si>
    <t>13862870</t>
  </si>
  <si>
    <t>afa0d4bb-e4aa-4494-93e0-a6d73b346a11</t>
  </si>
  <si>
    <t>27824212515</t>
  </si>
  <si>
    <t>13865192</t>
  </si>
  <si>
    <t>d69c7651-1fef-47ae-8aad-d3f08528954d</t>
  </si>
  <si>
    <t>27745164965</t>
  </si>
  <si>
    <t>2026-05-22 11:06:14</t>
  </si>
  <si>
    <t>13865190</t>
  </si>
  <si>
    <t>fb10a513-e60d-44c3-8776-303a9c186b58</t>
  </si>
  <si>
    <t>2026-05-22 11:05:41</t>
  </si>
  <si>
    <t>27729829432</t>
  </si>
  <si>
    <t>13865191</t>
  </si>
  <si>
    <t>b2bc2023-d7f1-49a7-b0e7-aba07444ba39</t>
  </si>
  <si>
    <t>2026-05-22 11:05:39</t>
  </si>
  <si>
    <t>27729874279</t>
  </si>
  <si>
    <t>e1326f00-439e-4bb7-aae5-80e41cd773bf</t>
  </si>
  <si>
    <t>27761016808</t>
  </si>
  <si>
    <t>9e33687b-f9b4-4b3b-938c-554dd4e98b29</t>
  </si>
  <si>
    <t>2026-05-22 11:05:31</t>
  </si>
  <si>
    <t>27762910261</t>
  </si>
  <si>
    <t>13865205</t>
  </si>
  <si>
    <t>4ee02622-b6a5-4fc6-9d8d-6a7893da40ea</t>
  </si>
  <si>
    <t>27762957003</t>
  </si>
  <si>
    <t>13865206</t>
  </si>
  <si>
    <t>ac5acb4e-bf2c-4658-9606-7469ef49db9e</t>
  </si>
  <si>
    <t>27763342743</t>
  </si>
  <si>
    <t>13865207</t>
  </si>
  <si>
    <t>ae25773b-655f-46ff-a78b-577318b0c171</t>
  </si>
  <si>
    <t>27763516391</t>
  </si>
  <si>
    <t>13865213</t>
  </si>
  <si>
    <t>607ba53e-5444-4e33-9e76-da11f620511f</t>
  </si>
  <si>
    <t>2026-05-22 11:05:15</t>
  </si>
  <si>
    <t>27764067240</t>
  </si>
  <si>
    <t>13865214</t>
  </si>
  <si>
    <t>f837e7e3-f2c4-4742-87f2-18bb9df43e99</t>
  </si>
  <si>
    <t>2026-05-22 11:05:12</t>
  </si>
  <si>
    <t>27764404348</t>
  </si>
  <si>
    <t>13864736</t>
  </si>
  <si>
    <t>854785f6-23ae-4172-84ae-eedfe0089e09</t>
  </si>
  <si>
    <t>2026-05-22 11:05:10</t>
  </si>
  <si>
    <t>27793779700</t>
  </si>
  <si>
    <t>13864734</t>
  </si>
  <si>
    <t>44c79d49-cf48-43d6-b2a4-963af74d5c9e</t>
  </si>
  <si>
    <t>2026-05-22 11:05:09</t>
  </si>
  <si>
    <t>27793319778</t>
  </si>
  <si>
    <t>13864733</t>
  </si>
  <si>
    <t>a94113ee-b5da-4b7c-a993-e103846fe1f9</t>
  </si>
  <si>
    <t>2026-05-22 11:04:56</t>
  </si>
  <si>
    <t>27793133803</t>
  </si>
  <si>
    <t>13864735</t>
  </si>
  <si>
    <t>b9d26d25-742e-46ff-a380-1c8e6dac5fa7</t>
  </si>
  <si>
    <t>2026-05-22 11:04:54</t>
  </si>
  <si>
    <t>27793739525</t>
  </si>
  <si>
    <t>13865215</t>
  </si>
  <si>
    <t>daa0478e-fab9-458a-8111-779ade88b2c4</t>
  </si>
  <si>
    <t>2026-05-22 11:04:45</t>
  </si>
  <si>
    <t>27764535186</t>
  </si>
  <si>
    <t>13864749</t>
  </si>
  <si>
    <t>57659dd2-15f6-4b07-99af-908544a81b52</t>
  </si>
  <si>
    <t>2026-05-22 11:04:39</t>
  </si>
  <si>
    <t>27797327733</t>
  </si>
  <si>
    <t>13864756</t>
  </si>
  <si>
    <t>193d2e85-abaf-47bb-ab63-fbe81d827f99</t>
  </si>
  <si>
    <t>2026-05-22 11:04:38</t>
  </si>
  <si>
    <t>27799264315</t>
  </si>
  <si>
    <t>13864770</t>
  </si>
  <si>
    <t>4feb262e-da65-446a-b843-d9b933427e7e</t>
  </si>
  <si>
    <t>27823986984</t>
  </si>
  <si>
    <t>13864772</t>
  </si>
  <si>
    <t>2e83fe1e-2b47-4c94-9a59-9424d4faaf57</t>
  </si>
  <si>
    <t>2026-05-22 11:04:37</t>
  </si>
  <si>
    <t>27824085408</t>
  </si>
  <si>
    <t>13864807</t>
  </si>
  <si>
    <t>516314f7-7100-4a82-ab04-34ba74e1e45e</t>
  </si>
  <si>
    <t>27608182922</t>
  </si>
  <si>
    <t>13864747</t>
  </si>
  <si>
    <t>6783c7eb-7768-4a44-b66d-22c5d380130f</t>
  </si>
  <si>
    <t>2026-05-22 11:04:13</t>
  </si>
  <si>
    <t>27796872547</t>
  </si>
  <si>
    <t>13864746</t>
  </si>
  <si>
    <t>a85f56a7-7f7c-43c5-81cc-e4bba6ff1a1e</t>
  </si>
  <si>
    <t>2026-05-22 11:03:58</t>
  </si>
  <si>
    <t>27796496247</t>
  </si>
  <si>
    <t>13864748</t>
  </si>
  <si>
    <t>d3f58fcd-a7dc-4910-9038-fff1e97bf974</t>
  </si>
  <si>
    <t>27796905677</t>
  </si>
  <si>
    <t>13864805</t>
  </si>
  <si>
    <t>e4bc6f49-605a-4537-b859-f2ecb7e33d47</t>
  </si>
  <si>
    <t>27607879040</t>
  </si>
  <si>
    <t>2026-05-22 11:03:09</t>
  </si>
  <si>
    <t>13864819</t>
  </si>
  <si>
    <t>99bd8d17-e071-4b87-864a-104d9dbcdc2d</t>
  </si>
  <si>
    <t>27637573241</t>
  </si>
  <si>
    <t>13864824</t>
  </si>
  <si>
    <t>5fad6c8a-f59a-4b67-b19a-2653f894a1ca</t>
  </si>
  <si>
    <t>27646262722</t>
  </si>
  <si>
    <t>13864831</t>
  </si>
  <si>
    <t>13a62c21-3238-4969-b8d4-ce1527c803a3</t>
  </si>
  <si>
    <t>2026-05-22 11:03:08</t>
  </si>
  <si>
    <t>27649987713</t>
  </si>
  <si>
    <t>13864753</t>
  </si>
  <si>
    <t>e7b98cd4-a5b2-4d6f-9e0c-a1c05bae9245</t>
  </si>
  <si>
    <t>2026-05-22 11:02:55</t>
  </si>
  <si>
    <t>27798338850</t>
  </si>
  <si>
    <t>13864754</t>
  </si>
  <si>
    <t>d8732186-7d25-4008-b76f-235eebe6bcde</t>
  </si>
  <si>
    <t>27798385432</t>
  </si>
  <si>
    <t>13864755</t>
  </si>
  <si>
    <t>d27c3e74-95fe-4f6f-9286-f63c52536431</t>
  </si>
  <si>
    <t>27799230057</t>
  </si>
  <si>
    <t>13864767</t>
  </si>
  <si>
    <t>0e1bc2c6-2e7a-46b4-9d31-452fb0978cb9</t>
  </si>
  <si>
    <t>27823696893</t>
  </si>
  <si>
    <t>2026-05-22 11:02:33</t>
  </si>
  <si>
    <t>13864867</t>
  </si>
  <si>
    <t>9d3927df-3f9a-4b9b-b8ef-c7fc9c0195b0</t>
  </si>
  <si>
    <t>27712431289</t>
  </si>
  <si>
    <t>e67721f1-b8d9-492c-8ed6-34cc65e236c0</t>
  </si>
  <si>
    <t>2026-05-22 11:01:55</t>
  </si>
  <si>
    <t>27822818550</t>
  </si>
  <si>
    <t>13864768</t>
  </si>
  <si>
    <t>c8309bc7-708c-41b6-a973-bd020938ded5</t>
  </si>
  <si>
    <t>27823829775</t>
  </si>
  <si>
    <t>13864823</t>
  </si>
  <si>
    <t>d78c8843-0fc5-48fb-8ee2-769e4e773a0d</t>
  </si>
  <si>
    <t>27646155104</t>
  </si>
  <si>
    <t>2026-05-22 11:01:39</t>
  </si>
  <si>
    <t>13864773</t>
  </si>
  <si>
    <t>28ec27f5-7e15-442e-813b-2bee222d0c92</t>
  </si>
  <si>
    <t>2026-05-22 11:01:24</t>
  </si>
  <si>
    <t>27824324870</t>
  </si>
  <si>
    <t>13864771</t>
  </si>
  <si>
    <t>9c12fa96-c596-4d6c-9d8a-2f010d48f5db</t>
  </si>
  <si>
    <t>2026-05-22 11:01:23</t>
  </si>
  <si>
    <t>27824029743</t>
  </si>
  <si>
    <t>13864885</t>
  </si>
  <si>
    <t>848c1f87-c993-47bc-9b14-107d6dd02f80</t>
  </si>
  <si>
    <t>2026-05-22 11:00:45</t>
  </si>
  <si>
    <t>27716930627</t>
  </si>
  <si>
    <t>13864887</t>
  </si>
  <si>
    <t>c7015d99-f816-42d5-b2ee-8fb2cffb2c97</t>
  </si>
  <si>
    <t>2026-05-22 11:00:36</t>
  </si>
  <si>
    <t>27720735059</t>
  </si>
  <si>
    <t>13864891</t>
  </si>
  <si>
    <t>618a7b8c-cbf2-4b7b-a5a0-d3b760ecbf5c</t>
  </si>
  <si>
    <t>27722017966</t>
  </si>
  <si>
    <t>13864899</t>
  </si>
  <si>
    <t>7b4f25ca-9912-42a3-9655-4b4b40b9033d</t>
  </si>
  <si>
    <t>2026-05-22 11:00:33</t>
  </si>
  <si>
    <t>27724287727</t>
  </si>
  <si>
    <t>13864903</t>
  </si>
  <si>
    <t>ff584b61-0868-486b-94cb-dcbebae2a319</t>
  </si>
  <si>
    <t>27725656296</t>
  </si>
  <si>
    <t>2026-05-22 11:00:28</t>
  </si>
  <si>
    <t>13864904</t>
  </si>
  <si>
    <t>e0cda386-4cb3-4723-ae2b-05131d77466d</t>
  </si>
  <si>
    <t>2026-05-22 11:00:20</t>
  </si>
  <si>
    <t>27725940816</t>
  </si>
  <si>
    <t>13864907</t>
  </si>
  <si>
    <t>60ad24b3-0d19-4e09-a87e-f225388b3c5e</t>
  </si>
  <si>
    <t>2026-05-22 11:00:19</t>
  </si>
  <si>
    <t>27726438311</t>
  </si>
  <si>
    <t>13864801</t>
  </si>
  <si>
    <t>a5d0f30b-1d07-4bfc-9803-ae6304b638c0</t>
  </si>
  <si>
    <t>2026-05-22 11:00:18</t>
  </si>
  <si>
    <t>27606910114</t>
  </si>
  <si>
    <t>13864816</t>
  </si>
  <si>
    <t>b759eb56-288b-42af-96c5-6d93b48dcc5a</t>
  </si>
  <si>
    <t>27614944713</t>
  </si>
  <si>
    <t>13864822</t>
  </si>
  <si>
    <t>3972dde1-8114-4bfa-a22f-447908b93fd1</t>
  </si>
  <si>
    <t>27637970398</t>
  </si>
  <si>
    <t>13864905</t>
  </si>
  <si>
    <t>5e60b9ac-f180-497b-9ca3-4126358f9141</t>
  </si>
  <si>
    <t>27726289067</t>
  </si>
  <si>
    <t>13864828</t>
  </si>
  <si>
    <t>a1876bcb-aa85-4ea3-9caf-cd97fbeb65c1</t>
  </si>
  <si>
    <t>2026-05-22 11:00:05</t>
  </si>
  <si>
    <t>27648470493</t>
  </si>
  <si>
    <t>13864844</t>
  </si>
  <si>
    <t>ec8480cd-b02a-4b5f-ad62-1a681a5e5d61</t>
  </si>
  <si>
    <t>27663584346</t>
  </si>
  <si>
    <t>2026-05-22 11:00:03</t>
  </si>
  <si>
    <t>13864861</t>
  </si>
  <si>
    <t>8790c87e-ff30-432b-a831-41654dc62e49</t>
  </si>
  <si>
    <t>2026-05-22 10:59:55</t>
  </si>
  <si>
    <t>27711309027</t>
  </si>
  <si>
    <t>13864797</t>
  </si>
  <si>
    <t>18787894-c334-4d7d-b216-06cf86a3f207</t>
  </si>
  <si>
    <t>2026-05-22 10:59:49</t>
  </si>
  <si>
    <t>27606370767</t>
  </si>
  <si>
    <t>13864871</t>
  </si>
  <si>
    <t>e8dd14f0-bede-4232-a5d0-1c5997f328c7</t>
  </si>
  <si>
    <t>27713552011</t>
  </si>
  <si>
    <t>13864802</t>
  </si>
  <si>
    <t>be9271bd-a5fb-4727-9a18-4815cff40eca</t>
  </si>
  <si>
    <t>27607095362</t>
  </si>
  <si>
    <t>13864818</t>
  </si>
  <si>
    <t>7eaba74f-4880-4e22-8c72-a3695e19b20c</t>
  </si>
  <si>
    <t>27636692154</t>
  </si>
  <si>
    <t>2026-05-22 10:59:20</t>
  </si>
  <si>
    <t>13864804</t>
  </si>
  <si>
    <t>ffd93fc2-9b22-494a-a89b-969e9aa00cd9</t>
  </si>
  <si>
    <t>2026-05-22 10:58:50</t>
  </si>
  <si>
    <t>27607260588</t>
  </si>
  <si>
    <t>13864881</t>
  </si>
  <si>
    <t>4d072023-97b0-4a12-8041-a36e0c40253a</t>
  </si>
  <si>
    <t>27716148109</t>
  </si>
  <si>
    <t>13864806</t>
  </si>
  <si>
    <t>4f80fb9d-c45c-435c-8023-b56ba97f91cc</t>
  </si>
  <si>
    <t>2026-05-22 10:58:45</t>
  </si>
  <si>
    <t>27608099948</t>
  </si>
  <si>
    <t>13864820</t>
  </si>
  <si>
    <t>a5850936-d2bc-4e14-af20-a03d3264d823</t>
  </si>
  <si>
    <t>2026-05-22 10:58:39</t>
  </si>
  <si>
    <t>27637840799</t>
  </si>
  <si>
    <t>13864827</t>
  </si>
  <si>
    <t>bc92d0fc-86d1-4b2b-bb72-e2b6b7da210e</t>
  </si>
  <si>
    <t>2026-05-22 10:56:42</t>
  </si>
  <si>
    <t>27647329066</t>
  </si>
  <si>
    <t>13864895</t>
  </si>
  <si>
    <t>b6b49079-3571-4c5a-b9e1-d674a306e43d</t>
  </si>
  <si>
    <t>27722963655</t>
  </si>
  <si>
    <t>13864843</t>
  </si>
  <si>
    <t>a655d1ee-8659-4bab-bf2d-ab7117e4f1b9</t>
  </si>
  <si>
    <t>27663441485</t>
  </si>
  <si>
    <t>2026-05-22 10:55:52</t>
  </si>
  <si>
    <t>13864830</t>
  </si>
  <si>
    <t>fdd906d4-d818-414f-9bef-922781b8a372</t>
  </si>
  <si>
    <t>2026-05-22 10:55:48</t>
  </si>
  <si>
    <t>27649448368</t>
  </si>
  <si>
    <t>13864897</t>
  </si>
  <si>
    <t>9fee251f-bb63-41c4-b42b-eddf901e5c63</t>
  </si>
  <si>
    <t>2026-05-22 10:55:36</t>
  </si>
  <si>
    <t>27723836604</t>
  </si>
  <si>
    <t>13864918</t>
  </si>
  <si>
    <t>b829df08-36f0-4e8d-ade8-5909e649369d</t>
  </si>
  <si>
    <t>2026-05-22 10:55:35</t>
  </si>
  <si>
    <t>27729477325</t>
  </si>
  <si>
    <t>13864858</t>
  </si>
  <si>
    <t>8835646b-4e7b-4426-b40f-37163431caf3</t>
  </si>
  <si>
    <t>2026-05-22 10:55:04</t>
  </si>
  <si>
    <t>27710063521</t>
  </si>
  <si>
    <t>13864898</t>
  </si>
  <si>
    <t>0e18b6e7-d6b1-4ef8-95a6-9f59dcde330a</t>
  </si>
  <si>
    <t>27723947825</t>
  </si>
  <si>
    <t>2026-05-22 10:55:02</t>
  </si>
  <si>
    <t>13864845</t>
  </si>
  <si>
    <t>23be9a70-e8c8-4773-86d2-e9fc086c5bd9</t>
  </si>
  <si>
    <t>2026-05-22 10:54:58</t>
  </si>
  <si>
    <t>27663636521</t>
  </si>
  <si>
    <t>13864872</t>
  </si>
  <si>
    <t>433fea69-cedd-4dd7-8eb4-750e110b6ee3</t>
  </si>
  <si>
    <t>27713682218</t>
  </si>
  <si>
    <t>13864880</t>
  </si>
  <si>
    <t>f5f6ecad-f265-40a8-958c-4079ea089d92</t>
  </si>
  <si>
    <t>27715846979</t>
  </si>
  <si>
    <t>13864896</t>
  </si>
  <si>
    <t>35df4972-f60a-4235-99e2-31ca38311cb2</t>
  </si>
  <si>
    <t>27723548332</t>
  </si>
  <si>
    <t>13864910</t>
  </si>
  <si>
    <t>e58f3284-b98b-4f95-8485-1c9af7279941</t>
  </si>
  <si>
    <t>2026-05-22 10:54:34</t>
  </si>
  <si>
    <t>27727092150</t>
  </si>
  <si>
    <t>13864862</t>
  </si>
  <si>
    <t>7067a226-be08-4a8c-89a3-1a0ebf6e1fdb</t>
  </si>
  <si>
    <t>2026-05-22 10:54:21</t>
  </si>
  <si>
    <t>27711317076</t>
  </si>
  <si>
    <t>13864882</t>
  </si>
  <si>
    <t>058b0c8c-b9b3-4fe6-a514-5a39c5269824</t>
  </si>
  <si>
    <t>2026-05-22 10:54:20</t>
  </si>
  <si>
    <t>27716151019</t>
  </si>
  <si>
    <t>13864894</t>
  </si>
  <si>
    <t>976d9a10-6584-4dce-8360-185f25bb2c53</t>
  </si>
  <si>
    <t>27722368288</t>
  </si>
  <si>
    <t>13864908</t>
  </si>
  <si>
    <t>9598c4e9-eff3-4500-b91f-a646cdfa604b</t>
  </si>
  <si>
    <t>2026-05-22 10:54:19</t>
  </si>
  <si>
    <t>27726503888</t>
  </si>
  <si>
    <t>13865540</t>
  </si>
  <si>
    <t>0925cd17-2850-48c3-a0f1-e33ccc188f46</t>
  </si>
  <si>
    <t>27797949564</t>
  </si>
  <si>
    <t>2026-05-22 10:30:52</t>
  </si>
  <si>
    <t>13864913</t>
  </si>
  <si>
    <t>c4986abc-aa8a-4a62-83f7-9746fdeac3ce</t>
  </si>
  <si>
    <t>2026-05-22 10:29:16</t>
  </si>
  <si>
    <t>27728369546</t>
  </si>
  <si>
    <t>13864915</t>
  </si>
  <si>
    <t>dd929577-2726-446a-883b-a085cda12e88</t>
  </si>
  <si>
    <t>27728667329</t>
  </si>
  <si>
    <t>13864919</t>
  </si>
  <si>
    <t>4e69daaa-d84a-4957-a8d6-72d017c6ef65</t>
  </si>
  <si>
    <t>27729731070</t>
  </si>
  <si>
    <t>13864922</t>
  </si>
  <si>
    <t>03342161-6e4a-4716-9737-f061bc398a56</t>
  </si>
  <si>
    <t>27729931115</t>
  </si>
  <si>
    <t>13865238</t>
  </si>
  <si>
    <t>b62f3484-333f-4452-b540-d55c8bea43b3</t>
  </si>
  <si>
    <t>27768368380</t>
  </si>
  <si>
    <t>2026-05-22 10:15:54</t>
  </si>
  <si>
    <t>13864934</t>
  </si>
  <si>
    <t>d6e3821f-7441-416a-9c7f-a5888deaf00d</t>
  </si>
  <si>
    <t>2026-05-22 10:13:49</t>
  </si>
  <si>
    <t>27763011803</t>
  </si>
  <si>
    <t>13864937</t>
  </si>
  <si>
    <t>73faaa9e-0580-4d01-a92b-5c55d871d235</t>
  </si>
  <si>
    <t>27764515534</t>
  </si>
  <si>
    <t>13864930</t>
  </si>
  <si>
    <t>c928a327-450d-496c-9493-98c3929655f5</t>
  </si>
  <si>
    <t>2026-05-22 10:12:51</t>
  </si>
  <si>
    <t>27761814372</t>
  </si>
  <si>
    <t>13864936</t>
  </si>
  <si>
    <t>2cc49cc9-8ac5-44e5-b84a-8c998f974648</t>
  </si>
  <si>
    <t>27764094547</t>
  </si>
  <si>
    <t>13864943</t>
  </si>
  <si>
    <t>8420116d-061c-4728-97b7-21739cccb3bc</t>
  </si>
  <si>
    <t>27765662340</t>
  </si>
  <si>
    <t>13864938</t>
  </si>
  <si>
    <t>9ec9288c-e34c-4803-951e-e6b2eb5385cf</t>
  </si>
  <si>
    <t>27764636242</t>
  </si>
  <si>
    <t>2026-05-22 10:06:45</t>
  </si>
  <si>
    <t>13864939</t>
  </si>
  <si>
    <t>a0889b38-11f0-449d-a13b-865f8a940894</t>
  </si>
  <si>
    <t>27764819693</t>
  </si>
  <si>
    <t>13864940</t>
  </si>
  <si>
    <t>0dec975f-1277-4b03-8142-bafd7912ab3f</t>
  </si>
  <si>
    <t>2026-05-22 10:06:44</t>
  </si>
  <si>
    <t>27764854498</t>
  </si>
  <si>
    <t>13865216</t>
  </si>
  <si>
    <t>d9ce0671-8043-4d72-8f04-63508bdae04e</t>
  </si>
  <si>
    <t>2026-05-22 10:05:31</t>
  </si>
  <si>
    <t>27764912055</t>
  </si>
  <si>
    <t>13865217</t>
  </si>
  <si>
    <t>bf8237a2-3888-4493-9b2f-d21b367b7ce4</t>
  </si>
  <si>
    <t>27764998871</t>
  </si>
  <si>
    <t>13865223</t>
  </si>
  <si>
    <t>0c707987-9664-4a49-aa27-d4dc45f46746</t>
  </si>
  <si>
    <t>27766581895</t>
  </si>
  <si>
    <t>2026-05-22 10:05:30</t>
  </si>
  <si>
    <t>13865224</t>
  </si>
  <si>
    <t>c9c15e90-8927-492f-be42-18efd2984dcc</t>
  </si>
  <si>
    <t>27766845581</t>
  </si>
  <si>
    <t>13864956</t>
  </si>
  <si>
    <t>13a4a4a4-b401-4cf5-a34a-f80aa5b4ed81</t>
  </si>
  <si>
    <t>2026-05-22 10:04:42</t>
  </si>
  <si>
    <t>27768596233</t>
  </si>
  <si>
    <t>13864955</t>
  </si>
  <si>
    <t>d3fd75a6-7efb-46f8-8bb8-9f65490aa9c4</t>
  </si>
  <si>
    <t>2026-05-22 10:04:41</t>
  </si>
  <si>
    <t>27768473517</t>
  </si>
  <si>
    <t>13864958</t>
  </si>
  <si>
    <t>6d7b6878-d531-46bf-bfff-0f25324fe99f</t>
  </si>
  <si>
    <t>27768636628</t>
  </si>
  <si>
    <t>13865926</t>
  </si>
  <si>
    <t>7b1aadb4-4b37-4ce2-8b1f-400971bbde1d</t>
  </si>
  <si>
    <t>27663105080</t>
  </si>
  <si>
    <t>2026-05-22 10:03:50</t>
  </si>
  <si>
    <t>13865287</t>
  </si>
  <si>
    <t>e95ec32a-58c5-413c-8892-1cb15f9abf2d</t>
  </si>
  <si>
    <t>27796730890</t>
  </si>
  <si>
    <t>2026-05-22 10:03:39</t>
  </si>
  <si>
    <t>13865225</t>
  </si>
  <si>
    <t>2b209f73-3dfc-4bb6-82b7-cd604d030c64</t>
  </si>
  <si>
    <t>2026-05-22 10:03:02</t>
  </si>
  <si>
    <t>27766982930</t>
  </si>
  <si>
    <t>13865228</t>
  </si>
  <si>
    <t>e94acb49-a55d-4738-aace-f5b9ac0bae40</t>
  </si>
  <si>
    <t>27767222163</t>
  </si>
  <si>
    <t>13865229</t>
  </si>
  <si>
    <t>a39c2a95-3fa0-4231-96ab-77e6a869825f</t>
  </si>
  <si>
    <t>27767503399</t>
  </si>
  <si>
    <t>2026-05-22 10:02:10</t>
  </si>
  <si>
    <t>13865232</t>
  </si>
  <si>
    <t>29c92acd-62ee-4357-be55-5dfb8b16a80d</t>
  </si>
  <si>
    <t>27767840357</t>
  </si>
  <si>
    <t>13865233</t>
  </si>
  <si>
    <t>8ac34dfa-e4fc-481e-b8fe-e8d09d0b3992</t>
  </si>
  <si>
    <t>27767869661</t>
  </si>
  <si>
    <t>13865235</t>
  </si>
  <si>
    <t>16deace5-29c2-4132-94d3-a395a6deaeb3</t>
  </si>
  <si>
    <t>2026-05-22 10:02:09</t>
  </si>
  <si>
    <t>27768094534</t>
  </si>
  <si>
    <t>13864977</t>
  </si>
  <si>
    <t>88595520-bc72-4688-beb5-120a27e58dde</t>
  </si>
  <si>
    <t>2026-05-22 10:02:04</t>
  </si>
  <si>
    <t>27792773497</t>
  </si>
  <si>
    <t>13864973</t>
  </si>
  <si>
    <t>52ff29a8-37d9-4fc0-a75b-d969ba6ae98a</t>
  </si>
  <si>
    <t>2026-05-22 10:02:00</t>
  </si>
  <si>
    <t>27791791159</t>
  </si>
  <si>
    <t>13864971</t>
  </si>
  <si>
    <t>b7aac632-ce41-4e54-8947-3ea56e3a20e9</t>
  </si>
  <si>
    <t>2026-05-22 10:01:51</t>
  </si>
  <si>
    <t>27791476438</t>
  </si>
  <si>
    <t>13864975</t>
  </si>
  <si>
    <t>e34fbbde-df15-4db2-8699-b66c237286d9</t>
  </si>
  <si>
    <t>2026-05-22 10:01:48</t>
  </si>
  <si>
    <t>27792241401</t>
  </si>
  <si>
    <t>13865309</t>
  </si>
  <si>
    <t>d3f61df8-32c4-4a14-a502-7330b5afed20</t>
  </si>
  <si>
    <t>27823948300</t>
  </si>
  <si>
    <t>2026-05-22 10:00:50</t>
  </si>
  <si>
    <t>13865236</t>
  </si>
  <si>
    <t>9f90b03f-142d-43f8-ae53-f5d3ad35214b</t>
  </si>
  <si>
    <t>2026-05-22 10:00:38</t>
  </si>
  <si>
    <t>27768260847</t>
  </si>
  <si>
    <t>e346e55b-8330-4c05-b724-8ac4759a0211</t>
  </si>
  <si>
    <t>2026-05-22 10:00:35</t>
  </si>
  <si>
    <t>27768349005</t>
  </si>
  <si>
    <t>13865243</t>
  </si>
  <si>
    <t>b244e460-7840-463f-961d-98b122ba1b20</t>
  </si>
  <si>
    <t>2026-05-22 10:00:31</t>
  </si>
  <si>
    <t>27769373283</t>
  </si>
  <si>
    <t>13865245</t>
  </si>
  <si>
    <t>ae7bb7ef-63f2-46ba-a1f2-03f72ba85c6f</t>
  </si>
  <si>
    <t>2026-05-22 10:00:28</t>
  </si>
  <si>
    <t>27769711184</t>
  </si>
  <si>
    <t>13865247</t>
  </si>
  <si>
    <t>4a258d27-b0ba-4b13-8332-87c41e7b041c</t>
  </si>
  <si>
    <t>2026-05-22 10:00:27</t>
  </si>
  <si>
    <t>27773899911</t>
  </si>
  <si>
    <t>13865248</t>
  </si>
  <si>
    <t>d0326c58-b221-400a-8232-05fd9b30c795</t>
  </si>
  <si>
    <t>2026-05-22 10:00:26</t>
  </si>
  <si>
    <t>27774122160</t>
  </si>
  <si>
    <t>13865249</t>
  </si>
  <si>
    <t>0632665c-bbd1-44c6-8134-2abec733110b</t>
  </si>
  <si>
    <t>2026-05-22 10:00:23</t>
  </si>
  <si>
    <t>27774729347</t>
  </si>
  <si>
    <t>8e6522ca-309d-4a2a-8b64-e2c320a39335</t>
  </si>
  <si>
    <t>2026-05-22 10:00:22</t>
  </si>
  <si>
    <t>27774836033</t>
  </si>
  <si>
    <t>13865251</t>
  </si>
  <si>
    <t>52866d90-d370-4b9e-b181-fbc01693d308</t>
  </si>
  <si>
    <t>27774872490</t>
  </si>
  <si>
    <t>13865252</t>
  </si>
  <si>
    <t>6d68cf27-001c-449c-81d4-07c095990029</t>
  </si>
  <si>
    <t>27774967146</t>
  </si>
  <si>
    <t>13865253</t>
  </si>
  <si>
    <t>b7c0e6af-49ed-4042-9e7a-1681f0119a92</t>
  </si>
  <si>
    <t>2026-05-22 10:00:19</t>
  </si>
  <si>
    <t>27780391238</t>
  </si>
  <si>
    <t>13865264</t>
  </si>
  <si>
    <t>45370c9f-1dd9-4b2d-8b69-b49670ecdd89</t>
  </si>
  <si>
    <t>2026-05-22 10:00:16</t>
  </si>
  <si>
    <t>27791544054</t>
  </si>
  <si>
    <t>13865265</t>
  </si>
  <si>
    <t>8ac2b2eb-ce42-49d5-94a1-2805686276df</t>
  </si>
  <si>
    <t>27791622220</t>
  </si>
  <si>
    <t>13865266</t>
  </si>
  <si>
    <t>8f651692-413d-46d1-94f2-98e3947b7501</t>
  </si>
  <si>
    <t>2026-05-22 10:00:15</t>
  </si>
  <si>
    <t>27792116187</t>
  </si>
  <si>
    <t>13865267</t>
  </si>
  <si>
    <t>a3f62d36-9f1e-4f27-87a3-78c4502a50f9</t>
  </si>
  <si>
    <t>27792148543</t>
  </si>
  <si>
    <t>13865002</t>
  </si>
  <si>
    <t>84cb2f2b-3b60-417d-8cad-5fc3ee29451c</t>
  </si>
  <si>
    <t>2026-05-22 09:59:38</t>
  </si>
  <si>
    <t>27797763976</t>
  </si>
  <si>
    <t>13865003</t>
  </si>
  <si>
    <t>f10d49d6-ba78-4f2c-aeb3-55a35f5db073</t>
  </si>
  <si>
    <t>27798107881</t>
  </si>
  <si>
    <t>13865004</t>
  </si>
  <si>
    <t>2d2ba72a-f730-4ce8-bfea-4d7fb88ed5d8</t>
  </si>
  <si>
    <t>27798214490</t>
  </si>
  <si>
    <t>13865005</t>
  </si>
  <si>
    <t>12e3c580-9ff1-40b9-9ee2-548c70c0f509</t>
  </si>
  <si>
    <t>27798528850</t>
  </si>
  <si>
    <t>13865268</t>
  </si>
  <si>
    <t>fe5dc98a-e1f2-4c72-8e3a-84f68298faae</t>
  </si>
  <si>
    <t>2026-05-22 09:57:43</t>
  </si>
  <si>
    <t>27792336376</t>
  </si>
  <si>
    <t>13865008</t>
  </si>
  <si>
    <t>faa3588a-044c-4be8-8053-482faf2e6212</t>
  </si>
  <si>
    <t>2026-05-22 09:57:37</t>
  </si>
  <si>
    <t>27798874811</t>
  </si>
  <si>
    <t>13865012</t>
  </si>
  <si>
    <t>31d36a83-cea7-40a9-9e64-80f632621ca8</t>
  </si>
  <si>
    <t>27799263759</t>
  </si>
  <si>
    <t>e662792c-0470-491c-b870-1cb260aefbed</t>
  </si>
  <si>
    <t>2026-05-22 09:57:36</t>
  </si>
  <si>
    <t>27798666590</t>
  </si>
  <si>
    <t>13865009</t>
  </si>
  <si>
    <t>831a947c-f357-4fd1-bba1-695da4d799e7</t>
  </si>
  <si>
    <t>27799153420</t>
  </si>
  <si>
    <t>13865269</t>
  </si>
  <si>
    <t>e2f953ff-d9ee-4f5c-aa3d-78af36eb94a0</t>
  </si>
  <si>
    <t>27792699323</t>
  </si>
  <si>
    <t>2026-05-22 09:55:28</t>
  </si>
  <si>
    <t>13865270</t>
  </si>
  <si>
    <t>74d82b3a-c413-4c99-9de6-501075f0e0c1</t>
  </si>
  <si>
    <t>27792718092</t>
  </si>
  <si>
    <t>13865271</t>
  </si>
  <si>
    <t>2a14a2f1-1a5c-49d4-98ae-f9d541428ec5</t>
  </si>
  <si>
    <t>27792938150</t>
  </si>
  <si>
    <t>13865273</t>
  </si>
  <si>
    <t>3af67be3-9d34-4fb7-ba06-8f0800af6dd2</t>
  </si>
  <si>
    <t>27793153925</t>
  </si>
  <si>
    <t>13865026</t>
  </si>
  <si>
    <t>f374d315-b57e-40c0-a955-d463e83ae69b</t>
  </si>
  <si>
    <t>27822045713</t>
  </si>
  <si>
    <t>2026-05-22 09:54:47</t>
  </si>
  <si>
    <t>13865024</t>
  </si>
  <si>
    <t>6ca08311-b0f0-44e6-b012-c46a40c8d151</t>
  </si>
  <si>
    <t>27820743800</t>
  </si>
  <si>
    <t>2026-05-22 09:54:35</t>
  </si>
  <si>
    <t>13865278</t>
  </si>
  <si>
    <t>986f5099-8b0a-4e5a-9a46-516a75fa3d9c</t>
  </si>
  <si>
    <t>27794074415</t>
  </si>
  <si>
    <t>2026-05-22 09:54:18</t>
  </si>
  <si>
    <t>13865023</t>
  </si>
  <si>
    <t>4e6b1a38-014d-4f53-80db-60c62f4dd2e8</t>
  </si>
  <si>
    <t>2026-05-22 09:54:14</t>
  </si>
  <si>
    <t>27820698277</t>
  </si>
  <si>
    <t>13865025</t>
  </si>
  <si>
    <t>2757af63-95a1-487d-9870-4372e0393967</t>
  </si>
  <si>
    <t>27822045456</t>
  </si>
  <si>
    <t>13861417</t>
  </si>
  <si>
    <t>56f960a5-1b3f-4ff3-a046-be5ca622fbbd</t>
  </si>
  <si>
    <t>27607147799</t>
  </si>
  <si>
    <t>2026-05-22 09:54:11</t>
  </si>
  <si>
    <t>13865279</t>
  </si>
  <si>
    <t>a7702b01-637c-4bd8-b2fe-8fc752c0d97e</t>
  </si>
  <si>
    <t>2026-05-22 09:53:07</t>
  </si>
  <si>
    <t>27794157565</t>
  </si>
  <si>
    <t>13862598</t>
  </si>
  <si>
    <t>86c5e90e-235d-44f7-8d91-9cc59b7bdede</t>
  </si>
  <si>
    <t>2026-05-22 09:53:03</t>
  </si>
  <si>
    <t>27721109101</t>
  </si>
  <si>
    <t>13862595</t>
  </si>
  <si>
    <t>943c35ec-db50-4c04-bbf3-aa4f61876baf</t>
  </si>
  <si>
    <t>2026-05-22 09:53:02</t>
  </si>
  <si>
    <t>27720349887</t>
  </si>
  <si>
    <t>13862597</t>
  </si>
  <si>
    <t>a3a62c61-555d-4609-9dd3-c90cdc67bcc9</t>
  </si>
  <si>
    <t>27721072030</t>
  </si>
  <si>
    <t>13862592</t>
  </si>
  <si>
    <t>ce3740ea-d23c-4c42-9d12-951cc2602314</t>
  </si>
  <si>
    <t>27715888638</t>
  </si>
  <si>
    <t>13862593</t>
  </si>
  <si>
    <t>4f090d32-d9c1-4f3b-804c-c2e3bda5d6bc</t>
  </si>
  <si>
    <t>27720219012</t>
  </si>
  <si>
    <t>13865281</t>
  </si>
  <si>
    <t>fc298267-b6d3-4425-920a-1b970375f234</t>
  </si>
  <si>
    <t>27794509854</t>
  </si>
  <si>
    <t>13862588</t>
  </si>
  <si>
    <t>03db51bc-0e22-487f-a778-be4fecfcfe31</t>
  </si>
  <si>
    <t>2026-05-22 09:53:01</t>
  </si>
  <si>
    <t>27713272500</t>
  </si>
  <si>
    <t>13862590</t>
  </si>
  <si>
    <t>917a064b-dcad-4a08-a7c3-62aa670b3ed0</t>
  </si>
  <si>
    <t>27715225638</t>
  </si>
  <si>
    <t>13865282</t>
  </si>
  <si>
    <t>d95de871-7b15-4b84-bcdd-683ddf69e3ab</t>
  </si>
  <si>
    <t>2026-05-22 09:52:00</t>
  </si>
  <si>
    <t>27794577142</t>
  </si>
  <si>
    <t>13865033</t>
  </si>
  <si>
    <t>0cfec353-d1b2-4d6f-8990-7c885662ba96</t>
  </si>
  <si>
    <t>2026-05-22 09:51:55</t>
  </si>
  <si>
    <t>27823540757</t>
  </si>
  <si>
    <t>13865035</t>
  </si>
  <si>
    <t>95f36697-eb47-4fc5-a238-c329ddcf92cf</t>
  </si>
  <si>
    <t>27824030289</t>
  </si>
  <si>
    <t>13865032</t>
  </si>
  <si>
    <t>38f65e22-46d2-456f-aa85-4a2b0a852669</t>
  </si>
  <si>
    <t>2026-05-22 09:51:54</t>
  </si>
  <si>
    <t>27823277267</t>
  </si>
  <si>
    <t>13865034</t>
  </si>
  <si>
    <t>2592f0f2-ae07-45a0-856f-a63e2de11d6d</t>
  </si>
  <si>
    <t>27823886571</t>
  </si>
  <si>
    <t>13861084</t>
  </si>
  <si>
    <t>c5d4ca87-d640-4db8-b8be-7c1dd38b63af</t>
  </si>
  <si>
    <t>27606185640</t>
  </si>
  <si>
    <t>2026-05-22 09:51:27</t>
  </si>
  <si>
    <t>13865288</t>
  </si>
  <si>
    <t>1c7c2b29-57af-471c-a3cc-9dbb4a5a6b5b</t>
  </si>
  <si>
    <t>2026-05-22 09:49:47</t>
  </si>
  <si>
    <t>27796784923</t>
  </si>
  <si>
    <t>13865289</t>
  </si>
  <si>
    <t>83d56909-c091-4fcb-9bd9-8bc804c5e2bf</t>
  </si>
  <si>
    <t>27796891253</t>
  </si>
  <si>
    <t>13865049</t>
  </si>
  <si>
    <t>e2b42919-60de-4d78-a5a0-4fc5ace04515</t>
  </si>
  <si>
    <t>2026-05-22 09:49:41</t>
  </si>
  <si>
    <t>27829291993</t>
  </si>
  <si>
    <t>13865053</t>
  </si>
  <si>
    <t>19f8ad8f-fe1a-46a9-ad13-a77a96a07da7</t>
  </si>
  <si>
    <t>27847393572</t>
  </si>
  <si>
    <t>13865054</t>
  </si>
  <si>
    <t>b9fd4228-1738-47d0-a7ed-4151a24ebef0</t>
  </si>
  <si>
    <t>27606021743</t>
  </si>
  <si>
    <t>13865057</t>
  </si>
  <si>
    <t>2a20d007-5b04-4666-b32c-6cec3413141a</t>
  </si>
  <si>
    <t>27607106923</t>
  </si>
  <si>
    <t>13865322</t>
  </si>
  <si>
    <t>20896c8c-d410-4c07-a2c1-128c7ef2ddb1</t>
  </si>
  <si>
    <t>27827536229</t>
  </si>
  <si>
    <t>2026-05-22 09:49:06</t>
  </si>
  <si>
    <t>13861413</t>
  </si>
  <si>
    <t>23b58141-eb91-4b9d-b2c0-37851cdf76bf</t>
  </si>
  <si>
    <t>2026-05-22 09:48:46</t>
  </si>
  <si>
    <t>27606116990</t>
  </si>
  <si>
    <t>13861432</t>
  </si>
  <si>
    <t>6a591693-7caf-4c56-8c1f-1aaf52033aa4</t>
  </si>
  <si>
    <t>27646699326</t>
  </si>
  <si>
    <t>2026-05-22 09:48:44</t>
  </si>
  <si>
    <t>13861433</t>
  </si>
  <si>
    <t>6668e8bf-0e95-4548-8a96-128387d40534</t>
  </si>
  <si>
    <t>27646923723</t>
  </si>
  <si>
    <t>13861434</t>
  </si>
  <si>
    <t>bfa0e639-3b90-49c9-ad5c-e1099d50dbe5</t>
  </si>
  <si>
    <t>27648180085</t>
  </si>
  <si>
    <t>13865290</t>
  </si>
  <si>
    <t>e8c322f7-2de4-47c4-a8d9-3513779ce6e1</t>
  </si>
  <si>
    <t>27797392735</t>
  </si>
  <si>
    <t>13865291</t>
  </si>
  <si>
    <t>996ef7c5-db2a-432b-a7c2-746f991bcc49</t>
  </si>
  <si>
    <t>27797966608</t>
  </si>
  <si>
    <t>13865295</t>
  </si>
  <si>
    <t>2b7950dc-ba34-4652-be45-4a751419c5a3</t>
  </si>
  <si>
    <t>2026-05-22 09:48:43</t>
  </si>
  <si>
    <t>27799442384</t>
  </si>
  <si>
    <t>13865301</t>
  </si>
  <si>
    <t>a40d36f1-06e5-42ca-b585-973511f55b9b</t>
  </si>
  <si>
    <t>27818705149</t>
  </si>
  <si>
    <t>13865302</t>
  </si>
  <si>
    <t>15a505cc-dd1e-4b86-8fcf-16f565918b46</t>
  </si>
  <si>
    <t>27818853538</t>
  </si>
  <si>
    <t>13865305</t>
  </si>
  <si>
    <t>f53292f2-901e-4f50-8c03-a2a337caaa3c</t>
  </si>
  <si>
    <t>2026-05-22 09:48:33</t>
  </si>
  <si>
    <t>27822128004</t>
  </si>
  <si>
    <t>13865306</t>
  </si>
  <si>
    <t>73cf6e20-c856-4f28-a004-81e06bf69be1</t>
  </si>
  <si>
    <t>27823533579</t>
  </si>
  <si>
    <t>13865307</t>
  </si>
  <si>
    <t>32c3313f-060a-4470-9bdb-de8e849a7e25</t>
  </si>
  <si>
    <t>2026-05-22 09:48:32</t>
  </si>
  <si>
    <t>27823542172</t>
  </si>
  <si>
    <t>13865073</t>
  </si>
  <si>
    <t>81187712-0f9f-44e2-be17-a0d5392a02ab</t>
  </si>
  <si>
    <t>27646789534</t>
  </si>
  <si>
    <t>2026-05-22 09:48:16</t>
  </si>
  <si>
    <t>13865070</t>
  </si>
  <si>
    <t>ef38cf80-e062-475a-9250-06cb878797dd</t>
  </si>
  <si>
    <t>2026-05-22 09:47:48</t>
  </si>
  <si>
    <t>27636245248</t>
  </si>
  <si>
    <t>13865071</t>
  </si>
  <si>
    <t>6bdb4929-a220-4304-b3d7-09f25e548cbd</t>
  </si>
  <si>
    <t>27636301897</t>
  </si>
  <si>
    <t>13865074</t>
  </si>
  <si>
    <t>28bb3e80-d9d6-49e5-865b-81359bb79638</t>
  </si>
  <si>
    <t>27646937571</t>
  </si>
  <si>
    <t>13861430</t>
  </si>
  <si>
    <t>4234f061-d455-4a80-b2a2-0d24df524050</t>
  </si>
  <si>
    <t>2026-05-22 09:47:12</t>
  </si>
  <si>
    <t>27637695741</t>
  </si>
  <si>
    <t>13861431</t>
  </si>
  <si>
    <t>4fade270-6a1e-48c5-abec-4b4dd48002bd</t>
  </si>
  <si>
    <t>27637802619</t>
  </si>
  <si>
    <t>13861429</t>
  </si>
  <si>
    <t>3b721f7a-60f9-4904-abe7-c5e277e7a281</t>
  </si>
  <si>
    <t>2026-05-22 09:47:11</t>
  </si>
  <si>
    <t>27637587540</t>
  </si>
  <si>
    <t>13861426</t>
  </si>
  <si>
    <t>6d447df4-0f98-4e29-9ec7-875b3dd443b3</t>
  </si>
  <si>
    <t>27636223570</t>
  </si>
  <si>
    <t>2026-05-22 09:46:43</t>
  </si>
  <si>
    <t>13861424</t>
  </si>
  <si>
    <t>5bf19ade-893c-42c2-9ef0-412436215e43</t>
  </si>
  <si>
    <t>27609472460</t>
  </si>
  <si>
    <t>2026-05-22 09:46:42</t>
  </si>
  <si>
    <t>13861423</t>
  </si>
  <si>
    <t>38160462-21dd-4639-828e-62cd0e53ea0d</t>
  </si>
  <si>
    <t>2026-05-22 09:46:08</t>
  </si>
  <si>
    <t>27609136724</t>
  </si>
  <si>
    <t>13865310</t>
  </si>
  <si>
    <t>5c8c85ee-43c8-43d4-a4c4-0d896b5a4ac0</t>
  </si>
  <si>
    <t>27823985732</t>
  </si>
  <si>
    <t>13865311</t>
  </si>
  <si>
    <t>cc9e58cf-af65-4481-9628-e62bcbba7679</t>
  </si>
  <si>
    <t>27824172693</t>
  </si>
  <si>
    <t>13865312</t>
  </si>
  <si>
    <t>69f2095e-cb22-43a8-9849-6c6d0eceb810</t>
  </si>
  <si>
    <t>27824204281</t>
  </si>
  <si>
    <t>13865319</t>
  </si>
  <si>
    <t>14d5a16b-bc72-499f-8714-17d39d277c9b</t>
  </si>
  <si>
    <t>2026-05-22 09:46:04</t>
  </si>
  <si>
    <t>27826836764</t>
  </si>
  <si>
    <t>13865320</t>
  </si>
  <si>
    <t>d3f37011-0d28-456b-996d-faad516c8474</t>
  </si>
  <si>
    <t>2026-05-22 09:45:58</t>
  </si>
  <si>
    <t>27827401747</t>
  </si>
  <si>
    <t>13865321</t>
  </si>
  <si>
    <t>7d21abe5-51c5-4d70-912c-c54182f6fe96</t>
  </si>
  <si>
    <t>2026-05-22 09:45:56</t>
  </si>
  <si>
    <t>27827468843</t>
  </si>
  <si>
    <t>13865405</t>
  </si>
  <si>
    <t>5110baa0-d763-4360-acab-8c85c0b2c982</t>
  </si>
  <si>
    <t>27715481341</t>
  </si>
  <si>
    <t>2026-05-22 09:45:29</t>
  </si>
  <si>
    <t>13865323</t>
  </si>
  <si>
    <t>61f6ab62-64c5-47c8-9035-15a3654272f9</t>
  </si>
  <si>
    <t>27827559930</t>
  </si>
  <si>
    <t>2026-05-22 09:45:26</t>
  </si>
  <si>
    <t>13865091</t>
  </si>
  <si>
    <t>95c9b954-a5a2-4a84-ac29-64a487a70aab</t>
  </si>
  <si>
    <t>2026-05-22 09:45:25</t>
  </si>
  <si>
    <t>27663852331</t>
  </si>
  <si>
    <t>13865324</t>
  </si>
  <si>
    <t>ac3d5853-8e5c-4845-996e-2c0c3ac6e836</t>
  </si>
  <si>
    <t>27827713313</t>
  </si>
  <si>
    <t>13865326</t>
  </si>
  <si>
    <t>42701612-58e6-4f04-95cb-bcaef8d48cfb</t>
  </si>
  <si>
    <t>27829313171</t>
  </si>
  <si>
    <t>13865087</t>
  </si>
  <si>
    <t>d0ca1c09-bd96-47af-a15d-9cae62367890</t>
  </si>
  <si>
    <t>2026-05-22 09:45:23</t>
  </si>
  <si>
    <t>27662430214</t>
  </si>
  <si>
    <t>13865088</t>
  </si>
  <si>
    <t>8807a725-68b6-4468-b701-6062f4a4b52b</t>
  </si>
  <si>
    <t>27663376303</t>
  </si>
  <si>
    <t>13865090</t>
  </si>
  <si>
    <t>eb458785-38e8-4da0-a9ee-603cefdf5a4a</t>
  </si>
  <si>
    <t>27663619601</t>
  </si>
  <si>
    <t>13865128</t>
  </si>
  <si>
    <t>d5462bc4-b983-4316-9c55-7fa341fd2610</t>
  </si>
  <si>
    <t>27715510195</t>
  </si>
  <si>
    <t>2026-05-22 09:45:00</t>
  </si>
  <si>
    <t>13865327</t>
  </si>
  <si>
    <t>f72442d6-08c7-4f1b-b1ea-f44cc4859e58</t>
  </si>
  <si>
    <t>2026-05-22 09:44:18</t>
  </si>
  <si>
    <t>27829565078</t>
  </si>
  <si>
    <t>13865328</t>
  </si>
  <si>
    <t>82145010-4d15-4a6d-8d93-7b0a0041fe62</t>
  </si>
  <si>
    <t>2026-05-22 09:44:15</t>
  </si>
  <si>
    <t>27835432358</t>
  </si>
  <si>
    <t>13865106</t>
  </si>
  <si>
    <t>dace7280-88cb-48bb-b48d-cb417cb0b7a6</t>
  </si>
  <si>
    <t>2026-05-22 09:44:13</t>
  </si>
  <si>
    <t>27683417469</t>
  </si>
  <si>
    <t>13865334</t>
  </si>
  <si>
    <t>2ca1107d-159f-46e3-8f5f-4854f5ddaeb4</t>
  </si>
  <si>
    <t>27606329700</t>
  </si>
  <si>
    <t>13865336</t>
  </si>
  <si>
    <t>1629410d-a218-44fa-80e9-7112c7ae2189</t>
  </si>
  <si>
    <t>27606859314</t>
  </si>
  <si>
    <t>13865337</t>
  </si>
  <si>
    <t>0c453e38-4a6a-47a5-82f2-af0404b1c528</t>
  </si>
  <si>
    <t>27607077935</t>
  </si>
  <si>
    <t>13865099</t>
  </si>
  <si>
    <t>71315974-de20-4437-921c-14434659407d</t>
  </si>
  <si>
    <t>2026-05-22 09:44:02</t>
  </si>
  <si>
    <t>27665967072</t>
  </si>
  <si>
    <t>13865101</t>
  </si>
  <si>
    <t>d40b01e5-fa57-4964-b65b-6dca442bce3d</t>
  </si>
  <si>
    <t>27673625293</t>
  </si>
  <si>
    <t>13865105</t>
  </si>
  <si>
    <t>7f86d682-0d79-435c-93d6-2dbfcb23afde</t>
  </si>
  <si>
    <t>27675499727</t>
  </si>
  <si>
    <t>13865338</t>
  </si>
  <si>
    <t>69255314-1a14-4936-a589-866684b85bb5</t>
  </si>
  <si>
    <t>2026-05-22 09:43:33</t>
  </si>
  <si>
    <t>27607180602</t>
  </si>
  <si>
    <t>13865345</t>
  </si>
  <si>
    <t>194983e9-df7f-4191-af30-a0bd0a3f323e</t>
  </si>
  <si>
    <t>2026-05-22 09:43:30</t>
  </si>
  <si>
    <t>27627963374</t>
  </si>
  <si>
    <t>13865346</t>
  </si>
  <si>
    <t>9d9518a3-9f07-4f23-9bcc-d07b79bb999e</t>
  </si>
  <si>
    <t>2026-05-22 09:43:24</t>
  </si>
  <si>
    <t>27636044103</t>
  </si>
  <si>
    <t>13865347</t>
  </si>
  <si>
    <t>b4921818-7dbf-4e22-8fea-31a662f6c3fc</t>
  </si>
  <si>
    <t>27636763265</t>
  </si>
  <si>
    <t>13865349</t>
  </si>
  <si>
    <t>9cd4b1a5-9ac7-49b2-905e-e7bbca6a309c</t>
  </si>
  <si>
    <t>27637505285</t>
  </si>
  <si>
    <t>13865119</t>
  </si>
  <si>
    <t>02149517-c116-4e29-a998-c22070b14be6</t>
  </si>
  <si>
    <t>2026-05-22 09:42:47</t>
  </si>
  <si>
    <t>27712292531</t>
  </si>
  <si>
    <t>13865350</t>
  </si>
  <si>
    <t>6a83cd05-725b-4669-8f5f-f45e7f766270</t>
  </si>
  <si>
    <t>27637603560</t>
  </si>
  <si>
    <t>13865117</t>
  </si>
  <si>
    <t>eea6a48c-70d9-431d-9499-01c6d8966bc2</t>
  </si>
  <si>
    <t>2026-05-22 09:42:04</t>
  </si>
  <si>
    <t>27712087232</t>
  </si>
  <si>
    <t>13865118</t>
  </si>
  <si>
    <t>276cd689-0a38-4593-a6f2-28fef3574320</t>
  </si>
  <si>
    <t>2026-05-22 09:42:01</t>
  </si>
  <si>
    <t>27712260627</t>
  </si>
  <si>
    <t>13865116</t>
  </si>
  <si>
    <t>74440f40-caf3-4c4b-bc08-484b296345e9</t>
  </si>
  <si>
    <t>27711978324</t>
  </si>
  <si>
    <t>13865352</t>
  </si>
  <si>
    <t>693186df-e24b-4668-9393-aba217f20773</t>
  </si>
  <si>
    <t>2026-05-22 09:41:35</t>
  </si>
  <si>
    <t>27637868143</t>
  </si>
  <si>
    <t>13865129</t>
  </si>
  <si>
    <t>19315a72-ec0f-4123-8c5f-181053c00d6b</t>
  </si>
  <si>
    <t>2026-05-22 09:41:26</t>
  </si>
  <si>
    <t>27716118634</t>
  </si>
  <si>
    <t>13865353</t>
  </si>
  <si>
    <t>0d09cb7d-307e-4348-abb7-5f670c02487f</t>
  </si>
  <si>
    <t>27637901683</t>
  </si>
  <si>
    <t>13865355</t>
  </si>
  <si>
    <t>b996bb48-d8d0-4fba-ae1f-93ce5242c8d7</t>
  </si>
  <si>
    <t>27646332885</t>
  </si>
  <si>
    <t>13865131</t>
  </si>
  <si>
    <t>debb9d0d-2e3c-47bb-b7a4-dde9ae5ec419</t>
  </si>
  <si>
    <t>27716383303</t>
  </si>
  <si>
    <t>2026-05-22 09:41:11</t>
  </si>
  <si>
    <t>3e863ba6-4642-470d-b6c0-e037c4ed277e</t>
  </si>
  <si>
    <t>2026-05-22 09:40:35</t>
  </si>
  <si>
    <t>27715057463</t>
  </si>
  <si>
    <t>13865127</t>
  </si>
  <si>
    <t>66b36101-682e-4b67-80cf-aa7ae134a61d</t>
  </si>
  <si>
    <t>27715171874</t>
  </si>
  <si>
    <t>13861369</t>
  </si>
  <si>
    <t>1a4d687c-ee7d-47ec-8b51-aba093f95366</t>
  </si>
  <si>
    <t>27790645447</t>
  </si>
  <si>
    <t>2026-05-22 09:39:52</t>
  </si>
  <si>
    <t>13865356</t>
  </si>
  <si>
    <t>16a3d9ce-b03f-443d-b1df-53ef846eff45</t>
  </si>
  <si>
    <t>2026-05-22 09:39:44</t>
  </si>
  <si>
    <t>27646580992</t>
  </si>
  <si>
    <t>13865135</t>
  </si>
  <si>
    <t>c2345271-438d-4f8b-a6e0-58dbb85a8e57</t>
  </si>
  <si>
    <t>2026-05-22 09:39:40</t>
  </si>
  <si>
    <t>27720544589</t>
  </si>
  <si>
    <t>13865133</t>
  </si>
  <si>
    <t>d28ab756-6f60-4422-aec7-c1f1153fa5f0</t>
  </si>
  <si>
    <t>2026-05-22 09:39:27</t>
  </si>
  <si>
    <t>27720309335</t>
  </si>
  <si>
    <t>4e1184c1-c968-478a-96cc-4a7aded04f64</t>
  </si>
  <si>
    <t>27720461054</t>
  </si>
  <si>
    <t>13865369</t>
  </si>
  <si>
    <t>8e2ab102-1dea-46cb-baed-51a41fc5801f</t>
  </si>
  <si>
    <t>27661971034</t>
  </si>
  <si>
    <t>2026-05-22 09:39:04</t>
  </si>
  <si>
    <t>13865138</t>
  </si>
  <si>
    <t>a27eb13a-a0d1-4906-bdc0-03d55edf2479</t>
  </si>
  <si>
    <t>2026-05-22 09:38:19</t>
  </si>
  <si>
    <t>27722184111</t>
  </si>
  <si>
    <t>13865145</t>
  </si>
  <si>
    <t>c04617ac-ce7f-47f6-b102-11263c049681</t>
  </si>
  <si>
    <t>27723323880</t>
  </si>
  <si>
    <t>13865137</t>
  </si>
  <si>
    <t>c2aa982d-a881-4451-998e-3b2f53498d20</t>
  </si>
  <si>
    <t>2026-05-22 09:38:15</t>
  </si>
  <si>
    <t>27721220826</t>
  </si>
  <si>
    <t>13865140</t>
  </si>
  <si>
    <t>bd321301-eadf-4f29-83db-e30207c9a630</t>
  </si>
  <si>
    <t>2026-05-22 09:37:48</t>
  </si>
  <si>
    <t>27722400178</t>
  </si>
  <si>
    <t>13861421</t>
  </si>
  <si>
    <t>69d29aa2-c7a2-4f01-8b2c-a2c453386440</t>
  </si>
  <si>
    <t>2026-05-22 09:37:20</t>
  </si>
  <si>
    <t>27608487243</t>
  </si>
  <si>
    <t>13861422</t>
  </si>
  <si>
    <t>93ab7751-6c1d-4307-85a8-dd78ab156295</t>
  </si>
  <si>
    <t>27608891909</t>
  </si>
  <si>
    <t>13861420</t>
  </si>
  <si>
    <t>4a9a844c-5c1a-4137-bc3b-b305db9344bb</t>
  </si>
  <si>
    <t>2026-05-22 09:37:19</t>
  </si>
  <si>
    <t>27608375952</t>
  </si>
  <si>
    <t>13861415</t>
  </si>
  <si>
    <t>60c88b6f-cedd-49a0-a8c7-e3c18ed0b16f</t>
  </si>
  <si>
    <t>2026-05-22 09:37:07</t>
  </si>
  <si>
    <t>27606251505</t>
  </si>
  <si>
    <t>13861416</t>
  </si>
  <si>
    <t>af8c07ea-b2c5-416d-9748-bb8b2a09bc9c</t>
  </si>
  <si>
    <t>27606790188</t>
  </si>
  <si>
    <t>13865370</t>
  </si>
  <si>
    <t>858eb0ec-61cf-42f8-8bc3-9c9ab27510ea</t>
  </si>
  <si>
    <t>27662495619</t>
  </si>
  <si>
    <t>13865371</t>
  </si>
  <si>
    <t>af89c245-9eda-4d3d-8653-40a9b92c9ec6</t>
  </si>
  <si>
    <t>2026-05-22 09:36:50</t>
  </si>
  <si>
    <t>27663400407</t>
  </si>
  <si>
    <t>13865373</t>
  </si>
  <si>
    <t>baf534af-b1b4-4870-b798-de1ad0ecdda0</t>
  </si>
  <si>
    <t>2026-05-22 09:36:47</t>
  </si>
  <si>
    <t>27664498850</t>
  </si>
  <si>
    <t>13865379</t>
  </si>
  <si>
    <t>a32a4505-d255-41ca-b7a3-47ab000d85cf</t>
  </si>
  <si>
    <t>2026-05-22 09:36:46</t>
  </si>
  <si>
    <t>27673492449</t>
  </si>
  <si>
    <t>13865380</t>
  </si>
  <si>
    <t>c0e327e6-ec5c-4453-a9d8-c9e789b86964</t>
  </si>
  <si>
    <t>27673575317</t>
  </si>
  <si>
    <t>13865381</t>
  </si>
  <si>
    <t>1fd0f00d-6cf6-493e-8b09-b43d81d390ff</t>
  </si>
  <si>
    <t>2026-05-22 09:36:30</t>
  </si>
  <si>
    <t>27673615762</t>
  </si>
  <si>
    <t>13865382</t>
  </si>
  <si>
    <t>2928309a-aa55-4233-812b-e64a3a2ad08e</t>
  </si>
  <si>
    <t>2026-05-22 09:36:14</t>
  </si>
  <si>
    <t>27674277844</t>
  </si>
  <si>
    <t>13865383</t>
  </si>
  <si>
    <t>ad27108e-832f-44b7-be21-abec52085db1</t>
  </si>
  <si>
    <t>27675368705</t>
  </si>
  <si>
    <t>2026-05-22 09:36:05</t>
  </si>
  <si>
    <t>13865385</t>
  </si>
  <si>
    <t>9ad7a67d-b5ed-4c7a-877e-4a4774ab9002</t>
  </si>
  <si>
    <t>27711153128</t>
  </si>
  <si>
    <t>13865159</t>
  </si>
  <si>
    <t>32630985-13f0-4388-8bfd-98000fc6fd96</t>
  </si>
  <si>
    <t>2026-05-22 09:35:42</t>
  </si>
  <si>
    <t>27724941444</t>
  </si>
  <si>
    <t>13865161</t>
  </si>
  <si>
    <t>87200ee9-c68d-4f10-a1d2-7d733e74ca34</t>
  </si>
  <si>
    <t>27725054629</t>
  </si>
  <si>
    <t>13865165</t>
  </si>
  <si>
    <t>935de38a-2d0a-4522-a3ab-515a8932e83a</t>
  </si>
  <si>
    <t>27725769283</t>
  </si>
  <si>
    <t>13865167</t>
  </si>
  <si>
    <t>ac0a2e9f-da52-4723-a596-03fc2cd7b5e2</t>
  </si>
  <si>
    <t>27726212471</t>
  </si>
  <si>
    <t>13865164</t>
  </si>
  <si>
    <t>2d3ab64b-1754-4a73-bb34-b3bae4a36e9f</t>
  </si>
  <si>
    <t>2026-05-22 09:34:40</t>
  </si>
  <si>
    <t>27725207990</t>
  </si>
  <si>
    <t>13865166</t>
  </si>
  <si>
    <t>2a46e349-1d6b-4a1c-9598-ec9baa69c162</t>
  </si>
  <si>
    <t>27725949334</t>
  </si>
  <si>
    <t>13865406</t>
  </si>
  <si>
    <t>54ed3834-cbbe-4e37-965b-af57ea06b1e9</t>
  </si>
  <si>
    <t>2026-05-22 09:33:51</t>
  </si>
  <si>
    <t>27715800483</t>
  </si>
  <si>
    <t>13865530</t>
  </si>
  <si>
    <t>52a00ee7-b34a-456c-911b-830fe93527dd</t>
  </si>
  <si>
    <t>27795231138</t>
  </si>
  <si>
    <t>13865407</t>
  </si>
  <si>
    <t>4ebfbcc4-26a9-4aca-8564-2b1788c7ddf3</t>
  </si>
  <si>
    <t>2026-05-22 09:33:49</t>
  </si>
  <si>
    <t>27715826179</t>
  </si>
  <si>
    <t>13865408</t>
  </si>
  <si>
    <t>5537921a-fcef-468f-bac2-1946be5dd7b3</t>
  </si>
  <si>
    <t>27716039283</t>
  </si>
  <si>
    <t>13865421</t>
  </si>
  <si>
    <t>547d635f-5dd7-459b-aa60-97578efe7cc9</t>
  </si>
  <si>
    <t>2026-05-22 09:33:48</t>
  </si>
  <si>
    <t>27721830665</t>
  </si>
  <si>
    <t>13865409</t>
  </si>
  <si>
    <t>2675592d-9a85-42b1-a226-381f32175bd7</t>
  </si>
  <si>
    <t>27716126811</t>
  </si>
  <si>
    <t>13861412</t>
  </si>
  <si>
    <t>92787e7a-d9f6-4446-9da3-0aa35f7abc43</t>
  </si>
  <si>
    <t>27844502222</t>
  </si>
  <si>
    <t>2026-05-22 09:33:33</t>
  </si>
  <si>
    <t>13865182</t>
  </si>
  <si>
    <t>82e12a5b-6d27-4c07-bd3f-466ba2c2c008</t>
  </si>
  <si>
    <t>27728677850</t>
  </si>
  <si>
    <t>2026-05-22 09:33:15</t>
  </si>
  <si>
    <t>13865179</t>
  </si>
  <si>
    <t>7e0ed55b-aafd-4447-b493-922993aeda1c</t>
  </si>
  <si>
    <t>2026-05-22 09:33:14</t>
  </si>
  <si>
    <t>27727832381</t>
  </si>
  <si>
    <t>13865180</t>
  </si>
  <si>
    <t>a7607f3a-715a-4212-833c-635e55cf2d52</t>
  </si>
  <si>
    <t>27728515975</t>
  </si>
  <si>
    <t>13865181</t>
  </si>
  <si>
    <t>96581767-960c-45ce-b7bd-84fc128c4cd6</t>
  </si>
  <si>
    <t>27728561732</t>
  </si>
  <si>
    <t>13865242</t>
  </si>
  <si>
    <t>4b8000f4-ada6-4cc5-a766-e2d098d76518</t>
  </si>
  <si>
    <t>27769342931</t>
  </si>
  <si>
    <t>2026-05-22 09:31:57</t>
  </si>
  <si>
    <t>13861414</t>
  </si>
  <si>
    <t>4c6f0e7b-4ed5-47a5-bdb1-bb3859a50830</t>
  </si>
  <si>
    <t>2026-05-22 09:31:21</t>
  </si>
  <si>
    <t>27606242483</t>
  </si>
  <si>
    <t>13861410</t>
  </si>
  <si>
    <t>8e49e74c-0f73-47a1-a0a2-27146f73b311</t>
  </si>
  <si>
    <t>27828611933</t>
  </si>
  <si>
    <t>2026-05-22 09:31:15</t>
  </si>
  <si>
    <t>13861411</t>
  </si>
  <si>
    <t>279f4069-cd21-4a2d-b07d-a0299149f429</t>
  </si>
  <si>
    <t>27829657250</t>
  </si>
  <si>
    <t>13861409</t>
  </si>
  <si>
    <t>828f5ce1-53e7-43b6-8f29-1357258d886c</t>
  </si>
  <si>
    <t>2026-05-22 09:31:05</t>
  </si>
  <si>
    <t>27828327358</t>
  </si>
  <si>
    <t>13861404</t>
  </si>
  <si>
    <t>4b8b80c8-3283-4cee-8ccc-55ac17123fa3</t>
  </si>
  <si>
    <t>2026-05-22 09:30:55</t>
  </si>
  <si>
    <t>27824590176</t>
  </si>
  <si>
    <t>13861405</t>
  </si>
  <si>
    <t>65aeea1b-edca-4119-82c1-1bbe5474ffef</t>
  </si>
  <si>
    <t>27825649479</t>
  </si>
  <si>
    <t>13861406</t>
  </si>
  <si>
    <t>cb64e242-2060-4649-8dba-5b4fc97c6e55</t>
  </si>
  <si>
    <t>27826385044</t>
  </si>
  <si>
    <t>449e1473-d1c8-41a9-9624-919457284c4d</t>
  </si>
  <si>
    <t>27826547061</t>
  </si>
  <si>
    <t>13861402</t>
  </si>
  <si>
    <t>1279ada8-931c-443a-ac9c-01e3d5cfd34b</t>
  </si>
  <si>
    <t>2026-05-22 09:30:54</t>
  </si>
  <si>
    <t>27823919286</t>
  </si>
  <si>
    <t>13861403</t>
  </si>
  <si>
    <t>76d0710b-f582-4bf4-a587-f8537f8668c6</t>
  </si>
  <si>
    <t>27823931904</t>
  </si>
  <si>
    <t>13865422</t>
  </si>
  <si>
    <t>fbd762aa-68cb-4bd6-ba5d-e04bd78d1c0d</t>
  </si>
  <si>
    <t>2026-05-22 09:30:07</t>
  </si>
  <si>
    <t>27721998099</t>
  </si>
  <si>
    <t>13865424</t>
  </si>
  <si>
    <t>d42fac17-7f47-44f8-be04-de6f503ab33d</t>
  </si>
  <si>
    <t>2026-05-22 09:30:01</t>
  </si>
  <si>
    <t>27722030177</t>
  </si>
  <si>
    <t>13865427</t>
  </si>
  <si>
    <t>be2b9ac4-3cce-43d4-8280-0e57cf8d899e</t>
  </si>
  <si>
    <t>27722902738</t>
  </si>
  <si>
    <t>2026-05-22 09:29:55</t>
  </si>
  <si>
    <t>13865432</t>
  </si>
  <si>
    <t>32acf668-ed4f-4377-aa4f-5133500ce2fa</t>
  </si>
  <si>
    <t>27725261188</t>
  </si>
  <si>
    <t>13865438</t>
  </si>
  <si>
    <t>fe840d9a-d56b-4d6e-b3e6-213aaf4eca5d</t>
  </si>
  <si>
    <t>2026-05-22 09:29:40</t>
  </si>
  <si>
    <t>27726569298</t>
  </si>
  <si>
    <t>13865439</t>
  </si>
  <si>
    <t>e4e49038-2615-4017-97f3-ae51ab0cf86a</t>
  </si>
  <si>
    <t>27726590981</t>
  </si>
  <si>
    <t>13865445</t>
  </si>
  <si>
    <t>80973395-d670-4053-9579-f77faaf4840b</t>
  </si>
  <si>
    <t>2026-05-22 09:29:39</t>
  </si>
  <si>
    <t>27727031136</t>
  </si>
  <si>
    <t>13865197</t>
  </si>
  <si>
    <t>7479146b-f700-4592-9781-19e662a03c4c</t>
  </si>
  <si>
    <t>27761085397</t>
  </si>
  <si>
    <t>2026-05-22 09:29:35</t>
  </si>
  <si>
    <t>13865457</t>
  </si>
  <si>
    <t>c6fcbe05-2784-4fad-a521-62cea1a88b46</t>
  </si>
  <si>
    <t>27729068631</t>
  </si>
  <si>
    <t>2026-05-22 09:29:24</t>
  </si>
  <si>
    <t>13865465</t>
  </si>
  <si>
    <t>c10c16d1-5487-4a81-a422-027cec69a0e4</t>
  </si>
  <si>
    <t>27732298888</t>
  </si>
  <si>
    <t>2026-05-22 09:29:14</t>
  </si>
  <si>
    <t>13861373</t>
  </si>
  <si>
    <t>62bc05c7-da6b-45a1-af42-71e6fad68f0c</t>
  </si>
  <si>
    <t>27792239293</t>
  </si>
  <si>
    <t>2026-05-22 09:29:06</t>
  </si>
  <si>
    <t>13865201</t>
  </si>
  <si>
    <t>9051807c-bd39-46d1-8445-18186e89f625</t>
  </si>
  <si>
    <t>27762058004</t>
  </si>
  <si>
    <t>2026-05-22 09:29:00</t>
  </si>
  <si>
    <t>13865446</t>
  </si>
  <si>
    <t>56a43957-4188-4dc8-91fc-bfcc839c1f3b</t>
  </si>
  <si>
    <t>27727038084</t>
  </si>
  <si>
    <t>13865447</t>
  </si>
  <si>
    <t>028a3225-1525-471d-814d-7fea5c9f673c</t>
  </si>
  <si>
    <t>27727066931</t>
  </si>
  <si>
    <t>13865448</t>
  </si>
  <si>
    <t>42ed4729-045e-48c4-97f8-5c0bc587bfd7</t>
  </si>
  <si>
    <t>27727174447</t>
  </si>
  <si>
    <t>13865198</t>
  </si>
  <si>
    <t>63fc14e2-5e53-463b-ba0f-1cb57421cddb</t>
  </si>
  <si>
    <t>2026-05-22 09:28:58</t>
  </si>
  <si>
    <t>27761233095</t>
  </si>
  <si>
    <t>13865199</t>
  </si>
  <si>
    <t>8b2e9872-0442-4163-bf5d-46c17359d1fa</t>
  </si>
  <si>
    <t>2026-05-22 09:28:56</t>
  </si>
  <si>
    <t>27761462668</t>
  </si>
  <si>
    <t>13861401</t>
  </si>
  <si>
    <t>2cf64610-9458-4d76-8609-a78b024e1673</t>
  </si>
  <si>
    <t>2026-05-22 09:28:33</t>
  </si>
  <si>
    <t>27823893067</t>
  </si>
  <si>
    <t>13865284</t>
  </si>
  <si>
    <t>a99d8ddb-5820-42d3-abd2-09503165b350</t>
  </si>
  <si>
    <t>27796353461</t>
  </si>
  <si>
    <t>2026-05-22 09:28:30</t>
  </si>
  <si>
    <t>13861399</t>
  </si>
  <si>
    <t>04280fb3-44d7-4a7f-9188-c53b4d898ca7</t>
  </si>
  <si>
    <t>2026-05-22 09:28:26</t>
  </si>
  <si>
    <t>27822627053</t>
  </si>
  <si>
    <t>13861400</t>
  </si>
  <si>
    <t>d2ebe5c9-4a13-4d19-995e-d279ec38290a</t>
  </si>
  <si>
    <t>27823565833</t>
  </si>
  <si>
    <t>13861396</t>
  </si>
  <si>
    <t>2fb3155a-8c68-4274-9178-7a63ff6b3480</t>
  </si>
  <si>
    <t>2026-05-22 09:28:18</t>
  </si>
  <si>
    <t>27820756041</t>
  </si>
  <si>
    <t>13861397</t>
  </si>
  <si>
    <t>b50a724b-99e4-4cd5-b5e3-08d86d82ea06</t>
  </si>
  <si>
    <t>27820863196</t>
  </si>
  <si>
    <t>13865449</t>
  </si>
  <si>
    <t>a945e6c4-424d-4378-99b1-6e676321912c</t>
  </si>
  <si>
    <t>27727190428</t>
  </si>
  <si>
    <t>13865458</t>
  </si>
  <si>
    <t>09f8abb6-a71a-45e0-9944-8faa81443b53</t>
  </si>
  <si>
    <t>27729093696</t>
  </si>
  <si>
    <t>2026-05-22 09:27:28</t>
  </si>
  <si>
    <t>13865459</t>
  </si>
  <si>
    <t>13d3e409-0af5-4c57-958a-c369ff19c575</t>
  </si>
  <si>
    <t>27729369282</t>
  </si>
  <si>
    <t>13865460</t>
  </si>
  <si>
    <t>ec4b555f-7a15-41ec-8347-d5b537fc213b</t>
  </si>
  <si>
    <t>2026-05-22 09:27:23</t>
  </si>
  <si>
    <t>27729377948</t>
  </si>
  <si>
    <t>13865461</t>
  </si>
  <si>
    <t>4db54d5f-e454-45b6-9fc3-065b1c2540db</t>
  </si>
  <si>
    <t>27729386643</t>
  </si>
  <si>
    <t>13861143</t>
  </si>
  <si>
    <t>e1db4e89-20cd-4687-8515-a6412e6479e4</t>
  </si>
  <si>
    <t>2026-05-22 09:26:55</t>
  </si>
  <si>
    <t>27722991978</t>
  </si>
  <si>
    <t>13865462</t>
  </si>
  <si>
    <t>bb39934c-e7dd-4b6f-896b-52d0183b5b51</t>
  </si>
  <si>
    <t>27729849301</t>
  </si>
  <si>
    <t>13865463</t>
  </si>
  <si>
    <t>bceab7a0-f118-42d6-bd7b-d4bde6dda481</t>
  </si>
  <si>
    <t>2026-05-22 09:26:48</t>
  </si>
  <si>
    <t>27730358406</t>
  </si>
  <si>
    <t>13865464</t>
  </si>
  <si>
    <t>0065b478-7d92-499f-a288-3a13e011ad4c</t>
  </si>
  <si>
    <t>27731771817</t>
  </si>
  <si>
    <t>2026-05-22 09:26:45</t>
  </si>
  <si>
    <t>13865222</t>
  </si>
  <si>
    <t>6b124478-2678-45d5-80eb-0fb7e081fe81</t>
  </si>
  <si>
    <t>27766117976</t>
  </si>
  <si>
    <t>2026-05-22 09:26:44</t>
  </si>
  <si>
    <t>13865219</t>
  </si>
  <si>
    <t>b86d70f6-8813-4a08-adc5-a15f36a02855</t>
  </si>
  <si>
    <t>2026-05-22 09:26:38</t>
  </si>
  <si>
    <t>27765641246</t>
  </si>
  <si>
    <t>13865221</t>
  </si>
  <si>
    <t>5a1fe33d-f35b-414c-b971-7f69c947b4ee</t>
  </si>
  <si>
    <t>27765837837</t>
  </si>
  <si>
    <t>13861393</t>
  </si>
  <si>
    <t>8b43f264-27ab-45f8-a130-80b410200647</t>
  </si>
  <si>
    <t>2026-05-22 09:25:40</t>
  </si>
  <si>
    <t>27798991952</t>
  </si>
  <si>
    <t>13861390</t>
  </si>
  <si>
    <t>3e2b8e0c-7c51-414c-9004-b1e5dd4761c2</t>
  </si>
  <si>
    <t>2026-05-22 09:25:39</t>
  </si>
  <si>
    <t>27796629160</t>
  </si>
  <si>
    <t>13861392</t>
  </si>
  <si>
    <t>07c47958-2343-449d-87cf-f39ff9b8406e</t>
  </si>
  <si>
    <t>27798590392</t>
  </si>
  <si>
    <t>13861388</t>
  </si>
  <si>
    <t>92da7bca-20d7-47cf-b249-22379b7de63f</t>
  </si>
  <si>
    <t>2026-05-22 09:25:34</t>
  </si>
  <si>
    <t>27796349789</t>
  </si>
  <si>
    <t>13861389</t>
  </si>
  <si>
    <t>2033c780-2785-459f-9f84-32b84b0891c8</t>
  </si>
  <si>
    <t>27796473727</t>
  </si>
  <si>
    <t>13861385</t>
  </si>
  <si>
    <t>7ca57080-8b53-4230-8fff-97def88b7763</t>
  </si>
  <si>
    <t>2026-05-22 09:25:33</t>
  </si>
  <si>
    <t>27795601790</t>
  </si>
  <si>
    <t>13861386</t>
  </si>
  <si>
    <t>3aa4b5be-aee4-4bb3-83fd-614584783e3f</t>
  </si>
  <si>
    <t>27796169880</t>
  </si>
  <si>
    <t>13861387</t>
  </si>
  <si>
    <t>ca17f0e2-097f-4b72-bbee-8f5036a4a17b</t>
  </si>
  <si>
    <t>27796324418</t>
  </si>
  <si>
    <t>13865467</t>
  </si>
  <si>
    <t>0bff012c-f737-4915-b1fd-e3ad33104f81</t>
  </si>
  <si>
    <t>2026-05-22 09:25:29</t>
  </si>
  <si>
    <t>27747907505</t>
  </si>
  <si>
    <t>13865468</t>
  </si>
  <si>
    <t>67f5eb09-ade5-443a-a0ca-6a7d7daf690e</t>
  </si>
  <si>
    <t>27760697439</t>
  </si>
  <si>
    <t>13865474</t>
  </si>
  <si>
    <t>6fba17a1-9ef4-4fc5-9a17-7be0200c2c26</t>
  </si>
  <si>
    <t>2026-05-22 09:25:28</t>
  </si>
  <si>
    <t>27761801804</t>
  </si>
  <si>
    <t>13865241</t>
  </si>
  <si>
    <t>42a2ced8-630b-40a4-8177-30a2b56a24db</t>
  </si>
  <si>
    <t>27769245516</t>
  </si>
  <si>
    <t>2026-05-22 09:25:17</t>
  </si>
  <si>
    <t>13865476</t>
  </si>
  <si>
    <t>21657ae9-5efb-4a18-aa60-d532e275d42c</t>
  </si>
  <si>
    <t>2026-05-22 09:24:57</t>
  </si>
  <si>
    <t>27761958059</t>
  </si>
  <si>
    <t>13865477</t>
  </si>
  <si>
    <t>a953cc4a-8f07-4b48-9495-508efdd7dff3</t>
  </si>
  <si>
    <t>2026-05-22 09:24:54</t>
  </si>
  <si>
    <t>27762258295</t>
  </si>
  <si>
    <t>13865483</t>
  </si>
  <si>
    <t>5a318355-66b5-4e0c-b513-1959828cc5a6</t>
  </si>
  <si>
    <t>2026-05-22 09:24:51</t>
  </si>
  <si>
    <t>27764563764</t>
  </si>
  <si>
    <t>13865484</t>
  </si>
  <si>
    <t>c557a495-f728-44ee-87d8-94856db4a35b</t>
  </si>
  <si>
    <t>27764646603</t>
  </si>
  <si>
    <t>13865485</t>
  </si>
  <si>
    <t>f50bce92-20c8-4779-91f4-d7b8e9e1f4f6</t>
  </si>
  <si>
    <t>27764691071</t>
  </si>
  <si>
    <t>13865486</t>
  </si>
  <si>
    <t>ec30cbb4-ce16-4367-bc09-217c473d84bf</t>
  </si>
  <si>
    <t>27764858229</t>
  </si>
  <si>
    <t>13865487</t>
  </si>
  <si>
    <t>e30c2306-6b74-451d-85aa-5fe3b6a0317f</t>
  </si>
  <si>
    <t>2026-05-22 09:24:50</t>
  </si>
  <si>
    <t>27764943393</t>
  </si>
  <si>
    <t>13865240</t>
  </si>
  <si>
    <t>4872dcc7-982b-4b33-a5a2-f05484b714fd</t>
  </si>
  <si>
    <t>2026-05-22 09:24:36</t>
  </si>
  <si>
    <t>27769079235</t>
  </si>
  <si>
    <t>13861383</t>
  </si>
  <si>
    <t>ca380751-1104-4ef9-929e-703680c0f02e</t>
  </si>
  <si>
    <t>2026-05-22 09:24:04</t>
  </si>
  <si>
    <t>27794740221</t>
  </si>
  <si>
    <t>13861384</t>
  </si>
  <si>
    <t>8fc54cb6-781d-4adb-9238-5d6b60b8257c</t>
  </si>
  <si>
    <t>27794860360</t>
  </si>
  <si>
    <t>13861379</t>
  </si>
  <si>
    <t>941f2d2a-f81f-40b4-9628-6ffd888f9bc0</t>
  </si>
  <si>
    <t>2026-05-22 09:23:31</t>
  </si>
  <si>
    <t>27793940671</t>
  </si>
  <si>
    <t>13861380</t>
  </si>
  <si>
    <t>1ba5bbfa-29f8-46d7-8722-c665f79dbffb</t>
  </si>
  <si>
    <t>27794188232</t>
  </si>
  <si>
    <t>13861381</t>
  </si>
  <si>
    <t>55d7ee67-e02b-4b37-989a-e7a8fb2c93b8</t>
  </si>
  <si>
    <t>27794246038</t>
  </si>
  <si>
    <t>13861382</t>
  </si>
  <si>
    <t>70f67b85-537a-4cea-815e-4a6cee391694</t>
  </si>
  <si>
    <t>27794255166</t>
  </si>
  <si>
    <t>13861378</t>
  </si>
  <si>
    <t>75a3321f-f988-4e93-9421-897c0edda216</t>
  </si>
  <si>
    <t>2026-05-22 09:23:28</t>
  </si>
  <si>
    <t>27793794401</t>
  </si>
  <si>
    <t>13861374</t>
  </si>
  <si>
    <t>0338519a-c4ff-4658-8ce1-5c92ad3f9ce6</t>
  </si>
  <si>
    <t>2026-05-22 09:22:56</t>
  </si>
  <si>
    <t>27792545957</t>
  </si>
  <si>
    <t>13861376</t>
  </si>
  <si>
    <t>2e7dc97a-e746-4289-a7b5-65920fc86e9d</t>
  </si>
  <si>
    <t>27792783423</t>
  </si>
  <si>
    <t>13861377</t>
  </si>
  <si>
    <t>a241619e-8bfb-4c1b-8081-7594cc95572c</t>
  </si>
  <si>
    <t>27793052484</t>
  </si>
  <si>
    <t>13865491</t>
  </si>
  <si>
    <t>ed5c5839-7146-4d51-aa21-f475736405c4</t>
  </si>
  <si>
    <t>27765901565</t>
  </si>
  <si>
    <t>2026-05-22 09:22:48</t>
  </si>
  <si>
    <t>13865500</t>
  </si>
  <si>
    <t>5a66bc1d-d3fd-4b94-9940-c9d89c32e751</t>
  </si>
  <si>
    <t>2026-05-22 09:22:47</t>
  </si>
  <si>
    <t>27768098496</t>
  </si>
  <si>
    <t>13865501</t>
  </si>
  <si>
    <t>7d89b2f2-cde3-4225-a9cf-96fae435746b</t>
  </si>
  <si>
    <t>2026-05-22 09:22:30</t>
  </si>
  <si>
    <t>27768454665</t>
  </si>
  <si>
    <t>13865502</t>
  </si>
  <si>
    <t>2ea2344c-9e3b-4bd1-ada7-85cc84378e97</t>
  </si>
  <si>
    <t>2026-05-22 09:22:29</t>
  </si>
  <si>
    <t>27768785735</t>
  </si>
  <si>
    <t>13865503</t>
  </si>
  <si>
    <t>5f76a709-06cd-4985-85c5-39d23390e9f7</t>
  </si>
  <si>
    <t>2026-05-22 09:22:26</t>
  </si>
  <si>
    <t>27769576245</t>
  </si>
  <si>
    <t>13865505</t>
  </si>
  <si>
    <t>1fced493-2af3-444e-bca1-0981d5252467</t>
  </si>
  <si>
    <t>2026-05-22 09:22:24</t>
  </si>
  <si>
    <t>27772789674</t>
  </si>
  <si>
    <t>13865507</t>
  </si>
  <si>
    <t>56874f8d-1345-422d-9b8e-ccfdc5ceee32</t>
  </si>
  <si>
    <t>27782000465</t>
  </si>
  <si>
    <t>13865508</t>
  </si>
  <si>
    <t>b98bb089-b5f9-4021-9253-6005342f3796</t>
  </si>
  <si>
    <t>2026-05-22 09:22:23</t>
  </si>
  <si>
    <t>27782123636</t>
  </si>
  <si>
    <t>13865509</t>
  </si>
  <si>
    <t>f101eab1-4301-41b7-9a35-326faaf8ac78</t>
  </si>
  <si>
    <t>27782862720</t>
  </si>
  <si>
    <t>13865510</t>
  </si>
  <si>
    <t>e8be4d53-6be3-47c3-9b65-7167e75bccad</t>
  </si>
  <si>
    <t>2026-05-22 09:22:18</t>
  </si>
  <si>
    <t>27790614374</t>
  </si>
  <si>
    <t>e936a5f6-287a-44c0-9bf0-e1771488682e</t>
  </si>
  <si>
    <t>2026-05-22 09:22:17</t>
  </si>
  <si>
    <t>27790929225</t>
  </si>
  <si>
    <t>13865254</t>
  </si>
  <si>
    <t>a26db77d-023f-42bc-928d-c95f774c99f0</t>
  </si>
  <si>
    <t>2026-05-22 09:22:16</t>
  </si>
  <si>
    <t>27785336457</t>
  </si>
  <si>
    <t>13865263</t>
  </si>
  <si>
    <t>99aa5359-df30-4a1b-b8b5-c2c20a51282b</t>
  </si>
  <si>
    <t>27791181634</t>
  </si>
  <si>
    <t>13865256</t>
  </si>
  <si>
    <t>590a7bdf-bad3-42ff-8dc5-1866e8647a34</t>
  </si>
  <si>
    <t>2026-05-22 09:22:15</t>
  </si>
  <si>
    <t>27790285695</t>
  </si>
  <si>
    <t>13865262</t>
  </si>
  <si>
    <t>266da937-a702-4f96-a59f-86c714a8bd5f</t>
  </si>
  <si>
    <t>27791078664</t>
  </si>
  <si>
    <t>2026-05-22 09:21:42</t>
  </si>
  <si>
    <t>13865260</t>
  </si>
  <si>
    <t>92c3a5e1-0e8a-4e32-a85c-97893efe30b8</t>
  </si>
  <si>
    <t>2026-05-22 09:21:11</t>
  </si>
  <si>
    <t>27791054872</t>
  </si>
  <si>
    <t>13865259</t>
  </si>
  <si>
    <t>25a8c065-fa1e-4550-aae1-acd807262ff3</t>
  </si>
  <si>
    <t>2026-05-22 09:21:04</t>
  </si>
  <si>
    <t>27790995339</t>
  </si>
  <si>
    <t>13865261</t>
  </si>
  <si>
    <t>21474d95-a292-45ee-bff3-8e405447398d</t>
  </si>
  <si>
    <t>2026-05-22 09:20:58</t>
  </si>
  <si>
    <t>27791056818</t>
  </si>
  <si>
    <t>13861371</t>
  </si>
  <si>
    <t>344996f0-6481-401a-8ab2-a7054b39ed32</t>
  </si>
  <si>
    <t>2026-05-22 09:20:56</t>
  </si>
  <si>
    <t>27790844175</t>
  </si>
  <si>
    <t>13861367</t>
  </si>
  <si>
    <t>55490962-b5b6-4800-91e5-04693cdb7b95</t>
  </si>
  <si>
    <t>2026-05-22 09:20:55</t>
  </si>
  <si>
    <t>27790326068</t>
  </si>
  <si>
    <t>13861368</t>
  </si>
  <si>
    <t>245666a2-dd4c-46ab-b9a6-31331ca957c2</t>
  </si>
  <si>
    <t>27790542905</t>
  </si>
  <si>
    <t>13861366</t>
  </si>
  <si>
    <t>d65b628c-0a66-4793-be75-2f89c39a7f9a</t>
  </si>
  <si>
    <t>2026-05-22 09:20:48</t>
  </si>
  <si>
    <t>27790252767</t>
  </si>
  <si>
    <t>13861365</t>
  </si>
  <si>
    <t>ca760aa5-590f-4134-a552-65bba2ccbe5e</t>
  </si>
  <si>
    <t>2026-05-22 09:20:44</t>
  </si>
  <si>
    <t>27790120733</t>
  </si>
  <si>
    <t>13861364</t>
  </si>
  <si>
    <t>58646e17-699b-4092-9409-bf6663d2d593</t>
  </si>
  <si>
    <t>2026-05-22 09:20:32</t>
  </si>
  <si>
    <t>27783641836</t>
  </si>
  <si>
    <t>13865518</t>
  </si>
  <si>
    <t>cbb223fe-1b71-4bec-ba0d-4122c544c2cf</t>
  </si>
  <si>
    <t>27791709585</t>
  </si>
  <si>
    <t>13865551</t>
  </si>
  <si>
    <t>b6d41152-b219-405d-af62-160aecb777a4</t>
  </si>
  <si>
    <t>27799712498</t>
  </si>
  <si>
    <t>2026-05-22 09:20:16</t>
  </si>
  <si>
    <t>13865519</t>
  </si>
  <si>
    <t>ff6eca72-ea0b-4a1d-b3cb-9c9326515d51</t>
  </si>
  <si>
    <t>2026-05-22 09:19:46</t>
  </si>
  <si>
    <t>27791925370</t>
  </si>
  <si>
    <t>13865526</t>
  </si>
  <si>
    <t>3345a233-8c98-4f9f-beaf-3ee4ce2ce8ba</t>
  </si>
  <si>
    <t>2026-05-22 09:19:45</t>
  </si>
  <si>
    <t>27794386575</t>
  </si>
  <si>
    <t>13865527</t>
  </si>
  <si>
    <t>d0b3263e-3bd1-45a1-b902-6b5ca01111b6</t>
  </si>
  <si>
    <t>27794395583</t>
  </si>
  <si>
    <t>13865528</t>
  </si>
  <si>
    <t>404608f9-5f3a-47b6-8d56-4057fec36f4c</t>
  </si>
  <si>
    <t>27794514656</t>
  </si>
  <si>
    <t>13865529</t>
  </si>
  <si>
    <t>7978a311-f1d6-43f5-8918-9ad742df821e</t>
  </si>
  <si>
    <t>27794946836</t>
  </si>
  <si>
    <t>2026-05-22 09:19:36</t>
  </si>
  <si>
    <t>13865277</t>
  </si>
  <si>
    <t>cb994437-d2f2-450c-b22a-c823642a19bf</t>
  </si>
  <si>
    <t>2026-05-22 09:19:30</t>
  </si>
  <si>
    <t>27794040574</t>
  </si>
  <si>
    <t>13865537</t>
  </si>
  <si>
    <t>8ebeeae2-dc88-4eaf-bc69-46dae79a9a4a</t>
  </si>
  <si>
    <t>27796666791</t>
  </si>
  <si>
    <t>13865538</t>
  </si>
  <si>
    <t>db2544a0-6ec1-41f8-b8bd-8ede683ddacf</t>
  </si>
  <si>
    <t>27796744758</t>
  </si>
  <si>
    <t>13865550</t>
  </si>
  <si>
    <t>1eeeb62f-0db5-491b-b9bf-98c4a766de81</t>
  </si>
  <si>
    <t>27799457325</t>
  </si>
  <si>
    <t>13865274</t>
  </si>
  <si>
    <t>26bdd8d1-c0ce-4df4-b0fd-05e972c8f4a4</t>
  </si>
  <si>
    <t>2026-05-22 09:19:29</t>
  </si>
  <si>
    <t>27793709445</t>
  </si>
  <si>
    <t>13865275</t>
  </si>
  <si>
    <t>4ea09c6b-712e-4e83-8d4a-31c537d833e9</t>
  </si>
  <si>
    <t>27793811945</t>
  </si>
  <si>
    <t>13865276</t>
  </si>
  <si>
    <t>0915a33f-ac91-4c6e-8951-0ca7119372a6</t>
  </si>
  <si>
    <t>2026-05-22 09:19:28</t>
  </si>
  <si>
    <t>27793984279</t>
  </si>
  <si>
    <t>13861358</t>
  </si>
  <si>
    <t>7f03fa72-0edb-4a5a-94c8-c2ee5d2fbcf8</t>
  </si>
  <si>
    <t>27769191047</t>
  </si>
  <si>
    <t>2026-05-22 09:19:10</t>
  </si>
  <si>
    <t>13865552</t>
  </si>
  <si>
    <t>178b9f3f-781f-412c-a359-3af34aabd655</t>
  </si>
  <si>
    <t>2026-05-22 09:19:07</t>
  </si>
  <si>
    <t>27814818086</t>
  </si>
  <si>
    <t>13865286</t>
  </si>
  <si>
    <t>205beece-9c79-4484-99b7-8449e89b7f04</t>
  </si>
  <si>
    <t>2026-05-22 09:19:04</t>
  </si>
  <si>
    <t>27796684843</t>
  </si>
  <si>
    <t>13865553</t>
  </si>
  <si>
    <t>6ff16026-5f64-4ce5-a75e-678fa715e717</t>
  </si>
  <si>
    <t>27817200084</t>
  </si>
  <si>
    <t>13865559</t>
  </si>
  <si>
    <t>817b1831-ff86-4377-b729-4da4eb90ace1</t>
  </si>
  <si>
    <t>27820972506</t>
  </si>
  <si>
    <t>13865283</t>
  </si>
  <si>
    <t>f32e6de5-bd43-470e-84a5-16788894b83f</t>
  </si>
  <si>
    <t>2026-05-22 09:17:38</t>
  </si>
  <si>
    <t>27794794094</t>
  </si>
  <si>
    <t>13865285</t>
  </si>
  <si>
    <t>b4b931fe-5baf-455b-92bb-403cc4f34c0f</t>
  </si>
  <si>
    <t>27796396458</t>
  </si>
  <si>
    <t>5281e702-269c-4050-a591-76d298fc6b8e</t>
  </si>
  <si>
    <t>2026-05-22 09:17:06</t>
  </si>
  <si>
    <t>27825315980</t>
  </si>
  <si>
    <t>13865570</t>
  </si>
  <si>
    <t>5a052866-5946-43fb-b16f-c9d7d9da51b2</t>
  </si>
  <si>
    <t>27825477917</t>
  </si>
  <si>
    <t>13865577</t>
  </si>
  <si>
    <t>944ded81-cb90-4eb7-9d3e-7c61bf5b7e97</t>
  </si>
  <si>
    <t>27827483012</t>
  </si>
  <si>
    <t>13865583</t>
  </si>
  <si>
    <t>3ac0d8bf-04df-4f34-bc45-bcb8fd07d4f2</t>
  </si>
  <si>
    <t>27829523739</t>
  </si>
  <si>
    <t>13865300</t>
  </si>
  <si>
    <t>380d56ee-cf35-46ff-9e5e-aa9ab441c573</t>
  </si>
  <si>
    <t>2026-05-22 09:16:04</t>
  </si>
  <si>
    <t>27818486541</t>
  </si>
  <si>
    <t>13865584</t>
  </si>
  <si>
    <t>3195f84d-5f27-4cdc-858d-fd2cc9461418</t>
  </si>
  <si>
    <t>DNCLIFE</t>
  </si>
  <si>
    <t>27834212927</t>
  </si>
  <si>
    <t>13865585</t>
  </si>
  <si>
    <t>8ce43929-64e0-4c02-84a1-150d52b60802</t>
  </si>
  <si>
    <t>27835449775</t>
  </si>
  <si>
    <t>13865586</t>
  </si>
  <si>
    <t>5eccc384-f89b-40b3-bad4-83a849360326</t>
  </si>
  <si>
    <t>27839407280</t>
  </si>
  <si>
    <t>13865298</t>
  </si>
  <si>
    <t>ca38caa8-e3fd-43b2-8bd6-202db5f57e09</t>
  </si>
  <si>
    <t>2026-05-22 09:16:01</t>
  </si>
  <si>
    <t>27818197201</t>
  </si>
  <si>
    <t>13865296</t>
  </si>
  <si>
    <t>8b37a594-37aa-42e2-89fb-f118667bfdea</t>
  </si>
  <si>
    <t>2026-05-22 09:15:35</t>
  </si>
  <si>
    <t>27799757314</t>
  </si>
  <si>
    <t>13865299</t>
  </si>
  <si>
    <t>d5969d28-2a2d-404a-b396-8267ce749b0a</t>
  </si>
  <si>
    <t>27818244119</t>
  </si>
  <si>
    <t>13861363</t>
  </si>
  <si>
    <t>21ae1331-dce0-431c-bc61-10db9cb2614c</t>
  </si>
  <si>
    <t>2026-05-22 09:14:48</t>
  </si>
  <si>
    <t>27769788150</t>
  </si>
  <si>
    <t>13861361</t>
  </si>
  <si>
    <t>fec784c8-0a12-44b1-a57b-e807b87708a5</t>
  </si>
  <si>
    <t>2026-05-22 09:14:45</t>
  </si>
  <si>
    <t>27769516603</t>
  </si>
  <si>
    <t>6e932293-d0c5-4f9c-8097-13225fd337cc</t>
  </si>
  <si>
    <t>2026-05-22 09:14:44</t>
  </si>
  <si>
    <t>27769390047</t>
  </si>
  <si>
    <t>13861357</t>
  </si>
  <si>
    <t>a746f53a-256d-463d-8d40-2dac366f005d</t>
  </si>
  <si>
    <t>2026-05-22 09:14:31</t>
  </si>
  <si>
    <t>27768892183</t>
  </si>
  <si>
    <t>13861355</t>
  </si>
  <si>
    <t>abb11d80-1823-47f2-a2f2-a940b3b6b89e</t>
  </si>
  <si>
    <t>2026-05-22 09:14:15</t>
  </si>
  <si>
    <t>27768023276</t>
  </si>
  <si>
    <t>13861354</t>
  </si>
  <si>
    <t>3b2bf6f6-f113-4da1-b022-3e5b1cd07381</t>
  </si>
  <si>
    <t>2026-05-22 09:14:14</t>
  </si>
  <si>
    <t>27767659262</t>
  </si>
  <si>
    <t>13861353</t>
  </si>
  <si>
    <t>3c8c9838-c637-48cc-99c0-1281da4fbfbf</t>
  </si>
  <si>
    <t>2026-05-22 09:14:13</t>
  </si>
  <si>
    <t>27767268485</t>
  </si>
  <si>
    <t>13865587</t>
  </si>
  <si>
    <t>d2154cc4-6683-4bd2-b3f2-8b0636484364</t>
  </si>
  <si>
    <t>27847043839</t>
  </si>
  <si>
    <t>13865601</t>
  </si>
  <si>
    <t>58b25d39-c150-41e2-8e27-e20dd5976c2d</t>
  </si>
  <si>
    <t>27624138256</t>
  </si>
  <si>
    <t>2026-05-22 09:13:52</t>
  </si>
  <si>
    <t>13865634</t>
  </si>
  <si>
    <t>dd83cd79-0530-4974-8175-4ccd7bd18ee3</t>
  </si>
  <si>
    <t>27663528678</t>
  </si>
  <si>
    <t>2026-05-22 09:13:43</t>
  </si>
  <si>
    <t>13865594</t>
  </si>
  <si>
    <t>84e46d8d-461d-405a-abad-3448b4415995</t>
  </si>
  <si>
    <t>2026-05-22 09:13:41</t>
  </si>
  <si>
    <t>27606667695</t>
  </si>
  <si>
    <t>13865595</t>
  </si>
  <si>
    <t>585edfdd-ff05-4e33-9339-d77f5876dbaa</t>
  </si>
  <si>
    <t>2026-05-22 09:13:37</t>
  </si>
  <si>
    <t>27607015533</t>
  </si>
  <si>
    <t>13865600</t>
  </si>
  <si>
    <t>c1f89d02-c03c-43fc-8da6-b82f0d1b5ff6</t>
  </si>
  <si>
    <t>2026-05-22 09:13:35</t>
  </si>
  <si>
    <t>27620433877</t>
  </si>
  <si>
    <t>13865625</t>
  </si>
  <si>
    <t>e117dab1-c6bc-40f1-8013-6a212def04cd</t>
  </si>
  <si>
    <t>2026-05-22 09:13:31</t>
  </si>
  <si>
    <t>27661621811</t>
  </si>
  <si>
    <t>13865626</t>
  </si>
  <si>
    <t>0af4c1d3-a374-4c67-a57d-8b1ad4f4ac80</t>
  </si>
  <si>
    <t>2026-05-22 09:13:20</t>
  </si>
  <si>
    <t>27661749422</t>
  </si>
  <si>
    <t>13865632</t>
  </si>
  <si>
    <t>344bab46-fcd0-48d3-88c4-dd75e0037f68</t>
  </si>
  <si>
    <t>2026-05-22 09:13:04</t>
  </si>
  <si>
    <t>27663332412</t>
  </si>
  <si>
    <t>13865633</t>
  </si>
  <si>
    <t>1717f60c-16ec-4ecd-a495-34b21e284a60</t>
  </si>
  <si>
    <t>2026-05-22 09:13:03</t>
  </si>
  <si>
    <t>27663457758</t>
  </si>
  <si>
    <t>13865315</t>
  </si>
  <si>
    <t>37ae9781-135d-49eb-abc2-6bfe361b3746</t>
  </si>
  <si>
    <t>2026-05-22 09:13:02</t>
  </si>
  <si>
    <t>27825833666</t>
  </si>
  <si>
    <t>13865318</t>
  </si>
  <si>
    <t>15498416-b886-47d0-90f7-15e55256d849</t>
  </si>
  <si>
    <t>27826250307</t>
  </si>
  <si>
    <t>13865316</t>
  </si>
  <si>
    <t>34d75598-19e7-4eba-a42b-17d7335dae21</t>
  </si>
  <si>
    <t>2026-05-22 09:13:00</t>
  </si>
  <si>
    <t>27825983070</t>
  </si>
  <si>
    <t>13865636</t>
  </si>
  <si>
    <t>d9096b28-d1e7-4a30-9eb7-37982cf126ce</t>
  </si>
  <si>
    <t>2026-05-22 09:12:41</t>
  </si>
  <si>
    <t>27664085052</t>
  </si>
  <si>
    <t>13865645</t>
  </si>
  <si>
    <t>efe8cfe9-0bd6-4260-871c-91d5b04bec77</t>
  </si>
  <si>
    <t>27673730883</t>
  </si>
  <si>
    <t>13865646</t>
  </si>
  <si>
    <t>236bafab-035e-452f-9eef-961471c9c85d</t>
  </si>
  <si>
    <t>2026-05-22 09:12:30</t>
  </si>
  <si>
    <t>27674208294</t>
  </si>
  <si>
    <t>13865664</t>
  </si>
  <si>
    <t>0f4a7cc9-5ec5-4b3c-8c58-4e7153d4736b</t>
  </si>
  <si>
    <t>2026-05-22 09:12:25</t>
  </si>
  <si>
    <t>27713614108</t>
  </si>
  <si>
    <t>13865666</t>
  </si>
  <si>
    <t>1ec835af-c124-4219-9534-0ff3062d5285</t>
  </si>
  <si>
    <t>27713782096</t>
  </si>
  <si>
    <t>13865667</t>
  </si>
  <si>
    <t>b5190eac-7280-41f2-94ba-799b012a2907</t>
  </si>
  <si>
    <t>27713989549</t>
  </si>
  <si>
    <t>13865668</t>
  </si>
  <si>
    <t>2bbe092d-b277-4893-adb6-18135af9bbf8</t>
  </si>
  <si>
    <t>27714910266</t>
  </si>
  <si>
    <t>13865670</t>
  </si>
  <si>
    <t>21f5bc07-d7a1-4354-8a1f-6c1c2f1c29f1</t>
  </si>
  <si>
    <t>27715204415</t>
  </si>
  <si>
    <t>2026-05-22 09:12:24</t>
  </si>
  <si>
    <t>13865673</t>
  </si>
  <si>
    <t>e7c55351-340d-492a-a72d-dff27b8d3f9d</t>
  </si>
  <si>
    <t>2026-05-22 09:12:21</t>
  </si>
  <si>
    <t>27716193277</t>
  </si>
  <si>
    <t>13865333</t>
  </si>
  <si>
    <t>a8237fef-dc96-4fa7-8346-e7b9d2bb51f0</t>
  </si>
  <si>
    <t>2026-05-22 09:12:15</t>
  </si>
  <si>
    <t>27606047323</t>
  </si>
  <si>
    <t>13865330</t>
  </si>
  <si>
    <t>265a95c6-50e9-41e5-a686-c10c5557b59c</t>
  </si>
  <si>
    <t>2026-05-22 09:12:09</t>
  </si>
  <si>
    <t>27844445259</t>
  </si>
  <si>
    <t>13865331</t>
  </si>
  <si>
    <t>1f4897ff-5a2c-4392-9a52-b2b855473e1b</t>
  </si>
  <si>
    <t>27847605245</t>
  </si>
  <si>
    <t>13865332</t>
  </si>
  <si>
    <t>2cb5e578-7677-4a64-afd0-d1f5a5ad119a</t>
  </si>
  <si>
    <t>27606004829</t>
  </si>
  <si>
    <t>13865342</t>
  </si>
  <si>
    <t>45a04757-ac24-4974-ba6f-0aae7f6ec8fa</t>
  </si>
  <si>
    <t>27608832863</t>
  </si>
  <si>
    <t>2026-05-22 09:11:34</t>
  </si>
  <si>
    <t>13865707</t>
  </si>
  <si>
    <t>19523f42-1280-43ee-9a3a-c889c9b2e876</t>
  </si>
  <si>
    <t>2026-05-22 09:11:23</t>
  </si>
  <si>
    <t>27727165651</t>
  </si>
  <si>
    <t>13865715</t>
  </si>
  <si>
    <t>e6e5d3d6-32ab-436d-af2b-28557abd6093</t>
  </si>
  <si>
    <t>2026-05-22 09:11:15</t>
  </si>
  <si>
    <t>27728978321</t>
  </si>
  <si>
    <t>13865716</t>
  </si>
  <si>
    <t>3a2a0301-21f2-43e6-b5a6-eb4ce2cee026</t>
  </si>
  <si>
    <t>27729463471</t>
  </si>
  <si>
    <t>13865723</t>
  </si>
  <si>
    <t>ec4c46fc-d81f-4282-bc99-c280c730ea67</t>
  </si>
  <si>
    <t>27760401992</t>
  </si>
  <si>
    <t>4e850107-b395-458e-b81c-e780df860408</t>
  </si>
  <si>
    <t>27607558264</t>
  </si>
  <si>
    <t>2026-05-22 09:11:07</t>
  </si>
  <si>
    <t>13865343</t>
  </si>
  <si>
    <t>4e5fac75-c219-4a20-a434-d5d97000c9e5</t>
  </si>
  <si>
    <t>2026-05-22 09:10:55</t>
  </si>
  <si>
    <t>27609401906</t>
  </si>
  <si>
    <t>13865339</t>
  </si>
  <si>
    <t>34eeda3a-aa75-4084-8a3e-f031599fc1ab</t>
  </si>
  <si>
    <t>2026-05-22 09:10:41</t>
  </si>
  <si>
    <t>27607481471</t>
  </si>
  <si>
    <t>13865726</t>
  </si>
  <si>
    <t>35c84beb-d2a0-4502-a73c-6cc25cfaba3a</t>
  </si>
  <si>
    <t>2026-05-22 09:10:07</t>
  </si>
  <si>
    <t>27760736963</t>
  </si>
  <si>
    <t>13865654</t>
  </si>
  <si>
    <t>97883aaa-9f2e-40e5-b74d-e861e78b4079</t>
  </si>
  <si>
    <t>27711695920</t>
  </si>
  <si>
    <t>2026-05-22 09:10:03</t>
  </si>
  <si>
    <t>13865738</t>
  </si>
  <si>
    <t>9d7bf70d-33fb-4885-a9ba-91e3b38f7c16</t>
  </si>
  <si>
    <t>2026-05-22 09:09:47</t>
  </si>
  <si>
    <t>27762302364</t>
  </si>
  <si>
    <t>13865739</t>
  </si>
  <si>
    <t>ca6a9969-8637-4118-9807-f44ce8e24ae0</t>
  </si>
  <si>
    <t>2026-05-22 09:09:46</t>
  </si>
  <si>
    <t>27762578373</t>
  </si>
  <si>
    <t>13865745</t>
  </si>
  <si>
    <t>e3ba403c-9b6e-402e-8082-ec9062732b12</t>
  </si>
  <si>
    <t>27763511422</t>
  </si>
  <si>
    <t>13865746</t>
  </si>
  <si>
    <t>10c1221c-662d-4d00-bf14-32dc891cad43</t>
  </si>
  <si>
    <t>27763645640</t>
  </si>
  <si>
    <t>13865752</t>
  </si>
  <si>
    <t>8f316b18-6914-49d5-9786-2d234c68161b</t>
  </si>
  <si>
    <t>2026-05-22 09:09:34</t>
  </si>
  <si>
    <t>27764585905</t>
  </si>
  <si>
    <t>13865361</t>
  </si>
  <si>
    <t>864114ab-5334-4ea8-a55b-803b467a4b84</t>
  </si>
  <si>
    <t>2026-05-22 09:09:31</t>
  </si>
  <si>
    <t>27648128747</t>
  </si>
  <si>
    <t>13865753</t>
  </si>
  <si>
    <t>dd60d995-eeab-4e2a-9557-502bd32ba726</t>
  </si>
  <si>
    <t>27764604671</t>
  </si>
  <si>
    <t>13865754</t>
  </si>
  <si>
    <t>b61fc77b-98bc-4b29-a1a8-120a435bfd74</t>
  </si>
  <si>
    <t>27764630495</t>
  </si>
  <si>
    <t>13865357</t>
  </si>
  <si>
    <t>30d928ed-ac0c-4c29-880d-a1f3428aff11</t>
  </si>
  <si>
    <t>2026-05-22 09:08:38</t>
  </si>
  <si>
    <t>27646725602</t>
  </si>
  <si>
    <t>13865358</t>
  </si>
  <si>
    <t>9d3a2424-9080-4e7c-97c2-972eb7f83762</t>
  </si>
  <si>
    <t>27646906904</t>
  </si>
  <si>
    <t>13865368</t>
  </si>
  <si>
    <t>ae64dec6-a1c0-4af3-a4b5-9a17214498b4</t>
  </si>
  <si>
    <t>27661838914</t>
  </si>
  <si>
    <t>13865365</t>
  </si>
  <si>
    <t>4d581f43-0494-4513-82d7-9f724158141b</t>
  </si>
  <si>
    <t>27660431966</t>
  </si>
  <si>
    <t>2026-05-22 09:07:46</t>
  </si>
  <si>
    <t>13865764</t>
  </si>
  <si>
    <t>ae6c2cc1-46d1-4cd0-8689-0161d9845047</t>
  </si>
  <si>
    <t>2026-05-22 09:07:31</t>
  </si>
  <si>
    <t>27765995400</t>
  </si>
  <si>
    <t>13865362</t>
  </si>
  <si>
    <t>0d9c5100-1a37-4a63-be6b-4a6697cfb6ee</t>
  </si>
  <si>
    <t>2026-05-22 09:07:29</t>
  </si>
  <si>
    <t>27648780753</t>
  </si>
  <si>
    <t>13865364</t>
  </si>
  <si>
    <t>85812e25-f945-40d4-970c-cb962088de53</t>
  </si>
  <si>
    <t>27649852386</t>
  </si>
  <si>
    <t>13865762</t>
  </si>
  <si>
    <t>0d1143a6-f18d-49fa-b7fd-725017150d4c</t>
  </si>
  <si>
    <t>2026-05-22 09:06:53</t>
  </si>
  <si>
    <t>27765962536</t>
  </si>
  <si>
    <t>13865763</t>
  </si>
  <si>
    <t>4551f818-4790-4a25-a924-3d25087746b3</t>
  </si>
  <si>
    <t>2026-05-22 09:06:40</t>
  </si>
  <si>
    <t>27765980561</t>
  </si>
  <si>
    <t>13865774</t>
  </si>
  <si>
    <t>ebb65312-c003-47ce-8f82-34ecb4f1869f</t>
  </si>
  <si>
    <t>2026-05-22 09:06:35</t>
  </si>
  <si>
    <t>27767947745</t>
  </si>
  <si>
    <t>13865781</t>
  </si>
  <si>
    <t>7769af5c-2cac-4a88-a638-9f732a4e8133</t>
  </si>
  <si>
    <t>27769497264</t>
  </si>
  <si>
    <t>13865375</t>
  </si>
  <si>
    <t>fbe664a0-68d3-43c0-8bbd-d2abd71251c2</t>
  </si>
  <si>
    <t>2026-05-22 09:06:19</t>
  </si>
  <si>
    <t>27665188649</t>
  </si>
  <si>
    <t>13865377</t>
  </si>
  <si>
    <t>95b8d848-05c9-4b8c-9230-81ea80abd8de</t>
  </si>
  <si>
    <t>27665757240</t>
  </si>
  <si>
    <t>13865376</t>
  </si>
  <si>
    <t>81fa47a3-1179-4c7b-9239-7739076d7422</t>
  </si>
  <si>
    <t>2026-05-22 09:06:18</t>
  </si>
  <si>
    <t>27665432260</t>
  </si>
  <si>
    <t>13865378</t>
  </si>
  <si>
    <t>5441cf91-7f68-4382-b5bd-ac0e64a918ee</t>
  </si>
  <si>
    <t>27673285558</t>
  </si>
  <si>
    <t>13865814</t>
  </si>
  <si>
    <t>a93377d0-2688-4703-8411-12625c8575b4</t>
  </si>
  <si>
    <t>2026-05-22 09:05:53</t>
  </si>
  <si>
    <t>27795506921</t>
  </si>
  <si>
    <t>13865819</t>
  </si>
  <si>
    <t>00a46c10-a542-4445-801d-8de4ab12f306</t>
  </si>
  <si>
    <t>27796760315</t>
  </si>
  <si>
    <t>13865788</t>
  </si>
  <si>
    <t>c45deb91-5e2a-4f5d-a8fd-826e8ed28d08</t>
  </si>
  <si>
    <t>27788867973</t>
  </si>
  <si>
    <t>13865794</t>
  </si>
  <si>
    <t>094558aa-3da9-4fc3-be43-3c08865ffb90</t>
  </si>
  <si>
    <t>27791650207</t>
  </si>
  <si>
    <t>13865826</t>
  </si>
  <si>
    <t>b7ea003c-9fa2-49b9-b53d-cdb2770bd817</t>
  </si>
  <si>
    <t>2026-05-22 09:04:54</t>
  </si>
  <si>
    <t>27798512464</t>
  </si>
  <si>
    <t>13865833</t>
  </si>
  <si>
    <t>8f37e106-bc2d-433f-ab6d-1f31f68e5871</t>
  </si>
  <si>
    <t>2026-05-22 09:04:52</t>
  </si>
  <si>
    <t>27817219472</t>
  </si>
  <si>
    <t>13865919</t>
  </si>
  <si>
    <t>bae67fec-5397-4745-8445-ccccde08ba48</t>
  </si>
  <si>
    <t>27660682813</t>
  </si>
  <si>
    <t>2026-05-22 09:04:47</t>
  </si>
  <si>
    <t>13865387</t>
  </si>
  <si>
    <t>99220229-60b7-4c7d-9517-a37f46235681</t>
  </si>
  <si>
    <t>2026-05-22 09:04:39</t>
  </si>
  <si>
    <t>27711690726</t>
  </si>
  <si>
    <t>13865391</t>
  </si>
  <si>
    <t>24758be6-54f7-429c-b457-2d843cb55285</t>
  </si>
  <si>
    <t>27712994809</t>
  </si>
  <si>
    <t>13865397</t>
  </si>
  <si>
    <t>25f26123-b46a-437d-af60-d4b42f23d5d7</t>
  </si>
  <si>
    <t>2026-05-22 09:04:35</t>
  </si>
  <si>
    <t>27714242507</t>
  </si>
  <si>
    <t>13865404</t>
  </si>
  <si>
    <t>7659a543-875b-44ee-9f6a-e7e71ec78b5a</t>
  </si>
  <si>
    <t>27715187942</t>
  </si>
  <si>
    <t>13865396</t>
  </si>
  <si>
    <t>b0ba0f11-da36-4b85-a962-cf4f8ca0613f</t>
  </si>
  <si>
    <t>27714130751</t>
  </si>
  <si>
    <t>2026-05-22 09:04:01</t>
  </si>
  <si>
    <t>13865394</t>
  </si>
  <si>
    <t>59394b22-e031-4172-afdc-c9c109649cab</t>
  </si>
  <si>
    <t>27713974889</t>
  </si>
  <si>
    <t>2026-05-22 09:03:58</t>
  </si>
  <si>
    <t>13865928</t>
  </si>
  <si>
    <t>6fb1c4d7-e511-4dbc-b9bd-88dfe3d743b7</t>
  </si>
  <si>
    <t>27663886214</t>
  </si>
  <si>
    <t>2026-05-22 09:03:14</t>
  </si>
  <si>
    <t>13865920</t>
  </si>
  <si>
    <t>7b192977-3042-4f8e-8f2e-f6c456a09a5e</t>
  </si>
  <si>
    <t>2026-05-22 09:03:11</t>
  </si>
  <si>
    <t>27660730451</t>
  </si>
  <si>
    <t>13865393</t>
  </si>
  <si>
    <t>738146bd-d3bb-420a-9c0b-0ae143949ace</t>
  </si>
  <si>
    <t>2026-05-22 09:03:10</t>
  </si>
  <si>
    <t>27713828540</t>
  </si>
  <si>
    <t>13865395</t>
  </si>
  <si>
    <t>9eb6bd08-ab2f-45cb-9f9c-da0f3d2b2020</t>
  </si>
  <si>
    <t>27713989831</t>
  </si>
  <si>
    <t>13865921</t>
  </si>
  <si>
    <t>42530f64-1c74-4ddb-9810-36fb286352a3</t>
  </si>
  <si>
    <t>27660732160</t>
  </si>
  <si>
    <t>2026-05-22 09:01:06</t>
  </si>
  <si>
    <t>13865399</t>
  </si>
  <si>
    <t>67ceb000-3ada-4022-a1da-260c2026d8be</t>
  </si>
  <si>
    <t>2026-05-22 09:00:32</t>
  </si>
  <si>
    <t>27714380897</t>
  </si>
  <si>
    <t>13865400</t>
  </si>
  <si>
    <t>33f71620-5f21-4199-8899-660d624ec0e3</t>
  </si>
  <si>
    <t>27714464404</t>
  </si>
  <si>
    <t>13865402</t>
  </si>
  <si>
    <t>d237375b-03db-4e12-b219-e3c956937d64</t>
  </si>
  <si>
    <t>27714760708</t>
  </si>
  <si>
    <t>13865403</t>
  </si>
  <si>
    <t>81fa6210-3fb0-4b37-a146-1c17f8195d98</t>
  </si>
  <si>
    <t>27715036912</t>
  </si>
  <si>
    <t>13865922</t>
  </si>
  <si>
    <t>3143b862-0545-4b1d-87cc-b44c1dcf1a3a</t>
  </si>
  <si>
    <t>2026-05-22 08:59:46</t>
  </si>
  <si>
    <t>27661181414</t>
  </si>
  <si>
    <t>13865923</t>
  </si>
  <si>
    <t>22f6e08d-4be3-4d82-9c25-fcf72335d0b5</t>
  </si>
  <si>
    <t>27661223540</t>
  </si>
  <si>
    <t>13865925</t>
  </si>
  <si>
    <t>29148995-3a6c-43ae-b54d-232aa92155f2</t>
  </si>
  <si>
    <t>2026-05-22 08:59:19</t>
  </si>
  <si>
    <t>27662805246</t>
  </si>
  <si>
    <t>13865931</t>
  </si>
  <si>
    <t>7427d60d-04e9-41b0-895d-134c085a8e50</t>
  </si>
  <si>
    <t>2026-05-22 08:58:52</t>
  </si>
  <si>
    <t>27665084794</t>
  </si>
  <si>
    <t>13865411</t>
  </si>
  <si>
    <t>e8ba7cf0-624e-41b0-bd7b-617a39739313</t>
  </si>
  <si>
    <t>27716928533</t>
  </si>
  <si>
    <t>2026-05-22 08:58:32</t>
  </si>
  <si>
    <t>13865413</t>
  </si>
  <si>
    <t>195f9c52-1bcb-4dd1-bd71-79cac9d15eee</t>
  </si>
  <si>
    <t>27720325920</t>
  </si>
  <si>
    <t>13865414</t>
  </si>
  <si>
    <t>4d78cf76-38d9-424a-a4a7-59eb6ef1018e</t>
  </si>
  <si>
    <t>27720477475</t>
  </si>
  <si>
    <t>13865415</t>
  </si>
  <si>
    <t>f104cd3e-459f-4c3d-a190-7d5a64dd7248</t>
  </si>
  <si>
    <t>27720552731</t>
  </si>
  <si>
    <t>13865947</t>
  </si>
  <si>
    <t>bed74463-9201-43e7-bf0e-486e92ec44a6</t>
  </si>
  <si>
    <t>27712234411</t>
  </si>
  <si>
    <t>13865952</t>
  </si>
  <si>
    <t>24791e61-bdcc-41ae-af3f-22a936d7292d</t>
  </si>
  <si>
    <t>27712578118</t>
  </si>
  <si>
    <t>2026-05-22 08:57:19</t>
  </si>
  <si>
    <t>13865433</t>
  </si>
  <si>
    <t>5d0e0272-83ac-472a-84bf-ad5bb0a4b7dd</t>
  </si>
  <si>
    <t>27725355522</t>
  </si>
  <si>
    <t>2026-05-22 08:56:41</t>
  </si>
  <si>
    <t>13865420</t>
  </si>
  <si>
    <t>5bea5c97-011e-4f8f-a724-8aee12865bac</t>
  </si>
  <si>
    <t>2026-05-22 08:56:39</t>
  </si>
  <si>
    <t>27721752550</t>
  </si>
  <si>
    <t>40e68686-de57-4fe5-b82f-d1a1eced3d16</t>
  </si>
  <si>
    <t>2026-05-22 08:56:38</t>
  </si>
  <si>
    <t>27721197007</t>
  </si>
  <si>
    <t>13865417</t>
  </si>
  <si>
    <t>9df0edd4-8b76-4ac1-8b6b-8df80ec173a1</t>
  </si>
  <si>
    <t>27721352751</t>
  </si>
  <si>
    <t>13865419</t>
  </si>
  <si>
    <t>82162798-5deb-4faa-b7d5-9edfec296cb3</t>
  </si>
  <si>
    <t>27721738505</t>
  </si>
  <si>
    <t>13865971</t>
  </si>
  <si>
    <t>8a639f4d-019e-48f6-95a3-57fdc3aae1dd</t>
  </si>
  <si>
    <t>27716369142</t>
  </si>
  <si>
    <t>2026-05-22 08:55:00</t>
  </si>
  <si>
    <t>13865932</t>
  </si>
  <si>
    <t>9b79c779-3dcb-4a64-80b3-665d05ff574e</t>
  </si>
  <si>
    <t>2026-05-22 08:54:55</t>
  </si>
  <si>
    <t>27665344208</t>
  </si>
  <si>
    <t>13865933</t>
  </si>
  <si>
    <t>3db24b35-1135-47e0-94ae-c089a4bcad80</t>
  </si>
  <si>
    <t>27665839400</t>
  </si>
  <si>
    <t>0e387500-638b-4bde-b5a7-5bf6f5022a18</t>
  </si>
  <si>
    <t>27665876300</t>
  </si>
  <si>
    <t>13865936</t>
  </si>
  <si>
    <t>ae1c1045-c18c-475f-9cd9-a95ba684883d</t>
  </si>
  <si>
    <t>27665897076</t>
  </si>
  <si>
    <t>13861351</t>
  </si>
  <si>
    <t>c6026674-73bd-4832-ae7a-e2e48d670846</t>
  </si>
  <si>
    <t>27766559340</t>
  </si>
  <si>
    <t>2026-05-22 08:54:47</t>
  </si>
  <si>
    <t>13861272</t>
  </si>
  <si>
    <t>8a749dcf-5633-4635-ae90-edf83d3c5f8d</t>
  </si>
  <si>
    <t>27664499478</t>
  </si>
  <si>
    <t>2026-05-22 08:54:26</t>
  </si>
  <si>
    <t>e649a788-ec86-4fc5-b7d4-817626f188c4</t>
  </si>
  <si>
    <t>27726181909</t>
  </si>
  <si>
    <t>2026-05-22 08:54:15</t>
  </si>
  <si>
    <t>13865428</t>
  </si>
  <si>
    <t>8dcc1123-7111-4ae8-b704-24ae53eb3808</t>
  </si>
  <si>
    <t>2026-05-22 08:54:10</t>
  </si>
  <si>
    <t>27723745500</t>
  </si>
  <si>
    <t>13865429</t>
  </si>
  <si>
    <t>0ca0e72d-b62c-40c4-9066-f85c64b6f647</t>
  </si>
  <si>
    <t>27724023616</t>
  </si>
  <si>
    <t>13865430</t>
  </si>
  <si>
    <t>97fd750e-4aa5-4802-8ed7-5de784e7f717</t>
  </si>
  <si>
    <t>27724418007</t>
  </si>
  <si>
    <t>13865431</t>
  </si>
  <si>
    <t>171931f8-82fa-4b8b-b7af-2d905803e437</t>
  </si>
  <si>
    <t>27724882862</t>
  </si>
  <si>
    <t>13865479</t>
  </si>
  <si>
    <t>4f3008cb-ee49-487f-bf0c-1955f65758e3</t>
  </si>
  <si>
    <t>27763387358</t>
  </si>
  <si>
    <t>2026-05-22 08:53:29</t>
  </si>
  <si>
    <t>13865582</t>
  </si>
  <si>
    <t>1b99b9af-4379-4eee-873a-4b73ff10794d</t>
  </si>
  <si>
    <t>2026-05-22 08:52:34</t>
  </si>
  <si>
    <t>27829362518</t>
  </si>
  <si>
    <t>13865939</t>
  </si>
  <si>
    <t>1d912887-6001-434b-b4dd-1505244b62b4</t>
  </si>
  <si>
    <t>2026-05-22 08:52:26</t>
  </si>
  <si>
    <t>27675693761</t>
  </si>
  <si>
    <t>13865435</t>
  </si>
  <si>
    <t>a1cdf0e8-c25f-4e3b-8a92-53fc2ed9a573</t>
  </si>
  <si>
    <t>2026-05-22 08:52:24</t>
  </si>
  <si>
    <t>27725614468</t>
  </si>
  <si>
    <t>13865437</t>
  </si>
  <si>
    <t>7a1fdb6f-89da-49f0-b063-b00c8c216caf</t>
  </si>
  <si>
    <t>27726276939</t>
  </si>
  <si>
    <t>13865940</t>
  </si>
  <si>
    <t>0b03d040-f11e-46e2-88cf-ff39d6f500b1</t>
  </si>
  <si>
    <t>27710402195</t>
  </si>
  <si>
    <t>2026-05-22 08:50:40</t>
  </si>
  <si>
    <t>13865444</t>
  </si>
  <si>
    <t>7568e76b-72c7-4519-a99e-3050237d1944</t>
  </si>
  <si>
    <t>2026-05-22 08:50:39</t>
  </si>
  <si>
    <t>27726808725</t>
  </si>
  <si>
    <t>13865942</t>
  </si>
  <si>
    <t>1dadf52a-b0c2-491f-8526-3c661b23ac77</t>
  </si>
  <si>
    <t>27711770673</t>
  </si>
  <si>
    <t>13865951</t>
  </si>
  <si>
    <t>abd54452-fb0c-4c38-9857-17de09011e81</t>
  </si>
  <si>
    <t>27712566213</t>
  </si>
  <si>
    <t>13865440</t>
  </si>
  <si>
    <t>6acbabf6-13d6-4f63-bdfd-ffd1b5ab7a4d</t>
  </si>
  <si>
    <t>2026-05-22 08:50:37</t>
  </si>
  <si>
    <t>27726645698</t>
  </si>
  <si>
    <t>13865442</t>
  </si>
  <si>
    <t>ba4c1651-47a5-4b8e-b23a-ac9d48895d23</t>
  </si>
  <si>
    <t>27726764227</t>
  </si>
  <si>
    <t>13865443</t>
  </si>
  <si>
    <t>16bd4a6d-b662-4230-a6a7-130e1a6164c0</t>
  </si>
  <si>
    <t>2026-05-22 08:50:26</t>
  </si>
  <si>
    <t>27726787142</t>
  </si>
  <si>
    <t>13865949</t>
  </si>
  <si>
    <t>87643def-8a9a-4611-8030-b24008442afc</t>
  </si>
  <si>
    <t>27712385532</t>
  </si>
  <si>
    <t>2026-05-22 08:50:19</t>
  </si>
  <si>
    <t>13865948</t>
  </si>
  <si>
    <t>2d8332cd-7dd3-4442-9f7d-7474be3f8019</t>
  </si>
  <si>
    <t>2026-05-22 08:49:31</t>
  </si>
  <si>
    <t>27712342262</t>
  </si>
  <si>
    <t>13865950</t>
  </si>
  <si>
    <t>ebc8d999-1eae-4c25-b228-b1f77953ad1d</t>
  </si>
  <si>
    <t>2026-05-22 08:49:17</t>
  </si>
  <si>
    <t>27712408879</t>
  </si>
  <si>
    <t>13865456</t>
  </si>
  <si>
    <t>50b0d1e9-590d-4f5c-a4c8-825ffe2b9523</t>
  </si>
  <si>
    <t>2026-05-22 08:49:07</t>
  </si>
  <si>
    <t>27728946228</t>
  </si>
  <si>
    <t>13865450</t>
  </si>
  <si>
    <t>f72fc482-bacd-453c-bcca-ac892d8b13ec</t>
  </si>
  <si>
    <t>2026-05-22 08:49:06</t>
  </si>
  <si>
    <t>27727407441</t>
  </si>
  <si>
    <t>13865454</t>
  </si>
  <si>
    <t>b0a4c0cd-ea41-4a8d-bf83-64e65b72d859</t>
  </si>
  <si>
    <t>27728913133</t>
  </si>
  <si>
    <t>13865705</t>
  </si>
  <si>
    <t>4a280cdc-77cd-433a-aecb-1b17e92bdbfa</t>
  </si>
  <si>
    <t>2026-05-22 08:47:34</t>
  </si>
  <si>
    <t>27727004738</t>
  </si>
  <si>
    <t>13865953</t>
  </si>
  <si>
    <t>8d3dc999-2e23-44fc-a70c-c9ee767905e2</t>
  </si>
  <si>
    <t>27712690705</t>
  </si>
  <si>
    <t>13865700</t>
  </si>
  <si>
    <t>d98bfb95-d6ba-47d4-b769-0b6808fc5c45</t>
  </si>
  <si>
    <t>2026-05-22 08:47:33</t>
  </si>
  <si>
    <t>27725799668</t>
  </si>
  <si>
    <t>e3899aae-0426-42a7-8fa0-5602c061404f</t>
  </si>
  <si>
    <t>27713721746</t>
  </si>
  <si>
    <t>13865958</t>
  </si>
  <si>
    <t>05a77080-d15b-4d6b-8b76-8fb4a7144dc9</t>
  </si>
  <si>
    <t>2026-05-22 08:47:23</t>
  </si>
  <si>
    <t>27713883632</t>
  </si>
  <si>
    <t>13865960</t>
  </si>
  <si>
    <t>8e3e0db0-4c4b-460f-8460-428b02c79e54</t>
  </si>
  <si>
    <t>2026-05-22 08:47:16</t>
  </si>
  <si>
    <t>27714158440</t>
  </si>
  <si>
    <t>13865962</t>
  </si>
  <si>
    <t>7a4e63a4-7251-4c81-aa43-166e4626ce28</t>
  </si>
  <si>
    <t>2026-05-22 08:47:15</t>
  </si>
  <si>
    <t>27714351784</t>
  </si>
  <si>
    <t>13865963</t>
  </si>
  <si>
    <t>855dcc08-c288-4c34-a4b5-d4930f8d31de</t>
  </si>
  <si>
    <t>2026-05-22 08:47:10</t>
  </si>
  <si>
    <t>27714512029</t>
  </si>
  <si>
    <t>13865965</t>
  </si>
  <si>
    <t>7b61531f-76e4-4c42-adec-d1597233d2cb</t>
  </si>
  <si>
    <t>2026-05-22 08:46:53</t>
  </si>
  <si>
    <t>27714688362</t>
  </si>
  <si>
    <t>13865967</t>
  </si>
  <si>
    <t>97839d02-759f-426b-aeaa-0ed4426b2af7</t>
  </si>
  <si>
    <t>2026-05-22 08:46:50</t>
  </si>
  <si>
    <t>27715563754</t>
  </si>
  <si>
    <t>13865968</t>
  </si>
  <si>
    <t>ffe8c295-d3b3-47c3-b38d-2ee2f752e208</t>
  </si>
  <si>
    <t>27715690488</t>
  </si>
  <si>
    <t>13865473</t>
  </si>
  <si>
    <t>d05eeea0-894f-4882-91da-437180fc3109</t>
  </si>
  <si>
    <t>2026-05-22 08:46:48</t>
  </si>
  <si>
    <t>27761598854</t>
  </si>
  <si>
    <t>13865469</t>
  </si>
  <si>
    <t>9d9f7e7c-8c9e-45fe-8b0e-4c090cd8d388</t>
  </si>
  <si>
    <t>2026-05-22 08:46:37</t>
  </si>
  <si>
    <t>27760748605</t>
  </si>
  <si>
    <t>13865470</t>
  </si>
  <si>
    <t>d49d5219-fc4e-4ace-99d5-db145e8ae442</t>
  </si>
  <si>
    <t>27760752677</t>
  </si>
  <si>
    <t>13865472</t>
  </si>
  <si>
    <t>be2ab5ec-481d-4fa9-9f0f-01d5b4c810a1</t>
  </si>
  <si>
    <t>27761590757</t>
  </si>
  <si>
    <t>13865969</t>
  </si>
  <si>
    <t>6ca78b78-2ab4-4475-aaa0-b1161953f1ca</t>
  </si>
  <si>
    <t>2026-05-22 08:45:24</t>
  </si>
  <si>
    <t>27715691966</t>
  </si>
  <si>
    <t>13865970</t>
  </si>
  <si>
    <t>e5c4846a-625d-486a-a498-1fd974123cd4</t>
  </si>
  <si>
    <t>2026-05-22 08:45:23</t>
  </si>
  <si>
    <t>27715883584</t>
  </si>
  <si>
    <t>e922aea5-f489-4a3e-b18e-df881688cec7</t>
  </si>
  <si>
    <t>2026-05-22 08:45:21</t>
  </si>
  <si>
    <t>27763801508</t>
  </si>
  <si>
    <t>13865478</t>
  </si>
  <si>
    <t>bea930bf-6d77-41cb-86c6-9a7aaf8cb116</t>
  </si>
  <si>
    <t>2026-05-22 08:45:20</t>
  </si>
  <si>
    <t>27763257367</t>
  </si>
  <si>
    <t>13865480</t>
  </si>
  <si>
    <t>be972e6a-bb38-4eba-a1be-27f0134d324b</t>
  </si>
  <si>
    <t>2026-05-22 08:45:07</t>
  </si>
  <si>
    <t>27763409166</t>
  </si>
  <si>
    <t>e6166189-0d68-4dca-b3d8-cd82d04ff77f</t>
  </si>
  <si>
    <t>2026-05-22 08:44:53</t>
  </si>
  <si>
    <t>27716469449</t>
  </si>
  <si>
    <t>13865974</t>
  </si>
  <si>
    <t>74bff1b1-fe7a-4f16-b105-8c626c1de96a</t>
  </si>
  <si>
    <t>27717872612</t>
  </si>
  <si>
    <t>13865977</t>
  </si>
  <si>
    <t>9f564e16-ab93-4040-98f9-1a03933a2586</t>
  </si>
  <si>
    <t>2026-05-22 08:44:37</t>
  </si>
  <si>
    <t>27720796399</t>
  </si>
  <si>
    <t>13865979</t>
  </si>
  <si>
    <t>b3cade1e-c45b-4fcb-bf2b-cea9d2c374ac</t>
  </si>
  <si>
    <t>2026-05-22 08:44:36</t>
  </si>
  <si>
    <t>27721492868</t>
  </si>
  <si>
    <t>13865980</t>
  </si>
  <si>
    <t>5ff5a6d1-8f27-418e-879b-da4496e80492</t>
  </si>
  <si>
    <t>2026-05-22 08:44:30</t>
  </si>
  <si>
    <t>27721788650</t>
  </si>
  <si>
    <t>13865985</t>
  </si>
  <si>
    <t>26dcf14d-55ee-4fe4-b861-cf678a00b8a5</t>
  </si>
  <si>
    <t>2026-05-22 08:44:27</t>
  </si>
  <si>
    <t>27722623031</t>
  </si>
  <si>
    <t>13865499</t>
  </si>
  <si>
    <t>bc80aeeb-c44d-4af1-9332-0583eeb9b604</t>
  </si>
  <si>
    <t>2026-05-22 08:44:19</t>
  </si>
  <si>
    <t>27768070444</t>
  </si>
  <si>
    <t>13865492</t>
  </si>
  <si>
    <t>87628f25-2235-43fe-9e5e-6572f16740cb</t>
  </si>
  <si>
    <t>27766558787</t>
  </si>
  <si>
    <t>2026-05-22 08:44:18</t>
  </si>
  <si>
    <t>13865493</t>
  </si>
  <si>
    <t>ea54f0d6-3a7a-413b-bdb0-39e635eb21c5</t>
  </si>
  <si>
    <t>27766685436</t>
  </si>
  <si>
    <t>13865494</t>
  </si>
  <si>
    <t>e32f7459-0844-4abf-8b06-d0c820f967b3</t>
  </si>
  <si>
    <t>27766957322</t>
  </si>
  <si>
    <t>13865497</t>
  </si>
  <si>
    <t>2fc39f5e-61ec-463d-ba43-598c7c2bbedf</t>
  </si>
  <si>
    <t>2026-05-22 08:43:29</t>
  </si>
  <si>
    <t>27768054765</t>
  </si>
  <si>
    <t>13865495</t>
  </si>
  <si>
    <t>78f661a0-ab16-4ad5-933e-6dfe3fe68286</t>
  </si>
  <si>
    <t>2026-05-22 08:43:19</t>
  </si>
  <si>
    <t>27767000404</t>
  </si>
  <si>
    <t>13865498</t>
  </si>
  <si>
    <t>0dd6811a-320a-48a7-8741-2a4c5a4c68f6</t>
  </si>
  <si>
    <t>27768060968</t>
  </si>
  <si>
    <t>13865698</t>
  </si>
  <si>
    <t>8fcb4b16-de9c-4acb-86a2-7ca11e0a5652</t>
  </si>
  <si>
    <t>2026-05-22 08:42:18</t>
  </si>
  <si>
    <t>27725058320</t>
  </si>
  <si>
    <t>13865986</t>
  </si>
  <si>
    <t>0b7d744f-063e-4cee-a287-94f1743440ed</t>
  </si>
  <si>
    <t>27722657885</t>
  </si>
  <si>
    <t>13865987</t>
  </si>
  <si>
    <t>7fa7be3e-ef7c-4005-b84b-baec75dd5db5</t>
  </si>
  <si>
    <t>27722677376</t>
  </si>
  <si>
    <t>13865697</t>
  </si>
  <si>
    <t>f0a18192-4628-4aa5-98b6-9ba06e768f40</t>
  </si>
  <si>
    <t>2026-05-22 08:42:17</t>
  </si>
  <si>
    <t>27725057167</t>
  </si>
  <si>
    <t>13865988</t>
  </si>
  <si>
    <t>0cac2a8a-c51e-44ff-a5ff-43e0d063a23b</t>
  </si>
  <si>
    <t>27722934574</t>
  </si>
  <si>
    <t>2026-05-22 08:42:07</t>
  </si>
  <si>
    <t>13865989</t>
  </si>
  <si>
    <t>df8347a6-e49f-42fd-a65d-1f3f38879f6d</t>
  </si>
  <si>
    <t>2026-05-22 08:42:06</t>
  </si>
  <si>
    <t>27723029754</t>
  </si>
  <si>
    <t>13865990</t>
  </si>
  <si>
    <t>aa36b7ec-89cc-4dff-b78f-7b392ea5a4fe</t>
  </si>
  <si>
    <t>2026-05-22 08:42:00</t>
  </si>
  <si>
    <t>27723144011</t>
  </si>
  <si>
    <t>13865991</t>
  </si>
  <si>
    <t>b7ee6364-a62c-49f9-a1d4-d74ce768d93d</t>
  </si>
  <si>
    <t>27723239355</t>
  </si>
  <si>
    <t>13865992</t>
  </si>
  <si>
    <t>1f3a30b5-91f2-4f3f-8e76-7288c72a2ed3</t>
  </si>
  <si>
    <t>27723881806</t>
  </si>
  <si>
    <t>13865994</t>
  </si>
  <si>
    <t>6caeeb01-920a-42dc-aec5-e30aa990b6f9</t>
  </si>
  <si>
    <t>27724010431</t>
  </si>
  <si>
    <t>13865517</t>
  </si>
  <si>
    <t>f1b563b5-771b-4c8e-aef9-ad30b20411d5</t>
  </si>
  <si>
    <t>27791658417</t>
  </si>
  <si>
    <t>2026-05-22 08:41:42</t>
  </si>
  <si>
    <t>13865513</t>
  </si>
  <si>
    <t>25cfdb75-1a2d-45d8-ab3c-e5870326fa66</t>
  </si>
  <si>
    <t>2026-05-22 08:41:00</t>
  </si>
  <si>
    <t>27790988731</t>
  </si>
  <si>
    <t>13865514</t>
  </si>
  <si>
    <t>9cd8b2ce-c32d-45c3-9170-843e38ea4c9f</t>
  </si>
  <si>
    <t>27791014887</t>
  </si>
  <si>
    <t>13865515</t>
  </si>
  <si>
    <t>9ee816da-ab45-4b19-88f2-cf6c74e71d19</t>
  </si>
  <si>
    <t>2026-05-22 08:40:42</t>
  </si>
  <si>
    <t>27791135376</t>
  </si>
  <si>
    <t>13865523</t>
  </si>
  <si>
    <t>a3c907ac-bc03-4a21-9e45-9ad1c473aace</t>
  </si>
  <si>
    <t>27793351857</t>
  </si>
  <si>
    <t>2026-05-22 08:40:23</t>
  </si>
  <si>
    <t>13865525</t>
  </si>
  <si>
    <t>0f56f33b-572a-42c2-acd8-3de52d8fc901</t>
  </si>
  <si>
    <t>27793832775</t>
  </si>
  <si>
    <t>2026-05-22 08:40:22</t>
  </si>
  <si>
    <t>13865995</t>
  </si>
  <si>
    <t>b511620f-4ef1-42e8-a6d2-a7e980e25b09</t>
  </si>
  <si>
    <t>2026-05-22 08:39:52</t>
  </si>
  <si>
    <t>27724376979</t>
  </si>
  <si>
    <t>13865520</t>
  </si>
  <si>
    <t>b841e788-af00-4995-908f-d3018c82f697</t>
  </si>
  <si>
    <t>2026-05-22 08:39:31</t>
  </si>
  <si>
    <t>27792381320</t>
  </si>
  <si>
    <t>13865521</t>
  </si>
  <si>
    <t>8a39c448-2b54-4d41-be12-ec8cbf9338cd</t>
  </si>
  <si>
    <t>27792710247</t>
  </si>
  <si>
    <t>13865999</t>
  </si>
  <si>
    <t>a77ab4fe-69af-461f-a4d4-68981f44acac</t>
  </si>
  <si>
    <t>27724583937</t>
  </si>
  <si>
    <t>2026-05-22 08:36:56</t>
  </si>
  <si>
    <t>13865522</t>
  </si>
  <si>
    <t>c18dfeb5-e148-486d-a286-c1f4bdfb72cb</t>
  </si>
  <si>
    <t>2026-05-22 08:36:52</t>
  </si>
  <si>
    <t>27792909845</t>
  </si>
  <si>
    <t>13865524</t>
  </si>
  <si>
    <t>8a848b21-f3b7-4830-ad86-47aa88b0dbaf</t>
  </si>
  <si>
    <t>27793519719</t>
  </si>
  <si>
    <t>13865996</t>
  </si>
  <si>
    <t>e5fd24c2-86cd-4226-8d8d-58d19a4631f7</t>
  </si>
  <si>
    <t>2026-05-22 08:35:52</t>
  </si>
  <si>
    <t>27724467705</t>
  </si>
  <si>
    <t>13865536</t>
  </si>
  <si>
    <t>9ed0078c-e690-4ec6-bf84-b8a99d8470ad</t>
  </si>
  <si>
    <t>2026-05-22 08:35:47</t>
  </si>
  <si>
    <t>27796554108</t>
  </si>
  <si>
    <t>13865533</t>
  </si>
  <si>
    <t>bae6440b-7a06-4e1a-8322-390b00e50941</t>
  </si>
  <si>
    <t>2026-05-22 08:35:44</t>
  </si>
  <si>
    <t>27795395536</t>
  </si>
  <si>
    <t>13865531</t>
  </si>
  <si>
    <t>b0483b00-47da-4f27-bf78-4cd247871f86</t>
  </si>
  <si>
    <t>2026-05-22 08:35:30</t>
  </si>
  <si>
    <t>27795259418</t>
  </si>
  <si>
    <t>13865534</t>
  </si>
  <si>
    <t>99d8afc6-66df-4cc2-8d15-88833df474ce</t>
  </si>
  <si>
    <t>27796231487</t>
  </si>
  <si>
    <t>13865997</t>
  </si>
  <si>
    <t>af87d0d4-53c9-45de-b625-0eefbb7def44</t>
  </si>
  <si>
    <t>2026-05-22 08:35:00</t>
  </si>
  <si>
    <t>27724476917</t>
  </si>
  <si>
    <t>13865998</t>
  </si>
  <si>
    <t>f62bc66e-9a93-40e6-a4d2-5aa2a3423180</t>
  </si>
  <si>
    <t>27724573001</t>
  </si>
  <si>
    <t>2026-05-22 08:34:59</t>
  </si>
  <si>
    <t>13866001</t>
  </si>
  <si>
    <t>d98fdc69-ef0e-4943-a822-0078c3df63ea</t>
  </si>
  <si>
    <t>27725033129</t>
  </si>
  <si>
    <t>13866002</t>
  </si>
  <si>
    <t>e11b13a9-7199-45bd-8e9f-64a596db6ea6</t>
  </si>
  <si>
    <t>2026-05-22 08:34:20</t>
  </si>
  <si>
    <t>27725100194</t>
  </si>
  <si>
    <t>13866003</t>
  </si>
  <si>
    <t>620db5b9-9b09-474d-ad07-6a809df9df47</t>
  </si>
  <si>
    <t>2026-05-22 08:34:18</t>
  </si>
  <si>
    <t>27725325541</t>
  </si>
  <si>
    <t>13865541</t>
  </si>
  <si>
    <t>ac9d589f-ddf4-4802-963d-c14d6867ddf4</t>
  </si>
  <si>
    <t>2026-05-22 08:34:12</t>
  </si>
  <si>
    <t>27798047663</t>
  </si>
  <si>
    <t>13865542</t>
  </si>
  <si>
    <t>945b5d03-2eec-4b34-97bf-a13d3941944d</t>
  </si>
  <si>
    <t>27798323155</t>
  </si>
  <si>
    <t>13865549</t>
  </si>
  <si>
    <t>ebd5ce39-8957-4957-8a64-5cf7b54c4800</t>
  </si>
  <si>
    <t>27799413265</t>
  </si>
  <si>
    <t>13865546</t>
  </si>
  <si>
    <t>76cfd168-cb23-4da4-8929-6fdee948dc99</t>
  </si>
  <si>
    <t>2026-05-22 08:32:19</t>
  </si>
  <si>
    <t>27798896704</t>
  </si>
  <si>
    <t>13865548</t>
  </si>
  <si>
    <t>7b1ce38b-34ac-46a5-83c7-0ecc9ff4ba0e</t>
  </si>
  <si>
    <t>27799128452</t>
  </si>
  <si>
    <t>13865544</t>
  </si>
  <si>
    <t>9420d5ac-7f13-40f9-84a3-f19058056c67</t>
  </si>
  <si>
    <t>2026-05-22 08:32:05</t>
  </si>
  <si>
    <t>27798527691</t>
  </si>
  <si>
    <t>13865547</t>
  </si>
  <si>
    <t>16d51ba3-94f3-4362-bc61-fae0487df86a</t>
  </si>
  <si>
    <t>27799050081</t>
  </si>
  <si>
    <t>13866004</t>
  </si>
  <si>
    <t>c725373d-3bb0-44fa-9b87-9844fb3ef3f1</t>
  </si>
  <si>
    <t>2026-05-22 08:31:26</t>
  </si>
  <si>
    <t>27725359342</t>
  </si>
  <si>
    <t>13866005</t>
  </si>
  <si>
    <t>b4b17e1c-452e-4ad7-b3bf-288273e82989</t>
  </si>
  <si>
    <t>2026-05-22 08:30:54</t>
  </si>
  <si>
    <t>27725467980</t>
  </si>
  <si>
    <t>13866006</t>
  </si>
  <si>
    <t>d753f993-5a82-4081-9140-9244b9ae55bc</t>
  </si>
  <si>
    <t>2026-05-22 08:30:50</t>
  </si>
  <si>
    <t>27725484463</t>
  </si>
  <si>
    <t>13866007</t>
  </si>
  <si>
    <t>22b36c6d-ed3f-42d1-bd36-65bbeed9da6b</t>
  </si>
  <si>
    <t>27725838001</t>
  </si>
  <si>
    <t>13865750</t>
  </si>
  <si>
    <t>74caa8df-52e4-41a4-b54e-af1490a5a70c</t>
  </si>
  <si>
    <t>27764392599</t>
  </si>
  <si>
    <t>2026-05-22 08:30:32</t>
  </si>
  <si>
    <t>13865554</t>
  </si>
  <si>
    <t>102286f3-fe21-4f9e-bf87-2d50273f3553</t>
  </si>
  <si>
    <t>2026-05-22 08:30:22</t>
  </si>
  <si>
    <t>27818756606</t>
  </si>
  <si>
    <t>13865555</t>
  </si>
  <si>
    <t>16c90a30-92e3-40a7-a277-b3442216d96b</t>
  </si>
  <si>
    <t>27818884110</t>
  </si>
  <si>
    <t>13865557</t>
  </si>
  <si>
    <t>4afa257b-d737-4bf8-963e-1c4bdbfc3040</t>
  </si>
  <si>
    <t>27820438418</t>
  </si>
  <si>
    <t>13865558</t>
  </si>
  <si>
    <t>52867013-7382-4cfa-b0ad-61d56d71aee2</t>
  </si>
  <si>
    <t>27820827088</t>
  </si>
  <si>
    <t>13866008</t>
  </si>
  <si>
    <t>fd840502-8dd7-4c9b-969c-423433a71478</t>
  </si>
  <si>
    <t>2026-05-22 08:30:01</t>
  </si>
  <si>
    <t>27726333600</t>
  </si>
  <si>
    <t>13866009</t>
  </si>
  <si>
    <t>cf79e27b-37b7-48e8-b636-86d5ec3ebe67</t>
  </si>
  <si>
    <t>2026-05-22 08:29:52</t>
  </si>
  <si>
    <t>27726363946</t>
  </si>
  <si>
    <t>13865560</t>
  </si>
  <si>
    <t>8bab63e7-0afd-4d2e-aca6-68fe976e9b28</t>
  </si>
  <si>
    <t>2026-05-22 08:29:49</t>
  </si>
  <si>
    <t>27822156925</t>
  </si>
  <si>
    <t>13865561</t>
  </si>
  <si>
    <t>ad88e346-093f-48c2-b780-0b4898b67f91</t>
  </si>
  <si>
    <t>27823075783</t>
  </si>
  <si>
    <t>13865563</t>
  </si>
  <si>
    <t>b6f72042-4bff-4eb7-802c-bbca85ddd8f1</t>
  </si>
  <si>
    <t>27823584735</t>
  </si>
  <si>
    <t>13865565</t>
  </si>
  <si>
    <t>a5d18be3-4264-4709-bcb6-c04c5b720e4c</t>
  </si>
  <si>
    <t>27824215703</t>
  </si>
  <si>
    <t>13866011</t>
  </si>
  <si>
    <t>0e74dd01-f7f2-4a7c-b9cb-ce31a35173ce</t>
  </si>
  <si>
    <t>27726829022</t>
  </si>
  <si>
    <t>2026-05-22 08:28:45</t>
  </si>
  <si>
    <t>13865562</t>
  </si>
  <si>
    <t>d6302aa8-23ca-44ad-812e-051c41258c0a</t>
  </si>
  <si>
    <t>2026-05-22 08:27:45</t>
  </si>
  <si>
    <t>27823491825</t>
  </si>
  <si>
    <t>13865564</t>
  </si>
  <si>
    <t>cb4f5450-277c-4b0f-80ae-4fcdedc5670f</t>
  </si>
  <si>
    <t>27824059650</t>
  </si>
  <si>
    <t>13866012</t>
  </si>
  <si>
    <t>82fa7f6f-5d3a-4f2f-8995-a504f0ee36a2</t>
  </si>
  <si>
    <t>2026-05-22 08:26:55</t>
  </si>
  <si>
    <t>27726970772</t>
  </si>
  <si>
    <t>13865574</t>
  </si>
  <si>
    <t>519287c8-2c97-4d62-8bae-1e20f40aa240</t>
  </si>
  <si>
    <t>2026-05-22 08:26:48</t>
  </si>
  <si>
    <t>27826448493</t>
  </si>
  <si>
    <t>4e202850-8a06-4c79-b5b7-46fd49ea40a3</t>
  </si>
  <si>
    <t>27827238286</t>
  </si>
  <si>
    <t>13865572</t>
  </si>
  <si>
    <t>7c35150c-7b02-4c06-9782-79190f8224c9</t>
  </si>
  <si>
    <t>2026-05-22 08:26:47</t>
  </si>
  <si>
    <t>27825828343</t>
  </si>
  <si>
    <t>13865575</t>
  </si>
  <si>
    <t>47e9c71b-f924-41d6-a4a7-729bd0327505</t>
  </si>
  <si>
    <t>2026-05-22 08:25:53</t>
  </si>
  <si>
    <t>27826955176</t>
  </si>
  <si>
    <t>13865578</t>
  </si>
  <si>
    <t>a2adacb8-199c-42da-a0a3-0d205c4b17a4</t>
  </si>
  <si>
    <t>2026-05-22 08:25:26</t>
  </si>
  <si>
    <t>27827527693</t>
  </si>
  <si>
    <t>13865579</t>
  </si>
  <si>
    <t>ba09811c-a0e7-46fc-a573-f7998704e99f</t>
  </si>
  <si>
    <t>27827536851</t>
  </si>
  <si>
    <t>13865580</t>
  </si>
  <si>
    <t>2229ca78-9d09-4b0e-bb80-5daec2f81786</t>
  </si>
  <si>
    <t>27827952774</t>
  </si>
  <si>
    <t>13866013</t>
  </si>
  <si>
    <t>61aa7363-91a7-45c8-856e-930cd957c208</t>
  </si>
  <si>
    <t>2026-05-22 08:24:35</t>
  </si>
  <si>
    <t>27727266735</t>
  </si>
  <si>
    <t>13866014</t>
  </si>
  <si>
    <t>d2ebb812-a641-4ded-846f-030fbc230795</t>
  </si>
  <si>
    <t>2026-05-22 08:24:29</t>
  </si>
  <si>
    <t>27727494984</t>
  </si>
  <si>
    <t>13866016</t>
  </si>
  <si>
    <t>5cd41f09-9928-4a57-b017-9277c74d0d8d</t>
  </si>
  <si>
    <t>2026-05-22 08:24:28</t>
  </si>
  <si>
    <t>27728322828</t>
  </si>
  <si>
    <t>13866017</t>
  </si>
  <si>
    <t>1b8d4013-6b46-412a-a292-de990546c39b</t>
  </si>
  <si>
    <t>27728339533</t>
  </si>
  <si>
    <t>13866018</t>
  </si>
  <si>
    <t>297eef46-e9cf-424b-92c7-895dac73f02a</t>
  </si>
  <si>
    <t>2026-05-22 08:24:04</t>
  </si>
  <si>
    <t>27728368546</t>
  </si>
  <si>
    <t>13865592</t>
  </si>
  <si>
    <t>c650afa5-fcaa-4e93-98a2-1371da12a5e7</t>
  </si>
  <si>
    <t>2026-05-22 08:24:03</t>
  </si>
  <si>
    <t>27606541526</t>
  </si>
  <si>
    <t>13865589</t>
  </si>
  <si>
    <t>bddfa145-6b61-4aac-81c4-66125a878013</t>
  </si>
  <si>
    <t>2026-05-22 08:23:57</t>
  </si>
  <si>
    <t>27603568107</t>
  </si>
  <si>
    <t>13865590</t>
  </si>
  <si>
    <t>82340288-032b-4dbf-8c83-8a38b5648112</t>
  </si>
  <si>
    <t>27606102066</t>
  </si>
  <si>
    <t>e3079350-b85b-47a6-b4ea-4afac4b73d77</t>
  </si>
  <si>
    <t>27606481591</t>
  </si>
  <si>
    <t>13865597</t>
  </si>
  <si>
    <t>c613757a-0d5b-40bb-bf7e-eb7b4503e0ca</t>
  </si>
  <si>
    <t>2026-05-22 08:23:33</t>
  </si>
  <si>
    <t>27608911023</t>
  </si>
  <si>
    <t>13865599</t>
  </si>
  <si>
    <t>ad4b1f64-6c65-4383-a9af-dafe852e413c</t>
  </si>
  <si>
    <t>27609701481</t>
  </si>
  <si>
    <t>13866019</t>
  </si>
  <si>
    <t>6c49d82b-5079-4fcf-a092-205894d64e99</t>
  </si>
  <si>
    <t>27728596863</t>
  </si>
  <si>
    <t>13866020</t>
  </si>
  <si>
    <t>f2930323-92a7-4dca-8e20-59b42674f121</t>
  </si>
  <si>
    <t>27728657980</t>
  </si>
  <si>
    <t>13865596</t>
  </si>
  <si>
    <t>3c8fec80-d697-47e5-a975-b8fd834274d3</t>
  </si>
  <si>
    <t>2026-05-22 08:22:46</t>
  </si>
  <si>
    <t>27607601333</t>
  </si>
  <si>
    <t>13865598</t>
  </si>
  <si>
    <t>671cd5db-ae01-4e4b-b2cc-fa8008e4b8b7</t>
  </si>
  <si>
    <t>27609411827</t>
  </si>
  <si>
    <t>13866021</t>
  </si>
  <si>
    <t>afbc3fd8-78a3-42d7-8a44-dd54c7807e0b</t>
  </si>
  <si>
    <t>2026-05-22 08:21:57</t>
  </si>
  <si>
    <t>27728960876</t>
  </si>
  <si>
    <t>13865607</t>
  </si>
  <si>
    <t>1b4d8abc-ca65-48a7-8a06-21fcbf3b6ab3</t>
  </si>
  <si>
    <t>2026-05-22 08:21:54</t>
  </si>
  <si>
    <t>27637278150</t>
  </si>
  <si>
    <t>13865603</t>
  </si>
  <si>
    <t>c7b0c527-f24d-4e65-9104-59e8a19f07d9</t>
  </si>
  <si>
    <t>2026-05-22 08:21:49</t>
  </si>
  <si>
    <t>27636340049</t>
  </si>
  <si>
    <t>13865605</t>
  </si>
  <si>
    <t>159f7f0b-00b3-4bb3-a58b-d77af780381f</t>
  </si>
  <si>
    <t>27636577772</t>
  </si>
  <si>
    <t>4158e341-07ea-4009-96de-b7d47c1d35ce</t>
  </si>
  <si>
    <t>2026-05-22 08:21:48</t>
  </si>
  <si>
    <t>27631360587</t>
  </si>
  <si>
    <t>13865604</t>
  </si>
  <si>
    <t>41496038-e925-485f-8f5d-e0490fc710ea</t>
  </si>
  <si>
    <t>27636528937</t>
  </si>
  <si>
    <t>13866071</t>
  </si>
  <si>
    <t>47d4f612-0bff-4c4a-9b27-ebbdaf6d1421</t>
  </si>
  <si>
    <t>27772661989</t>
  </si>
  <si>
    <t>2026-05-22 08:16:18</t>
  </si>
  <si>
    <t>13865693</t>
  </si>
  <si>
    <t>f7d83af1-2674-45c6-b51c-7d84c630d879</t>
  </si>
  <si>
    <t>27724095821</t>
  </si>
  <si>
    <t>2026-05-22 08:16:16</t>
  </si>
  <si>
    <t>13865609</t>
  </si>
  <si>
    <t>67435320-deb7-444b-972f-ed47715ac0c7</t>
  </si>
  <si>
    <t>2026-05-22 08:12:46</t>
  </si>
  <si>
    <t>27637812043</t>
  </si>
  <si>
    <t>13865611</t>
  </si>
  <si>
    <t>f2395c00-841a-47fa-a43c-e40ef54c327f</t>
  </si>
  <si>
    <t>27646194945</t>
  </si>
  <si>
    <t>13865614</t>
  </si>
  <si>
    <t>ff2eba61-ed8f-4864-9c51-8d8d515c9036</t>
  </si>
  <si>
    <t>27646887639</t>
  </si>
  <si>
    <t>13865613</t>
  </si>
  <si>
    <t>bfa57857-4dff-4263-9ebb-5827573a1c7e</t>
  </si>
  <si>
    <t>2026-05-22 08:12:45</t>
  </si>
  <si>
    <t>27646758821</t>
  </si>
  <si>
    <t>13865618</t>
  </si>
  <si>
    <t>a6506396-e71a-4c95-bbbd-80e73399452b</t>
  </si>
  <si>
    <t>27649403839</t>
  </si>
  <si>
    <t>2026-05-22 08:11:45</t>
  </si>
  <si>
    <t>13865623</t>
  </si>
  <si>
    <t>cadfbe49-579f-48ba-bd07-e2b8aa218405</t>
  </si>
  <si>
    <t>27661044116</t>
  </si>
  <si>
    <t>2026-05-22 08:11:27</t>
  </si>
  <si>
    <t>13865615</t>
  </si>
  <si>
    <t>64289e5b-559b-4602-9ccc-8fd06de7284a</t>
  </si>
  <si>
    <t>2026-05-22 08:11:26</t>
  </si>
  <si>
    <t>27647035602</t>
  </si>
  <si>
    <t>13865616</t>
  </si>
  <si>
    <t>b5f5bb99-6586-4723-9911-5b9d01b16e51</t>
  </si>
  <si>
    <t>27647781011</t>
  </si>
  <si>
    <t>13865617</t>
  </si>
  <si>
    <t>d5af43be-99a4-4ad5-a41b-bb18fc51ebb2</t>
  </si>
  <si>
    <t>27648255042</t>
  </si>
  <si>
    <t>13865619</t>
  </si>
  <si>
    <t>0eeae785-e324-47f8-9de0-51ebf0c5b8e9</t>
  </si>
  <si>
    <t>27649617836</t>
  </si>
  <si>
    <t>2026-05-22 08:10:07</t>
  </si>
  <si>
    <t>13865624</t>
  </si>
  <si>
    <t>24431d29-77d6-4ad2-83f1-8ff4433dbda8</t>
  </si>
  <si>
    <t>27661448291</t>
  </si>
  <si>
    <t>2026-05-22 08:10:03</t>
  </si>
  <si>
    <t>13865621</t>
  </si>
  <si>
    <t>dad2509e-ee46-4d11-a351-9097eaac11c3</t>
  </si>
  <si>
    <t>2026-05-22 08:09:47</t>
  </si>
  <si>
    <t>27660686349</t>
  </si>
  <si>
    <t>13866022</t>
  </si>
  <si>
    <t>20f362d7-02de-4689-800d-05f4d2af6779</t>
  </si>
  <si>
    <t>2026-05-22 08:08:40</t>
  </si>
  <si>
    <t>27729008969</t>
  </si>
  <si>
    <t>13866023</t>
  </si>
  <si>
    <t>23cea6b8-4c12-432d-b631-eb17e444aa6f</t>
  </si>
  <si>
    <t>2026-05-22 08:08:38</t>
  </si>
  <si>
    <t>27729089907</t>
  </si>
  <si>
    <t>84e53090-c1c2-45a1-90b4-9881fb8a9c06</t>
  </si>
  <si>
    <t>2026-05-22 08:08:30</t>
  </si>
  <si>
    <t>27663314171</t>
  </si>
  <si>
    <t>13865627</t>
  </si>
  <si>
    <t>79174aa7-aec3-49f4-a99e-eecb8840d285</t>
  </si>
  <si>
    <t>2026-05-22 08:08:24</t>
  </si>
  <si>
    <t>27661844280</t>
  </si>
  <si>
    <t>13865628</t>
  </si>
  <si>
    <t>fe4fe57c-e14f-423a-af5b-a36a0f5b799e</t>
  </si>
  <si>
    <t>27662388890</t>
  </si>
  <si>
    <t>13865630</t>
  </si>
  <si>
    <t>73503df2-84c1-4b2f-80c2-03c586d7144d</t>
  </si>
  <si>
    <t>2026-05-22 08:07:46</t>
  </si>
  <si>
    <t>27663258433</t>
  </si>
  <si>
    <t>13866025</t>
  </si>
  <si>
    <t>2dd3bef9-1cb1-4ffd-afa8-a16bfe6ecae0</t>
  </si>
  <si>
    <t>2026-05-22 08:07:36</t>
  </si>
  <si>
    <t>27729446245</t>
  </si>
  <si>
    <t>13866026</t>
  </si>
  <si>
    <t>2f1819f2-62e9-4066-b8a1-2cd9ae9c236e</t>
  </si>
  <si>
    <t>27729473490</t>
  </si>
  <si>
    <t>13866029</t>
  </si>
  <si>
    <t>751483b6-b448-4e63-915c-28d82a4aca15</t>
  </si>
  <si>
    <t>27733336300</t>
  </si>
  <si>
    <t>13865640</t>
  </si>
  <si>
    <t>48d85d6f-7846-4b0b-8452-bd29cce1e891</t>
  </si>
  <si>
    <t>27665048107</t>
  </si>
  <si>
    <t>2026-05-22 08:07:28</t>
  </si>
  <si>
    <t>13861310</t>
  </si>
  <si>
    <t>14ea99a6-e904-4c76-9939-b0efff05abdd</t>
  </si>
  <si>
    <t>27724647735</t>
  </si>
  <si>
    <t>2026-05-22 08:07:16</t>
  </si>
  <si>
    <t>13865637</t>
  </si>
  <si>
    <t>acfa7b43-27d9-4f8e-9b07-584f53f8f616</t>
  </si>
  <si>
    <t>2026-05-22 08:07:09</t>
  </si>
  <si>
    <t>27664123023</t>
  </si>
  <si>
    <t>13865639</t>
  </si>
  <si>
    <t>3f6b3350-3bc6-4b2b-8f43-ed4143d592b8</t>
  </si>
  <si>
    <t>27664538660</t>
  </si>
  <si>
    <t>13865641</t>
  </si>
  <si>
    <t>318f5e16-62cd-4243-b178-203b8e0db483</t>
  </si>
  <si>
    <t>27665200342</t>
  </si>
  <si>
    <t>13866030</t>
  </si>
  <si>
    <t>dd0450ad-762a-470b-b1db-f0599388eb9a</t>
  </si>
  <si>
    <t>2026-05-22 08:05:29</t>
  </si>
  <si>
    <t>27733944886</t>
  </si>
  <si>
    <t>13866031</t>
  </si>
  <si>
    <t>45587a1e-c7a4-423c-a1b2-269637f0ac86</t>
  </si>
  <si>
    <t>2026-05-22 08:05:21</t>
  </si>
  <si>
    <t>27735560272</t>
  </si>
  <si>
    <t>13866032</t>
  </si>
  <si>
    <t>24dc9d8a-8140-4d59-b217-adcfb28b3b3e</t>
  </si>
  <si>
    <t>2026-05-22 08:05:19</t>
  </si>
  <si>
    <t>27737669386</t>
  </si>
  <si>
    <t>13865650</t>
  </si>
  <si>
    <t>7ce25662-99a8-4d55-8746-660e1acc276d</t>
  </si>
  <si>
    <t>2026-05-22 08:05:09</t>
  </si>
  <si>
    <t>27711371076</t>
  </si>
  <si>
    <t>13865648</t>
  </si>
  <si>
    <t>13f55c68-1314-48e1-a5f9-782b909a4285</t>
  </si>
  <si>
    <t>2026-05-22 08:05:08</t>
  </si>
  <si>
    <t>27711190060</t>
  </si>
  <si>
    <t>13865653</t>
  </si>
  <si>
    <t>b51693ff-b88f-48e4-961e-55e777144200</t>
  </si>
  <si>
    <t>27711626503</t>
  </si>
  <si>
    <t>13866036</t>
  </si>
  <si>
    <t>591f747e-2104-4a9b-9c76-be741d0b7bce</t>
  </si>
  <si>
    <t>2026-05-22 08:03:32</t>
  </si>
  <si>
    <t>27761338100</t>
  </si>
  <si>
    <t>13865659</t>
  </si>
  <si>
    <t>0426223c-d7bc-4971-ae8c-d04ddb2bc7a2</t>
  </si>
  <si>
    <t>27712629436</t>
  </si>
  <si>
    <t>2026-05-22 08:03:10</t>
  </si>
  <si>
    <t>13865660</t>
  </si>
  <si>
    <t>5e9f7974-1aee-4d2e-a37a-e7edaf793d3a</t>
  </si>
  <si>
    <t>27712646841</t>
  </si>
  <si>
    <t>13865662</t>
  </si>
  <si>
    <t>a87376b2-f04c-4ce5-a7c3-a8612a32a284</t>
  </si>
  <si>
    <t>27712920480</t>
  </si>
  <si>
    <t>13866038</t>
  </si>
  <si>
    <t>bdd13382-c357-4797-a6f2-4553081d1e73</t>
  </si>
  <si>
    <t>27761928373</t>
  </si>
  <si>
    <t>2026-05-22 08:01:50</t>
  </si>
  <si>
    <t>13865695</t>
  </si>
  <si>
    <t>f31d02f4-4dbe-469e-815b-29b4d5e214ba</t>
  </si>
  <si>
    <t>2026-05-22 08:01:37</t>
  </si>
  <si>
    <t>27724233223</t>
  </si>
  <si>
    <t>13865690</t>
  </si>
  <si>
    <t>c5753f74-8bee-4bfc-afef-6dc66a87af7f</t>
  </si>
  <si>
    <t>2026-05-22 08:01:26</t>
  </si>
  <si>
    <t>27723284620</t>
  </si>
  <si>
    <t>13865687</t>
  </si>
  <si>
    <t>82a3b831-c337-4a68-a4d2-a5b2a4a4df01</t>
  </si>
  <si>
    <t>2026-05-22 08:01:24</t>
  </si>
  <si>
    <t>27722934874</t>
  </si>
  <si>
    <t>13865689</t>
  </si>
  <si>
    <t>5b1dce7b-cd0a-494a-ae18-b17d91e0d176</t>
  </si>
  <si>
    <t>27723107246</t>
  </si>
  <si>
    <t>13865686</t>
  </si>
  <si>
    <t>c7925b03-6d03-464b-b4f3-e9600b24af5a</t>
  </si>
  <si>
    <t>2026-05-22 08:00:37</t>
  </si>
  <si>
    <t>27722600597</t>
  </si>
  <si>
    <t>13865679</t>
  </si>
  <si>
    <t>dc45c26a-7621-4784-84ad-5bb5d74e862e</t>
  </si>
  <si>
    <t>27720385835</t>
  </si>
  <si>
    <t>2026-05-22 08:00:20</t>
  </si>
  <si>
    <t>13861375</t>
  </si>
  <si>
    <t>dd891f32-e717-4e9c-a8e3-8dad20cd982d</t>
  </si>
  <si>
    <t>27792650993</t>
  </si>
  <si>
    <t>2026-05-22 08:00:17</t>
  </si>
  <si>
    <t>13865675</t>
  </si>
  <si>
    <t>69173e59-489d-4061-804f-0be0a8c112a3</t>
  </si>
  <si>
    <t>27717455211</t>
  </si>
  <si>
    <t>13865678</t>
  </si>
  <si>
    <t>a90c74f7-5587-4e9f-b439-0a5f2896a6b7</t>
  </si>
  <si>
    <t>27720348085</t>
  </si>
  <si>
    <t>e2850955-3e1c-4ae5-ab44-e1988f217a4c</t>
  </si>
  <si>
    <t>27715451535</t>
  </si>
  <si>
    <t>2026-05-22 08:00:08</t>
  </si>
  <si>
    <t>13861350</t>
  </si>
  <si>
    <t>44dbd007-858d-4afb-a7d2-093f6d666660</t>
  </si>
  <si>
    <t>2026-05-22 07:59:54</t>
  </si>
  <si>
    <t>27766050864</t>
  </si>
  <si>
    <t>13861347</t>
  </si>
  <si>
    <t>5b94ad9f-603a-49bd-8587-027b73407cc3</t>
  </si>
  <si>
    <t>2026-05-22 07:59:53</t>
  </si>
  <si>
    <t>27764182609</t>
  </si>
  <si>
    <t>13866039</t>
  </si>
  <si>
    <t>a6928b2a-f2c0-4339-845c-69694d07ce92</t>
  </si>
  <si>
    <t>2026-05-22 07:59:43</t>
  </si>
  <si>
    <t>27762162413</t>
  </si>
  <si>
    <t>13866040</t>
  </si>
  <si>
    <t>8aa82444-19e4-44d8-bc34-75b5740c79f4</t>
  </si>
  <si>
    <t>2026-05-22 07:59:34</t>
  </si>
  <si>
    <t>27762402050</t>
  </si>
  <si>
    <t>13865681</t>
  </si>
  <si>
    <t>1737f7dc-e317-432f-808d-124c1ddb88d0</t>
  </si>
  <si>
    <t>2026-05-22 07:59:33</t>
  </si>
  <si>
    <t>27721160510</t>
  </si>
  <si>
    <t>13865685</t>
  </si>
  <si>
    <t>0854f367-abd8-45bb-a0a7-9793c631e140</t>
  </si>
  <si>
    <t>27722574944</t>
  </si>
  <si>
    <t>13866042</t>
  </si>
  <si>
    <t>301df984-90da-4c29-ba0a-65abff7429ca</t>
  </si>
  <si>
    <t>27762794555</t>
  </si>
  <si>
    <t>13865680</t>
  </si>
  <si>
    <t>cc1ee792-a510-4d28-90bd-840abd05c06a</t>
  </si>
  <si>
    <t>27720439751</t>
  </si>
  <si>
    <t>2026-05-22 07:59:32</t>
  </si>
  <si>
    <t>13865683</t>
  </si>
  <si>
    <t>9b0f36b2-7c9f-4dac-9c36-0153b274889c</t>
  </si>
  <si>
    <t>2026-05-22 07:58:41</t>
  </si>
  <si>
    <t>27721896330</t>
  </si>
  <si>
    <t>13861346</t>
  </si>
  <si>
    <t>58261dad-6a33-42af-b162-cd8853be8512</t>
  </si>
  <si>
    <t>27764128790</t>
  </si>
  <si>
    <t>2026-05-22 07:58:08</t>
  </si>
  <si>
    <t>13861345</t>
  </si>
  <si>
    <t>2d9cdc86-123b-462c-93b8-9bfe167bb547</t>
  </si>
  <si>
    <t>2026-05-22 07:58:04</t>
  </si>
  <si>
    <t>27763890066</t>
  </si>
  <si>
    <t>13861342</t>
  </si>
  <si>
    <t>877bc045-8400-4a0b-bf18-6565c5948704</t>
  </si>
  <si>
    <t>2026-05-22 07:58:02</t>
  </si>
  <si>
    <t>27763277328</t>
  </si>
  <si>
    <t>13861339</t>
  </si>
  <si>
    <t>570d1668-b703-42e9-b401-76e810e47d0f</t>
  </si>
  <si>
    <t>2026-05-22 07:58:00</t>
  </si>
  <si>
    <t>27762515414</t>
  </si>
  <si>
    <t>1e76480a-c715-4e0b-a359-76e88040e147</t>
  </si>
  <si>
    <t>27762646463</t>
  </si>
  <si>
    <t>13861341</t>
  </si>
  <si>
    <t>c165f330-a583-414a-9651-a9cdb20277d4</t>
  </si>
  <si>
    <t>27762784816</t>
  </si>
  <si>
    <t>13861337</t>
  </si>
  <si>
    <t>40862cb5-ef8a-4335-bc81-dda6ef2513bd</t>
  </si>
  <si>
    <t>2026-05-22 07:57:59</t>
  </si>
  <si>
    <t>27762411274</t>
  </si>
  <si>
    <t>13861338</t>
  </si>
  <si>
    <t>df0699cc-7ca3-4d85-a9ee-ed1d14ad1cd7</t>
  </si>
  <si>
    <t>27762431880</t>
  </si>
  <si>
    <t>13861335</t>
  </si>
  <si>
    <t>d6966c96-d006-4a38-9c33-1446a3294008</t>
  </si>
  <si>
    <t>2026-05-22 07:57:58</t>
  </si>
  <si>
    <t>27762032512</t>
  </si>
  <si>
    <t>13861331</t>
  </si>
  <si>
    <t>63af0b0c-f684-44ff-a554-9cf6f33596c4</t>
  </si>
  <si>
    <t>2026-05-22 07:57:57</t>
  </si>
  <si>
    <t>27760731601</t>
  </si>
  <si>
    <t>13861332</t>
  </si>
  <si>
    <t>6bc5253f-751a-4f28-9b8e-fb36711d7155</t>
  </si>
  <si>
    <t>27760797999</t>
  </si>
  <si>
    <t>13861333</t>
  </si>
  <si>
    <t>a91c746e-ede1-4e7f-8461-a07d37a21b27</t>
  </si>
  <si>
    <t>27761376167</t>
  </si>
  <si>
    <t>13861329</t>
  </si>
  <si>
    <t>2df2e1c6-3208-45b7-a37a-be0b2496090f</t>
  </si>
  <si>
    <t>2026-05-22 07:57:51</t>
  </si>
  <si>
    <t>27760615391</t>
  </si>
  <si>
    <t>13861327</t>
  </si>
  <si>
    <t>a58981fd-1454-4f1f-adb6-94bd74bf4e57</t>
  </si>
  <si>
    <t>2026-05-22 07:57:50</t>
  </si>
  <si>
    <t>27739329240</t>
  </si>
  <si>
    <t>13861326</t>
  </si>
  <si>
    <t>192443bf-4c27-41ba-9225-28aad4cb375d</t>
  </si>
  <si>
    <t>2026-05-22 07:57:43</t>
  </si>
  <si>
    <t>27735415823</t>
  </si>
  <si>
    <t>13866043</t>
  </si>
  <si>
    <t>5c779d65-3e1e-47da-9d80-9e59afc1972b</t>
  </si>
  <si>
    <t>2026-05-22 07:57:37</t>
  </si>
  <si>
    <t>27763032424</t>
  </si>
  <si>
    <t>13866044</t>
  </si>
  <si>
    <t>62580ae9-0e4d-435f-9d29-12ccf4576659</t>
  </si>
  <si>
    <t>27763211011</t>
  </si>
  <si>
    <t>13866046</t>
  </si>
  <si>
    <t>20b3e087-9fdc-4a75-ab9f-57884f0c54e6</t>
  </si>
  <si>
    <t>27763523496</t>
  </si>
  <si>
    <t>13866048</t>
  </si>
  <si>
    <t>efdb92f3-7aa8-4d01-991f-29c3ccd97ca2</t>
  </si>
  <si>
    <t>2026-05-22 07:57:15</t>
  </si>
  <si>
    <t>27763948946</t>
  </si>
  <si>
    <t>13865694</t>
  </si>
  <si>
    <t>77f190b0-227b-45b8-910b-fbee68b1cb8e</t>
  </si>
  <si>
    <t>2026-05-22 07:57:03</t>
  </si>
  <si>
    <t>27724190414</t>
  </si>
  <si>
    <t>13865692</t>
  </si>
  <si>
    <t>490679ca-5c51-416f-b2ad-9d595aad266f</t>
  </si>
  <si>
    <t>2026-05-22 07:56:57</t>
  </si>
  <si>
    <t>27723822862</t>
  </si>
  <si>
    <t>13865691</t>
  </si>
  <si>
    <t>1a276b5d-3692-4dba-a2e1-57e31b676800</t>
  </si>
  <si>
    <t>27723745080</t>
  </si>
  <si>
    <t>2026-05-22 07:56:43</t>
  </si>
  <si>
    <t>13861323</t>
  </si>
  <si>
    <t>a26a120e-2e2d-481f-9f85-bfdb3195b65a</t>
  </si>
  <si>
    <t>2026-05-22 07:56:02</t>
  </si>
  <si>
    <t>27728747416</t>
  </si>
  <si>
    <t>13861320</t>
  </si>
  <si>
    <t>5cb40592-b45a-4568-b8b6-16c2bd44f92e</t>
  </si>
  <si>
    <t>2026-05-22 07:55:57</t>
  </si>
  <si>
    <t>27727872092</t>
  </si>
  <si>
    <t>13861319</t>
  </si>
  <si>
    <t>9feb2a7e-65fd-4c00-b7ce-1595dbef7d71</t>
  </si>
  <si>
    <t>2026-05-22 07:55:50</t>
  </si>
  <si>
    <t>27727698093</t>
  </si>
  <si>
    <t>13861318</t>
  </si>
  <si>
    <t>7a84188a-472e-4084-945f-6c51a85b427b</t>
  </si>
  <si>
    <t>2026-05-22 07:55:35</t>
  </si>
  <si>
    <t>27727518467</t>
  </si>
  <si>
    <t>13866051</t>
  </si>
  <si>
    <t>77851f1e-9d33-485d-b8cc-c52f18d5dfdd</t>
  </si>
  <si>
    <t>2026-05-22 07:55:28</t>
  </si>
  <si>
    <t>27765130071</t>
  </si>
  <si>
    <t>13861313</t>
  </si>
  <si>
    <t>a3edfddd-3e0a-45f6-b843-9e08cc8a1f15</t>
  </si>
  <si>
    <t>2026-05-22 07:55:14</t>
  </si>
  <si>
    <t>27725881600</t>
  </si>
  <si>
    <t>13861315</t>
  </si>
  <si>
    <t>24d52818-ff5e-45ee-a2e8-24cd6022dde6</t>
  </si>
  <si>
    <t>27726682610</t>
  </si>
  <si>
    <t>13861316</t>
  </si>
  <si>
    <t>aad2ae2b-a7b8-46e6-a39d-087ac4e2910c</t>
  </si>
  <si>
    <t>27726828792</t>
  </si>
  <si>
    <t>13861309</t>
  </si>
  <si>
    <t>80238d7a-8a39-4bcc-a892-bb5e084adf01</t>
  </si>
  <si>
    <t>27724320512</t>
  </si>
  <si>
    <t>2026-05-22 07:54:46</t>
  </si>
  <si>
    <t>13866052</t>
  </si>
  <si>
    <t>18a6df31-3507-467f-9e59-2b7109af186f</t>
  </si>
  <si>
    <t>27765212764</t>
  </si>
  <si>
    <t>13866054</t>
  </si>
  <si>
    <t>4afc0a40-9f08-42d1-a5a6-4ceff3251fab</t>
  </si>
  <si>
    <t>2026-05-22 07:54:37</t>
  </si>
  <si>
    <t>27765297804</t>
  </si>
  <si>
    <t>13865704</t>
  </si>
  <si>
    <t>288315c1-0b59-4c42-9d63-df11860e7b9f</t>
  </si>
  <si>
    <t>2026-05-22 07:54:34</t>
  </si>
  <si>
    <t>27726678671</t>
  </si>
  <si>
    <t>13865701</t>
  </si>
  <si>
    <t>d818887b-78b0-427f-9717-b47842eef410</t>
  </si>
  <si>
    <t>27726157968</t>
  </si>
  <si>
    <t>13865702</t>
  </si>
  <si>
    <t>751dd6b9-c909-498c-9605-f271ace167da</t>
  </si>
  <si>
    <t>27726230705</t>
  </si>
  <si>
    <t>13866055</t>
  </si>
  <si>
    <t>fe7d40d9-ee69-49bf-8c2f-c5a9e8cb2cbc</t>
  </si>
  <si>
    <t>27766436640</t>
  </si>
  <si>
    <t>13865703</t>
  </si>
  <si>
    <t>c36a0e02-dfe6-4c88-ae6f-7995a0782441</t>
  </si>
  <si>
    <t>2026-05-22 07:54:27</t>
  </si>
  <si>
    <t>27726664617</t>
  </si>
  <si>
    <t>13861308</t>
  </si>
  <si>
    <t>665ceccc-a621-4570-b6dd-b8d4e6aecfec</t>
  </si>
  <si>
    <t>2026-05-22 07:54:08</t>
  </si>
  <si>
    <t>27724287827</t>
  </si>
  <si>
    <t>13861305</t>
  </si>
  <si>
    <t>7a80fa1a-7eb7-499c-9174-e15ccf0ba5ce</t>
  </si>
  <si>
    <t>27723409533</t>
  </si>
  <si>
    <t>2026-05-22 07:54:06</t>
  </si>
  <si>
    <t>13861307</t>
  </si>
  <si>
    <t>bed64e9e-7220-4a14-8cd1-513884caf909</t>
  </si>
  <si>
    <t>27724186936</t>
  </si>
  <si>
    <t>13861302</t>
  </si>
  <si>
    <t>b0a549ef-34b9-4118-bcd4-ef88184cd651</t>
  </si>
  <si>
    <t>2026-05-22 07:54:02</t>
  </si>
  <si>
    <t>27722165310</t>
  </si>
  <si>
    <t>13866056</t>
  </si>
  <si>
    <t>f0df4e62-592d-42ea-8b12-3c9a73730da1</t>
  </si>
  <si>
    <t>2026-05-22 07:53:26</t>
  </si>
  <si>
    <t>27766688869</t>
  </si>
  <si>
    <t>13866057</t>
  </si>
  <si>
    <t>063fa928-b97f-4110-981c-545ab61ac981</t>
  </si>
  <si>
    <t>2026-05-22 07:53:13</t>
  </si>
  <si>
    <t>27767200780</t>
  </si>
  <si>
    <t>13861118</t>
  </si>
  <si>
    <t>02068fd5-5472-49dd-a088-414bb7a4e3b0</t>
  </si>
  <si>
    <t>2026-05-22 07:53:12</t>
  </si>
  <si>
    <t>27664135772</t>
  </si>
  <si>
    <t>13866058</t>
  </si>
  <si>
    <t>a6926fb4-7f2a-4797-9bdd-25a845310955</t>
  </si>
  <si>
    <t>2026-05-22 07:53:11</t>
  </si>
  <si>
    <t>27767559844</t>
  </si>
  <si>
    <t>13865713</t>
  </si>
  <si>
    <t>056e3b15-6c58-4645-a214-3509bb02b953</t>
  </si>
  <si>
    <t>2026-05-22 07:53:10</t>
  </si>
  <si>
    <t>27728700579</t>
  </si>
  <si>
    <t>13865711</t>
  </si>
  <si>
    <t>1f9aa1c7-f3c4-4fda-84d7-35a19ae39b40</t>
  </si>
  <si>
    <t>2026-05-22 07:52:39</t>
  </si>
  <si>
    <t>27727951002</t>
  </si>
  <si>
    <t>13865708</t>
  </si>
  <si>
    <t>2bc889ec-b04d-4c90-8462-a7f541e8b0f4</t>
  </si>
  <si>
    <t>2026-05-22 07:52:37</t>
  </si>
  <si>
    <t>27727609028</t>
  </si>
  <si>
    <t>13865714</t>
  </si>
  <si>
    <t>0d7f2557-3715-4ad9-af4a-d7ada5b35368</t>
  </si>
  <si>
    <t>27728924397</t>
  </si>
  <si>
    <t>13861301</t>
  </si>
  <si>
    <t>9e13f543-428f-4ecd-bb65-8a825ed05aff</t>
  </si>
  <si>
    <t>2026-05-22 07:52:26</t>
  </si>
  <si>
    <t>27721800798</t>
  </si>
  <si>
    <t>370e4658-9b00-4a31-8e85-26650d728b2e</t>
  </si>
  <si>
    <t>2026-05-22 07:52:17</t>
  </si>
  <si>
    <t>27721787403</t>
  </si>
  <si>
    <t>13861299</t>
  </si>
  <si>
    <t>c5698e1b-ec71-4e16-b414-76115ef8e123</t>
  </si>
  <si>
    <t>2026-05-22 07:52:09</t>
  </si>
  <si>
    <t>27721444069</t>
  </si>
  <si>
    <t>13866059</t>
  </si>
  <si>
    <t>bba9d454-e647-4372-b6c4-a3d400d7039c</t>
  </si>
  <si>
    <t>27767578914</t>
  </si>
  <si>
    <t>13866060</t>
  </si>
  <si>
    <t>8720976e-0d10-4009-a720-0c72cf47b479</t>
  </si>
  <si>
    <t>27767766039</t>
  </si>
  <si>
    <t>13866061</t>
  </si>
  <si>
    <t>635aaf3f-9878-41d3-9aea-cfd584e00e31</t>
  </si>
  <si>
    <t>27767782369</t>
  </si>
  <si>
    <t>13865722</t>
  </si>
  <si>
    <t>69fb6f36-85bd-4804-898d-4ec01d884c1b</t>
  </si>
  <si>
    <t>2026-05-22 07:51:10</t>
  </si>
  <si>
    <t>27760181617</t>
  </si>
  <si>
    <t>13865717</t>
  </si>
  <si>
    <t>ab28ddb7-f68a-4029-b4ca-eef2baca0487</t>
  </si>
  <si>
    <t>2026-05-22 07:51:04</t>
  </si>
  <si>
    <t>27729653202</t>
  </si>
  <si>
    <t>13865720</t>
  </si>
  <si>
    <t>b233ba0c-3f65-4fb9-b207-d300042d567e</t>
  </si>
  <si>
    <t>27729974296</t>
  </si>
  <si>
    <t>13865721</t>
  </si>
  <si>
    <t>fc17b910-8811-489b-bac0-309e15f3bc21</t>
  </si>
  <si>
    <t>27731808454</t>
  </si>
  <si>
    <t>13866062</t>
  </si>
  <si>
    <t>f282c425-f438-47c5-b641-775464384f33</t>
  </si>
  <si>
    <t>2026-05-22 07:50:17</t>
  </si>
  <si>
    <t>27768056898</t>
  </si>
  <si>
    <t>13866063</t>
  </si>
  <si>
    <t>c92a6005-0e5f-46ba-9433-b5fc0c700eba</t>
  </si>
  <si>
    <t>27768430777</t>
  </si>
  <si>
    <t>13865730</t>
  </si>
  <si>
    <t>86bef527-c07a-4017-a3ed-224c030f5998</t>
  </si>
  <si>
    <t>2026-05-22 07:49:59</t>
  </si>
  <si>
    <t>27761583037</t>
  </si>
  <si>
    <t>13865727</t>
  </si>
  <si>
    <t>274ee017-77b1-427c-9453-5141213ab7f5</t>
  </si>
  <si>
    <t>2026-05-22 07:49:58</t>
  </si>
  <si>
    <t>27760796790</t>
  </si>
  <si>
    <t>13865728</t>
  </si>
  <si>
    <t>0f8b292d-d824-4378-814a-ca6e55ce4928</t>
  </si>
  <si>
    <t>27761198326</t>
  </si>
  <si>
    <t>13865729</t>
  </si>
  <si>
    <t>fe211422-bfa1-42eb-9829-864417095e9f</t>
  </si>
  <si>
    <t>27761505181</t>
  </si>
  <si>
    <t>13865737</t>
  </si>
  <si>
    <t>91af00bc-b29b-4048-9fa7-f83c26c5d7c0</t>
  </si>
  <si>
    <t>2026-05-22 07:49:13</t>
  </si>
  <si>
    <t>27762300443</t>
  </si>
  <si>
    <t>13865731</t>
  </si>
  <si>
    <t>95cf7638-6a96-4bb4-9bba-f2244d1f817e</t>
  </si>
  <si>
    <t>2026-05-22 07:49:11</t>
  </si>
  <si>
    <t>27761700284</t>
  </si>
  <si>
    <t>13865733</t>
  </si>
  <si>
    <t>6d3eb14e-cfc4-49f6-8d01-9a1079fbd631</t>
  </si>
  <si>
    <t>27762065795</t>
  </si>
  <si>
    <t>13865734</t>
  </si>
  <si>
    <t>6c92fa3e-a83b-47cd-bb0a-393a9c894ee1</t>
  </si>
  <si>
    <t>27762163728</t>
  </si>
  <si>
    <t>13861297</t>
  </si>
  <si>
    <t>fd3ed278-96ba-4c43-9b7a-3ed8da1218f0</t>
  </si>
  <si>
    <t>2026-05-22 07:48:41</t>
  </si>
  <si>
    <t>27721356112</t>
  </si>
  <si>
    <t>44e0327f-d35f-4d66-b5e1-51f369fec2a5</t>
  </si>
  <si>
    <t>27769262024</t>
  </si>
  <si>
    <t>13861296</t>
  </si>
  <si>
    <t>476c9b9f-ac2e-4c55-bab2-6ff27eabee39</t>
  </si>
  <si>
    <t>2026-05-22 07:48:40</t>
  </si>
  <si>
    <t>27721237648</t>
  </si>
  <si>
    <t>13866067</t>
  </si>
  <si>
    <t>232e6a46-e9e3-4775-b058-6e9c73deb943</t>
  </si>
  <si>
    <t>27769622111</t>
  </si>
  <si>
    <t>13866068</t>
  </si>
  <si>
    <t>63d6f18f-e897-4030-98bd-55dfa9dd6587</t>
  </si>
  <si>
    <t>2026-05-22 07:48:23</t>
  </si>
  <si>
    <t>27769640913</t>
  </si>
  <si>
    <t>13865740</t>
  </si>
  <si>
    <t>ffec73b3-089a-47ff-95f7-eb4dc32d164f</t>
  </si>
  <si>
    <t>2026-05-22 07:48:07</t>
  </si>
  <si>
    <t>27763003192</t>
  </si>
  <si>
    <t>13865741</t>
  </si>
  <si>
    <t>d9253806-d695-435d-8566-b0c5231afcb3</t>
  </si>
  <si>
    <t>27763054780</t>
  </si>
  <si>
    <t>13865742</t>
  </si>
  <si>
    <t>3fd6b8ae-62c4-441c-908d-45487b677e0d</t>
  </si>
  <si>
    <t>27763208587</t>
  </si>
  <si>
    <t>13865744</t>
  </si>
  <si>
    <t>90f5e440-ef1a-4c3e-8158-9077108d0ced</t>
  </si>
  <si>
    <t>27763370360</t>
  </si>
  <si>
    <t>13861291</t>
  </si>
  <si>
    <t>c45e4e9a-d953-4f54-8d76-3175b89c06d8</t>
  </si>
  <si>
    <t>2026-05-22 07:45:11</t>
  </si>
  <si>
    <t>27716500959</t>
  </si>
  <si>
    <t>13861294</t>
  </si>
  <si>
    <t>6f95ee20-67f1-4dac-a78f-e6e936ce5d29</t>
  </si>
  <si>
    <t>27721031629</t>
  </si>
  <si>
    <t>13861295</t>
  </si>
  <si>
    <t>b033ec6d-4052-4619-a89b-e6d50a9a1b0a</t>
  </si>
  <si>
    <t>27721231423</t>
  </si>
  <si>
    <t>13866070</t>
  </si>
  <si>
    <t>ce6a2387-4f05-4dc9-9106-260d2529f0e4</t>
  </si>
  <si>
    <t>27769798677</t>
  </si>
  <si>
    <t>13866073</t>
  </si>
  <si>
    <t>961f4748-e9d8-454e-a799-dbd9e6bd97ef</t>
  </si>
  <si>
    <t>2026-05-22 07:44:59</t>
  </si>
  <si>
    <t>27773987025</t>
  </si>
  <si>
    <t>13865747</t>
  </si>
  <si>
    <t>c8c05d11-011a-42c4-8596-e0eee2c055a2</t>
  </si>
  <si>
    <t>2026-05-22 07:44:55</t>
  </si>
  <si>
    <t>27763771657</t>
  </si>
  <si>
    <t>13865749</t>
  </si>
  <si>
    <t>b0918e73-0a6f-4f51-ad1b-8ceabf212a32</t>
  </si>
  <si>
    <t>27764243735</t>
  </si>
  <si>
    <t>13865751</t>
  </si>
  <si>
    <t>8f08aaf5-52ba-4332-8904-c197381a818d</t>
  </si>
  <si>
    <t>27764472863</t>
  </si>
  <si>
    <t>13861290</t>
  </si>
  <si>
    <t>0cf0b291-98a0-44ed-b7cd-2d8ee0edac23</t>
  </si>
  <si>
    <t>2026-05-22 07:44:17</t>
  </si>
  <si>
    <t>27715591411</t>
  </si>
  <si>
    <t>13865761</t>
  </si>
  <si>
    <t>d4caa785-ead3-48ae-a68e-fb5cd932af1c</t>
  </si>
  <si>
    <t>2026-05-22 07:44:10</t>
  </si>
  <si>
    <t>27765813757</t>
  </si>
  <si>
    <t>13866075</t>
  </si>
  <si>
    <t>9cfc9ecb-1e7a-43aa-9cbf-1600bc6a6f68</t>
  </si>
  <si>
    <t>27788495185</t>
  </si>
  <si>
    <t>13866076</t>
  </si>
  <si>
    <t>9e0efdb5-14fe-464f-b3a2-78925f1bc130</t>
  </si>
  <si>
    <t>27790498090</t>
  </si>
  <si>
    <t>13866077</t>
  </si>
  <si>
    <t>f06385fb-8bd5-41c6-a9fa-db376d865cf0</t>
  </si>
  <si>
    <t>27790557949</t>
  </si>
  <si>
    <t>13865757</t>
  </si>
  <si>
    <t>3d639e7f-f8d3-493e-9b28-227b2493f7a1</t>
  </si>
  <si>
    <t>2026-05-22 07:44:03</t>
  </si>
  <si>
    <t>27765381671</t>
  </si>
  <si>
    <t>13865755</t>
  </si>
  <si>
    <t>42f3d289-10fe-4d8b-b2b9-a14c297d977a</t>
  </si>
  <si>
    <t>2026-05-22 07:43:57</t>
  </si>
  <si>
    <t>27764968384</t>
  </si>
  <si>
    <t>13865758</t>
  </si>
  <si>
    <t>0ceb92a9-ea11-4998-a149-5a183cc4ee20</t>
  </si>
  <si>
    <t>27765488965</t>
  </si>
  <si>
    <t>13865760</t>
  </si>
  <si>
    <t>2c4a5f1f-ab92-48d5-99c9-63eb228e24f8</t>
  </si>
  <si>
    <t>2026-05-22 07:43:52</t>
  </si>
  <si>
    <t>27765722866</t>
  </si>
  <si>
    <t>13866078</t>
  </si>
  <si>
    <t>d7a4e71e-c12b-4a4d-a824-47c69031706a</t>
  </si>
  <si>
    <t>27790562866</t>
  </si>
  <si>
    <t>2026-05-22 07:42:57</t>
  </si>
  <si>
    <t>13861289</t>
  </si>
  <si>
    <t>d1fe1842-cc81-4801-b105-9b06cb88804c</t>
  </si>
  <si>
    <t>2026-05-22 07:42:56</t>
  </si>
  <si>
    <t>27715282319</t>
  </si>
  <si>
    <t>13861285</t>
  </si>
  <si>
    <t>08bdfda2-08b2-4d19-bf44-6b71ce605c43</t>
  </si>
  <si>
    <t>2026-05-22 07:42:27</t>
  </si>
  <si>
    <t>27713782316</t>
  </si>
  <si>
    <t>13865769</t>
  </si>
  <si>
    <t>61917962-87ea-41be-a2c3-0e17f6d617b9</t>
  </si>
  <si>
    <t>2026-05-22 07:42:26</t>
  </si>
  <si>
    <t>27766688923</t>
  </si>
  <si>
    <t>13866079</t>
  </si>
  <si>
    <t>5439652f-1527-4944-be8e-8c3789dc6faf</t>
  </si>
  <si>
    <t>27790889963</t>
  </si>
  <si>
    <t>13866080</t>
  </si>
  <si>
    <t>f8154e54-0213-45bd-b067-da5d32d14b9d</t>
  </si>
  <si>
    <t>27790956973</t>
  </si>
  <si>
    <t>13865766</t>
  </si>
  <si>
    <t>4bf43b7a-a622-4ad4-9a90-1b61003a0275</t>
  </si>
  <si>
    <t>2026-05-22 07:42:13</t>
  </si>
  <si>
    <t>27766353428</t>
  </si>
  <si>
    <t>13865765</t>
  </si>
  <si>
    <t>f3e9f1fc-c843-4665-ad82-bd974c2872a2</t>
  </si>
  <si>
    <t>2026-05-22 07:42:12</t>
  </si>
  <si>
    <t>27766047320</t>
  </si>
  <si>
    <t>13865768</t>
  </si>
  <si>
    <t>365a5ef3-507a-4c35-84aa-0638fdbc5a72</t>
  </si>
  <si>
    <t>2026-05-22 07:42:00</t>
  </si>
  <si>
    <t>27766404076</t>
  </si>
  <si>
    <t>13865771</t>
  </si>
  <si>
    <t>fec5a34d-5ea4-4d70-a3e5-f3570766e053</t>
  </si>
  <si>
    <t>2026-05-22 07:41:55</t>
  </si>
  <si>
    <t>27766989741</t>
  </si>
  <si>
    <t>13865770</t>
  </si>
  <si>
    <t>df4f7c56-9c01-46bb-aed4-6b16ced375e8</t>
  </si>
  <si>
    <t>2026-05-22 07:41:54</t>
  </si>
  <si>
    <t>27766847962</t>
  </si>
  <si>
    <t>13865772</t>
  </si>
  <si>
    <t>2bc60e04-c1f1-4340-a316-03e0ef2147b2</t>
  </si>
  <si>
    <t>27767332150</t>
  </si>
  <si>
    <t>13865773</t>
  </si>
  <si>
    <t>5c90bb28-8326-4a8d-a1c4-f3cac5c46960</t>
  </si>
  <si>
    <t>27767855862</t>
  </si>
  <si>
    <t>13861282</t>
  </si>
  <si>
    <t>62ebe686-8463-4dfb-a6f7-b2499da07d80</t>
  </si>
  <si>
    <t>2026-05-22 07:39:42</t>
  </si>
  <si>
    <t>27713272260</t>
  </si>
  <si>
    <t>13861283</t>
  </si>
  <si>
    <t>d9826ac1-063c-4fba-8fd1-537e70452390</t>
  </si>
  <si>
    <t>27713557271</t>
  </si>
  <si>
    <t>13865780</t>
  </si>
  <si>
    <t>3dbc9e95-02e7-47df-8f22-14511db33e79</t>
  </si>
  <si>
    <t>27769459952</t>
  </si>
  <si>
    <t>13866081</t>
  </si>
  <si>
    <t>f74060f7-bd85-4da9-abab-8312375eeb9d</t>
  </si>
  <si>
    <t>27791036120</t>
  </si>
  <si>
    <t>13865778</t>
  </si>
  <si>
    <t>2fffbcb6-6574-4c02-9f23-c2f1c1230dcc</t>
  </si>
  <si>
    <t>2026-05-22 07:39:38</t>
  </si>
  <si>
    <t>27768951968</t>
  </si>
  <si>
    <t>13865775</t>
  </si>
  <si>
    <t>551dfd33-682c-4488-9d60-6b0b8c739f4f</t>
  </si>
  <si>
    <t>2026-05-22 07:39:12</t>
  </si>
  <si>
    <t>27768011884</t>
  </si>
  <si>
    <t>13865779</t>
  </si>
  <si>
    <t>2f843137-da2f-4d2b-b17a-5333282a10c1</t>
  </si>
  <si>
    <t>27769128484</t>
  </si>
  <si>
    <t>13861281</t>
  </si>
  <si>
    <t>27547f96-4b36-4ab5-9dae-56f95e4a08f7</t>
  </si>
  <si>
    <t>2026-05-22 07:38:51</t>
  </si>
  <si>
    <t>27712289661</t>
  </si>
  <si>
    <t>13866082</t>
  </si>
  <si>
    <t>7f8bbb6a-b97d-492f-b323-bd1db0277f94</t>
  </si>
  <si>
    <t>2026-05-22 07:38:50</t>
  </si>
  <si>
    <t>27791117503</t>
  </si>
  <si>
    <t>13865784</t>
  </si>
  <si>
    <t>88171efc-65a3-4b0d-bc3a-be4dbc295fd5</t>
  </si>
  <si>
    <t>27772856679</t>
  </si>
  <si>
    <t>2026-05-22 07:38:35</t>
  </si>
  <si>
    <t>13865785</t>
  </si>
  <si>
    <t>f1c8bea4-91af-4cda-9439-7bae0f00b5cd</t>
  </si>
  <si>
    <t>27773781732</t>
  </si>
  <si>
    <t>13865786</t>
  </si>
  <si>
    <t>5a9de716-6bdf-43ef-9051-e811efbf7b08</t>
  </si>
  <si>
    <t>27773784161</t>
  </si>
  <si>
    <t>13865787</t>
  </si>
  <si>
    <t>0bec3e0c-015c-4f52-aef7-a4805c9d3333</t>
  </si>
  <si>
    <t>27774382139</t>
  </si>
  <si>
    <t>13861280</t>
  </si>
  <si>
    <t>e21e6f04-1102-42bf-86d2-e7843b6c1229</t>
  </si>
  <si>
    <t>2026-05-22 07:35:26</t>
  </si>
  <si>
    <t>27711821034</t>
  </si>
  <si>
    <t>13866083</t>
  </si>
  <si>
    <t>69873fe6-86a4-4f8d-b678-d0d9a3a85340</t>
  </si>
  <si>
    <t>2026-05-22 07:35:20</t>
  </si>
  <si>
    <t>27791125045</t>
  </si>
  <si>
    <t>13865793</t>
  </si>
  <si>
    <t>a7bd62c0-0188-4f2b-ab0f-2df8545931fe</t>
  </si>
  <si>
    <t>2026-05-22 07:35:19</t>
  </si>
  <si>
    <t>27790827751</t>
  </si>
  <si>
    <t>13865790</t>
  </si>
  <si>
    <t>8968c53d-5cbb-4218-84d0-60966742af15</t>
  </si>
  <si>
    <t>2026-05-22 07:34:53</t>
  </si>
  <si>
    <t>27790740178</t>
  </si>
  <si>
    <t>13865792</t>
  </si>
  <si>
    <t>6ab8f9a9-dc53-4062-9e25-af9ffb7de26b</t>
  </si>
  <si>
    <t>2026-05-22 07:34:50</t>
  </si>
  <si>
    <t>27790810895</t>
  </si>
  <si>
    <t>13861262</t>
  </si>
  <si>
    <t>85c06661-290b-49c2-8501-1ecc02c3a8b4</t>
  </si>
  <si>
    <t>27649710590</t>
  </si>
  <si>
    <t>2026-05-22 07:34:16</t>
  </si>
  <si>
    <t>13865796</t>
  </si>
  <si>
    <t>d950771a-8a9b-4b91-93fb-29e1a4bde3f1</t>
  </si>
  <si>
    <t>2026-05-22 07:33:50</t>
  </si>
  <si>
    <t>27791879053</t>
  </si>
  <si>
    <t>13865798</t>
  </si>
  <si>
    <t>212519b5-45da-4f49-8f73-1f8f2b413eeb</t>
  </si>
  <si>
    <t>27792330164</t>
  </si>
  <si>
    <t>13865806</t>
  </si>
  <si>
    <t>42bf0aea-0823-421f-9210-317b26a422ae</t>
  </si>
  <si>
    <t>2026-05-22 07:33:49</t>
  </si>
  <si>
    <t>27793590086</t>
  </si>
  <si>
    <t>13865797</t>
  </si>
  <si>
    <t>246fdee9-abd5-448a-9469-05c51f79333d</t>
  </si>
  <si>
    <t>27791923470</t>
  </si>
  <si>
    <t>13861860</t>
  </si>
  <si>
    <t>a8083bd0-946e-414b-8df5-06bbc8042369</t>
  </si>
  <si>
    <t>27790638415</t>
  </si>
  <si>
    <t>2026-05-22 07:33:43</t>
  </si>
  <si>
    <t>13865800</t>
  </si>
  <si>
    <t>4547760e-16f6-4f15-baaf-5e6ab972a7e5</t>
  </si>
  <si>
    <t>2026-05-22 07:32:47</t>
  </si>
  <si>
    <t>27792519661</t>
  </si>
  <si>
    <t>13865804</t>
  </si>
  <si>
    <t>88e1aad7-436c-47be-a3dc-7fc2db40458d</t>
  </si>
  <si>
    <t>27793276289</t>
  </si>
  <si>
    <t>13865799</t>
  </si>
  <si>
    <t>11e0e17b-b865-4ee3-be65-03bf02743609</t>
  </si>
  <si>
    <t>27792400982</t>
  </si>
  <si>
    <t>13861949</t>
  </si>
  <si>
    <t>94f53c6b-392c-49da-843c-c4ef9fc0d7f0</t>
  </si>
  <si>
    <t>2026-05-22 07:29:09</t>
  </si>
  <si>
    <t>27711265347</t>
  </si>
  <si>
    <t>13865808</t>
  </si>
  <si>
    <t>60d46ab3-0711-4e27-aaab-37b83f3710b0</t>
  </si>
  <si>
    <t>2026-05-22 07:28:46</t>
  </si>
  <si>
    <t>27793823089</t>
  </si>
  <si>
    <t>13865810</t>
  </si>
  <si>
    <t>f2129827-1652-4054-85b4-64ffecd859ae</t>
  </si>
  <si>
    <t>27794447339</t>
  </si>
  <si>
    <t>13865812</t>
  </si>
  <si>
    <t>4c9e9502-7a97-4b3b-be49-f1c6c78bc8f7</t>
  </si>
  <si>
    <t>27794882103</t>
  </si>
  <si>
    <t>13861279</t>
  </si>
  <si>
    <t>b875e12b-95b0-432c-842e-6c49a650e3ec</t>
  </si>
  <si>
    <t>27711751003</t>
  </si>
  <si>
    <t>2026-05-22 07:28:04</t>
  </si>
  <si>
    <t>13865809</t>
  </si>
  <si>
    <t>9b14e0a1-97ee-4fde-b0c5-0345179af5f1</t>
  </si>
  <si>
    <t>2026-05-22 07:26:26</t>
  </si>
  <si>
    <t>27794038965</t>
  </si>
  <si>
    <t>13865811</t>
  </si>
  <si>
    <t>105713e8-fe85-4f33-85ab-9c5b6a1bc4f2</t>
  </si>
  <si>
    <t>27794616541</t>
  </si>
  <si>
    <t>13863916</t>
  </si>
  <si>
    <t>1b8b0575-01b2-4fa7-98ea-18e0957e5eba</t>
  </si>
  <si>
    <t>2026-05-22 07:25:35</t>
  </si>
  <si>
    <t>27822960889</t>
  </si>
  <si>
    <t>13865818</t>
  </si>
  <si>
    <t>f781ae39-246d-499a-82b5-874ab10ad930</t>
  </si>
  <si>
    <t>2026-05-22 07:25:26</t>
  </si>
  <si>
    <t>27796593429</t>
  </si>
  <si>
    <t>13865815</t>
  </si>
  <si>
    <t>579ca80c-9c8f-4b56-b0af-fc03116bee6b</t>
  </si>
  <si>
    <t>2026-05-22 07:25:25</t>
  </si>
  <si>
    <t>27796112527</t>
  </si>
  <si>
    <t>13865816</t>
  </si>
  <si>
    <t>ab72d0a1-285c-4c84-9ff9-d931215b5ef9</t>
  </si>
  <si>
    <t>27796146686</t>
  </si>
  <si>
    <t>13865817</t>
  </si>
  <si>
    <t>3d64d678-ca75-49b5-8cfd-be926e9dd3e6</t>
  </si>
  <si>
    <t>27796468495</t>
  </si>
  <si>
    <t>13865862</t>
  </si>
  <si>
    <t>c6929f6b-f3e2-4ff4-ad6a-e84c46df62f9</t>
  </si>
  <si>
    <t>27825577132</t>
  </si>
  <si>
    <t>2026-05-22 07:24:49</t>
  </si>
  <si>
    <t>13861277</t>
  </si>
  <si>
    <t>05b7fe98-f4e5-448f-8517-0d57e1b9d0d9</t>
  </si>
  <si>
    <t>2026-05-22 07:24:45</t>
  </si>
  <si>
    <t>27711153526</t>
  </si>
  <si>
    <t>13861274</t>
  </si>
  <si>
    <t>d5abdb3e-042f-4380-b12c-603eeafa390b</t>
  </si>
  <si>
    <t>2026-05-22 07:23:42</t>
  </si>
  <si>
    <t>27673881790</t>
  </si>
  <si>
    <t>13861275</t>
  </si>
  <si>
    <t>82ae4eca-8a86-42fd-9778-8c427e4a9380</t>
  </si>
  <si>
    <t>27711069751</t>
  </si>
  <si>
    <t>13861276</t>
  </si>
  <si>
    <t>00a7d96c-b069-4786-b7d9-09c806377c16</t>
  </si>
  <si>
    <t>27711121270</t>
  </si>
  <si>
    <t>13865390</t>
  </si>
  <si>
    <t>eb5c6dc4-17bb-48cb-bfdc-732a992a302b</t>
  </si>
  <si>
    <t>27712235393</t>
  </si>
  <si>
    <t>13865825</t>
  </si>
  <si>
    <t>4b49dd56-ab17-4629-bf02-a9068f3fd9e2</t>
  </si>
  <si>
    <t>27798301642</t>
  </si>
  <si>
    <t>2026-05-22 07:23:29</t>
  </si>
  <si>
    <t>13865820</t>
  </si>
  <si>
    <t>710bcb76-be9e-40e4-8da1-21a5961bf5a2</t>
  </si>
  <si>
    <t>2026-05-22 07:23:26</t>
  </si>
  <si>
    <t>27796865332</t>
  </si>
  <si>
    <t>13865822</t>
  </si>
  <si>
    <t>8c3fadee-7953-434a-a416-d103e62de898</t>
  </si>
  <si>
    <t>27797337182</t>
  </si>
  <si>
    <t>13865824</t>
  </si>
  <si>
    <t>8c3d5d3e-0774-41d9-b51f-a67e0e5b7432</t>
  </si>
  <si>
    <t>27797987296</t>
  </si>
  <si>
    <t>e47702f2-9e7d-48c0-9bff-60e23e952a22</t>
  </si>
  <si>
    <t>2026-05-22 07:22:58</t>
  </si>
  <si>
    <t>27673050137</t>
  </si>
  <si>
    <t>13861271</t>
  </si>
  <si>
    <t>defd088a-63e2-428b-a822-944ef4ce3d74</t>
  </si>
  <si>
    <t>2026-05-22 07:22:29</t>
  </si>
  <si>
    <t>27664263430</t>
  </si>
  <si>
    <t>13861270</t>
  </si>
  <si>
    <t>23b0d9e2-3b07-44fd-bf1b-6c654f68a1c9</t>
  </si>
  <si>
    <t>2026-05-22 07:22:19</t>
  </si>
  <si>
    <t>27663722440</t>
  </si>
  <si>
    <t>13861268</t>
  </si>
  <si>
    <t>80754fa6-4ae0-4e83-ba4e-8450f8485ed4</t>
  </si>
  <si>
    <t>2026-05-22 07:21:46</t>
  </si>
  <si>
    <t>27663424696</t>
  </si>
  <si>
    <t>13861269</t>
  </si>
  <si>
    <t>b1710348-72d6-4207-b188-0cacffcd0c25</t>
  </si>
  <si>
    <t>27663624493</t>
  </si>
  <si>
    <t>13861250</t>
  </si>
  <si>
    <t>02243509-5477-475e-82c7-d430d81af4a0</t>
  </si>
  <si>
    <t>27607348855</t>
  </si>
  <si>
    <t>2026-05-22 07:21:35</t>
  </si>
  <si>
    <t>13865556</t>
  </si>
  <si>
    <t>a6b04108-f01f-4105-9681-6af68e1b8665</t>
  </si>
  <si>
    <t>27818957465</t>
  </si>
  <si>
    <t>13865832</t>
  </si>
  <si>
    <t>c80870b2-512b-45a8-9b40-8ff4fc2c1f23</t>
  </si>
  <si>
    <t>2026-05-22 07:21:34</t>
  </si>
  <si>
    <t>27799755547</t>
  </si>
  <si>
    <t>13865827</t>
  </si>
  <si>
    <t>04d5c1bf-0598-4120-be66-18eee9bd4dfe</t>
  </si>
  <si>
    <t>2026-05-22 07:21:33</t>
  </si>
  <si>
    <t>27798693590</t>
  </si>
  <si>
    <t>13865829</t>
  </si>
  <si>
    <t>c007eb14-ad3a-4411-87cb-0ca79a6da08d</t>
  </si>
  <si>
    <t>27799040750</t>
  </si>
  <si>
    <t>13865831</t>
  </si>
  <si>
    <t>b77b7c0c-0c04-4319-bf0f-30b5a351f34c</t>
  </si>
  <si>
    <t>27799624056</t>
  </si>
  <si>
    <t>13861267</t>
  </si>
  <si>
    <t>bb4fe1b1-febf-4ba7-b34e-94f1cccce88d</t>
  </si>
  <si>
    <t>2026-05-22 07:21:14</t>
  </si>
  <si>
    <t>27663110048</t>
  </si>
  <si>
    <t>13861254</t>
  </si>
  <si>
    <t>88086ee1-a4d2-4cc1-a1bd-3950f10993a5</t>
  </si>
  <si>
    <t>27636505248</t>
  </si>
  <si>
    <t>2026-05-22 07:21:12</t>
  </si>
  <si>
    <t>13861266</t>
  </si>
  <si>
    <t>2d0d24eb-1db9-45ed-80a6-fe761451bad8</t>
  </si>
  <si>
    <t>2026-05-22 07:21:11</t>
  </si>
  <si>
    <t>27660867804</t>
  </si>
  <si>
    <t>13861263</t>
  </si>
  <si>
    <t>26ef0d6e-15ef-43d2-9006-6532ec68b65c</t>
  </si>
  <si>
    <t>2026-05-22 07:21:09</t>
  </si>
  <si>
    <t>27660152994</t>
  </si>
  <si>
    <t>13861261</t>
  </si>
  <si>
    <t>ca42b1bf-6335-4c66-9755-1693cec2d995</t>
  </si>
  <si>
    <t>2026-05-22 07:21:01</t>
  </si>
  <si>
    <t>27649184497</t>
  </si>
  <si>
    <t>13861260</t>
  </si>
  <si>
    <t>c64fa2d2-4060-4559-ac4a-4f7afeb48e9d</t>
  </si>
  <si>
    <t>2026-05-22 07:21:00</t>
  </si>
  <si>
    <t>27648766366</t>
  </si>
  <si>
    <t>13861259</t>
  </si>
  <si>
    <t>948c47bc-036b-4a10-a9db-f70fbe7d4325</t>
  </si>
  <si>
    <t>2026-05-22 07:20:56</t>
  </si>
  <si>
    <t>27647985939</t>
  </si>
  <si>
    <t>13861258</t>
  </si>
  <si>
    <t>4ceae357-ffcb-49f1-a7bd-02226070c764</t>
  </si>
  <si>
    <t>2026-05-22 07:20:55</t>
  </si>
  <si>
    <t>27647934751</t>
  </si>
  <si>
    <t>13865964</t>
  </si>
  <si>
    <t>9860dc1e-b984-4390-95a0-42104b2631df</t>
  </si>
  <si>
    <t>27714645332</t>
  </si>
  <si>
    <t>13861255</t>
  </si>
  <si>
    <t>c90e6a90-edfa-4aa0-8639-b09d52a6cc30</t>
  </si>
  <si>
    <t>2026-05-22 07:20:54</t>
  </si>
  <si>
    <t>27637258119</t>
  </si>
  <si>
    <t>13861256</t>
  </si>
  <si>
    <t>5dba43ab-dc1c-4d45-951c-25350417e879</t>
  </si>
  <si>
    <t>27646215849</t>
  </si>
  <si>
    <t>13861252</t>
  </si>
  <si>
    <t>53f7e09d-ab0d-45c7-bb58-e1d7e8bb56f7</t>
  </si>
  <si>
    <t>2026-05-22 07:20:29</t>
  </si>
  <si>
    <t>27636209879</t>
  </si>
  <si>
    <t>13861253</t>
  </si>
  <si>
    <t>151202ec-e92e-403b-a91e-b3d0d0fd221d</t>
  </si>
  <si>
    <t>27636404809</t>
  </si>
  <si>
    <t>13861239</t>
  </si>
  <si>
    <t>bb1b884a-480e-4cc5-b7ae-826d5d5b55fe</t>
  </si>
  <si>
    <t>27825184962</t>
  </si>
  <si>
    <t>2026-05-22 07:20:06</t>
  </si>
  <si>
    <t>13861251</t>
  </si>
  <si>
    <t>b4e0b1b5-ca35-4064-a478-741e242c8eb0</t>
  </si>
  <si>
    <t>2026-05-22 07:19:59</t>
  </si>
  <si>
    <t>27636194994</t>
  </si>
  <si>
    <t>13861249</t>
  </si>
  <si>
    <t>d323b22f-b886-4515-b3d3-ef1f2cf2c2a2</t>
  </si>
  <si>
    <t>2026-05-22 07:19:48</t>
  </si>
  <si>
    <t>27606215171</t>
  </si>
  <si>
    <t>13861248</t>
  </si>
  <si>
    <t>2ce108c8-8d06-4eec-9c04-3f9f9afe0e3e</t>
  </si>
  <si>
    <t>2026-05-22 07:19:30</t>
  </si>
  <si>
    <t>27829552343</t>
  </si>
  <si>
    <t>13861247</t>
  </si>
  <si>
    <t>21d66f1a-77a2-43d8-b22a-7842bd6f8d5a</t>
  </si>
  <si>
    <t>2026-05-22 07:19:21</t>
  </si>
  <si>
    <t>27828607415</t>
  </si>
  <si>
    <t>13861245</t>
  </si>
  <si>
    <t>bc13daf6-f6b2-45fd-9a09-24a563b8bb75</t>
  </si>
  <si>
    <t>2026-05-22 07:18:50</t>
  </si>
  <si>
    <t>27827618375</t>
  </si>
  <si>
    <t>13861246</t>
  </si>
  <si>
    <t>c4ea1633-e58e-4628-b7c1-42789a851225</t>
  </si>
  <si>
    <t>27828104643</t>
  </si>
  <si>
    <t>13861244</t>
  </si>
  <si>
    <t>dad3844f-4312-4e61-a61b-a9b14b6a35ea</t>
  </si>
  <si>
    <t>2026-05-22 07:18:48</t>
  </si>
  <si>
    <t>27827150528</t>
  </si>
  <si>
    <t>13861243</t>
  </si>
  <si>
    <t>44c34cc4-6e8f-4697-a2bd-6337f3bca03c</t>
  </si>
  <si>
    <t>2026-05-22 07:18:47</t>
  </si>
  <si>
    <t>27826815302</t>
  </si>
  <si>
    <t>13861242</t>
  </si>
  <si>
    <t>0501dd66-aa25-4a6a-b9c2-32c81504cbce</t>
  </si>
  <si>
    <t>2026-05-22 07:18:46</t>
  </si>
  <si>
    <t>27826260009</t>
  </si>
  <si>
    <t>13861240</t>
  </si>
  <si>
    <t>08c8c23c-9170-4854-929b-2d083fdbd147</t>
  </si>
  <si>
    <t>2026-05-22 07:18:45</t>
  </si>
  <si>
    <t>27825279990</t>
  </si>
  <si>
    <t>13861241</t>
  </si>
  <si>
    <t>b30f1a5b-bc83-4fd0-9605-9e2b95784c28</t>
  </si>
  <si>
    <t>27825531275</t>
  </si>
  <si>
    <t>13865837</t>
  </si>
  <si>
    <t>4b544717-941b-42ad-b548-331f4a75b7da</t>
  </si>
  <si>
    <t>27818284324</t>
  </si>
  <si>
    <t>13861236</t>
  </si>
  <si>
    <t>5a3407d8-0ac8-4b82-aa2f-eb7ef1def6bb</t>
  </si>
  <si>
    <t>27824211928</t>
  </si>
  <si>
    <t>2026-05-22 07:18:32</t>
  </si>
  <si>
    <t>13865834</t>
  </si>
  <si>
    <t>054f0229-c5f8-495b-a7f4-e659f31f9b17</t>
  </si>
  <si>
    <t>2026-05-22 07:18:30</t>
  </si>
  <si>
    <t>27818124335</t>
  </si>
  <si>
    <t>13865835</t>
  </si>
  <si>
    <t>6cb56a85-441b-42b3-81b4-9c633263c0c6</t>
  </si>
  <si>
    <t>27818246730</t>
  </si>
  <si>
    <t>13865836</t>
  </si>
  <si>
    <t>a967fc3c-e402-45c5-b960-9d5636899f1d</t>
  </si>
  <si>
    <t>2026-05-22 07:18:20</t>
  </si>
  <si>
    <t>27818251097</t>
  </si>
  <si>
    <t>13861237</t>
  </si>
  <si>
    <t>c9d5d811-b870-48b6-bcb6-c09fe03e635c</t>
  </si>
  <si>
    <t>2026-05-22 07:18:08</t>
  </si>
  <si>
    <t>27824327922</t>
  </si>
  <si>
    <t>13861198</t>
  </si>
  <si>
    <t>bf25e6c7-cda6-49ca-8700-2d7e4e2cbb24</t>
  </si>
  <si>
    <t>27790177203</t>
  </si>
  <si>
    <t>2026-05-22 07:18:07</t>
  </si>
  <si>
    <t>13861235</t>
  </si>
  <si>
    <t>640ee428-2c69-4b84-bf0d-8d5e24dd28f2</t>
  </si>
  <si>
    <t>2026-05-22 07:17:50</t>
  </si>
  <si>
    <t>27823837477</t>
  </si>
  <si>
    <t>13861233</t>
  </si>
  <si>
    <t>d0b4e714-458d-4cbc-ba36-fc421278a3c6</t>
  </si>
  <si>
    <t>27822821532</t>
  </si>
  <si>
    <t>13861231</t>
  </si>
  <si>
    <t>109daf75-1ea0-4edc-a24d-0d97ec9576d0</t>
  </si>
  <si>
    <t>2026-05-22 07:17:48</t>
  </si>
  <si>
    <t>27822112335</t>
  </si>
  <si>
    <t>13861230</t>
  </si>
  <si>
    <t>8663e34b-f240-4be7-a2fe-5265dea4c05c</t>
  </si>
  <si>
    <t>2026-05-22 07:17:38</t>
  </si>
  <si>
    <t>27820809046</t>
  </si>
  <si>
    <t>13861229</t>
  </si>
  <si>
    <t>05676256-e886-4df9-b5ab-fa9d4fb3bbbd</t>
  </si>
  <si>
    <t>2026-05-22 07:17:34</t>
  </si>
  <si>
    <t>27818730669</t>
  </si>
  <si>
    <t>13861228</t>
  </si>
  <si>
    <t>fa8e38c4-6ba7-4343-bf29-9f3b4a668183</t>
  </si>
  <si>
    <t>2026-05-22 07:17:03</t>
  </si>
  <si>
    <t>27818716268</t>
  </si>
  <si>
    <t>13861083</t>
  </si>
  <si>
    <t>0c5d0900-c88d-437b-a16f-855d45126772</t>
  </si>
  <si>
    <t>2026-05-22 07:16:46</t>
  </si>
  <si>
    <t>27605282905</t>
  </si>
  <si>
    <t>13861223</t>
  </si>
  <si>
    <t>100c038a-ab6f-4ae0-9bb8-f2774229037d</t>
  </si>
  <si>
    <t>2026-05-22 07:16:44</t>
  </si>
  <si>
    <t>27798410602</t>
  </si>
  <si>
    <t>13861219</t>
  </si>
  <si>
    <t>d9ca1f10-50f9-4345-8c79-cb12ac3fd50e</t>
  </si>
  <si>
    <t>2026-05-22 07:16:37</t>
  </si>
  <si>
    <t>27797006389</t>
  </si>
  <si>
    <t>13861220</t>
  </si>
  <si>
    <t>cf6a6eb6-1337-441f-96e4-7a3e1538ad98</t>
  </si>
  <si>
    <t>27797252478</t>
  </si>
  <si>
    <t>13861221</t>
  </si>
  <si>
    <t>5dd8be43-bb60-4e50-8066-c46b5d164e2e</t>
  </si>
  <si>
    <t>27797301606</t>
  </si>
  <si>
    <t>13861222</t>
  </si>
  <si>
    <t>2c487495-c59b-4df1-a763-f7d46e16e9ca</t>
  </si>
  <si>
    <t>27797443249</t>
  </si>
  <si>
    <t>13861218</t>
  </si>
  <si>
    <t>580f0649-c4c0-4653-a093-2299be04e23b</t>
  </si>
  <si>
    <t>2026-05-22 07:16:34</t>
  </si>
  <si>
    <t>27796548825</t>
  </si>
  <si>
    <t>13861216</t>
  </si>
  <si>
    <t>cdd2e12c-3941-49fa-9703-adb4002182de</t>
  </si>
  <si>
    <t>2026-05-22 07:16:22</t>
  </si>
  <si>
    <t>27796069107</t>
  </si>
  <si>
    <t>13861212</t>
  </si>
  <si>
    <t>f9da62c7-ea8e-471c-8c12-f9a699959901</t>
  </si>
  <si>
    <t>2026-05-22 07:16:21</t>
  </si>
  <si>
    <t>27794774416</t>
  </si>
  <si>
    <t>13861213</t>
  </si>
  <si>
    <t>0c0c47f5-eb79-466a-8200-c2d54a4c8a83</t>
  </si>
  <si>
    <t>27794818898</t>
  </si>
  <si>
    <t>13861209</t>
  </si>
  <si>
    <t>19213a60-66e4-48aa-8b19-f47a25a36c81</t>
  </si>
  <si>
    <t>2026-05-22 07:16:09</t>
  </si>
  <si>
    <t>27794275893</t>
  </si>
  <si>
    <t>13861210</t>
  </si>
  <si>
    <t>04da7197-efc9-4510-a9d2-831bcc5330cf</t>
  </si>
  <si>
    <t>27794395200</t>
  </si>
  <si>
    <t>13861208</t>
  </si>
  <si>
    <t>518b64fb-7083-4220-8cfe-57d59384d37e</t>
  </si>
  <si>
    <t>2026-05-22 07:15:56</t>
  </si>
  <si>
    <t>27793208049</t>
  </si>
  <si>
    <t>13861206</t>
  </si>
  <si>
    <t>cfe84446-2c3f-4781-abb8-dfbe504e1c40</t>
  </si>
  <si>
    <t>2026-05-22 07:15:53</t>
  </si>
  <si>
    <t>27793005568</t>
  </si>
  <si>
    <t>13861205</t>
  </si>
  <si>
    <t>6244fd88-4611-45b2-afe4-561e4cead2eb</t>
  </si>
  <si>
    <t>2026-05-22 07:15:49</t>
  </si>
  <si>
    <t>27792540209</t>
  </si>
  <si>
    <t>13865917</t>
  </si>
  <si>
    <t>bb710310-ad06-491d-ae22-3e58556d9ce0</t>
  </si>
  <si>
    <t>2026-05-22 07:15:47</t>
  </si>
  <si>
    <t>27660332278</t>
  </si>
  <si>
    <t>13865839</t>
  </si>
  <si>
    <t>a883a5e6-3a9a-4b01-9981-c1601011a0e3</t>
  </si>
  <si>
    <t>2026-05-22 07:15:46</t>
  </si>
  <si>
    <t>27818517960</t>
  </si>
  <si>
    <t>13865841</t>
  </si>
  <si>
    <t>d8779941-3f64-4cd6-9650-79d374ed0a71</t>
  </si>
  <si>
    <t>27820509951</t>
  </si>
  <si>
    <t>13865842</t>
  </si>
  <si>
    <t>7db8a5c9-a487-4890-995a-705de531a11f</t>
  </si>
  <si>
    <t>27822114715</t>
  </si>
  <si>
    <t>13861204</t>
  </si>
  <si>
    <t>054426a0-198b-4d74-a34d-56e7425b7de7</t>
  </si>
  <si>
    <t>27792364328</t>
  </si>
  <si>
    <t>2026-05-22 07:15:28</t>
  </si>
  <si>
    <t>13861203</t>
  </si>
  <si>
    <t>ace1e042-00a3-4e4a-8343-fe0255677835</t>
  </si>
  <si>
    <t>27791339165</t>
  </si>
  <si>
    <t>2026-05-22 07:15:24</t>
  </si>
  <si>
    <t>13861201</t>
  </si>
  <si>
    <t>07134b6b-96a9-4e55-b3df-66b55cd46b8e</t>
  </si>
  <si>
    <t>2026-05-22 07:14:51</t>
  </si>
  <si>
    <t>27790588380</t>
  </si>
  <si>
    <t>13861202</t>
  </si>
  <si>
    <t>fc89fafa-e29f-4bb3-8dc0-0726e85be9ef</t>
  </si>
  <si>
    <t>27790639684</t>
  </si>
  <si>
    <t>13865847</t>
  </si>
  <si>
    <t>c07c2e26-4935-4b5f-8ef9-f57b09d5476f</t>
  </si>
  <si>
    <t>27822890111</t>
  </si>
  <si>
    <t>13865844</t>
  </si>
  <si>
    <t>f3e9a50f-137d-4c69-8cf5-df6b039e151e</t>
  </si>
  <si>
    <t>27822333645</t>
  </si>
  <si>
    <t>2026-05-22 07:14:27</t>
  </si>
  <si>
    <t>13865845</t>
  </si>
  <si>
    <t>69cdd1f4-d5cf-46f9-afb2-ed4b269c7394</t>
  </si>
  <si>
    <t>2026-05-22 07:14:04</t>
  </si>
  <si>
    <t>27822382097</t>
  </si>
  <si>
    <t>13865846</t>
  </si>
  <si>
    <t>4b92d044-6363-4a44-b340-b17afd67797e</t>
  </si>
  <si>
    <t>2026-05-22 07:14:01</t>
  </si>
  <si>
    <t>27822844915</t>
  </si>
  <si>
    <t>13861199</t>
  </si>
  <si>
    <t>f5759a51-32da-4c96-962f-a3f8384ec206</t>
  </si>
  <si>
    <t>2026-05-22 07:13:41</t>
  </si>
  <si>
    <t>27790237499</t>
  </si>
  <si>
    <t>13861197</t>
  </si>
  <si>
    <t>6acdcdf3-9ca5-405b-b580-3bc4e11128f0</t>
  </si>
  <si>
    <t>2026-05-22 07:13:40</t>
  </si>
  <si>
    <t>27790115130</t>
  </si>
  <si>
    <t>13861195</t>
  </si>
  <si>
    <t>10d37d10-6db1-4a44-97c0-9b16f527a114</t>
  </si>
  <si>
    <t>2026-05-22 07:13:38</t>
  </si>
  <si>
    <t>27774785379</t>
  </si>
  <si>
    <t>13861196</t>
  </si>
  <si>
    <t>d2533edf-9d8a-4a69-8af8-645e46b530e4</t>
  </si>
  <si>
    <t>27786836742</t>
  </si>
  <si>
    <t>13861194</t>
  </si>
  <si>
    <t>9d643e9f-b3d5-46a6-bcdb-74331149147c</t>
  </si>
  <si>
    <t>2026-05-22 07:13:15</t>
  </si>
  <si>
    <t>27774471130</t>
  </si>
  <si>
    <t>13865848</t>
  </si>
  <si>
    <t>b30feb9b-49c6-4570-af3d-ae3a4eebc76b</t>
  </si>
  <si>
    <t>2026-05-22 07:13:08</t>
  </si>
  <si>
    <t>27822940333</t>
  </si>
  <si>
    <t>13865849</t>
  </si>
  <si>
    <t>e3cca6f5-02bb-4b90-977a-9a67de754f63</t>
  </si>
  <si>
    <t>27823088337</t>
  </si>
  <si>
    <t>13865850</t>
  </si>
  <si>
    <t>55fbdb54-49d7-43fd-8881-f1194bc9932c</t>
  </si>
  <si>
    <t>27823242380</t>
  </si>
  <si>
    <t>13865851</t>
  </si>
  <si>
    <t>2a0e0a90-6fbc-47c5-a6f9-8b7ac84a3622</t>
  </si>
  <si>
    <t>27823400262</t>
  </si>
  <si>
    <t>13861189</t>
  </si>
  <si>
    <t>4f97b2ff-ad28-457a-8293-0f008c1b72dc</t>
  </si>
  <si>
    <t>2026-05-22 07:10:00</t>
  </si>
  <si>
    <t>27768454149</t>
  </si>
  <si>
    <t>13861190</t>
  </si>
  <si>
    <t>149dcd46-26b4-4398-af90-103dcec16e58</t>
  </si>
  <si>
    <t>27769127547</t>
  </si>
  <si>
    <t>13861191</t>
  </si>
  <si>
    <t>c13a102b-7dbe-4224-a5ff-15b1bc982dbc</t>
  </si>
  <si>
    <t>27769165952</t>
  </si>
  <si>
    <t>13861193</t>
  </si>
  <si>
    <t>8f41fe79-f3f1-4348-bca7-b5d747630370</t>
  </si>
  <si>
    <t>27769283979</t>
  </si>
  <si>
    <t>13861188</t>
  </si>
  <si>
    <t>aea41cf1-07c9-4b91-88ec-3191e54593b7</t>
  </si>
  <si>
    <t>2026-05-22 07:09:36</t>
  </si>
  <si>
    <t>27768189813</t>
  </si>
  <si>
    <t>13865852</t>
  </si>
  <si>
    <t>2c402d7b-3c65-4ade-bfb7-364720e38b61</t>
  </si>
  <si>
    <t>2026-05-22 07:09:28</t>
  </si>
  <si>
    <t>27823505140</t>
  </si>
  <si>
    <t>13865853</t>
  </si>
  <si>
    <t>2d4a0a57-d5b8-437a-942f-447c23861383</t>
  </si>
  <si>
    <t>27823769379</t>
  </si>
  <si>
    <t>13865854</t>
  </si>
  <si>
    <t>303ee9df-7c97-4732-bcf7-22ca15f1530a</t>
  </si>
  <si>
    <t>27823972590</t>
  </si>
  <si>
    <t>13865856</t>
  </si>
  <si>
    <t>0802d4b8-ce7e-4151-a01b-42c4df953887</t>
  </si>
  <si>
    <t>27824270976</t>
  </si>
  <si>
    <t>13861183</t>
  </si>
  <si>
    <t>60174da2-82f3-4210-aab5-f1741068af7a</t>
  </si>
  <si>
    <t>2026-05-22 07:07:26</t>
  </si>
  <si>
    <t>27767589510</t>
  </si>
  <si>
    <t>13861184</t>
  </si>
  <si>
    <t>a3ac9e09-79f9-422f-a6aa-728fa05051a6</t>
  </si>
  <si>
    <t>27767688471</t>
  </si>
  <si>
    <t>13861186</t>
  </si>
  <si>
    <t>7245c70c-6215-46c7-8a4d-1fdda2d596e2</t>
  </si>
  <si>
    <t>27767887521</t>
  </si>
  <si>
    <t>13861187</t>
  </si>
  <si>
    <t>f66e8127-8043-4583-9170-ac3ab10d1392</t>
  </si>
  <si>
    <t>27767940161</t>
  </si>
  <si>
    <t>13861180</t>
  </si>
  <si>
    <t>c58ced04-75d2-455f-9575-f1b3c46a8479</t>
  </si>
  <si>
    <t>2026-05-22 07:07:21</t>
  </si>
  <si>
    <t>27766948426</t>
  </si>
  <si>
    <t>13865858</t>
  </si>
  <si>
    <t>2f32106a-0080-4194-a9c3-db63734cea5e</t>
  </si>
  <si>
    <t>2026-05-22 07:07:15</t>
  </si>
  <si>
    <t>27824818901</t>
  </si>
  <si>
    <t>13865857</t>
  </si>
  <si>
    <t>a1e7a4fc-750e-4e69-9259-3601b438c10d</t>
  </si>
  <si>
    <t>2026-05-22 07:07:14</t>
  </si>
  <si>
    <t>27824506805</t>
  </si>
  <si>
    <t>13865860</t>
  </si>
  <si>
    <t>8ee562a9-6919-48dd-a198-b4e18d3c9921</t>
  </si>
  <si>
    <t>27825215351</t>
  </si>
  <si>
    <t>13861152</t>
  </si>
  <si>
    <t>ade40ba5-d13c-4e27-aa0e-7e6c3506c221</t>
  </si>
  <si>
    <t>27724777796</t>
  </si>
  <si>
    <t>2026-05-22 07:06:51</t>
  </si>
  <si>
    <t>13861178</t>
  </si>
  <si>
    <t>d5bf5fa0-3f35-4148-9e3d-7f625a3fed23</t>
  </si>
  <si>
    <t>2026-05-22 07:06:37</t>
  </si>
  <si>
    <t>27766685961</t>
  </si>
  <si>
    <t>13861174</t>
  </si>
  <si>
    <t>cc1bfc43-eb1c-48da-b965-167aac429434</t>
  </si>
  <si>
    <t>27765473001</t>
  </si>
  <si>
    <t>2026-05-22 07:06:24</t>
  </si>
  <si>
    <t>13865864</t>
  </si>
  <si>
    <t>4d3702fe-4dab-4887-b4ee-fca38c5d7ac7</t>
  </si>
  <si>
    <t>2026-05-22 07:06:18</t>
  </si>
  <si>
    <t>27825894674</t>
  </si>
  <si>
    <t>13865866</t>
  </si>
  <si>
    <t>7fc6b21d-364b-4f3e-a5f5-5ca5c5459981</t>
  </si>
  <si>
    <t>27826000301</t>
  </si>
  <si>
    <t>13865863</t>
  </si>
  <si>
    <t>90b0cd3d-02bf-4508-96ab-349afdf8cc4d</t>
  </si>
  <si>
    <t>2026-05-22 07:06:02</t>
  </si>
  <si>
    <t>27825831035</t>
  </si>
  <si>
    <t>13865865</t>
  </si>
  <si>
    <t>1db311c7-11e8-4857-9e53-7c9ab8f04531</t>
  </si>
  <si>
    <t>27825907107</t>
  </si>
  <si>
    <t>13861177</t>
  </si>
  <si>
    <t>75f142e7-325d-48e7-9d28-e9f5928fd1d1</t>
  </si>
  <si>
    <t>2026-05-22 07:05:52</t>
  </si>
  <si>
    <t>27765755828</t>
  </si>
  <si>
    <t>13861175</t>
  </si>
  <si>
    <t>94d6e7e1-6542-48ed-9561-f9490fba2cce</t>
  </si>
  <si>
    <t>2026-05-22 07:05:39</t>
  </si>
  <si>
    <t>27765539394</t>
  </si>
  <si>
    <t>13861176</t>
  </si>
  <si>
    <t>bab2658f-133d-4b36-8e74-5e0f6387a5ac</t>
  </si>
  <si>
    <t>27765643294</t>
  </si>
  <si>
    <t>13861173</t>
  </si>
  <si>
    <t>fb2a4f1c-96dc-4f91-bf11-ae8845ba2c7b</t>
  </si>
  <si>
    <t>2026-05-22 07:04:41</t>
  </si>
  <si>
    <t>27765423017</t>
  </si>
  <si>
    <t>13861172</t>
  </si>
  <si>
    <t>c2e894d8-49a4-4779-8e3b-12c5dde898a6</t>
  </si>
  <si>
    <t>2026-05-22 07:04:30</t>
  </si>
  <si>
    <t>27765117231</t>
  </si>
  <si>
    <t>13861171</t>
  </si>
  <si>
    <t>2a886366-56af-472e-9c49-cf97f3915836</t>
  </si>
  <si>
    <t>2026-05-22 07:04:29</t>
  </si>
  <si>
    <t>27763428383</t>
  </si>
  <si>
    <t>13861170</t>
  </si>
  <si>
    <t>404f029f-8552-438e-9350-91412279649a</t>
  </si>
  <si>
    <t>2026-05-22 07:04:23</t>
  </si>
  <si>
    <t>27763270400</t>
  </si>
  <si>
    <t>13861169</t>
  </si>
  <si>
    <t>7c801556-5d72-4e39-8d7e-5402d78c14d7</t>
  </si>
  <si>
    <t>2026-05-22 07:04:18</t>
  </si>
  <si>
    <t>27763154466</t>
  </si>
  <si>
    <t>13861166</t>
  </si>
  <si>
    <t>153badf3-95a4-45aa-90f0-a5e7283a09d2</t>
  </si>
  <si>
    <t>2026-05-22 07:04:17</t>
  </si>
  <si>
    <t>27762176323</t>
  </si>
  <si>
    <t>13865868</t>
  </si>
  <si>
    <t>d3befab9-f3f6-4ffc-957e-30260b1affac</t>
  </si>
  <si>
    <t>2026-05-22 07:04:11</t>
  </si>
  <si>
    <t>27826491663</t>
  </si>
  <si>
    <t>13865870</t>
  </si>
  <si>
    <t>e90f55f9-3961-489a-ab53-5b555d3baf18</t>
  </si>
  <si>
    <t>27826914731</t>
  </si>
  <si>
    <t>13865867</t>
  </si>
  <si>
    <t>154d5bc0-5ff4-496f-b94a-3afc52757e71</t>
  </si>
  <si>
    <t>2026-05-22 07:04:10</t>
  </si>
  <si>
    <t>27826428431</t>
  </si>
  <si>
    <t>13865869</t>
  </si>
  <si>
    <t>e6fe56f7-dfaf-42c0-948d-8520b84efc7f</t>
  </si>
  <si>
    <t>27826692908</t>
  </si>
  <si>
    <t>13861164</t>
  </si>
  <si>
    <t>ba84dd14-1f6b-4d29-9190-58316202777f</t>
  </si>
  <si>
    <t>2026-05-22 07:02:20</t>
  </si>
  <si>
    <t>27729796878</t>
  </si>
  <si>
    <t>13861165</t>
  </si>
  <si>
    <t>8d69f82d-f105-4788-bc59-df1437223641</t>
  </si>
  <si>
    <t>27729958688</t>
  </si>
  <si>
    <t>13861163</t>
  </si>
  <si>
    <t>62bbfcbd-6849-4f3b-ad0f-d5c3d6d124ef</t>
  </si>
  <si>
    <t>2026-05-22 07:02:18</t>
  </si>
  <si>
    <t>27729538361</t>
  </si>
  <si>
    <t>13861162</t>
  </si>
  <si>
    <t>41ef2161-19a8-4293-8a48-d4c39a018751</t>
  </si>
  <si>
    <t>2026-05-22 07:02:14</t>
  </si>
  <si>
    <t>27729352172</t>
  </si>
  <si>
    <t>13861161</t>
  </si>
  <si>
    <t>fabafb3c-c40f-4803-8097-907f7083285f</t>
  </si>
  <si>
    <t>2026-05-22 07:02:12</t>
  </si>
  <si>
    <t>27729176543</t>
  </si>
  <si>
    <t>13861160</t>
  </si>
  <si>
    <t>38ffed4c-8062-4924-84c0-5279c46ea654</t>
  </si>
  <si>
    <t>2026-05-22 07:02:10</t>
  </si>
  <si>
    <t>27729146057</t>
  </si>
  <si>
    <t>13861158</t>
  </si>
  <si>
    <t>a96d500b-ab8f-42de-bc91-f14296230750</t>
  </si>
  <si>
    <t>2026-05-22 07:02:08</t>
  </si>
  <si>
    <t>27726939980</t>
  </si>
  <si>
    <t>13861156</t>
  </si>
  <si>
    <t>4422d669-0416-4805-867d-08542ebab584</t>
  </si>
  <si>
    <t>2026-05-22 07:02:03</t>
  </si>
  <si>
    <t>27726447011</t>
  </si>
  <si>
    <t>13861151</t>
  </si>
  <si>
    <t>311feff3-cb9f-4281-8c49-ba14de34295b</t>
  </si>
  <si>
    <t>2026-05-22 07:01:49</t>
  </si>
  <si>
    <t>27724695996</t>
  </si>
  <si>
    <t>13861153</t>
  </si>
  <si>
    <t>5cf5aefe-82e2-45c3-aec9-86ff9aacab35</t>
  </si>
  <si>
    <t>27724883610</t>
  </si>
  <si>
    <t>13861155</t>
  </si>
  <si>
    <t>c9c30bcf-1b11-4d45-aeec-40808b55a5f7</t>
  </si>
  <si>
    <t>27726097536</t>
  </si>
  <si>
    <t>13861149</t>
  </si>
  <si>
    <t>7f3d4051-fc8a-4f9f-9a4a-427713ce4fba</t>
  </si>
  <si>
    <t>2026-05-22 07:01:39</t>
  </si>
  <si>
    <t>27724025507</t>
  </si>
  <si>
    <t>13861147</t>
  </si>
  <si>
    <t>bd413aff-3ad6-4670-adb6-4543623aee0f</t>
  </si>
  <si>
    <t>2026-05-22 07:01:37</t>
  </si>
  <si>
    <t>27723825542</t>
  </si>
  <si>
    <t>13861148</t>
  </si>
  <si>
    <t>9eaf3829-4501-438f-908f-76845f77490d</t>
  </si>
  <si>
    <t>27723976839</t>
  </si>
  <si>
    <t>13861146</t>
  </si>
  <si>
    <t>502d4831-8825-4f02-b3df-97d2d01a6748</t>
  </si>
  <si>
    <t>2026-05-22 07:01:21</t>
  </si>
  <si>
    <t>27723717271</t>
  </si>
  <si>
    <t>13865874</t>
  </si>
  <si>
    <t>7be64f4d-1713-45ec-abcf-ed2ea9e2e4bb</t>
  </si>
  <si>
    <t>2026-05-22 07:01:09</t>
  </si>
  <si>
    <t>27828401209</t>
  </si>
  <si>
    <t>13865871</t>
  </si>
  <si>
    <t>c62e37d5-7057-4152-ac7e-610aa1a1bd73</t>
  </si>
  <si>
    <t>2026-05-22 07:01:04</t>
  </si>
  <si>
    <t>27827174063</t>
  </si>
  <si>
    <t>13865872</t>
  </si>
  <si>
    <t>69a073f2-0651-4e12-af4f-288e141cb95b</t>
  </si>
  <si>
    <t>27827239219</t>
  </si>
  <si>
    <t>13865873</t>
  </si>
  <si>
    <t>f43e3e50-c4d3-4a78-b73f-253d3948ef7f</t>
  </si>
  <si>
    <t>27827682894</t>
  </si>
  <si>
    <t>13861145</t>
  </si>
  <si>
    <t>16c893cb-d8aa-4a6d-abc9-b46c0257605d</t>
  </si>
  <si>
    <t>2026-05-22 06:59:44</t>
  </si>
  <si>
    <t>27723401079</t>
  </si>
  <si>
    <t>13861140</t>
  </si>
  <si>
    <t>d2a1ac2a-0385-4175-b86d-51786f801008</t>
  </si>
  <si>
    <t>2026-05-22 06:59:40</t>
  </si>
  <si>
    <t>27722373039</t>
  </si>
  <si>
    <t>13861141</t>
  </si>
  <si>
    <t>b3c0e947-b0f3-43ef-ba5e-965f933fee5b</t>
  </si>
  <si>
    <t>27722568911</t>
  </si>
  <si>
    <t>13861142</t>
  </si>
  <si>
    <t>3c17d9b5-b851-4442-8eef-ae6aa9f2680a</t>
  </si>
  <si>
    <t>27722651810</t>
  </si>
  <si>
    <t>13861136</t>
  </si>
  <si>
    <t>48c9b311-7abb-4cc1-8240-dde69d266a34</t>
  </si>
  <si>
    <t>2026-05-22 06:59:37</t>
  </si>
  <si>
    <t>27720108006</t>
  </si>
  <si>
    <t>13861137</t>
  </si>
  <si>
    <t>094011ee-2667-4e61-9de6-3642cde0b618</t>
  </si>
  <si>
    <t>27720706970</t>
  </si>
  <si>
    <t>13861139</t>
  </si>
  <si>
    <t>981de2ce-a439-4ce3-90d1-0028b16bd23c</t>
  </si>
  <si>
    <t>27721534526</t>
  </si>
  <si>
    <t>13865883</t>
  </si>
  <si>
    <t>c7020a9b-81da-40e2-be51-1076b0b0ccaa</t>
  </si>
  <si>
    <t>2026-05-22 06:59:24</t>
  </si>
  <si>
    <t>27604369190</t>
  </si>
  <si>
    <t>13865878</t>
  </si>
  <si>
    <t>57b7754a-e61a-4de6-8f92-260fc606ffa1</t>
  </si>
  <si>
    <t>2026-05-22 06:59:21</t>
  </si>
  <si>
    <t>27829745347</t>
  </si>
  <si>
    <t>13865876</t>
  </si>
  <si>
    <t>7a5dbf33-513d-4441-8b0c-f5a3731a8f16</t>
  </si>
  <si>
    <t>2026-05-22 06:58:56</t>
  </si>
  <si>
    <t>27829289348</t>
  </si>
  <si>
    <t>13865882</t>
  </si>
  <si>
    <t>c8454581-4556-449c-84a4-7e491ea01b91</t>
  </si>
  <si>
    <t>2026-05-22 06:58:33</t>
  </si>
  <si>
    <t>27835396680</t>
  </si>
  <si>
    <t>13861135</t>
  </si>
  <si>
    <t>5e79a289-cb84-4c3d-bc2f-f086e81cc803</t>
  </si>
  <si>
    <t>2026-05-22 06:58:02</t>
  </si>
  <si>
    <t>27716518520</t>
  </si>
  <si>
    <t>13865892</t>
  </si>
  <si>
    <t>34479333-8c0d-43c9-835c-b16c35da4e38</t>
  </si>
  <si>
    <t>27609117039</t>
  </si>
  <si>
    <t>13865888</t>
  </si>
  <si>
    <t>f8f391c9-3d2a-4a1f-b748-f8aff7fc97c9</t>
  </si>
  <si>
    <t>2026-05-22 06:57:55</t>
  </si>
  <si>
    <t>27607825844</t>
  </si>
  <si>
    <t>13865887</t>
  </si>
  <si>
    <t>6c438874-088c-47a6-8f71-fd8e867b9a49</t>
  </si>
  <si>
    <t>2026-05-22 06:57:52</t>
  </si>
  <si>
    <t>27607769916</t>
  </si>
  <si>
    <t>13865891</t>
  </si>
  <si>
    <t>c3669468-937f-45d8-8d0b-b56a8752500a</t>
  </si>
  <si>
    <t>27608535609</t>
  </si>
  <si>
    <t>13861133</t>
  </si>
  <si>
    <t>23ba7071-1ca0-4899-bccb-a4e9d50da209</t>
  </si>
  <si>
    <t>2026-05-22 06:56:33</t>
  </si>
  <si>
    <t>27715394734</t>
  </si>
  <si>
    <t>13861134</t>
  </si>
  <si>
    <t>117ddfd9-4a68-42e6-bf79-0ac7d87fff8d</t>
  </si>
  <si>
    <t>27715757515</t>
  </si>
  <si>
    <t>13865895</t>
  </si>
  <si>
    <t>ee71b3fa-7123-4d05-affd-317a42bb26cd</t>
  </si>
  <si>
    <t>27636356782</t>
  </si>
  <si>
    <t>2026-05-22 06:56:26</t>
  </si>
  <si>
    <t>13861129</t>
  </si>
  <si>
    <t>9530923c-7763-4df4-9059-1d0655d140fa</t>
  </si>
  <si>
    <t>2026-05-22 06:55:36</t>
  </si>
  <si>
    <t>27713671786</t>
  </si>
  <si>
    <t>13861130</t>
  </si>
  <si>
    <t>6ad6d8f5-43b3-4cd9-889f-3bfc2e195c2e</t>
  </si>
  <si>
    <t>27714288748</t>
  </si>
  <si>
    <t>13861131</t>
  </si>
  <si>
    <t>f4137dd3-dfbd-4261-a7e8-7ef4148c086f</t>
  </si>
  <si>
    <t>27714885358</t>
  </si>
  <si>
    <t>13861132</t>
  </si>
  <si>
    <t>2ff224d6-987c-4ab2-a358-101c7cd772cc</t>
  </si>
  <si>
    <t>27715322427</t>
  </si>
  <si>
    <t>13861126</t>
  </si>
  <si>
    <t>f57eccf9-4b10-4e05-bed6-cd8e88b0a698</t>
  </si>
  <si>
    <t>27712280599</t>
  </si>
  <si>
    <t>2026-05-22 06:55:13</t>
  </si>
  <si>
    <t>13861128</t>
  </si>
  <si>
    <t>c757494f-af72-4b89-b4e1-d5c083cc7b66</t>
  </si>
  <si>
    <t>2026-05-22 06:54:57</t>
  </si>
  <si>
    <t>27713566780</t>
  </si>
  <si>
    <t>13865899</t>
  </si>
  <si>
    <t>ffda2742-47be-464c-9eed-ace1a5e9b6b6</t>
  </si>
  <si>
    <t>2026-05-22 06:54:50</t>
  </si>
  <si>
    <t>27637371167</t>
  </si>
  <si>
    <t>13865893</t>
  </si>
  <si>
    <t>30b9561b-1c77-46cd-98c0-166788591840</t>
  </si>
  <si>
    <t>2026-05-22 06:54:46</t>
  </si>
  <si>
    <t>27630394119</t>
  </si>
  <si>
    <t>13865896</t>
  </si>
  <si>
    <t>9bb60165-5b3d-4aac-b122-f942e153a1b3</t>
  </si>
  <si>
    <t>27636437765</t>
  </si>
  <si>
    <t>13861127</t>
  </si>
  <si>
    <t>377b3bab-62be-41d7-8046-084c91b725d5</t>
  </si>
  <si>
    <t>2026-05-22 06:54:37</t>
  </si>
  <si>
    <t>27712612520</t>
  </si>
  <si>
    <t>13861124</t>
  </si>
  <si>
    <t>eebc8d5c-f2d3-4ac5-9f17-681cbb19a393</t>
  </si>
  <si>
    <t>2026-05-22 06:54:14</t>
  </si>
  <si>
    <t>27711640513</t>
  </si>
  <si>
    <t>13861125</t>
  </si>
  <si>
    <t>6ee3b708-bc8d-4a75-b4a6-c278eb733596</t>
  </si>
  <si>
    <t>27712002538</t>
  </si>
  <si>
    <t>13861123</t>
  </si>
  <si>
    <t>4b32f574-e6df-42b4-88dc-d50d24cc9a5c</t>
  </si>
  <si>
    <t>2026-05-22 06:53:26</t>
  </si>
  <si>
    <t>27685133324</t>
  </si>
  <si>
    <t>13865905</t>
  </si>
  <si>
    <t>86ff265e-356b-4931-b14c-67589f4d6d15</t>
  </si>
  <si>
    <t>2026-05-22 06:53:18</t>
  </si>
  <si>
    <t>27646361284</t>
  </si>
  <si>
    <t>13865900</t>
  </si>
  <si>
    <t>4bd772cc-e483-4654-b0e3-ec8577958a9d</t>
  </si>
  <si>
    <t>2026-05-22 06:53:15</t>
  </si>
  <si>
    <t>27637624364</t>
  </si>
  <si>
    <t>13865901</t>
  </si>
  <si>
    <t>77c9dbdf-0de7-45b2-83c3-31e17b0b3b15</t>
  </si>
  <si>
    <t>27637937177</t>
  </si>
  <si>
    <t>13865904</t>
  </si>
  <si>
    <t>7ba48f93-d2b1-4cbe-af5c-56a81ec8b10e</t>
  </si>
  <si>
    <t>2026-05-22 06:53:04</t>
  </si>
  <si>
    <t>27646077745</t>
  </si>
  <si>
    <t>13861120</t>
  </si>
  <si>
    <t>00f646c4-3cff-4a79-969b-846a1cd6d91b</t>
  </si>
  <si>
    <t>2026-05-22 06:52:47</t>
  </si>
  <si>
    <t>27665757778</t>
  </si>
  <si>
    <t>13861119</t>
  </si>
  <si>
    <t>d1412ba4-32e5-4534-a84a-dd2ede0a45db</t>
  </si>
  <si>
    <t>2026-05-22 06:52:40</t>
  </si>
  <si>
    <t>27664590826</t>
  </si>
  <si>
    <t>13861117</t>
  </si>
  <si>
    <t>f8847171-9e6b-4244-84d2-461c3c2a3ce6</t>
  </si>
  <si>
    <t>2026-05-22 06:52:31</t>
  </si>
  <si>
    <t>27663892658</t>
  </si>
  <si>
    <t>13865910</t>
  </si>
  <si>
    <t>a9c0595f-1e35-4e1d-a821-75f28dcb4e49</t>
  </si>
  <si>
    <t>2026-05-22 06:52:05</t>
  </si>
  <si>
    <t>27648776822</t>
  </si>
  <si>
    <t>13865908</t>
  </si>
  <si>
    <t>617372d9-bf6d-4eed-81d1-f6f0779b6c7e</t>
  </si>
  <si>
    <t>2026-05-22 06:52:01</t>
  </si>
  <si>
    <t>27648353746</t>
  </si>
  <si>
    <t>13865916</t>
  </si>
  <si>
    <t>9b3b636a-7610-4941-84a3-346f9aa79aa1</t>
  </si>
  <si>
    <t>2026-05-22 06:51:55</t>
  </si>
  <si>
    <t>27660247957</t>
  </si>
  <si>
    <t>13865909</t>
  </si>
  <si>
    <t>2618195f-f4d3-4421-9098-9d90fbf72ef8</t>
  </si>
  <si>
    <t>2026-05-22 06:51:53</t>
  </si>
  <si>
    <t>27648698040</t>
  </si>
  <si>
    <t>13865912</t>
  </si>
  <si>
    <t>a69ed87b-9efd-42e6-b991-3aee68f218cd</t>
  </si>
  <si>
    <t>2026-05-22 06:51:39</t>
  </si>
  <si>
    <t>27649407600</t>
  </si>
  <si>
    <t>13865915</t>
  </si>
  <si>
    <t>cbcda9f3-86ae-4343-8690-3688f9ca882d</t>
  </si>
  <si>
    <t>27660089406</t>
  </si>
  <si>
    <t>13861115</t>
  </si>
  <si>
    <t>6a350635-8e6f-4da1-b24a-c6c24267e0cf</t>
  </si>
  <si>
    <t>2026-05-22 06:51:38</t>
  </si>
  <si>
    <t>27661924202</t>
  </si>
  <si>
    <t>13865911</t>
  </si>
  <si>
    <t>3f49673c-04c7-45b7-b9cb-93d02c2565ed</t>
  </si>
  <si>
    <t>27649170322</t>
  </si>
  <si>
    <t>13861114</t>
  </si>
  <si>
    <t>7ccf6f05-51bc-4c7f-ad3c-986bbacb9be6</t>
  </si>
  <si>
    <t>2026-05-22 06:51:00</t>
  </si>
  <si>
    <t>27661752654</t>
  </si>
  <si>
    <t>13861110</t>
  </si>
  <si>
    <t>1525f450-71d8-4c77-950e-7fe24330609e</t>
  </si>
  <si>
    <t>2026-05-22 06:50:55</t>
  </si>
  <si>
    <t>27660304532</t>
  </si>
  <si>
    <t>13861113</t>
  </si>
  <si>
    <t>62ba98bb-f8a2-4868-a1ab-81f02a54bc47</t>
  </si>
  <si>
    <t>27661319428</t>
  </si>
  <si>
    <t>13861109</t>
  </si>
  <si>
    <t>67d47f5d-fbea-43e7-856f-dd80c32b6bf8</t>
  </si>
  <si>
    <t>2026-05-22 06:50:28</t>
  </si>
  <si>
    <t>27650970011</t>
  </si>
  <si>
    <t>13865913</t>
  </si>
  <si>
    <t>f14a4c92-797d-4e59-b809-bddb0b9b9433</t>
  </si>
  <si>
    <t>27649609803</t>
  </si>
  <si>
    <t>13861108</t>
  </si>
  <si>
    <t>93f5b439-2919-4999-ab01-45bf18baf92d</t>
  </si>
  <si>
    <t>2026-05-22 06:50:06</t>
  </si>
  <si>
    <t>27648988336</t>
  </si>
  <si>
    <t>13861098</t>
  </si>
  <si>
    <t>0866cf4c-a184-4b56-9480-35399d4b42bf</t>
  </si>
  <si>
    <t>2026-05-22 06:50:03</t>
  </si>
  <si>
    <t>27637007351</t>
  </si>
  <si>
    <t>13861101</t>
  </si>
  <si>
    <t>a098b7b2-fa48-4213-a430-23fc4d59a297</t>
  </si>
  <si>
    <t>27646710613</t>
  </si>
  <si>
    <t>13861097</t>
  </si>
  <si>
    <t>07bd1238-0c97-45ec-9339-c6c6e9ebd309</t>
  </si>
  <si>
    <t>2026-05-22 06:49:52</t>
  </si>
  <si>
    <t>27636538814</t>
  </si>
  <si>
    <t>13861094</t>
  </si>
  <si>
    <t>5f27c699-2c9c-4624-8d29-3c1eca923e8a</t>
  </si>
  <si>
    <t>2026-05-22 06:49:51</t>
  </si>
  <si>
    <t>27610670718</t>
  </si>
  <si>
    <t>13861088</t>
  </si>
  <si>
    <t>c47227ba-ff07-49ea-845b-7b577e29d9ff</t>
  </si>
  <si>
    <t>2026-05-22 06:49:48</t>
  </si>
  <si>
    <t>27606765725</t>
  </si>
  <si>
    <t>13861090</t>
  </si>
  <si>
    <t>27f1b666-acc4-4779-9a03-93a6b99efea6</t>
  </si>
  <si>
    <t>27607346004</t>
  </si>
  <si>
    <t>13861092</t>
  </si>
  <si>
    <t>86279b16-5d2d-4db6-ab7d-5ccf65e7cc41</t>
  </si>
  <si>
    <t>27608855913</t>
  </si>
  <si>
    <t>13861093</t>
  </si>
  <si>
    <t>33f5d8e1-3ebf-4a39-8fa2-441000968d0c</t>
  </si>
  <si>
    <t>27608876684</t>
  </si>
  <si>
    <t>13861087</t>
  </si>
  <si>
    <t>ad9d8772-1e11-4ffa-be5c-034082e5ef79</t>
  </si>
  <si>
    <t>2026-05-22 06:49:39</t>
  </si>
  <si>
    <t>27606748902</t>
  </si>
  <si>
    <t>13861085</t>
  </si>
  <si>
    <t>dc6cfabe-9de8-4779-adff-cb53994b319c</t>
  </si>
  <si>
    <t>2026-05-22 06:49:31</t>
  </si>
  <si>
    <t>27606480924</t>
  </si>
  <si>
    <t>13861086</t>
  </si>
  <si>
    <t>179aad27-f968-47ae-9bff-cc888a423731</t>
  </si>
  <si>
    <t>27606717498</t>
  </si>
  <si>
    <t>13865914</t>
  </si>
  <si>
    <t>67ade7e8-0dec-4979-8365-53277d769775</t>
  </si>
  <si>
    <t>27649899446</t>
  </si>
  <si>
    <t>2026-05-22 06:48:23</t>
  </si>
  <si>
    <t>13861104</t>
  </si>
  <si>
    <t>6b7a1bab-5824-4118-9c1b-674a80862565</t>
  </si>
  <si>
    <t>2026-05-22 06:48:10</t>
  </si>
  <si>
    <t>27647979768</t>
  </si>
  <si>
    <t>13861810</t>
  </si>
  <si>
    <t>a910eec0-206e-4836-b5dd-c86b51e396e8</t>
  </si>
  <si>
    <t>27722316196</t>
  </si>
  <si>
    <t>2026-05-21 16:17:55</t>
  </si>
  <si>
    <t>13865929</t>
  </si>
  <si>
    <t>5097f714-44a7-4e2c-bfc3-f2ca3cafcd7b</t>
  </si>
  <si>
    <t>27664395210</t>
  </si>
  <si>
    <t>2026-05-21 15:01:49</t>
  </si>
  <si>
    <t>13861508</t>
  </si>
  <si>
    <t>90d3267f-798b-4bbf-8805-1d9f0229893a</t>
  </si>
  <si>
    <t>2026-05-21 12:33:35</t>
  </si>
  <si>
    <t>27765466083</t>
  </si>
  <si>
    <t>2e0610b2-16d2-4fdf-8ad3-56e0e0dcbab2</t>
  </si>
  <si>
    <t>2026-05-21 12:30:20</t>
  </si>
  <si>
    <t>27795447188</t>
  </si>
  <si>
    <t>13863716</t>
  </si>
  <si>
    <t>61d38d6a-bff1-4759-a31d-7c789f857503</t>
  </si>
  <si>
    <t>27649978514</t>
  </si>
  <si>
    <t>2026-05-21 09:33:00</t>
  </si>
  <si>
    <t>13864041</t>
  </si>
  <si>
    <t>3e0a3bc2-c32c-4344-9eb3-125b5848de0a</t>
  </si>
  <si>
    <t>27715819034</t>
  </si>
  <si>
    <t>2026-05-21 09:31:43</t>
  </si>
  <si>
    <t>13863111</t>
  </si>
  <si>
    <t>07d5e5f2-9e82-4e86-a779-7e69b1168a42</t>
  </si>
  <si>
    <t>2026-05-21 09:13:56</t>
  </si>
  <si>
    <t>27728965309</t>
  </si>
  <si>
    <t>13861447</t>
  </si>
  <si>
    <t>6ad604e8-ea37-48b1-94f6-ec74d70147ec</t>
  </si>
  <si>
    <t>2026-05-21 09:12:08</t>
  </si>
  <si>
    <t>27665529816</t>
  </si>
  <si>
    <t>13863764</t>
  </si>
  <si>
    <t>ad7bdb96-38b4-494e-8091-baea95aafa72</t>
  </si>
  <si>
    <t>2026-05-21 09:07:34</t>
  </si>
  <si>
    <t>27723243497</t>
  </si>
  <si>
    <t>13863462</t>
  </si>
  <si>
    <t>49bca16e-656d-4c55-bed1-9c5957c27da7</t>
  </si>
  <si>
    <t>27607320144</t>
  </si>
  <si>
    <t>2026-05-21 09:07:12</t>
  </si>
  <si>
    <t>13864131</t>
  </si>
  <si>
    <t>018f4150-e447-4021-b8a4-a81dc3866bc2</t>
  </si>
  <si>
    <t>2026-05-21 09:05:41</t>
  </si>
  <si>
    <t>27766714447</t>
  </si>
  <si>
    <t>13863086</t>
  </si>
  <si>
    <t>35f2e952-ae4f-406b-a73b-db5702ed46df</t>
  </si>
  <si>
    <t>2026-05-21 09:02:51</t>
  </si>
  <si>
    <t>27722152570</t>
  </si>
  <si>
    <t>13862596</t>
  </si>
  <si>
    <t>938126b0-003b-4c5b-ba9c-c18177c5c430</t>
  </si>
  <si>
    <t>2026-05-21 08:45:12</t>
  </si>
  <si>
    <t>27720611509</t>
  </si>
  <si>
    <t>13861914</t>
  </si>
  <si>
    <t>2b9eef35-3c42-4be7-91d5-0c0ab67a552d</t>
  </si>
  <si>
    <t>27826803004</t>
  </si>
  <si>
    <t>2026-05-20 11:49:41</t>
  </si>
  <si>
    <t>13864326</t>
  </si>
  <si>
    <t>5d6e4456-69cb-45c8-b38b-50f8e25120d7</t>
  </si>
  <si>
    <t>27720920558</t>
  </si>
  <si>
    <t>2026-05-20 09:56:47</t>
  </si>
  <si>
    <t>13865658</t>
  </si>
  <si>
    <t>d24e5029-91e4-4d4e-bc77-34e745d5b65e</t>
  </si>
  <si>
    <t>2026-05-20 09:23:03</t>
  </si>
  <si>
    <t>27712592348</t>
  </si>
  <si>
    <t>13863553</t>
  </si>
  <si>
    <t>090ef617-e75a-4163-a22a-9d1261136d61</t>
  </si>
  <si>
    <t>27728219543</t>
  </si>
  <si>
    <t>2026-05-20 09:18:51</t>
  </si>
  <si>
    <t>13863134</t>
  </si>
  <si>
    <t>1dbde29d-01fe-4b5b-9cfe-10d7667732d2</t>
  </si>
  <si>
    <t>2026-05-20 09:15:10</t>
  </si>
  <si>
    <t>27764767279</t>
  </si>
  <si>
    <t>13865712</t>
  </si>
  <si>
    <t>f4b6da1f-965b-4ee2-ba3b-4f72089f6ab5</t>
  </si>
  <si>
    <t>2026-05-20 09:13:20</t>
  </si>
  <si>
    <t>27728192921</t>
  </si>
  <si>
    <t>13862211</t>
  </si>
  <si>
    <t>4f536e5f-4262-44d4-8b62-85edd30a1201</t>
  </si>
  <si>
    <t>27824033932</t>
  </si>
  <si>
    <t>2026-05-20 09:10:49</t>
  </si>
  <si>
    <t>13863045</t>
  </si>
  <si>
    <t>178eb8d4-cc68-473c-a7d4-e16520612a51</t>
  </si>
  <si>
    <t>2026-05-20 09:08:08</t>
  </si>
  <si>
    <t>27608151724</t>
  </si>
  <si>
    <t>13864530</t>
  </si>
  <si>
    <t>1a2e9db9-be7a-42b8-b662-8a1fc1a157ca</t>
  </si>
  <si>
    <t>2026-05-20 09:04:25</t>
  </si>
  <si>
    <t>27607021516</t>
  </si>
  <si>
    <t>13864215</t>
  </si>
  <si>
    <t>83db751d-cc61-4740-9b0c-6e2087e860a6</t>
  </si>
  <si>
    <t>2026-05-20 09:02:35</t>
  </si>
  <si>
    <t>27824476746</t>
  </si>
  <si>
    <t>13862338</t>
  </si>
  <si>
    <t>66cd41fd-29fc-4c6b-9bb9-9580044fb180</t>
  </si>
  <si>
    <t>2026-05-20 08:59:21</t>
  </si>
  <si>
    <t>27793099646</t>
  </si>
  <si>
    <t>13864325</t>
  </si>
  <si>
    <t>3a4e6842-9aae-4b01-b677-ce8addb35da7</t>
  </si>
  <si>
    <t>2026-05-20 08:58:50</t>
  </si>
  <si>
    <t>27720835401</t>
  </si>
  <si>
    <t>13863361</t>
  </si>
  <si>
    <t>231101a2-8f7f-471f-9a84-2efaf19342b4</t>
  </si>
  <si>
    <t>SELECTED</t>
  </si>
  <si>
    <t>Selected</t>
  </si>
  <si>
    <t>2026-05-20 08:57:46</t>
  </si>
  <si>
    <t>27768380800</t>
  </si>
  <si>
    <t>13861512</t>
  </si>
  <si>
    <t>9f588689-1b61-4301-b0fd-6b40933a0f09</t>
  </si>
  <si>
    <t>2026-05-20 08:56:16</t>
  </si>
  <si>
    <t>27766882383</t>
  </si>
  <si>
    <t>13863069</t>
  </si>
  <si>
    <t>43050d5b-f721-407d-9dfc-c88c1bec123c</t>
  </si>
  <si>
    <t>2026-05-20 08:51:15</t>
  </si>
  <si>
    <t>27711964210</t>
  </si>
  <si>
    <t>13865665</t>
  </si>
  <si>
    <t>a00ebc0f-88ff-4bbb-a41c-c47c431902b5</t>
  </si>
  <si>
    <t>27713654750</t>
  </si>
  <si>
    <t>2026-05-20 08:30:07</t>
  </si>
  <si>
    <t>13863356</t>
  </si>
  <si>
    <t>ad937886-4b6b-424d-aa85-96abaa04aaec</t>
  </si>
  <si>
    <t>2026-05-20 08:28:50</t>
  </si>
  <si>
    <t>27767863939</t>
  </si>
  <si>
    <t>13864167</t>
  </si>
  <si>
    <t>8112cfaa-a76a-4306-8f70-003154183267</t>
  </si>
  <si>
    <t>2026-05-20 08:22:06</t>
  </si>
  <si>
    <t>27791294602</t>
  </si>
  <si>
    <t>13861477</t>
  </si>
  <si>
    <t>c590418f-a6d6-4eb5-8b6f-0cf6986633e5</t>
  </si>
  <si>
    <t>2026-05-20 08:02:30</t>
  </si>
  <si>
    <t>27726846815</t>
  </si>
  <si>
    <t>13862251</t>
  </si>
  <si>
    <t>450e3efd-9106-4a22-81a7-fe4a01c5428b</t>
  </si>
  <si>
    <t>2026-05-20 08:00:28</t>
  </si>
  <si>
    <t>27663624781</t>
  </si>
  <si>
    <t>13863326</t>
  </si>
  <si>
    <t>f8b1d97c-afc3-4047-8a7f-4b2957f6fb91</t>
  </si>
  <si>
    <t>2026-05-20 08:00:12</t>
  </si>
  <si>
    <t>27760630971</t>
  </si>
  <si>
    <t>13862513</t>
  </si>
  <si>
    <t>7c53aae5-bcf0-4935-937d-dd6c32e491d1</t>
  </si>
  <si>
    <t>2026-05-20 07:50:58</t>
  </si>
  <si>
    <t>27818886604</t>
  </si>
  <si>
    <t>13864238</t>
  </si>
  <si>
    <t>97cd5a40-2d0b-4ed2-8bfe-be5bf6a77e36</t>
  </si>
  <si>
    <t>2026-05-20 07:49:38</t>
  </si>
  <si>
    <t>27836331754</t>
  </si>
  <si>
    <t>13863439</t>
  </si>
  <si>
    <t>96abe6c5-9e7c-4f74-abaa-d1b99fc13052</t>
  </si>
  <si>
    <t>2026-05-20 07:42:18</t>
  </si>
  <si>
    <t>27825348208</t>
  </si>
  <si>
    <t>13863843</t>
  </si>
  <si>
    <t>85fd95c0-af78-4b35-99f0-a52a2de7b34d</t>
  </si>
  <si>
    <t>27768280364</t>
  </si>
  <si>
    <t>2026-05-20 07:38:39</t>
  </si>
  <si>
    <t>13864171</t>
  </si>
  <si>
    <t>00c1936d-65c5-4133-8a6c-d49efdb55318</t>
  </si>
  <si>
    <t>2026-05-20 07:36:02</t>
  </si>
  <si>
    <t>27791632770</t>
  </si>
  <si>
    <t>13863274</t>
  </si>
  <si>
    <t>a7c7a09e-061b-46de-956a-e6ff9f3775df</t>
  </si>
  <si>
    <t>2026-05-20 07:32:35</t>
  </si>
  <si>
    <t>27714107783</t>
  </si>
  <si>
    <t>13862629</t>
  </si>
  <si>
    <t>1dd41d63-f58e-4c27-ada8-f7fd34f176c6</t>
  </si>
  <si>
    <t>2026-05-20 07:31:12</t>
  </si>
  <si>
    <t>27760976861</t>
  </si>
  <si>
    <t>13862819</t>
  </si>
  <si>
    <t>61999496-da4d-4c64-9862-a638ddbfbd9c</t>
  </si>
  <si>
    <t>2026-05-20 07:28:56</t>
  </si>
  <si>
    <t>27766683278</t>
  </si>
  <si>
    <t>13863386</t>
  </si>
  <si>
    <t>baa3002b-3348-4661-b631-f8cb88315283</t>
  </si>
  <si>
    <t>2026-05-20 07:14:46</t>
  </si>
  <si>
    <t>27792568481</t>
  </si>
  <si>
    <t>13863251</t>
  </si>
  <si>
    <t>9e19ae70-01e1-4615-baf3-763f4c45f062</t>
  </si>
  <si>
    <t>2026-05-20 07:07:22</t>
  </si>
  <si>
    <t>27660020600</t>
  </si>
  <si>
    <t>13864345</t>
  </si>
  <si>
    <t>ca355951-f5dc-461a-82bd-5ffc034446db</t>
  </si>
  <si>
    <t>2026-05-20 07:06:18</t>
  </si>
  <si>
    <t>27724563551</t>
  </si>
  <si>
    <t>13865155</t>
  </si>
  <si>
    <t>34943439-4399-484b-86c3-60329c198c30</t>
  </si>
  <si>
    <t>2026-05-20 07:01:37</t>
  </si>
  <si>
    <t>27724803675</t>
  </si>
  <si>
    <t>13862795</t>
  </si>
  <si>
    <t>0c134e70-7d03-430a-aeb5-ef9306dd8e96</t>
  </si>
  <si>
    <t>27761516317</t>
  </si>
  <si>
    <t>2026-05-20 06:54:44</t>
  </si>
  <si>
    <t>13861936</t>
  </si>
  <si>
    <t>69d74c00-ce92-4ddf-8ab6-194addbe0e56</t>
  </si>
  <si>
    <t>27648837787</t>
  </si>
  <si>
    <t>2026-05-20 06:53:48</t>
  </si>
  <si>
    <t>13863578</t>
  </si>
  <si>
    <t>f737e368-cd6b-4adb-8c1b-4e98fafc3086</t>
  </si>
  <si>
    <t>2026-05-20 06:53:32</t>
  </si>
  <si>
    <t>27765950617</t>
  </si>
  <si>
    <t>13862048</t>
  </si>
  <si>
    <t>2472b781-57eb-404a-9d48-79fda817f312</t>
  </si>
  <si>
    <t>2026-05-20 06:51:10</t>
  </si>
  <si>
    <t>27799535598</t>
  </si>
  <si>
    <t>13861718</t>
  </si>
  <si>
    <t>9c955af6-90cc-44a6-a651-e055546cb1c5</t>
  </si>
  <si>
    <t>2026-05-20 06:41:03</t>
  </si>
  <si>
    <t>27793136460</t>
  </si>
  <si>
    <t>13864309</t>
  </si>
  <si>
    <t>315390a2-74cb-4d71-acfa-f909074282a5</t>
  </si>
  <si>
    <t>2026-05-20 06:40:32</t>
  </si>
  <si>
    <t>27714464594</t>
  </si>
  <si>
    <t>13862843</t>
  </si>
  <si>
    <t>da76fe82-28f1-46a9-af6f-acb040f9ec28</t>
  </si>
  <si>
    <t>2026-05-20 06:36:34</t>
  </si>
  <si>
    <t>27791068504</t>
  </si>
  <si>
    <t>13863035</t>
  </si>
  <si>
    <t>3dd0c0e4-ff62-4be9-b759-b7bc16526c1b</t>
  </si>
  <si>
    <t>2026-05-20 06:29:51</t>
  </si>
  <si>
    <t>27823696796</t>
  </si>
  <si>
    <t>13863107</t>
  </si>
  <si>
    <t>66757f24-2a59-4b04-a27e-42f1d557fcb2</t>
  </si>
  <si>
    <t>2026-05-20 06:27:51</t>
  </si>
  <si>
    <t>27728073691</t>
  </si>
  <si>
    <t>13863977</t>
  </si>
  <si>
    <t>9f47ad20-3988-4b7f-8abf-9c91fb93a75d</t>
  </si>
  <si>
    <t>2026-05-20 06:22:21</t>
  </si>
  <si>
    <t>27646926207</t>
  </si>
  <si>
    <t>13862289</t>
  </si>
  <si>
    <t>b8370ca3-17c3-45ca-aadc-6a4682a2ec10</t>
  </si>
  <si>
    <t>2026-05-20 06:17:07</t>
  </si>
  <si>
    <t>27726475028</t>
  </si>
  <si>
    <t>13862581</t>
  </si>
  <si>
    <t>934e14e5-5e59-436a-bab2-a7384923af4d</t>
  </si>
  <si>
    <t>2026-05-20 06:12:31</t>
  </si>
  <si>
    <t>27711263707</t>
  </si>
  <si>
    <t>13863581</t>
  </si>
  <si>
    <t>4ecc9df2-9b14-4c7d-b25a-aadcbdb5ef43</t>
  </si>
  <si>
    <t>2026-05-20 06:07:49</t>
  </si>
  <si>
    <t>27766204048</t>
  </si>
  <si>
    <t>13862214</t>
  </si>
  <si>
    <t>e9ce57d3-4b14-4fe2-b664-18e3832ed04b</t>
  </si>
  <si>
    <t>2026-05-20 06:05:09</t>
  </si>
  <si>
    <t>27825009712</t>
  </si>
  <si>
    <t>13863807</t>
  </si>
  <si>
    <t>5f85428c-28d0-4e04-ab35-6a4108e7b6cd</t>
  </si>
  <si>
    <t>27729452270</t>
  </si>
  <si>
    <t>2026-05-19 15:01:10</t>
  </si>
  <si>
    <t>13862475</t>
  </si>
  <si>
    <t>21840654-a2a6-4568-9f50-d9525d284a4f</t>
  </si>
  <si>
    <t>2026-05-19 14:47:44</t>
  </si>
  <si>
    <t>27765859685</t>
  </si>
  <si>
    <t>13863055</t>
  </si>
  <si>
    <t>a041a994-c80a-43f6-acec-62a1a8a0bdf3</t>
  </si>
  <si>
    <t>2026-05-19 14:41:08</t>
  </si>
  <si>
    <t>27649660225</t>
  </si>
  <si>
    <t>13863600</t>
  </si>
  <si>
    <t>9a4163c5-6bf5-48c9-b4c4-04f1186fe414</t>
  </si>
  <si>
    <t>2026-05-19 14:17:13</t>
  </si>
  <si>
    <t>27787734743</t>
  </si>
  <si>
    <t>3e8052da-b230-4baf-b90d-c3106fc62139</t>
  </si>
  <si>
    <t>2026-05-19 13:50:15</t>
  </si>
  <si>
    <t>27712836448</t>
  </si>
  <si>
    <t>13865736</t>
  </si>
  <si>
    <t>870c4e2c-68a7-404c-95a8-a1f84c86df6f</t>
  </si>
  <si>
    <t>2026-05-19 13:45:21</t>
  </si>
  <si>
    <t>27762256240</t>
  </si>
  <si>
    <t>13862182</t>
  </si>
  <si>
    <t>10fb2db7-319d-4d46-9f6c-55a07e49c908</t>
  </si>
  <si>
    <t>2026-05-19 13:43:19</t>
  </si>
  <si>
    <t>27793043193</t>
  </si>
  <si>
    <t>13863427</t>
  </si>
  <si>
    <t>64cd6d03-4c16-44d7-b3c7-2d9a7732fc62</t>
  </si>
  <si>
    <t>2026-05-19 13:39:36</t>
  </si>
  <si>
    <t>27822616423</t>
  </si>
  <si>
    <t>13862958</t>
  </si>
  <si>
    <t>46b8a3dc-d0ed-4520-92da-7f62f5a2d102</t>
  </si>
  <si>
    <t>2026-05-19 13:38:36</t>
  </si>
  <si>
    <t>27674889133</t>
  </si>
  <si>
    <t>13863987</t>
  </si>
  <si>
    <t>92201f68-6520-4c38-b9c7-59426b89dbeb</t>
  </si>
  <si>
    <t>27649987126</t>
  </si>
  <si>
    <t>2026-05-19 13:05:20</t>
  </si>
  <si>
    <t>309e7920-dc23-4966-b449-ce5f96cc320a</t>
  </si>
  <si>
    <t>2026-05-19 12:30:33</t>
  </si>
  <si>
    <t>27712134750</t>
  </si>
  <si>
    <t>13862607</t>
  </si>
  <si>
    <t>664944fb-8dca-468e-b636-b18262c4eb11</t>
  </si>
  <si>
    <t>2026-05-19 12:29:35</t>
  </si>
  <si>
    <t>27723323878</t>
  </si>
  <si>
    <t>13862009</t>
  </si>
  <si>
    <t>b69ca322-bedc-4ca2-8d1b-736656db7109</t>
  </si>
  <si>
    <t>2026-05-19 12:25:15</t>
  </si>
  <si>
    <t>27763797964</t>
  </si>
  <si>
    <t>13862823</t>
  </si>
  <si>
    <t>d78e02d2-a1f7-44e5-9987-30f538a68146</t>
  </si>
  <si>
    <t>2026-05-19 12:20:09</t>
  </si>
  <si>
    <t>27767270027</t>
  </si>
  <si>
    <t>13862764</t>
  </si>
  <si>
    <t>a62a3bfe-af20-42b5-81e0-d0ae8eaaf5cf</t>
  </si>
  <si>
    <t>2026-05-19 12:16:11</t>
  </si>
  <si>
    <t>27721355771</t>
  </si>
  <si>
    <t>13862732</t>
  </si>
  <si>
    <t>1953b5a6-ebb6-4f97-932a-b8b715d9d1b2</t>
  </si>
  <si>
    <t>2026-05-19 12:12:37</t>
  </si>
  <si>
    <t>27663641299</t>
  </si>
  <si>
    <t>13862902</t>
  </si>
  <si>
    <t>92c6f8da-7178-44fa-aa95-d430a1b31281</t>
  </si>
  <si>
    <t>2026-05-19 12:12:31</t>
  </si>
  <si>
    <t>27747970002</t>
  </si>
  <si>
    <t>13862838</t>
  </si>
  <si>
    <t>a5525087-87ca-4c0b-9961-2e38746b1ea6</t>
  </si>
  <si>
    <t>2026-05-19 12:04:17</t>
  </si>
  <si>
    <t>27774156562</t>
  </si>
  <si>
    <t>13862634</t>
  </si>
  <si>
    <t>e23bdcf1-5c76-49ed-b733-00796217a4e3</t>
  </si>
  <si>
    <t>2026-05-19 12:03:56</t>
  </si>
  <si>
    <t>27762569525</t>
  </si>
  <si>
    <t>e54711d5-6070-4648-bfcd-600e26f5deae</t>
  </si>
  <si>
    <t>27797376042</t>
  </si>
  <si>
    <t>2026-05-19 12:01:46</t>
  </si>
  <si>
    <t>13864124</t>
  </si>
  <si>
    <t>9935fe44-a596-47f1-af01-40377a23412d</t>
  </si>
  <si>
    <t>2026-05-19 12:00:38</t>
  </si>
  <si>
    <t>27766385085</t>
  </si>
  <si>
    <t>13861935</t>
  </si>
  <si>
    <t>ec2704d9-835b-44ef-a9ea-766677c448ea</t>
  </si>
  <si>
    <t>2026-05-19 11:58:42</t>
  </si>
  <si>
    <t>27648284570</t>
  </si>
  <si>
    <t>13862759</t>
  </si>
  <si>
    <t>127427ef-f249-4624-b0cb-3abc8229a257</t>
  </si>
  <si>
    <t>2026-05-19 11:52:36</t>
  </si>
  <si>
    <t>27720296480</t>
  </si>
  <si>
    <t>13865649</t>
  </si>
  <si>
    <t>b4ef297d-a395-4ff3-b441-94f6d4b19af4</t>
  </si>
  <si>
    <t>27711276867</t>
  </si>
  <si>
    <t>2026-05-19 11:48:06</t>
  </si>
  <si>
    <t>13864716</t>
  </si>
  <si>
    <t>a8d2563e-6fd1-4e90-b1cf-6019a4aba477</t>
  </si>
  <si>
    <t>2026-05-19 10:59:15</t>
  </si>
  <si>
    <t>27769551079</t>
  </si>
  <si>
    <t>13862507</t>
  </si>
  <si>
    <t>bcba9bf4-53c5-4214-a309-a74db8e34394</t>
  </si>
  <si>
    <t>2026-05-19 10:33:34</t>
  </si>
  <si>
    <t>27799437875</t>
  </si>
  <si>
    <t>13862336</t>
  </si>
  <si>
    <t>70771919-aacb-4b4e-868b-e0a86219d699</t>
  </si>
  <si>
    <t>2026-05-19 10:20:00</t>
  </si>
  <si>
    <t>27792388019</t>
  </si>
  <si>
    <t>13865386</t>
  </si>
  <si>
    <t>8a76a3e7-d138-48ea-a77d-9ddd0cb8f4a5</t>
  </si>
  <si>
    <t>2026-05-19 10:15:09</t>
  </si>
  <si>
    <t>27711400160</t>
  </si>
  <si>
    <t>13865677</t>
  </si>
  <si>
    <t>388e3a36-be7f-497a-9bba-08cf15b06432</t>
  </si>
  <si>
    <t>2026-05-19 10:14:02</t>
  </si>
  <si>
    <t>27719004001</t>
  </si>
  <si>
    <t>13865706</t>
  </si>
  <si>
    <t>e3c9ec65-c81d-48e6-98c7-c24383e8f255</t>
  </si>
  <si>
    <t>2026-05-19 10:11:15</t>
  </si>
  <si>
    <t>27727142627</t>
  </si>
  <si>
    <t>13862219</t>
  </si>
  <si>
    <t>3c25da9e-b789-4c37-bb5b-844fd9acbf45</t>
  </si>
  <si>
    <t>2026-05-19 10:07:13</t>
  </si>
  <si>
    <t>27828910193</t>
  </si>
  <si>
    <t>13865297</t>
  </si>
  <si>
    <t>7eb69f3a-a13d-4857-a9a0-c419312cba32</t>
  </si>
  <si>
    <t>CD</t>
  </si>
  <si>
    <t>Client Deceased</t>
  </si>
  <si>
    <t>2026-05-19 10:05:17</t>
  </si>
  <si>
    <t>27799913150</t>
  </si>
  <si>
    <t>13862103</t>
  </si>
  <si>
    <t>43a4ab52-2afc-423c-8418-3c6117090611</t>
  </si>
  <si>
    <t>2026-05-19 10:03:09</t>
  </si>
  <si>
    <t>27713254224</t>
  </si>
  <si>
    <t>13864380</t>
  </si>
  <si>
    <t>89afeb9a-6120-48da-8ba1-79e63f8a0fcc</t>
  </si>
  <si>
    <t>2026-05-19 10:01:25</t>
  </si>
  <si>
    <t>27737416172</t>
  </si>
  <si>
    <t>13864452</t>
  </si>
  <si>
    <t>0c9729c5-1055-42ca-8e04-86a43d65fb09</t>
  </si>
  <si>
    <t>2026-05-19 09:57:45</t>
  </si>
  <si>
    <t>27794184551</t>
  </si>
  <si>
    <t>13864379</t>
  </si>
  <si>
    <t>d02c401a-9598-4a02-81f3-ed2105807438</t>
  </si>
  <si>
    <t>2026-05-19 09:35:34</t>
  </si>
  <si>
    <t>27730121979</t>
  </si>
  <si>
    <t>e0669571-2061-45ba-b790-5d00aa30684d</t>
  </si>
  <si>
    <t>27720405641</t>
  </si>
  <si>
    <t>2026-05-19 09:29:25</t>
  </si>
  <si>
    <t>13863250</t>
  </si>
  <si>
    <t>75852f78-c4a6-472d-9297-26f08a246f94</t>
  </si>
  <si>
    <t>2026-05-19 09:26:15</t>
  </si>
  <si>
    <t>27660003823</t>
  </si>
  <si>
    <t>13864365</t>
  </si>
  <si>
    <t>a67937d2-0adb-48db-9776-1578d51ccc51</t>
  </si>
  <si>
    <t>2026-05-19 09:25:39</t>
  </si>
  <si>
    <t>27726852533</t>
  </si>
  <si>
    <t>13864285</t>
  </si>
  <si>
    <t>7ffbdbde-7630-44d7-b139-b06470977271</t>
  </si>
  <si>
    <t>2026-05-19 09:21:08</t>
  </si>
  <si>
    <t>27671698468</t>
  </si>
  <si>
    <t>13862100</t>
  </si>
  <si>
    <t>8f008ab9-0382-41ff-92c2-4c4922e72100</t>
  </si>
  <si>
    <t>27712237114</t>
  </si>
  <si>
    <t>2026-05-19 09:20:38</t>
  </si>
  <si>
    <t>13864317</t>
  </si>
  <si>
    <t>d963091a-5914-451e-8490-4a55e99513c6</t>
  </si>
  <si>
    <t>2026-05-19 09:19:24</t>
  </si>
  <si>
    <t>27715830798</t>
  </si>
  <si>
    <t>13864294</t>
  </si>
  <si>
    <t>a8ef98a9-c2d4-4226-9fe4-f1e225bcda4b</t>
  </si>
  <si>
    <t>2026-05-19 09:13:39</t>
  </si>
  <si>
    <t>27711861462</t>
  </si>
  <si>
    <t>13863927</t>
  </si>
  <si>
    <t>8f73a343-a79f-4565-acca-b78c6eaf9ca2</t>
  </si>
  <si>
    <t>2026-05-19 09:11:10</t>
  </si>
  <si>
    <t>27825264225</t>
  </si>
  <si>
    <t>13864250</t>
  </si>
  <si>
    <t>bf5d8ba6-48fd-43c4-9148-6f597679249e</t>
  </si>
  <si>
    <t>2026-05-19 09:10:35</t>
  </si>
  <si>
    <t>27607699166</t>
  </si>
  <si>
    <t>13864227</t>
  </si>
  <si>
    <t>fc9b4e63-b8ff-4bda-958e-a8bdc961fd2f</t>
  </si>
  <si>
    <t>2026-05-19 09:07:58</t>
  </si>
  <si>
    <t>27826947967</t>
  </si>
  <si>
    <t>13863954</t>
  </si>
  <si>
    <t>4579dc18-8035-481a-ae2a-b483cfe7daaa</t>
  </si>
  <si>
    <t>2026-05-19 09:02:55</t>
  </si>
  <si>
    <t>27606886104</t>
  </si>
  <si>
    <t>13864134</t>
  </si>
  <si>
    <t>2d9c8beb-1799-4ca0-825a-dc081bf5d2b4</t>
  </si>
  <si>
    <t>2026-05-19 09:00:41</t>
  </si>
  <si>
    <t>27766986381</t>
  </si>
  <si>
    <t>13864015</t>
  </si>
  <si>
    <t>dc87e3f1-0840-4a09-843b-3721eec19615</t>
  </si>
  <si>
    <t>2026-05-19 08:51:53</t>
  </si>
  <si>
    <t>27711579398</t>
  </si>
  <si>
    <t>13865388</t>
  </si>
  <si>
    <t>4c6510c9-4f6d-4cfb-b682-85ee9d45a75e</t>
  </si>
  <si>
    <t>2026-05-19 08:50:15</t>
  </si>
  <si>
    <t>27711836162</t>
  </si>
  <si>
    <t>13863984</t>
  </si>
  <si>
    <t>d1b8c11a-7e60-4285-b99b-e4b0274c41a2</t>
  </si>
  <si>
    <t>2026-05-19 08:47:18</t>
  </si>
  <si>
    <t>27649808204</t>
  </si>
  <si>
    <t>13863961</t>
  </si>
  <si>
    <t>be379b09-63ef-4d31-ba12-832f32163fcd</t>
  </si>
  <si>
    <t>2026-05-19 08:45:35</t>
  </si>
  <si>
    <t>27609078835</t>
  </si>
  <si>
    <t>13865655</t>
  </si>
  <si>
    <t>dac94952-3a85-4279-a11c-4fd4217194ef</t>
  </si>
  <si>
    <t>2026-05-19 08:43:04</t>
  </si>
  <si>
    <t>27711879190</t>
  </si>
  <si>
    <t>13863934</t>
  </si>
  <si>
    <t>c180cd92-1599-4e96-bf4c-45c9ccbac3e3</t>
  </si>
  <si>
    <t>2026-05-19 08:42:00</t>
  </si>
  <si>
    <t>27827585757</t>
  </si>
  <si>
    <t>13863397</t>
  </si>
  <si>
    <t>f6cd23ac-1042-4339-95be-9995f91afce9</t>
  </si>
  <si>
    <t>2026-05-19 08:37:23</t>
  </si>
  <si>
    <t>27793770155</t>
  </si>
  <si>
    <t>13864906</t>
  </si>
  <si>
    <t>2d6fe4fe-afe0-4e15-a5e7-afc7b65a20fd</t>
  </si>
  <si>
    <t>27726337990</t>
  </si>
  <si>
    <t>2026-05-19 08:33:12</t>
  </si>
  <si>
    <t>13863431</t>
  </si>
  <si>
    <t>70e5f5b9-d445-4a06-be19-2dcf5ec30b71</t>
  </si>
  <si>
    <t>2026-05-19 08:07:27</t>
  </si>
  <si>
    <t>27823673180</t>
  </si>
  <si>
    <t>13865348</t>
  </si>
  <si>
    <t>f5ca5243-b3a6-4eed-bcac-89e976c6e4fb</t>
  </si>
  <si>
    <t>2026-05-19 08:02:39</t>
  </si>
  <si>
    <t>27637468834</t>
  </si>
  <si>
    <t>13863454</t>
  </si>
  <si>
    <t>e3f6e685-549d-432b-8a05-8033dea7e3b3</t>
  </si>
  <si>
    <t>2026-05-19 07:59:34</t>
  </si>
  <si>
    <t>27828146442</t>
  </si>
  <si>
    <t>13865392</t>
  </si>
  <si>
    <t>0e8be188-e467-4bca-bcf7-e8c844cbe4fc</t>
  </si>
  <si>
    <t>2026-05-19 07:58:34</t>
  </si>
  <si>
    <t>27713048928</t>
  </si>
  <si>
    <t>13865543</t>
  </si>
  <si>
    <t>6ebe78ec-077e-441a-9983-36a1d8aca170</t>
  </si>
  <si>
    <t>2026-05-19 07:54:15</t>
  </si>
  <si>
    <t>27798324917</t>
  </si>
  <si>
    <t>13865638</t>
  </si>
  <si>
    <t>c4ec5a73-fd92-4de3-b71f-549b7639a672</t>
  </si>
  <si>
    <t>27664130519</t>
  </si>
  <si>
    <t>2026-05-19 07:42:13</t>
  </si>
  <si>
    <t>13865644</t>
  </si>
  <si>
    <t>df0a29f5-6e6d-4a62-89b8-1c5b0eda41a4</t>
  </si>
  <si>
    <t>2026-05-19 07:33:43</t>
  </si>
  <si>
    <t>27673316077</t>
  </si>
  <si>
    <t>13863625</t>
  </si>
  <si>
    <t>ed09073d-9317-4e7a-a8e3-459c73e24fde</t>
  </si>
  <si>
    <t>27794666906</t>
  </si>
  <si>
    <t>2026-05-19 07:32:05</t>
  </si>
  <si>
    <t>13865656</t>
  </si>
  <si>
    <t>d0eb20f3-3306-4421-a065-7ae691539cc7</t>
  </si>
  <si>
    <t>27712016187</t>
  </si>
  <si>
    <t>2026-05-19 07:29:46</t>
  </si>
  <si>
    <t>13863546</t>
  </si>
  <si>
    <t>644da21d-38d9-4ce7-8fd6-97eecab24cc0</t>
  </si>
  <si>
    <t>2026-05-19 07:29:44</t>
  </si>
  <si>
    <t>27726776918</t>
  </si>
  <si>
    <t>13865669</t>
  </si>
  <si>
    <t>68b7e2ae-584f-4cbf-80f7-86f7e77afcf6</t>
  </si>
  <si>
    <t>27715053483</t>
  </si>
  <si>
    <t>2026-05-19 07:27:12</t>
  </si>
  <si>
    <t>13863665</t>
  </si>
  <si>
    <t>7e90e77a-be4e-49da-9f3b-2873ef78ecd6</t>
  </si>
  <si>
    <t>2026-05-19 07:19:00</t>
  </si>
  <si>
    <t>27825377011</t>
  </si>
  <si>
    <t>13863799</t>
  </si>
  <si>
    <t>a0afaa90-b19f-4186-9253-fe2082312faf</t>
  </si>
  <si>
    <t>27728490860</t>
  </si>
  <si>
    <t>2026-05-19 07:06:59</t>
  </si>
  <si>
    <t>13861456</t>
  </si>
  <si>
    <t>27e2bce0-6387-4579-aaa1-ef9e46150722</t>
  </si>
  <si>
    <t>2026-05-19 07:05:32</t>
  </si>
  <si>
    <t>27716483184</t>
  </si>
  <si>
    <t>13865732</t>
  </si>
  <si>
    <t>cf0d83aa-ac59-48cc-90de-eb92c0447591</t>
  </si>
  <si>
    <t>2026-05-19 07:04:01</t>
  </si>
  <si>
    <t>27762060697</t>
  </si>
  <si>
    <t>13863757</t>
  </si>
  <si>
    <t>db6d5834-e420-48a3-ba75-b86d5f60bdff</t>
  </si>
  <si>
    <t>2026-05-19 07:00:42</t>
  </si>
  <si>
    <t>27721477965</t>
  </si>
  <si>
    <t>13865843</t>
  </si>
  <si>
    <t>268269e1-f1bb-46ba-a7b1-65fa59fc8cc3</t>
  </si>
  <si>
    <t>27822162000</t>
  </si>
  <si>
    <t>2026-05-19 06:57:49</t>
  </si>
  <si>
    <t>5e63334f-f8f3-4776-9bf5-bc799bd6e133</t>
  </si>
  <si>
    <t>2026-05-19 06:47:42</t>
  </si>
  <si>
    <t>27818363280</t>
  </si>
  <si>
    <t>13865938</t>
  </si>
  <si>
    <t>1921c6cb-1388-4cda-b7e5-442413cdf550</t>
  </si>
  <si>
    <t>2026-05-19 06:40:06</t>
  </si>
  <si>
    <t>27674440968</t>
  </si>
  <si>
    <t>13865943</t>
  </si>
  <si>
    <t>0762066c-cbdc-438f-af7a-ce705ea155f4</t>
  </si>
  <si>
    <t>2026-05-19 06:37:13</t>
  </si>
  <si>
    <t>27711919741</t>
  </si>
  <si>
    <t>13865959</t>
  </si>
  <si>
    <t>95bd4ce0-b672-4fad-a939-eb6e3d045406</t>
  </si>
  <si>
    <t>2026-05-19 06:34:39</t>
  </si>
  <si>
    <t>27714056394</t>
  </si>
  <si>
    <t>13865966</t>
  </si>
  <si>
    <t>90c9dc0c-a8d7-4c9b-a356-ff0e83c74a4d</t>
  </si>
  <si>
    <t>2026-05-19 06:33:39</t>
  </si>
  <si>
    <t>27714965845</t>
  </si>
  <si>
    <t>13863915</t>
  </si>
  <si>
    <t>ffd58d1d-99df-4af1-be93-5512ca24bf3f</t>
  </si>
  <si>
    <t>2026-05-19 06:32:47</t>
  </si>
  <si>
    <t>27822949495</t>
  </si>
  <si>
    <t>13861686</t>
  </si>
  <si>
    <t>4a731bd8-0c2a-42e3-9748-725a41d4e793</t>
  </si>
  <si>
    <t>27765227912</t>
  </si>
  <si>
    <t>2026-05-13 13:29:18</t>
  </si>
  <si>
    <t>13864281</t>
  </si>
  <si>
    <t>720437f9-e082-48a7-8587-6d281f8b1a72</t>
  </si>
  <si>
    <t>2026-05-13 13:22:28</t>
  </si>
  <si>
    <t>27663768614</t>
  </si>
  <si>
    <t>13865930</t>
  </si>
  <si>
    <t>87fc467d-ae5d-47ec-8de3-7bbdc250e21d</t>
  </si>
  <si>
    <t>2026-05-13 07:27:32</t>
  </si>
  <si>
    <t>Thandile Nokubeni</t>
  </si>
  <si>
    <t>27664447050</t>
  </si>
  <si>
    <t>13861192</t>
  </si>
  <si>
    <t>b4977006-b220-4404-97a5-84b56f70bf0f</t>
  </si>
  <si>
    <t>2026-05-13 07:26:22</t>
  </si>
  <si>
    <t>27769252618</t>
  </si>
  <si>
    <t>13865795</t>
  </si>
  <si>
    <t>58240bb8-5709-4d9f-a200-ae847aaaf221</t>
  </si>
  <si>
    <t>2026-05-12 13:53:56</t>
  </si>
  <si>
    <t>27791786746</t>
  </si>
  <si>
    <t>13863754</t>
  </si>
  <si>
    <t>2d38ba8a-6b09-470a-852f-474166008200</t>
  </si>
  <si>
    <t>2026-05-12 12:10:42</t>
  </si>
  <si>
    <t>27721335839</t>
  </si>
  <si>
    <t>13861889</t>
  </si>
  <si>
    <t>92f9a0a2-85a4-4230-9ac0-677934bfb7ae</t>
  </si>
  <si>
    <t>2026-05-12 11:15:48</t>
  </si>
  <si>
    <t>Siyabonga Khoza</t>
  </si>
  <si>
    <t>27798387915</t>
  </si>
  <si>
    <t>1e706f17-6174-4d74-939a-e88482764fbc</t>
  </si>
  <si>
    <t>2026-05-12 09:37:31</t>
  </si>
  <si>
    <t>27827449432</t>
  </si>
  <si>
    <t>13861708</t>
  </si>
  <si>
    <t>07c5b251-2b8c-4cae-bbdf-3dd79d5ccd43</t>
  </si>
  <si>
    <t>2026-05-12 09:03:20</t>
  </si>
  <si>
    <t>27772787946</t>
  </si>
  <si>
    <t>13864931</t>
  </si>
  <si>
    <t>1b4faa5a-1008-481c-921c-5ba535cb99c3</t>
  </si>
  <si>
    <t>27761944601</t>
  </si>
  <si>
    <t>2026-05-11 11:54:58</t>
  </si>
  <si>
    <t>13863400</t>
  </si>
  <si>
    <t>7a0d3e6b-2cc6-41f0-9866-f2566c88e7a9</t>
  </si>
  <si>
    <t>2026-05-11 10:01:58</t>
  </si>
  <si>
    <t>Seboifeng Mogola</t>
  </si>
  <si>
    <t>27794077842</t>
  </si>
  <si>
    <t>13865903</t>
  </si>
  <si>
    <t>ea006500-c44a-4ba1-aea3-800ffc84804a</t>
  </si>
  <si>
    <t>2026-05-11 09:58:45</t>
  </si>
  <si>
    <t>27646040860</t>
  </si>
  <si>
    <t>13864329</t>
  </si>
  <si>
    <t>2d2d3e69-c4b5-4fbe-aa74-b79211028409</t>
  </si>
  <si>
    <t>2026-05-11 09:09:21</t>
  </si>
  <si>
    <t>27721025133</t>
  </si>
  <si>
    <t>13864888</t>
  </si>
  <si>
    <t>67ac0825-40b9-4834-bd9a-4edef45c59fa</t>
  </si>
  <si>
    <t>2026-05-11 06:53:12</t>
  </si>
  <si>
    <t>Musiiwa Mary Mabirimisa</t>
  </si>
  <si>
    <t>27721044612</t>
  </si>
  <si>
    <t>13864769</t>
  </si>
  <si>
    <t>394e49b0-e999-4586-b5d0-1458cadb14b0</t>
  </si>
  <si>
    <t>27823887838</t>
  </si>
  <si>
    <t>2026-05-11 06:35:39</t>
  </si>
  <si>
    <t>13865255</t>
  </si>
  <si>
    <t>d79848b8-6e20-4023-a84e-85566d1861f4</t>
  </si>
  <si>
    <t>2026-05-11 06:19:19</t>
  </si>
  <si>
    <t>27790231287</t>
  </si>
  <si>
    <t>13864954</t>
  </si>
  <si>
    <t>9392010d-ef41-416b-a124-aa767b159560</t>
  </si>
  <si>
    <t>2026-05-08 08:20:24</t>
  </si>
  <si>
    <t>27768455865</t>
  </si>
  <si>
    <t>13864865</t>
  </si>
  <si>
    <t>6f964c0b-b83c-4994-a6e0-7c47fa184cb8</t>
  </si>
  <si>
    <t>2026-05-08 06:19:52</t>
  </si>
  <si>
    <t>27712135572</t>
  </si>
  <si>
    <t>13861588</t>
  </si>
  <si>
    <t>67367883-721d-4f1c-b7b1-8e58d454cb57</t>
  </si>
  <si>
    <t>2026-05-08 05:59:54</t>
  </si>
  <si>
    <t>27834556987</t>
  </si>
  <si>
    <t>13864675</t>
  </si>
  <si>
    <t>f9531d14-5925-465c-9c80-2095a335dccc</t>
  </si>
  <si>
    <t>27760978983</t>
  </si>
  <si>
    <t>13864933</t>
  </si>
  <si>
    <t>86a50093-7c7e-4eee-92dd-3fef6349d188</t>
  </si>
  <si>
    <t>27762447607</t>
  </si>
  <si>
    <t>13861723</t>
  </si>
  <si>
    <t>f43513f5-db0e-414b-a898-48722746f0ce</t>
  </si>
  <si>
    <t>2026-05-07 14:13:08</t>
  </si>
  <si>
    <t>27794740453</t>
  </si>
  <si>
    <t>13863689</t>
  </si>
  <si>
    <t>594d8b12-d8ed-4cc6-81f0-3e6bd034638d</t>
  </si>
  <si>
    <t>2026-05-07 14:06:28</t>
  </si>
  <si>
    <t>Esther Ramalete</t>
  </si>
  <si>
    <t>27608328579</t>
  </si>
  <si>
    <t>13865434</t>
  </si>
  <si>
    <t>f8e7f33e-ec26-44c6-9a20-7cb957c97366</t>
  </si>
  <si>
    <t>27725407300</t>
  </si>
  <si>
    <t>2026-05-07 14:01:19</t>
  </si>
  <si>
    <t>13863684</t>
  </si>
  <si>
    <t>91ee9216-df92-4424-9808-6223777a6a72</t>
  </si>
  <si>
    <t>2026-05-07 13:58:19</t>
  </si>
  <si>
    <t>27606913707</t>
  </si>
  <si>
    <t>13863679</t>
  </si>
  <si>
    <t>3a45a050-5864-4c30-b619-202b93fc85c6</t>
  </si>
  <si>
    <t>2026-05-07 13:57:41</t>
  </si>
  <si>
    <t>27839785185</t>
  </si>
  <si>
    <t>13863724</t>
  </si>
  <si>
    <t>b5f508b0-064c-405a-a43d-ba8880551f37</t>
  </si>
  <si>
    <t>2026-05-07 13:56:09</t>
  </si>
  <si>
    <t>27661536707</t>
  </si>
  <si>
    <t>13861784</t>
  </si>
  <si>
    <t>a100af1d-45ca-46b7-ab2b-2733e12e337a</t>
  </si>
  <si>
    <t>2026-05-07 13:53:51</t>
  </si>
  <si>
    <t>27673417685</t>
  </si>
  <si>
    <t>13861808</t>
  </si>
  <si>
    <t>ae1ad7b1-6411-400e-8afe-54fbb5a69c14</t>
  </si>
  <si>
    <t>2026-05-07 13:50:53</t>
  </si>
  <si>
    <t>27722039010</t>
  </si>
  <si>
    <t>13863811</t>
  </si>
  <si>
    <t>c377df57-bb1d-44e7-ba33-53b34738a628</t>
  </si>
  <si>
    <t>27729827821</t>
  </si>
  <si>
    <t>2026-05-07 13:48:40</t>
  </si>
  <si>
    <t>13864482</t>
  </si>
  <si>
    <t>eebfd10e-ce22-49c9-bd38-069b6fa11cd3</t>
  </si>
  <si>
    <t>2026-05-07 13:41:04</t>
  </si>
  <si>
    <t>27799396453</t>
  </si>
  <si>
    <t>13864253</t>
  </si>
  <si>
    <t>cb9e3be3-5b68-4488-9a8f-25a19038f2cf</t>
  </si>
  <si>
    <t>27608502598</t>
  </si>
  <si>
    <t>2026-05-07 13:39:28</t>
  </si>
  <si>
    <t>13864507</t>
  </si>
  <si>
    <t>2f0d3016-83e0-47cf-87f6-083ea0530715</t>
  </si>
  <si>
    <t>2026-05-07 13:33:13</t>
  </si>
  <si>
    <t>27825119474</t>
  </si>
  <si>
    <t>13863300</t>
  </si>
  <si>
    <t>ef4344bd-d1f1-4cf2-8020-590676626f4b</t>
  </si>
  <si>
    <t>2026-05-07 13:09:31</t>
  </si>
  <si>
    <t>27724433222</t>
  </si>
  <si>
    <t>13861987</t>
  </si>
  <si>
    <t>f4ffdf25-5f6a-4b6a-bd0c-f41cbd34d302</t>
  </si>
  <si>
    <t>2026-05-07 13:08:41</t>
  </si>
  <si>
    <t>27726821965</t>
  </si>
  <si>
    <t>13861317</t>
  </si>
  <si>
    <t>7bc1279a-c83f-47a7-9e2c-cb2772405117</t>
  </si>
  <si>
    <t>2026-05-07 13:02:37</t>
  </si>
  <si>
    <t>27727110743</t>
  </si>
  <si>
    <t>13865889</t>
  </si>
  <si>
    <t>45cdb723-196a-4182-b535-4a0619a97a4c</t>
  </si>
  <si>
    <t>2026-05-07 13:01:38</t>
  </si>
  <si>
    <t>27607916652</t>
  </si>
  <si>
    <t>13864612</t>
  </si>
  <si>
    <t>1b80424b-32f4-4627-b881-07b6943844dc</t>
  </si>
  <si>
    <t>2026-05-07 13:01:36</t>
  </si>
  <si>
    <t>27720498104</t>
  </si>
  <si>
    <t>13864602</t>
  </si>
  <si>
    <t>d940e88e-6203-42d6-b8ec-e1327b098dbe</t>
  </si>
  <si>
    <t>2026-05-07 13:01:07</t>
  </si>
  <si>
    <t>27715680382</t>
  </si>
  <si>
    <t>13864628</t>
  </si>
  <si>
    <t>ca2e0228-8275-4670-8362-0fb49e0d23bf</t>
  </si>
  <si>
    <t>2026-05-07 12:58:37</t>
  </si>
  <si>
    <t>27722926061</t>
  </si>
  <si>
    <t>13864654</t>
  </si>
  <si>
    <t>bef51a16-0e13-4335-9ffb-19cc7dc060f1</t>
  </si>
  <si>
    <t>27727610496</t>
  </si>
  <si>
    <t>2026-05-07 12:57:25</t>
  </si>
  <si>
    <t>13864656</t>
  </si>
  <si>
    <t>c74db92c-5ca0-42a0-90e1-bad661ac1e7b</t>
  </si>
  <si>
    <t>2026-05-07 12:56:44</t>
  </si>
  <si>
    <t>27727699126</t>
  </si>
  <si>
    <t>13864743</t>
  </si>
  <si>
    <t>5605d3a4-7f48-4040-893c-17ed14450d96</t>
  </si>
  <si>
    <t>27795626907</t>
  </si>
  <si>
    <t>2026-05-07 12:54:25</t>
  </si>
  <si>
    <t>13864710</t>
  </si>
  <si>
    <t>57e3ab7a-72cd-4070-9753-0938b1f6713a</t>
  </si>
  <si>
    <t>2026-05-07 12:51:54</t>
  </si>
  <si>
    <t>27767305974</t>
  </si>
  <si>
    <t>13864740</t>
  </si>
  <si>
    <t>ba746abe-6c6b-48ac-993c-a246e37c4122</t>
  </si>
  <si>
    <t>2026-05-07 12:51:15</t>
  </si>
  <si>
    <t>27794665555</t>
  </si>
  <si>
    <t>13864846</t>
  </si>
  <si>
    <t>6c646f45-caa0-44d6-a42a-724b2a000031</t>
  </si>
  <si>
    <t>27664064296</t>
  </si>
  <si>
    <t>2026-05-07 12:49:35</t>
  </si>
  <si>
    <t>e778fee4-b640-48a0-8eba-f0c4277a015e</t>
  </si>
  <si>
    <t>27608936302</t>
  </si>
  <si>
    <t>2026-05-07 12:49:18</t>
  </si>
  <si>
    <t>13865993</t>
  </si>
  <si>
    <t>f86316d1-2856-469c-9ba5-b6a3a76aaaa4</t>
  </si>
  <si>
    <t>2026-05-07 12:47:48</t>
  </si>
  <si>
    <t>27723911277</t>
  </si>
  <si>
    <t>13861344</t>
  </si>
  <si>
    <t>b892f44f-e57b-4973-9155-87bb113bd1b1</t>
  </si>
  <si>
    <t>2026-05-07 12:45:22</t>
  </si>
  <si>
    <t>27763880270</t>
  </si>
  <si>
    <t>13864800</t>
  </si>
  <si>
    <t>7dd5a91f-1b13-4477-94b3-f4c3d15a64c9</t>
  </si>
  <si>
    <t>2026-05-07 12:44:44</t>
  </si>
  <si>
    <t>27606803261</t>
  </si>
  <si>
    <t>13864799</t>
  </si>
  <si>
    <t>50c19a06-d611-4c70-b2f4-70ad92b042aa</t>
  </si>
  <si>
    <t>2026-05-07 12:44:39</t>
  </si>
  <si>
    <t>27606667902</t>
  </si>
  <si>
    <t>13865976</t>
  </si>
  <si>
    <t>07ac70bf-e607-496c-a0b2-baadf2ccf524</t>
  </si>
  <si>
    <t>27720733820</t>
  </si>
  <si>
    <t>2026-05-07 12:43:56</t>
  </si>
  <si>
    <t>13861321</t>
  </si>
  <si>
    <t>2a95d67e-46eb-4b2a-acfb-3564e70393cd</t>
  </si>
  <si>
    <t>2026-05-07 12:43:52</t>
  </si>
  <si>
    <t>27727991143</t>
  </si>
  <si>
    <t>13864893</t>
  </si>
  <si>
    <t>4c6733ce-89b1-4b3b-b49b-b52ca6f1258b</t>
  </si>
  <si>
    <t>27722343844</t>
  </si>
  <si>
    <t>2026-05-07 12:43:31</t>
  </si>
  <si>
    <t>13864814</t>
  </si>
  <si>
    <t>6a275014-285c-40be-9624-9845eeb93c3d</t>
  </si>
  <si>
    <t>2026-05-07 12:43:08</t>
  </si>
  <si>
    <t>27609616762</t>
  </si>
  <si>
    <t>13864826</t>
  </si>
  <si>
    <t>ed7ae5ea-5181-4e58-bcd4-9041dabf9238</t>
  </si>
  <si>
    <t>MULTI</t>
  </si>
  <si>
    <t>Multiple Calls</t>
  </si>
  <si>
    <t>2026-05-07 12:42:03</t>
  </si>
  <si>
    <t>27646798721</t>
  </si>
  <si>
    <t>13864817</t>
  </si>
  <si>
    <t>84b8c6b6-8996-4de0-8e7f-984bf8a17db6</t>
  </si>
  <si>
    <t>2026-05-07 12:41:32</t>
  </si>
  <si>
    <t>27633978057</t>
  </si>
  <si>
    <t>13864661</t>
  </si>
  <si>
    <t>f94ef679-1d36-4652-9c5e-8efe6984f69e</t>
  </si>
  <si>
    <t>2026-05-07 12:38:54</t>
  </si>
  <si>
    <t>27728334542</t>
  </si>
  <si>
    <t>13864857</t>
  </si>
  <si>
    <t>82ca79df-21cb-4140-b72d-38240a77f68c</t>
  </si>
  <si>
    <t>NIUP</t>
  </si>
  <si>
    <t>Not Interested Upfront</t>
  </si>
  <si>
    <t>2026-05-07 12:38:17</t>
  </si>
  <si>
    <t>27674159349</t>
  </si>
  <si>
    <t>13864864</t>
  </si>
  <si>
    <t>cc9838fd-b8b0-4acc-9088-3cee68beb16f</t>
  </si>
  <si>
    <t>27711827344</t>
  </si>
  <si>
    <t>2026-05-07 12:38:05</t>
  </si>
  <si>
    <t>13864870</t>
  </si>
  <si>
    <t>00040b9b-8aa4-4a2a-8019-7b7a175e6eab</t>
  </si>
  <si>
    <t>2026-05-07 12:37:13</t>
  </si>
  <si>
    <t>27713411209</t>
  </si>
  <si>
    <t>13864866</t>
  </si>
  <si>
    <t>cc08cfe3-ee59-4831-9929-9358f27cb9cf</t>
  </si>
  <si>
    <t>2026-05-07 12:37:10</t>
  </si>
  <si>
    <t>27712371956</t>
  </si>
  <si>
    <t>13864902</t>
  </si>
  <si>
    <t>ef8b0ca3-063a-4d8a-b88d-dc80149e38ac</t>
  </si>
  <si>
    <t>2026-05-07 12:36:31</t>
  </si>
  <si>
    <t>27725579062</t>
  </si>
  <si>
    <t>13864892</t>
  </si>
  <si>
    <t>08f74713-8c59-47d2-81e8-f332f9eadf99</t>
  </si>
  <si>
    <t>27722020345</t>
  </si>
  <si>
    <t>2026-05-07 12:36:16</t>
  </si>
  <si>
    <t>13865096</t>
  </si>
  <si>
    <t>36ec2dca-99e9-46d3-b020-39f13e230dc4</t>
  </si>
  <si>
    <t>27665213137</t>
  </si>
  <si>
    <t>2026-05-07 12:35:49</t>
  </si>
  <si>
    <t>13864912</t>
  </si>
  <si>
    <t>a754d04c-5b70-4973-b4e7-db6a9d42111e</t>
  </si>
  <si>
    <t>27727524460</t>
  </si>
  <si>
    <t>2026-05-07 12:35:46</t>
  </si>
  <si>
    <t>13864875</t>
  </si>
  <si>
    <t>216c9352-382b-4795-af31-84469c647c7b</t>
  </si>
  <si>
    <t>2026-05-07 12:35:41</t>
  </si>
  <si>
    <t>27714089355</t>
  </si>
  <si>
    <t>13864890</t>
  </si>
  <si>
    <t>2414f73c-50a9-4b27-a3a7-7cc1b9d3638b</t>
  </si>
  <si>
    <t>2026-05-07 12:34:59</t>
  </si>
  <si>
    <t>27721860747</t>
  </si>
  <si>
    <t>13864900</t>
  </si>
  <si>
    <t>ff463d35-20e0-4dcb-9a46-76361a57984b</t>
  </si>
  <si>
    <t>2026-05-07 12:34:25</t>
  </si>
  <si>
    <t>27724382260</t>
  </si>
  <si>
    <t>13864920</t>
  </si>
  <si>
    <t>1eda4af5-e628-4a5a-8714-a3d8b708b8ba</t>
  </si>
  <si>
    <t>2026-05-07 12:32:51</t>
  </si>
  <si>
    <t>27729806757</t>
  </si>
  <si>
    <t>13864935</t>
  </si>
  <si>
    <t>f25947be-6f8e-4b2c-b420-b8e1575d5e91</t>
  </si>
  <si>
    <t>2026-05-07 12:29:33</t>
  </si>
  <si>
    <t>27763505184</t>
  </si>
  <si>
    <t>13865044</t>
  </si>
  <si>
    <t>4fd2d335-86aa-41cf-8d0e-ac92a6dab0fc</t>
  </si>
  <si>
    <t>27826991148</t>
  </si>
  <si>
    <t>2026-05-07 12:27:58</t>
  </si>
  <si>
    <t>13864959</t>
  </si>
  <si>
    <t>d7b24d07-bfad-40fd-b4e5-08c1b9dd5b9f</t>
  </si>
  <si>
    <t>2026-05-07 12:27:47</t>
  </si>
  <si>
    <t>27769447172</t>
  </si>
  <si>
    <t>13864974</t>
  </si>
  <si>
    <t>9280511b-9f7f-4e5b-bc1c-92806bd35495</t>
  </si>
  <si>
    <t>2026-05-07 12:26:57</t>
  </si>
  <si>
    <t>27792100070</t>
  </si>
  <si>
    <t>13864997</t>
  </si>
  <si>
    <t>ace60b1f-5f9b-4c1a-86b8-154715faed35</t>
  </si>
  <si>
    <t>2026-05-07 12:24:55</t>
  </si>
  <si>
    <t>27796650821</t>
  </si>
  <si>
    <t>13864995</t>
  </si>
  <si>
    <t>4bb33501-c800-4069-b832-2856e67d3ad0</t>
  </si>
  <si>
    <t>2026-05-07 12:24:48</t>
  </si>
  <si>
    <t>27796417773</t>
  </si>
  <si>
    <t>13865160</t>
  </si>
  <si>
    <t>c8fefa76-facb-4dc4-be2e-a4285ea03ca2</t>
  </si>
  <si>
    <t>27724989682</t>
  </si>
  <si>
    <t>2026-05-07 12:21:15</t>
  </si>
  <si>
    <t>13865028</t>
  </si>
  <si>
    <t>5cda0179-8807-48b2-8e45-6069604d1370</t>
  </si>
  <si>
    <t>2026-05-07 12:19:10</t>
  </si>
  <si>
    <t>27822141377</t>
  </si>
  <si>
    <t>6e621a32-b917-47ed-909e-5f1b3940ecd6</t>
  </si>
  <si>
    <t>27727131404</t>
  </si>
  <si>
    <t>2026-05-07 12:09:26</t>
  </si>
  <si>
    <t>13865098</t>
  </si>
  <si>
    <t>3ce5069f-867e-4067-ba44-f1d0c3c1ef30</t>
  </si>
  <si>
    <t>2026-05-07 12:08:54</t>
  </si>
  <si>
    <t>27665962594</t>
  </si>
  <si>
    <t>13865114</t>
  </si>
  <si>
    <t>816fb908-fa64-4d58-bfef-f2f855790f59</t>
  </si>
  <si>
    <t>2026-05-07 12:08:09</t>
  </si>
  <si>
    <t>27711910490</t>
  </si>
  <si>
    <t>13865935</t>
  </si>
  <si>
    <t>03d7484b-42bd-4038-b643-f4ffc7ca2fb9</t>
  </si>
  <si>
    <t>2026-05-07 12:05:10</t>
  </si>
  <si>
    <t>27665894358</t>
  </si>
  <si>
    <t>13865039</t>
  </si>
  <si>
    <t>8297a5db-6c53-49ee-b1b1-c1b6708581b2</t>
  </si>
  <si>
    <t>27825399516</t>
  </si>
  <si>
    <t>2026-05-07 12:03:26</t>
  </si>
  <si>
    <t>13865162</t>
  </si>
  <si>
    <t>6a369bfd-3658-4e3f-ac3f-e6876475f16a</t>
  </si>
  <si>
    <t>2026-05-07 12:03:21</t>
  </si>
  <si>
    <t>27725124706</t>
  </si>
  <si>
    <t>13865173</t>
  </si>
  <si>
    <t>82a102ca-dfba-4768-8d5f-6cca3ca35278</t>
  </si>
  <si>
    <t>2026-05-07 12:01:17</t>
  </si>
  <si>
    <t>27727418251</t>
  </si>
  <si>
    <t>13865176</t>
  </si>
  <si>
    <t>78c32fb4-4ab2-48c7-925c-c38483d38f27</t>
  </si>
  <si>
    <t>2026-05-07 11:57:58</t>
  </si>
  <si>
    <t>27727564842</t>
  </si>
  <si>
    <t>13861667</t>
  </si>
  <si>
    <t>85dde0c2-7e3d-4cfb-ac43-c0484c30cea5</t>
  </si>
  <si>
    <t>27727482875</t>
  </si>
  <si>
    <t>2026-05-07 11:55:21</t>
  </si>
  <si>
    <t>13865037</t>
  </si>
  <si>
    <t>52e4f9ae-b9b3-470b-98b2-d5cd4a5b650e</t>
  </si>
  <si>
    <t>2026-05-07 11:55:17</t>
  </si>
  <si>
    <t>27824394503</t>
  </si>
  <si>
    <t>13865200</t>
  </si>
  <si>
    <t>13742095-2309-4d07-ae27-98f4fb3a5b9b</t>
  </si>
  <si>
    <t>2026-05-07 11:54:59</t>
  </si>
  <si>
    <t>27761674447</t>
  </si>
  <si>
    <t>13861286</t>
  </si>
  <si>
    <t>20878daf-6008-4719-b635-6f7d38217836</t>
  </si>
  <si>
    <t>27714400325</t>
  </si>
  <si>
    <t>2026-05-07 11:52:16</t>
  </si>
  <si>
    <t>13861096</t>
  </si>
  <si>
    <t>73e1be52-d9e8-43d7-af29-746d784c39b9</t>
  </si>
  <si>
    <t>2026-05-07 11:49:49</t>
  </si>
  <si>
    <t>27636156013</t>
  </si>
  <si>
    <t>13865226</t>
  </si>
  <si>
    <t>2b126ae6-c221-43a3-9112-2255176f1951</t>
  </si>
  <si>
    <t>QAVET</t>
  </si>
  <si>
    <t>Sale Made</t>
  </si>
  <si>
    <t>2026-05-07 11:36:11</t>
  </si>
  <si>
    <t>Millicent Motsuku</t>
  </si>
  <si>
    <t>27767086238</t>
  </si>
  <si>
    <t>13861779</t>
  </si>
  <si>
    <t>2f2a3191-1675-4917-9669-472eeee62f78</t>
  </si>
  <si>
    <t>27663620439</t>
  </si>
  <si>
    <t>2026-05-07 11:33:28</t>
  </si>
  <si>
    <t>13861284</t>
  </si>
  <si>
    <t>0cd7ef2d-b629-4166-a8fc-f073f9999a9a</t>
  </si>
  <si>
    <t>2026-05-07 11:26:27</t>
  </si>
  <si>
    <t>27713616815</t>
  </si>
  <si>
    <t>13865927</t>
  </si>
  <si>
    <t>85764ca1-cc3f-406b-89bf-bd7b6c5fdc5d</t>
  </si>
  <si>
    <t>2026-05-07 11:21:05</t>
  </si>
  <si>
    <t>27663620566</t>
  </si>
  <si>
    <t>13861554</t>
  </si>
  <si>
    <t>48c081df-00c0-4903-9de3-ebb5be2ddbef</t>
  </si>
  <si>
    <t>2026-05-07 11:07:46</t>
  </si>
  <si>
    <t>27797796486</t>
  </si>
  <si>
    <t>13865308</t>
  </si>
  <si>
    <t>0c777561-5a89-4f7c-910c-8257fb191b26</t>
  </si>
  <si>
    <t>2026-05-07 11:06:54</t>
  </si>
  <si>
    <t>27823571387</t>
  </si>
  <si>
    <t>13861314</t>
  </si>
  <si>
    <t>1f910484-cafc-4689-921e-3ea18b4f5116</t>
  </si>
  <si>
    <t>2026-05-07 10:58:58</t>
  </si>
  <si>
    <t>27726003268</t>
  </si>
  <si>
    <t>13863407</t>
  </si>
  <si>
    <t>62cadbf9-cd8f-43d3-b950-c4d6a69ad2e8</t>
  </si>
  <si>
    <t>2026-05-07 10:50:19</t>
  </si>
  <si>
    <t>27795949886</t>
  </si>
  <si>
    <t>13861370</t>
  </si>
  <si>
    <t>3efb1055-5b5a-4729-aa58-c14916a562b9</t>
  </si>
  <si>
    <t>2026-05-07 10:43:56</t>
  </si>
  <si>
    <t>27790726249</t>
  </si>
  <si>
    <t>13861428</t>
  </si>
  <si>
    <t>cc95961f-be20-40e6-8145-19f93ad7bce3</t>
  </si>
  <si>
    <t>2026-05-07 10:29:58</t>
  </si>
  <si>
    <t>27637025290</t>
  </si>
  <si>
    <t>13861427</t>
  </si>
  <si>
    <t>ee8bd4f1-082b-4f2c-8b44-c2c772edbb44</t>
  </si>
  <si>
    <t>2026-05-07 10:29:54</t>
  </si>
  <si>
    <t>27636616350</t>
  </si>
  <si>
    <t>13861450</t>
  </si>
  <si>
    <t>86034fe1-1739-4638-b38d-3551d7626b9b</t>
  </si>
  <si>
    <t>2026-05-07 10:27:11</t>
  </si>
  <si>
    <t>27685060666</t>
  </si>
  <si>
    <t>13861483</t>
  </si>
  <si>
    <t>f8036598-9ef3-40b5-83db-6f05c696701f</t>
  </si>
  <si>
    <t>2026-05-07 10:23:10</t>
  </si>
  <si>
    <t>27727992747</t>
  </si>
  <si>
    <t>13865374</t>
  </si>
  <si>
    <t>32107995-a65c-4534-9a9d-30820041275d</t>
  </si>
  <si>
    <t>27664795166</t>
  </si>
  <si>
    <t>2026-05-07 10:17:51</t>
  </si>
  <si>
    <t>13861550</t>
  </si>
  <si>
    <t>1d2d19ee-87af-4fe9-81ca-18dde4613eb8</t>
  </si>
  <si>
    <t>2026-05-07 10:15:06</t>
  </si>
  <si>
    <t>27796313881</t>
  </si>
  <si>
    <t>13863338</t>
  </si>
  <si>
    <t>139e5b9a-7803-482a-959b-ad1b9b3defad</t>
  </si>
  <si>
    <t>2026-05-07 10:12:36</t>
  </si>
  <si>
    <t>27763060010</t>
  </si>
  <si>
    <t>13865418</t>
  </si>
  <si>
    <t>0548de62-568c-45d0-9860-e208cb8837a6</t>
  </si>
  <si>
    <t>27721719190</t>
  </si>
  <si>
    <t>2026-05-07 10:11:44</t>
  </si>
  <si>
    <t>48e38015-39ce-454a-9316-94da34777542</t>
  </si>
  <si>
    <t>27726583414</t>
  </si>
  <si>
    <t>2026-05-07 10:11:28</t>
  </si>
  <si>
    <t>13865401</t>
  </si>
  <si>
    <t>d8fa8e55-7f1a-4d51-a69a-7d51ccf1e48a</t>
  </si>
  <si>
    <t>2026-05-07 10:09:50</t>
  </si>
  <si>
    <t>27714570998</t>
  </si>
  <si>
    <t>13861620</t>
  </si>
  <si>
    <t>6b2bed9e-9934-4783-8aaf-2f53c9d19d35</t>
  </si>
  <si>
    <t>2026-05-07 10:08:59</t>
  </si>
  <si>
    <t>27664255002</t>
  </si>
  <si>
    <t>13861710</t>
  </si>
  <si>
    <t>a0447dff-806e-4d0c-ba14-d78a88e9cfd8</t>
  </si>
  <si>
    <t>2026-05-07 10:05:27</t>
  </si>
  <si>
    <t>27790205212</t>
  </si>
  <si>
    <t>13861697</t>
  </si>
  <si>
    <t>1caa69cd-077e-405f-9e30-221b1770a560</t>
  </si>
  <si>
    <t>2026-05-07 10:04:07</t>
  </si>
  <si>
    <t>27768057802</t>
  </si>
  <si>
    <t>13863287</t>
  </si>
  <si>
    <t>b0412ab4-3f09-45a3-a8f8-2a79252a21af</t>
  </si>
  <si>
    <t>2026-05-07 10:03:48</t>
  </si>
  <si>
    <t>27720791322</t>
  </si>
  <si>
    <t>13861754</t>
  </si>
  <si>
    <t>330f202d-a2b4-4902-8ed3-0be7962cd48f</t>
  </si>
  <si>
    <t>2026-05-07 10:03:36</t>
  </si>
  <si>
    <t>27825301314</t>
  </si>
  <si>
    <t>13861893</t>
  </si>
  <si>
    <t>2bf54950-99eb-4a44-870b-15d0a5b3b3e0</t>
  </si>
  <si>
    <t>2026-05-07 10:02:24</t>
  </si>
  <si>
    <t>27818685722</t>
  </si>
  <si>
    <t>13861858</t>
  </si>
  <si>
    <t>a69e64ab-2212-4d66-ac70-b86feb652b2e</t>
  </si>
  <si>
    <t>2026-05-07 09:58:20</t>
  </si>
  <si>
    <t>27790362896</t>
  </si>
  <si>
    <t>13865453</t>
  </si>
  <si>
    <t>1f384a3f-4477-4453-96af-e1f907268c7a</t>
  </si>
  <si>
    <t>2026-05-07 09:55:54</t>
  </si>
  <si>
    <t>27728524757</t>
  </si>
  <si>
    <t>13865482</t>
  </si>
  <si>
    <t>f30b281d-012d-479c-af12-e92e0dc000ea</t>
  </si>
  <si>
    <t>2026-05-07 09:53:44</t>
  </si>
  <si>
    <t>27764011431</t>
  </si>
  <si>
    <t>13865466</t>
  </si>
  <si>
    <t>1844c1d3-e916-4298-8a3f-47025b1fce4e</t>
  </si>
  <si>
    <t>2026-05-07 09:52:34</t>
  </si>
  <si>
    <t>27736339369</t>
  </si>
  <si>
    <t>13865488</t>
  </si>
  <si>
    <t>153c06e8-c1e8-43a7-99eb-7a2e7d5337bc</t>
  </si>
  <si>
    <t>27765097543</t>
  </si>
  <si>
    <t>2026-05-07 09:52:26</t>
  </si>
  <si>
    <t>13862038</t>
  </si>
  <si>
    <t>c2d191c5-fbcb-4a60-9dbe-a9c10d48c579</t>
  </si>
  <si>
    <t>2026-05-07 09:47:23</t>
  </si>
  <si>
    <t>27793294403</t>
  </si>
  <si>
    <t>13862036</t>
  </si>
  <si>
    <t>6386396f-e419-4764-a6c3-dbbba9ff9dc9</t>
  </si>
  <si>
    <t>2026-05-07 09:47:18</t>
  </si>
  <si>
    <t>27792253597</t>
  </si>
  <si>
    <t>13862022</t>
  </si>
  <si>
    <t>6bf1c8f3-b2ea-499a-919b-f720deebc644</t>
  </si>
  <si>
    <t>27769203972</t>
  </si>
  <si>
    <t>2026-05-07 09:46:45</t>
  </si>
  <si>
    <t>13864529</t>
  </si>
  <si>
    <t>172a63c8-9f02-4527-974e-491f43ea555a</t>
  </si>
  <si>
    <t>2026-05-07 09:45:46</t>
  </si>
  <si>
    <t>27606992586</t>
  </si>
  <si>
    <t>13865635</t>
  </si>
  <si>
    <t>a2249794-b6fd-4eeb-bf8f-b936e126db5a</t>
  </si>
  <si>
    <t>AC</t>
  </si>
  <si>
    <t>Already Contacted</t>
  </si>
  <si>
    <t>2026-05-04 14:29:04</t>
  </si>
  <si>
    <t>27663828195</t>
  </si>
  <si>
    <t>13863322</t>
  </si>
  <si>
    <t>69638dea-c1da-4684-b9c9-8ca873a10cfb</t>
  </si>
  <si>
    <t>2026-04-29 10:47:57</t>
  </si>
  <si>
    <t>27729941355</t>
  </si>
  <si>
    <t>13863742</t>
  </si>
  <si>
    <t>74029bb1-e62d-4f6f-943d-623c3ba36d6d</t>
  </si>
  <si>
    <t>2026-04-24 11:38:52</t>
  </si>
  <si>
    <t>27713756298</t>
  </si>
  <si>
    <t>13862123</t>
  </si>
  <si>
    <t>b6551725-6281-4ce5-9cd8-1e23528d17f8</t>
  </si>
  <si>
    <t>2026-04-24 06:28:43</t>
  </si>
  <si>
    <t>27722679502</t>
  </si>
  <si>
    <t>13864863</t>
  </si>
  <si>
    <t>b0ed713a-6209-49b5-a9c4-6daba21cf51a</t>
  </si>
  <si>
    <t>2026-04-24 06:25:37</t>
  </si>
  <si>
    <t>27711346944</t>
  </si>
  <si>
    <t>13861238</t>
  </si>
  <si>
    <t>3501b4a3-ac8b-4592-8001-77fdb4b38ca4</t>
  </si>
  <si>
    <t>2026-04-24 06:18:10</t>
  </si>
  <si>
    <t>27824328724</t>
  </si>
  <si>
    <t>13861553</t>
  </si>
  <si>
    <t>b80b098b-935a-4b1e-8156-2fb0a207f784</t>
  </si>
  <si>
    <t>2026-04-23 11:06:25</t>
  </si>
  <si>
    <t>27797620260</t>
  </si>
  <si>
    <t>13861116</t>
  </si>
  <si>
    <t>ac882a86-dac7-421d-9656-41bf0f51ec86</t>
  </si>
  <si>
    <t>2026-04-22 12:59:25</t>
  </si>
  <si>
    <t>27663293853</t>
  </si>
  <si>
    <t>13865144</t>
  </si>
  <si>
    <t>1cc39ecc-a6d8-4d27-a0a0-cb5418f00fb7</t>
  </si>
  <si>
    <t>2026-04-22 12:20:46</t>
  </si>
  <si>
    <t>27723209338</t>
  </si>
  <si>
    <t>13864711</t>
  </si>
  <si>
    <t>c04fb30c-f8f7-4ecc-89ab-eb97e476c224</t>
  </si>
  <si>
    <t>2026-04-22 09:10:46</t>
  </si>
  <si>
    <t>27767775273</t>
  </si>
  <si>
    <t>13863168</t>
  </si>
  <si>
    <t>1c03452e-58c7-4391-a569-169c70b85579</t>
  </si>
  <si>
    <t>2026-04-21 14:14:52</t>
  </si>
  <si>
    <t>27792307935</t>
  </si>
  <si>
    <t>13863700</t>
  </si>
  <si>
    <t>93b1f2ca-10bb-422a-ac33-09ebcb93c3c9</t>
  </si>
  <si>
    <t>2026-04-21 14:11:33</t>
  </si>
  <si>
    <t>27637617881</t>
  </si>
  <si>
    <t>13866015</t>
  </si>
  <si>
    <t>1c96d896-dcbf-477d-814f-f771d9917d9d</t>
  </si>
  <si>
    <t>2026-04-21 13:59:27</t>
  </si>
  <si>
    <t>27728091017</t>
  </si>
  <si>
    <t>13861627</t>
  </si>
  <si>
    <t>5be453e3-0c28-4171-a73d-dd1f3ab67bbb</t>
  </si>
  <si>
    <t>2026-04-21 12:41:42</t>
  </si>
  <si>
    <t>27711363010</t>
  </si>
  <si>
    <t>13862314</t>
  </si>
  <si>
    <t>e5a69546-70c7-4a3d-a2cb-c1ab2ef226c2</t>
  </si>
  <si>
    <t>2026-04-21 10:37:09</t>
  </si>
  <si>
    <t>27764599240</t>
  </si>
  <si>
    <t>13866053</t>
  </si>
  <si>
    <t>dbef66a8-8518-4b70-9d0c-0a2d99432590</t>
  </si>
  <si>
    <t>2026-04-21 09:57:49</t>
  </si>
  <si>
    <t>27765283993</t>
  </si>
  <si>
    <t>13863191</t>
  </si>
  <si>
    <t>b9937200-780d-4108-a239-0b818248555b</t>
  </si>
  <si>
    <t>2026-04-21 08:28:47</t>
  </si>
  <si>
    <t>27797613662</t>
  </si>
  <si>
    <t>13862622</t>
  </si>
  <si>
    <t>346bec63-18ff-4063-a2f8-61aaf270057a</t>
  </si>
  <si>
    <t>2026-04-21 06:40:01</t>
  </si>
  <si>
    <t>27729222982</t>
  </si>
  <si>
    <t>13861150</t>
  </si>
  <si>
    <t>fefc71c2-c300-4742-9794-29de2a1ddd62</t>
  </si>
  <si>
    <t>2026-04-20 14:26:34</t>
  </si>
  <si>
    <t>27724226309</t>
  </si>
  <si>
    <t>13864375</t>
  </si>
  <si>
    <t>c4d64d27-58be-4ce3-b483-9857f727e8a6</t>
  </si>
  <si>
    <t>2026-04-20 10:20:45</t>
  </si>
  <si>
    <t>27728957609</t>
  </si>
  <si>
    <t>13863814</t>
  </si>
  <si>
    <t>a78918ce-8b1d-44e7-99d5-9cb84fbfe852</t>
  </si>
  <si>
    <t>2026-04-20 09:22:08</t>
  </si>
  <si>
    <t>27760331849</t>
  </si>
  <si>
    <t>13865907</t>
  </si>
  <si>
    <t>bd89ea65-f5bb-425e-b599-aa0800e7ec76</t>
  </si>
  <si>
    <t>2026-04-20 06:29:50</t>
  </si>
  <si>
    <t>27647490646</t>
  </si>
  <si>
    <t>13861225</t>
  </si>
  <si>
    <t>a8a83c18-9791-4aa0-832b-a8828f460443</t>
  </si>
  <si>
    <t>2026-04-17 12:06:00</t>
  </si>
  <si>
    <t>27799760295</t>
  </si>
  <si>
    <t>13863144</t>
  </si>
  <si>
    <t>afef07bd-2c90-4a19-ba5e-e3a5c93ad27d</t>
  </si>
  <si>
    <t>2026-04-17 11:53:14</t>
  </si>
  <si>
    <t>27767703071</t>
  </si>
  <si>
    <t>13866010</t>
  </si>
  <si>
    <t>4f4b0087-d2e9-4875-9a4c-68818c843a55</t>
  </si>
  <si>
    <t>2026-04-17 09:19:27</t>
  </si>
  <si>
    <t>27726576192</t>
  </si>
  <si>
    <t>13866024</t>
  </si>
  <si>
    <t>27147e92-a824-4b70-9403-2afde6a49b2a</t>
  </si>
  <si>
    <t>2026-04-17 09:15:19</t>
  </si>
  <si>
    <t>27729229344</t>
  </si>
  <si>
    <t>13866027</t>
  </si>
  <si>
    <t>eea0db34-baaf-4497-9e12-4aae359ae701</t>
  </si>
  <si>
    <t>2026-04-17 09:15:18</t>
  </si>
  <si>
    <t>27729963834</t>
  </si>
  <si>
    <t>13861264</t>
  </si>
  <si>
    <t>2b93be40-5ef9-423c-b44a-83189018c597</t>
  </si>
  <si>
    <t>2026-04-17 09:12:01</t>
  </si>
  <si>
    <t>27660284604</t>
  </si>
  <si>
    <t>13863659</t>
  </si>
  <si>
    <t>f7057d7f-9973-487f-9910-393c331d9b02</t>
  </si>
  <si>
    <t>2026-04-17 09:08:08</t>
  </si>
  <si>
    <t>27823556855</t>
  </si>
  <si>
    <t>13865859</t>
  </si>
  <si>
    <t>27a269f5-8d4f-4847-bb4a-db1129f26cf0</t>
  </si>
  <si>
    <t>2026-04-17 09:04:15</t>
  </si>
  <si>
    <t>27825151451</t>
  </si>
  <si>
    <t>13866072</t>
  </si>
  <si>
    <t>70b66e0b-71c0-4638-ba04-3e01192856f6</t>
  </si>
  <si>
    <t>2026-04-17 09:02:33</t>
  </si>
  <si>
    <t>27773686085</t>
  </si>
  <si>
    <t>13861207</t>
  </si>
  <si>
    <t>b1e48fdd-77d3-4dfa-a23a-559b4017cb01</t>
  </si>
  <si>
    <t>2026-04-17 09:00:20</t>
  </si>
  <si>
    <t>27793119300</t>
  </si>
  <si>
    <t>13861211</t>
  </si>
  <si>
    <t>4cdf1d5f-3717-43d7-b534-c1b5e068772d</t>
  </si>
  <si>
    <t>2026-04-17 08:58:16</t>
  </si>
  <si>
    <t>27794498570</t>
  </si>
  <si>
    <t>13861181</t>
  </si>
  <si>
    <t>50ec7084-a2d9-455b-b0d5-e76c3d5a4aa2</t>
  </si>
  <si>
    <t>2026-04-17 08:53:52</t>
  </si>
  <si>
    <t>27766982323</t>
  </si>
  <si>
    <t>13862405</t>
  </si>
  <si>
    <t>0b51664b-0ae1-4ddb-9957-a97a82ad844b</t>
  </si>
  <si>
    <t>2026-04-17 08:52:18</t>
  </si>
  <si>
    <t>27665677887</t>
  </si>
  <si>
    <t>13862873</t>
  </si>
  <si>
    <t>11f8f364-2593-4674-9345-245490f18da4</t>
  </si>
  <si>
    <t>2026-04-17 08:33:26</t>
  </si>
  <si>
    <t>27824571089</t>
  </si>
  <si>
    <t>13862154</t>
  </si>
  <si>
    <t>307b4812-5b2f-4f9a-937f-a10e95d8a2d5</t>
  </si>
  <si>
    <t>2026-04-16 14:32:32</t>
  </si>
  <si>
    <t>27762997996</t>
  </si>
  <si>
    <t>13864412</t>
  </si>
  <si>
    <t>a7c78020-7fa1-45fa-9192-a9e5fe0efe26</t>
  </si>
  <si>
    <t>2026-04-16 12:28:45</t>
  </si>
  <si>
    <t>27767580578</t>
  </si>
  <si>
    <t>13864069</t>
  </si>
  <si>
    <t>dbb1dc20-5cce-4722-ba66-b97b939e2069</t>
  </si>
  <si>
    <t>2026-04-16 11:01:27</t>
  </si>
  <si>
    <t>27725547403</t>
  </si>
  <si>
    <t>13864368</t>
  </si>
  <si>
    <t>3528f77a-ae8e-45f8-90e5-3b19957bdf7e</t>
  </si>
  <si>
    <t>2026-04-16 10:37:20</t>
  </si>
  <si>
    <t>27727185282</t>
  </si>
  <si>
    <t>13861257</t>
  </si>
  <si>
    <t>4ceb184a-a814-40a0-ad52-4d9e20bdcb75</t>
  </si>
  <si>
    <t>2026-04-16 09:20:57</t>
  </si>
  <si>
    <t>27647743418</t>
  </si>
  <si>
    <t>13861511</t>
  </si>
  <si>
    <t>b52cbaa5-01a8-4ceb-871e-3a55ae49c5c6</t>
  </si>
  <si>
    <t>2026-04-15 14:34:42</t>
  </si>
  <si>
    <t>27766583321</t>
  </si>
  <si>
    <t>13865211</t>
  </si>
  <si>
    <t>81d7ddba-af8e-4a45-b3be-250ffafc45a8</t>
  </si>
  <si>
    <t>2026-04-15 13:16:32</t>
  </si>
  <si>
    <t>27763953633</t>
  </si>
  <si>
    <t>13864952</t>
  </si>
  <si>
    <t>c8b3419a-15d4-4857-903d-ff7f7ee6e9e2</t>
  </si>
  <si>
    <t>2026-04-15 13:07:59</t>
  </si>
  <si>
    <t>27767809770</t>
  </si>
  <si>
    <t>13863920</t>
  </si>
  <si>
    <t>b3bb8369-e3b7-41c7-b262-780ed94eb649</t>
  </si>
  <si>
    <t>2026-04-15 13:06:38</t>
  </si>
  <si>
    <t>27824120666</t>
  </si>
  <si>
    <t>13862933</t>
  </si>
  <si>
    <t>41485644-804f-4d17-b3d9-4751aec33f43</t>
  </si>
  <si>
    <t>2026-04-15 13:03:00</t>
  </si>
  <si>
    <t>27768511613</t>
  </si>
  <si>
    <t>13863414</t>
  </si>
  <si>
    <t>62df6ec1-8d6a-47ff-ab20-07db56cdd82c</t>
  </si>
  <si>
    <t>2026-04-15 11:19:13</t>
  </si>
  <si>
    <t>27797337003</t>
  </si>
  <si>
    <t>13863022</t>
  </si>
  <si>
    <t>a09a5bbb-69ce-474b-977b-01cae66dee18</t>
  </si>
  <si>
    <t>2026-04-15 11:02:42</t>
  </si>
  <si>
    <t>27766894258</t>
  </si>
  <si>
    <t>13862937</t>
  </si>
  <si>
    <t>02ed37ab-e9dd-4f30-b78c-4d9fb5489929</t>
  </si>
  <si>
    <t>2026-04-15 10:44:02</t>
  </si>
  <si>
    <t>27794639966</t>
  </si>
  <si>
    <t>13862666</t>
  </si>
  <si>
    <t>388ff3d7-a647-4710-8fe6-139ec02b43d4</t>
  </si>
  <si>
    <t>2026-04-15 10:22:28</t>
  </si>
  <si>
    <t>27792409795</t>
  </si>
  <si>
    <t>13861862</t>
  </si>
  <si>
    <t>a871009e-704a-4abf-b2da-079b4930998f</t>
  </si>
  <si>
    <t>2026-04-15 10:21:33</t>
  </si>
  <si>
    <t>27790687070</t>
  </si>
  <si>
    <t>13863178</t>
  </si>
  <si>
    <t>953dfce9-9fc5-4097-a892-d1c80dfd7fc2</t>
  </si>
  <si>
    <t>2026-04-15 10:17:10</t>
  </si>
  <si>
    <t>27794823644</t>
  </si>
  <si>
    <t>13862262</t>
  </si>
  <si>
    <t>926b24a7-e9f8-470a-8681-9c99b8a8a1c5</t>
  </si>
  <si>
    <t>2026-04-15 10:15:41</t>
  </si>
  <si>
    <t>27715813299</t>
  </si>
  <si>
    <t>13862927</t>
  </si>
  <si>
    <t>133c509f-87a5-4491-a67e-564836b22510</t>
  </si>
  <si>
    <t>2026-04-15 10:14:24</t>
  </si>
  <si>
    <t>27729537923</t>
  </si>
  <si>
    <t>13863243</t>
  </si>
  <si>
    <t>d528ccab-1a08-416a-b195-094ab5b7e33e</t>
  </si>
  <si>
    <t>2026-04-15 10:12:31</t>
  </si>
  <si>
    <t>27646202687</t>
  </si>
  <si>
    <t>13863047</t>
  </si>
  <si>
    <t>19bda7e3-3d43-4c6b-a37b-12f8e6609ddc</t>
  </si>
  <si>
    <t>2026-04-15 10:08:13</t>
  </si>
  <si>
    <t>27609234723</t>
  </si>
  <si>
    <t>13865511</t>
  </si>
  <si>
    <t>d406ee42-d7c5-4b67-9e4a-304d16f9f5d8</t>
  </si>
  <si>
    <t>2026-04-15 10:07:38</t>
  </si>
  <si>
    <t>27790748045</t>
  </si>
  <si>
    <t>13862961</t>
  </si>
  <si>
    <t>9cea1dfe-fede-48a2-814b-1da18182ccd1</t>
  </si>
  <si>
    <t>2026-04-15 10:04:24</t>
  </si>
  <si>
    <t>27720364575</t>
  </si>
  <si>
    <t>13862865</t>
  </si>
  <si>
    <t>de66cd09-585d-42a7-80c0-1af320d91131</t>
  </si>
  <si>
    <t>2026-04-15 10:02:23</t>
  </si>
  <si>
    <t>27822677764</t>
  </si>
  <si>
    <t>13863159</t>
  </si>
  <si>
    <t>d886acf1-44a6-453a-9113-eec9ed028f97</t>
  </si>
  <si>
    <t>2026-04-15 10:01:28</t>
  </si>
  <si>
    <t>27790455264</t>
  </si>
  <si>
    <t>13862144</t>
  </si>
  <si>
    <t>dc5c1c56-5777-45c3-b969-cda689a21456</t>
  </si>
  <si>
    <t>2026-04-15 10:00:14</t>
  </si>
  <si>
    <t>27729468225</t>
  </si>
  <si>
    <t>13863682</t>
  </si>
  <si>
    <t>f8962d5a-030b-4655-bc59-fc0ab77a072c</t>
  </si>
  <si>
    <t>2026-04-15 09:58:11</t>
  </si>
  <si>
    <t>27606341075</t>
  </si>
  <si>
    <t>13862218</t>
  </si>
  <si>
    <t>d4841a47-8f98-487d-b97e-a96370ec63bd</t>
  </si>
  <si>
    <t>2026-04-15 09:57:11</t>
  </si>
  <si>
    <t>27828586658</t>
  </si>
  <si>
    <t>13864595</t>
  </si>
  <si>
    <t>87b49bf4-e277-4ebc-aa37-4ce31c2bbb63</t>
  </si>
  <si>
    <t>2026-04-15 09:56:30</t>
  </si>
  <si>
    <t>27714807439</t>
  </si>
  <si>
    <t>13862719</t>
  </si>
  <si>
    <t>cbf187ec-1e4b-4151-a566-d0263ffda18a</t>
  </si>
  <si>
    <t>2026-04-15 09:55:55</t>
  </si>
  <si>
    <t>27646261803</t>
  </si>
  <si>
    <t>13862650</t>
  </si>
  <si>
    <t>0f53a228-a1cf-45ad-b363-70d2493e3aa0</t>
  </si>
  <si>
    <t>2026-04-15 09:54:26</t>
  </si>
  <si>
    <t>27766525393</t>
  </si>
  <si>
    <t>13863928</t>
  </si>
  <si>
    <t>620fb979-540a-447a-ad25-8439c20d0b1d</t>
  </si>
  <si>
    <t>2026-04-15 09:50:58</t>
  </si>
  <si>
    <t>27826128371</t>
  </si>
  <si>
    <t>13862921</t>
  </si>
  <si>
    <t>c57dba4b-b3cb-4039-b545-9a3a86794ecc</t>
  </si>
  <si>
    <t>2026-04-15 09:45:35</t>
  </si>
  <si>
    <t>27715799800</t>
  </si>
  <si>
    <t>13863218</t>
  </si>
  <si>
    <t>db586d88-07c8-4f74-a2d9-37c3acb56d77</t>
  </si>
  <si>
    <t>2026-04-15 09:44:51</t>
  </si>
  <si>
    <t>27827482001</t>
  </si>
  <si>
    <t>13863217</t>
  </si>
  <si>
    <t>9df45804-894a-486e-8f80-bbeb512c7675</t>
  </si>
  <si>
    <t>2026-04-15 09:44:46</t>
  </si>
  <si>
    <t>27827204504</t>
  </si>
  <si>
    <t>13863135</t>
  </si>
  <si>
    <t>30de801c-0e00-4e98-8c87-6cf50dbe5af2</t>
  </si>
  <si>
    <t>2026-04-15 09:43:40</t>
  </si>
  <si>
    <t>27765043729</t>
  </si>
  <si>
    <t>13862978</t>
  </si>
  <si>
    <t>03d8a316-b7dd-4772-a079-2b7ab555c35c</t>
  </si>
  <si>
    <t>2026-04-15 09:42:23</t>
  </si>
  <si>
    <t>27790659072</t>
  </si>
  <si>
    <t>13862972</t>
  </si>
  <si>
    <t>5d7bf2a3-8b7e-456c-bee5-aa222b1416e9</t>
  </si>
  <si>
    <t>2026-04-15 09:42:18</t>
  </si>
  <si>
    <t>27766870297</t>
  </si>
  <si>
    <t>13862962</t>
  </si>
  <si>
    <t>1d6d6087-72fb-4ee2-bd04-6f24b65ba2bc</t>
  </si>
  <si>
    <t>2026-04-15 09:41:51</t>
  </si>
  <si>
    <t>27720932910</t>
  </si>
  <si>
    <t>1e670070-157f-4006-a8b0-52aeefa4e52f</t>
  </si>
  <si>
    <t>2026-04-15 09:40:39</t>
  </si>
  <si>
    <t>27786855457</t>
  </si>
  <si>
    <t>13862174</t>
  </si>
  <si>
    <t>04783eb3-b4fb-4862-97e9-2e96ed35f5cd</t>
  </si>
  <si>
    <t>2026-04-15 09:40:03</t>
  </si>
  <si>
    <t>27786083914</t>
  </si>
  <si>
    <t>13863681</t>
  </si>
  <si>
    <t>9ffe6e08-0787-41a6-9be4-fcce791c35d0</t>
  </si>
  <si>
    <t>2026-04-15 09:38:39</t>
  </si>
  <si>
    <t>27606283792</t>
  </si>
  <si>
    <t>13862723</t>
  </si>
  <si>
    <t>9070c077-007e-44b5-aeec-6767597dd61a</t>
  </si>
  <si>
    <t>2026-04-15 09:37:27</t>
  </si>
  <si>
    <t>27649479068</t>
  </si>
  <si>
    <t>13861664</t>
  </si>
  <si>
    <t>6033d914-61df-4293-9573-d4e9afaa714f</t>
  </si>
  <si>
    <t>2026-04-15 09:35:55</t>
  </si>
  <si>
    <t>27727040948</t>
  </si>
  <si>
    <t>13862250</t>
  </si>
  <si>
    <t>01f2def8-7024-4565-a7d1-2ce5d1102c39</t>
  </si>
  <si>
    <t>2026-04-15 09:33:42</t>
  </si>
  <si>
    <t>27663352975</t>
  </si>
  <si>
    <t>13863255</t>
  </si>
  <si>
    <t>8c6373b7-42bc-4e16-a925-fecbf4cb5c2c</t>
  </si>
  <si>
    <t>2026-04-15 09:29:12</t>
  </si>
  <si>
    <t>27660530356</t>
  </si>
  <si>
    <t>13862385</t>
  </si>
  <si>
    <t>fc2bc121-d9e7-407c-80bb-6cc5c3137cee</t>
  </si>
  <si>
    <t>2026-04-15 09:25:42</t>
  </si>
  <si>
    <t>27637385827</t>
  </si>
  <si>
    <t>13863204</t>
  </si>
  <si>
    <t>71215f50-6b5c-46ee-a74e-a1bf7280b069</t>
  </si>
  <si>
    <t>2026-04-15 09:22:54</t>
  </si>
  <si>
    <t>27820607200</t>
  </si>
  <si>
    <t>13863177</t>
  </si>
  <si>
    <t>0cb6f7f5-f5bb-4c67-9b29-a63486b2dc05</t>
  </si>
  <si>
    <t>2026-04-15 09:20:59</t>
  </si>
  <si>
    <t>27794081036</t>
  </si>
  <si>
    <t>13864741</t>
  </si>
  <si>
    <t>354537b5-6f1e-48f2-bc04-c45676f991bb</t>
  </si>
  <si>
    <t>2026-04-15 09:20:21</t>
  </si>
  <si>
    <t>27794707865</t>
  </si>
  <si>
    <t>13863094</t>
  </si>
  <si>
    <t>c60bc14a-1b8b-4401-b14b-867291189b00</t>
  </si>
  <si>
    <t>2026-04-15 09:18:27</t>
  </si>
  <si>
    <t>27723903424</t>
  </si>
  <si>
    <t>13863010</t>
  </si>
  <si>
    <t>390add4d-924c-43b2-9ec8-60925109d3f6</t>
  </si>
  <si>
    <t>2026-04-15 09:14:12</t>
  </si>
  <si>
    <t>27722518121</t>
  </si>
  <si>
    <t>13861990</t>
  </si>
  <si>
    <t>b3ffc2b9-df63-42f9-b63e-b17b365207da</t>
  </si>
  <si>
    <t>2026-04-15 09:09:52</t>
  </si>
  <si>
    <t>27727887515</t>
  </si>
  <si>
    <t>13862369</t>
  </si>
  <si>
    <t>d4ac2330-b489-4291-8706-3848e3824dfb</t>
  </si>
  <si>
    <t>2026-04-15 09:07:17</t>
  </si>
  <si>
    <t>27827488236</t>
  </si>
  <si>
    <t>13862860</t>
  </si>
  <si>
    <t>1ac820b4-bb1b-48e1-9388-8696929fcad2</t>
  </si>
  <si>
    <t>2026-04-15 09:05:42</t>
  </si>
  <si>
    <t>27799667828</t>
  </si>
  <si>
    <t>13863890</t>
  </si>
  <si>
    <t>10afe705-809f-4ce1-b15f-b802135013d3</t>
  </si>
  <si>
    <t>2026-04-15 09:05:28</t>
  </si>
  <si>
    <t>27797815308</t>
  </si>
  <si>
    <t>13862825</t>
  </si>
  <si>
    <t>07ed6d00-1c25-44d2-9861-3f817efb41f7</t>
  </si>
  <si>
    <t>2026-04-15 09:04:07</t>
  </si>
  <si>
    <t>27767520036</t>
  </si>
  <si>
    <t>13862521</t>
  </si>
  <si>
    <t>59c71175-4d7b-4aba-b8bf-20480d62311f</t>
  </si>
  <si>
    <t>2026-04-15 09:02:53</t>
  </si>
  <si>
    <t>27823483948</t>
  </si>
  <si>
    <t>13862773</t>
  </si>
  <si>
    <t>4bdae61f-1539-4db3-beca-b06681fbde4b</t>
  </si>
  <si>
    <t>2026-04-15 09:00:58</t>
  </si>
  <si>
    <t>27725795790</t>
  </si>
  <si>
    <t>13862687</t>
  </si>
  <si>
    <t>dae72bca-9300-482a-b107-79a53738c0a9</t>
  </si>
  <si>
    <t>2026-04-15 08:58:38</t>
  </si>
  <si>
    <t>27822522461</t>
  </si>
  <si>
    <t>13862673</t>
  </si>
  <si>
    <t>06ca63fb-66f2-4c20-88e1-b5948550f13e</t>
  </si>
  <si>
    <t>2026-04-15 08:58:02</t>
  </si>
  <si>
    <t>27796028454</t>
  </si>
  <si>
    <t>13861998</t>
  </si>
  <si>
    <t>3d8f0d2f-cb11-4531-81ca-b809ebc771b0</t>
  </si>
  <si>
    <t>2026-04-15 08:53:35</t>
  </si>
  <si>
    <t>27760353351</t>
  </si>
  <si>
    <t>13864126</t>
  </si>
  <si>
    <t>3437d8f0-8e23-4aab-a2b8-e76e31857580</t>
  </si>
  <si>
    <t>2026-04-15 08:51:12</t>
  </si>
  <si>
    <t>27766448910</t>
  </si>
  <si>
    <t>13864114</t>
  </si>
  <si>
    <t>988ee9f9-bac1-43e3-81b9-4e7257cf2505</t>
  </si>
  <si>
    <t>2026-04-15 08:49:59</t>
  </si>
  <si>
    <t>27764666407</t>
  </si>
  <si>
    <t>13866074</t>
  </si>
  <si>
    <t>df2de8d2-9d51-48e3-ad9c-e7e4c5641f4e</t>
  </si>
  <si>
    <t>2026-04-15 08:48:40</t>
  </si>
  <si>
    <t>27783785666</t>
  </si>
  <si>
    <t>13861979</t>
  </si>
  <si>
    <t>0acd2349-b8c2-4be6-a7db-c64a753b39f1</t>
  </si>
  <si>
    <t>2026-04-15 08:46:41</t>
  </si>
  <si>
    <t>27724137184</t>
  </si>
  <si>
    <t>13861348</t>
  </si>
  <si>
    <t>70b23e8f-be9a-4376-9564-64bfa2899edc</t>
  </si>
  <si>
    <t>2026-04-15 08:45:46</t>
  </si>
  <si>
    <t>27765042220</t>
  </si>
  <si>
    <t>13864079</t>
  </si>
  <si>
    <t>d8042cbd-03da-4124-aed6-3d5afe5f1959</t>
  </si>
  <si>
    <t>2026-04-15 08:45:28</t>
  </si>
  <si>
    <t>27727918932</t>
  </si>
  <si>
    <t>13864060</t>
  </si>
  <si>
    <t>80c8d98d-0f40-4fc3-ac75-a6f18e901af0</t>
  </si>
  <si>
    <t>2026-04-15 08:44:20</t>
  </si>
  <si>
    <t>27723873474</t>
  </si>
  <si>
    <t>13864057</t>
  </si>
  <si>
    <t>d77f2ae7-96ef-4336-9bc0-594b1a40516d</t>
  </si>
  <si>
    <t>2026-04-15 08:43:42</t>
  </si>
  <si>
    <t>27723050902</t>
  </si>
  <si>
    <t>13864039</t>
  </si>
  <si>
    <t>fbf0a53e-391b-4277-9b02-6d25370b1499</t>
  </si>
  <si>
    <t>2026-04-15 08:42:11</t>
  </si>
  <si>
    <t>27715469973</t>
  </si>
  <si>
    <t>13864028</t>
  </si>
  <si>
    <t>38b0457c-ff00-41cf-af8f-5a41543ce027</t>
  </si>
  <si>
    <t>2026-04-15 08:41:10</t>
  </si>
  <si>
    <t>27713481643</t>
  </si>
  <si>
    <t>13864021</t>
  </si>
  <si>
    <t>4d45f33a-3d12-4543-8ce2-71b6307ff9da</t>
  </si>
  <si>
    <t>2026-04-15 08:41:08</t>
  </si>
  <si>
    <t>27712091507</t>
  </si>
  <si>
    <t>13864014</t>
  </si>
  <si>
    <t>c0e887a1-5ce6-4c41-a67b-d59e8950cdbc</t>
  </si>
  <si>
    <t>2026-04-15 08:40:31</t>
  </si>
  <si>
    <t>27711561902</t>
  </si>
  <si>
    <t>13862375</t>
  </si>
  <si>
    <t>5b439b52-0afe-4e64-989c-da1b5618ead1</t>
  </si>
  <si>
    <t>2026-04-15 08:37:21</t>
  </si>
  <si>
    <t>27835942953</t>
  </si>
  <si>
    <t>13863960</t>
  </si>
  <si>
    <t>381b672d-42ee-4981-a011-bb0a35ef89fd</t>
  </si>
  <si>
    <t>2026-04-15 08:36:19</t>
  </si>
  <si>
    <t>27608656539</t>
  </si>
  <si>
    <t>13863944</t>
  </si>
  <si>
    <t>493b3ef2-0f68-49f1-a5b5-b70d2c6b45af</t>
  </si>
  <si>
    <t>2026-04-15 08:34:59</t>
  </si>
  <si>
    <t>27828635646</t>
  </si>
  <si>
    <t>13861580</t>
  </si>
  <si>
    <t>fdff2312-6000-4c9f-b5d1-9c59be8fd1a8</t>
  </si>
  <si>
    <t>2026-04-15 08:33:39</t>
  </si>
  <si>
    <t>27827489292</t>
  </si>
  <si>
    <t>13862449</t>
  </si>
  <si>
    <t>5029f68a-4be9-4a30-983a-3ca4f758dd27</t>
  </si>
  <si>
    <t>2026-04-15 08:32:30</t>
  </si>
  <si>
    <t>27726336456</t>
  </si>
  <si>
    <t>13863906</t>
  </si>
  <si>
    <t>47e153b6-b77f-4652-a2a5-1f6323a579b3</t>
  </si>
  <si>
    <t>2026-04-15 08:32:23</t>
  </si>
  <si>
    <t>27820477945</t>
  </si>
  <si>
    <t>13863888</t>
  </si>
  <si>
    <t>c184b7d2-ce78-49fe-abd0-665d0ee10554</t>
  </si>
  <si>
    <t>2026-04-15 08:30:57</t>
  </si>
  <si>
    <t>27797449430</t>
  </si>
  <si>
    <t>13863879</t>
  </si>
  <si>
    <t>ba344758-00d6-4051-b4fb-815306f6322a</t>
  </si>
  <si>
    <t>2026-04-15 08:29:34</t>
  </si>
  <si>
    <t>27795561343</t>
  </si>
  <si>
    <t>13861577</t>
  </si>
  <si>
    <t>b8518c14-843c-4683-b0b8-df82299664b0</t>
  </si>
  <si>
    <t>2026-04-15 08:29:25</t>
  </si>
  <si>
    <t>27826331110</t>
  </si>
  <si>
    <t>13863854</t>
  </si>
  <si>
    <t>da14d6b2-373a-4c99-89fe-4462fd7132fb</t>
  </si>
  <si>
    <t>2026-04-15 08:27:20</t>
  </si>
  <si>
    <t>27774073327</t>
  </si>
  <si>
    <t>13862156</t>
  </si>
  <si>
    <t>c94110a0-33cb-4d4a-b022-fb08a0897b79</t>
  </si>
  <si>
    <t>2026-04-15 08:06:48</t>
  </si>
  <si>
    <t>27763374576</t>
  </si>
  <si>
    <t>13863781</t>
  </si>
  <si>
    <t>d5a293df-e4b1-46d5-aedc-b97654dbdf45</t>
  </si>
  <si>
    <t>2026-04-15 08:05:42</t>
  </si>
  <si>
    <t>27725544318</t>
  </si>
  <si>
    <t>13863728</t>
  </si>
  <si>
    <t>4aa81512-11ac-480e-bfd1-f8123d440e3f</t>
  </si>
  <si>
    <t>2026-04-15 08:01:43</t>
  </si>
  <si>
    <t>27663981650</t>
  </si>
  <si>
    <t>13862425</t>
  </si>
  <si>
    <t>681f4363-861f-43e1-88bf-d3e6c22279b1</t>
  </si>
  <si>
    <t>2026-04-15 08:00:50</t>
  </si>
  <si>
    <t>27720517366</t>
  </si>
  <si>
    <t>13863784</t>
  </si>
  <si>
    <t>b0ba4305-caaa-45b9-9ceb-02bf1cb80792</t>
  </si>
  <si>
    <t>2026-04-15 08:00:06</t>
  </si>
  <si>
    <t>27725806586</t>
  </si>
  <si>
    <t>13863782</t>
  </si>
  <si>
    <t>55dc097f-babd-4c57-8aae-f2c50e0c0900</t>
  </si>
  <si>
    <t>2026-04-15 08:00:04</t>
  </si>
  <si>
    <t>27725553735</t>
  </si>
  <si>
    <t>13863783</t>
  </si>
  <si>
    <t>dbca0435-fc04-41f5-8215-d57f51886eb7</t>
  </si>
  <si>
    <t>27725641217</t>
  </si>
  <si>
    <t>13863762</t>
  </si>
  <si>
    <t>67880f0b-5111-413b-9d4c-41225785ac12</t>
  </si>
  <si>
    <t>2026-04-15 07:58:20</t>
  </si>
  <si>
    <t>27723051253</t>
  </si>
  <si>
    <t>13861626</t>
  </si>
  <si>
    <t>7a9de8c7-ff23-4e3d-8d40-464c221ea2f2</t>
  </si>
  <si>
    <t>2026-04-15 07:57:54</t>
  </si>
  <si>
    <t>27711289139</t>
  </si>
  <si>
    <t>13863733</t>
  </si>
  <si>
    <t>f0b18fcb-0b48-4b99-a3a3-4a2bcafae541</t>
  </si>
  <si>
    <t>2026-04-15 07:57:00</t>
  </si>
  <si>
    <t>27665232217</t>
  </si>
  <si>
    <t>13863714</t>
  </si>
  <si>
    <t>d9df738e-e7e8-4460-bd1b-57e09bbd3dc8</t>
  </si>
  <si>
    <t>2026-04-15 07:55:36</t>
  </si>
  <si>
    <t>27649676203</t>
  </si>
  <si>
    <t>13861669</t>
  </si>
  <si>
    <t>ef341ca8-1c92-481d-9586-991dbc657122</t>
  </si>
  <si>
    <t>2026-04-15 07:52:17</t>
  </si>
  <si>
    <t>27727707323</t>
  </si>
  <si>
    <t>13863567</t>
  </si>
  <si>
    <t>826c6563-899f-491b-b1ae-55983bc9648a</t>
  </si>
  <si>
    <t>2026-04-15 07:49:41</t>
  </si>
  <si>
    <t>27763303908</t>
  </si>
  <si>
    <t>13861419</t>
  </si>
  <si>
    <t>c1fe1a22-5cc1-4821-aceb-cf766478e954</t>
  </si>
  <si>
    <t>2026-04-15 07:49:28</t>
  </si>
  <si>
    <t>27607660903</t>
  </si>
  <si>
    <t>13861330</t>
  </si>
  <si>
    <t>9acc9d2d-25dc-4fce-9e1e-c4135ac9b1b2</t>
  </si>
  <si>
    <t>2026-04-15 07:48:33</t>
  </si>
  <si>
    <t>27760644841</t>
  </si>
  <si>
    <t>13861325</t>
  </si>
  <si>
    <t>4a455537-8885-4151-9370-1b15ace0ddb4</t>
  </si>
  <si>
    <t>2026-04-15 07:48:25</t>
  </si>
  <si>
    <t>27729529044</t>
  </si>
  <si>
    <t>13861322</t>
  </si>
  <si>
    <t>35d632a9-59b5-4cce-bb4e-278908dedbfa</t>
  </si>
  <si>
    <t>2026-04-15 07:48:12</t>
  </si>
  <si>
    <t>27728069361</t>
  </si>
  <si>
    <t>13863558</t>
  </si>
  <si>
    <t>3d70b84e-f97d-4fec-98ec-83353e707813</t>
  </si>
  <si>
    <t>2026-04-15 07:46:46</t>
  </si>
  <si>
    <t>27743669189</t>
  </si>
  <si>
    <t>e2494dd5-a185-44bc-80e2-c03fbc718264</t>
  </si>
  <si>
    <t>2026-04-15 07:46:05</t>
  </si>
  <si>
    <t>27727622996</t>
  </si>
  <si>
    <t>13863531</t>
  </si>
  <si>
    <t>6214c1d5-d006-427c-b8ff-8de08836b392</t>
  </si>
  <si>
    <t>2026-04-15 07:45:47</t>
  </si>
  <si>
    <t>27723789699</t>
  </si>
  <si>
    <t>13862136</t>
  </si>
  <si>
    <t>9cdaf9db-1316-4b89-b97e-a9419ee0bfb3</t>
  </si>
  <si>
    <t>2026-04-15 07:42:26</t>
  </si>
  <si>
    <t>27726526224</t>
  </si>
  <si>
    <t>13862122</t>
  </si>
  <si>
    <t>eaee0567-d52f-4250-adc7-0b7bf1232579</t>
  </si>
  <si>
    <t>2026-04-15 07:41:30</t>
  </si>
  <si>
    <t>27722532537</t>
  </si>
  <si>
    <t>13862116</t>
  </si>
  <si>
    <t>b80b432d-8db9-49e4-9bbb-28c4a05466c9</t>
  </si>
  <si>
    <t>2026-04-15 07:41:25</t>
  </si>
  <si>
    <t>27721710716</t>
  </si>
  <si>
    <t>13861360</t>
  </si>
  <si>
    <t>2d9a1df0-6ed1-4422-b830-a63e8e549114</t>
  </si>
  <si>
    <t>2026-04-15 07:40:13</t>
  </si>
  <si>
    <t>27769494830</t>
  </si>
  <si>
    <t>13861372</t>
  </si>
  <si>
    <t>5a574a2f-b678-490a-9220-9c473b167f1a</t>
  </si>
  <si>
    <t>2026-04-15 07:38:48</t>
  </si>
  <si>
    <t>27791393672</t>
  </si>
  <si>
    <t>13861398</t>
  </si>
  <si>
    <t>0cbc170f-b76c-4170-ab77-25bc448e2f81</t>
  </si>
  <si>
    <t>2026-04-15 07:37:05</t>
  </si>
  <si>
    <t>27822157917</t>
  </si>
  <si>
    <t>13861394</t>
  </si>
  <si>
    <t>ec018343-2de7-4da7-8645-0c9fa75736a2</t>
  </si>
  <si>
    <t>2026-04-15 07:36:40</t>
  </si>
  <si>
    <t>27799385681</t>
  </si>
  <si>
    <t>13863303</t>
  </si>
  <si>
    <t>ff3cb3fe-6eba-432f-8e94-d44a521de7d0</t>
  </si>
  <si>
    <t>2026-04-15 07:35:57</t>
  </si>
  <si>
    <t>27724784310</t>
  </si>
  <si>
    <t>e716c04c-6f94-4e3b-bfa1-289b44a0ecf3</t>
  </si>
  <si>
    <t>2026-04-15 07:35:50</t>
  </si>
  <si>
    <t>27842900389</t>
  </si>
  <si>
    <t>13863342</t>
  </si>
  <si>
    <t>e33ce522-96d9-4ef8-ad57-dc312576b5b9</t>
  </si>
  <si>
    <t>2026-04-15 07:33:43</t>
  </si>
  <si>
    <t>27764545010</t>
  </si>
  <si>
    <t>13861468</t>
  </si>
  <si>
    <t>a9e8181a-6d62-47e3-8a12-80f4ba91c7f3</t>
  </si>
  <si>
    <t>2026-04-15 07:29:42</t>
  </si>
  <si>
    <t>27724067210</t>
  </si>
  <si>
    <t>13861490</t>
  </si>
  <si>
    <t>042814e8-d17e-4bff-98cc-e119a77318fa</t>
  </si>
  <si>
    <t>2026-04-15 07:28:57</t>
  </si>
  <si>
    <t>27730237562</t>
  </si>
  <si>
    <t>13861570</t>
  </si>
  <si>
    <t>36610f98-c4af-451d-8f3c-99a04713698f</t>
  </si>
  <si>
    <t>2026-04-15 07:23:37</t>
  </si>
  <si>
    <t>27824017409</t>
  </si>
  <si>
    <t>13861616</t>
  </si>
  <si>
    <t>0f60d17b-0c51-4142-a84d-65ecca977a24</t>
  </si>
  <si>
    <t>2026-04-15 07:21:55</t>
  </si>
  <si>
    <t>27649604781</t>
  </si>
  <si>
    <t>13864385</t>
  </si>
  <si>
    <t>40d11375-e1ad-409b-a37a-63896b997e48</t>
  </si>
  <si>
    <t>2026-04-15 07:21:32</t>
  </si>
  <si>
    <t>27760666577</t>
  </si>
  <si>
    <t>13862208</t>
  </si>
  <si>
    <t>544c4c14-e05f-480b-9830-807c66a526e6</t>
  </si>
  <si>
    <t>2026-04-15 07:20:48</t>
  </si>
  <si>
    <t>27822227649</t>
  </si>
  <si>
    <t>13863319</t>
  </si>
  <si>
    <t>938d401d-4c85-4be4-b1fe-71b1dffd3350</t>
  </si>
  <si>
    <t>2026-04-15 07:19:35</t>
  </si>
  <si>
    <t>27729318370</t>
  </si>
  <si>
    <t>13863332</t>
  </si>
  <si>
    <t>c7991dab-cc2c-4dbc-96b4-955904d9fad5</t>
  </si>
  <si>
    <t>2026-04-15 07:18:43</t>
  </si>
  <si>
    <t>27761067387</t>
  </si>
  <si>
    <t>13861661</t>
  </si>
  <si>
    <t>98537415-ce83-4cb4-803d-ff7d9026e3f9</t>
  </si>
  <si>
    <t>2026-04-15 07:18:29</t>
  </si>
  <si>
    <t>27725657733</t>
  </si>
  <si>
    <t>13861731</t>
  </si>
  <si>
    <t>34ce1a84-32a4-43a4-9e07-bf9b6cf95b39</t>
  </si>
  <si>
    <t>2026-04-15 07:17:32</t>
  </si>
  <si>
    <t>27796890705</t>
  </si>
  <si>
    <t>13861730</t>
  </si>
  <si>
    <t>cdf21992-0639-457f-8075-a4a48a7276b3</t>
  </si>
  <si>
    <t>2026-04-15 07:17:31</t>
  </si>
  <si>
    <t>27796881102</t>
  </si>
  <si>
    <t>13861726</t>
  </si>
  <si>
    <t>44716eed-eac4-45e9-a892-452bc8d11964</t>
  </si>
  <si>
    <t>2026-04-15 07:17:27</t>
  </si>
  <si>
    <t>27795594961</t>
  </si>
  <si>
    <t>13861707</t>
  </si>
  <si>
    <t>02d8ae87-f6f3-4bd1-a4ec-2404ae2cd3b6</t>
  </si>
  <si>
    <t>2026-04-15 07:16:57</t>
  </si>
  <si>
    <t>27769833244</t>
  </si>
  <si>
    <t>13863351</t>
  </si>
  <si>
    <t>90dc9fda-ad80-4cf5-9764-d686bc0fd6fa</t>
  </si>
  <si>
    <t>2026-04-15 07:14:34</t>
  </si>
  <si>
    <t>27766264192</t>
  </si>
  <si>
    <t>13861741</t>
  </si>
  <si>
    <t>725045c4-d68e-4abb-b356-cf06f9f81e41</t>
  </si>
  <si>
    <t>2026-04-15 07:14:29</t>
  </si>
  <si>
    <t>27820750201</t>
  </si>
  <si>
    <t>13864394</t>
  </si>
  <si>
    <t>5631bf94-da16-44e3-b556-2d20062e7b57</t>
  </si>
  <si>
    <t>2026-04-15 07:12:58</t>
  </si>
  <si>
    <t>27762293920</t>
  </si>
  <si>
    <t>13861760</t>
  </si>
  <si>
    <t>ac1560de-d0ef-4063-bbce-adc2142a9e14</t>
  </si>
  <si>
    <t>2026-04-15 07:12:46</t>
  </si>
  <si>
    <t>27607571155</t>
  </si>
  <si>
    <t>13862142</t>
  </si>
  <si>
    <t>075ae391-5ced-42e5-bc87-dcfbc31fd9a9</t>
  </si>
  <si>
    <t>2026-04-15 07:11:28</t>
  </si>
  <si>
    <t>27728992088</t>
  </si>
  <si>
    <t>13861819</t>
  </si>
  <si>
    <t>ad3226dc-86a0-459e-909a-141a2b1bc7b1</t>
  </si>
  <si>
    <t>2026-04-15 07:10:17</t>
  </si>
  <si>
    <t>27726675248</t>
  </si>
  <si>
    <t>13863402</t>
  </si>
  <si>
    <t>508cc785-8f55-4671-a77c-c9fc2c566b0a</t>
  </si>
  <si>
    <t>2026-04-15 07:06:09</t>
  </si>
  <si>
    <t>27794808770</t>
  </si>
  <si>
    <t>13861917</t>
  </si>
  <si>
    <t>1d41de88-4e98-4836-9f91-2f9e68ae1d30</t>
  </si>
  <si>
    <t>2026-04-15 07:01:32</t>
  </si>
  <si>
    <t>27826926347</t>
  </si>
  <si>
    <t>13864277</t>
  </si>
  <si>
    <t>9db4bf98-7260-46db-9850-2cec14d11cc7</t>
  </si>
  <si>
    <t>2026-04-15 07:00:34</t>
  </si>
  <si>
    <t>27660994575</t>
  </si>
  <si>
    <t>13861925</t>
  </si>
  <si>
    <t>5364acab-a4e1-4cd1-93e9-0502caa7fe48</t>
  </si>
  <si>
    <t>2026-04-15 07:00:04</t>
  </si>
  <si>
    <t>27607138624</t>
  </si>
  <si>
    <t>13861932</t>
  </si>
  <si>
    <t>82901c50-2cfd-48fd-8acb-285279b3b0c9</t>
  </si>
  <si>
    <t>2026-04-15 06:58:56</t>
  </si>
  <si>
    <t>27647705235</t>
  </si>
  <si>
    <t>13861924</t>
  </si>
  <si>
    <t>e9cc5050-a25d-4d30-9d0d-ceda14f0b9a3</t>
  </si>
  <si>
    <t>2026-04-15 06:58:54</t>
  </si>
  <si>
    <t>27606944691</t>
  </si>
  <si>
    <t>13861947</t>
  </si>
  <si>
    <t>f1646ce1-776a-48b9-a27e-3dd310df3d03</t>
  </si>
  <si>
    <t>2026-04-15 06:58:21</t>
  </si>
  <si>
    <t>27674575567</t>
  </si>
  <si>
    <t>13861548</t>
  </si>
  <si>
    <t>83bb1d70-355c-4da5-a7c1-ffce8ebb3da7</t>
  </si>
  <si>
    <t>2026-04-15 06:53:24</t>
  </si>
  <si>
    <t>27795637290</t>
  </si>
  <si>
    <t>13865647</t>
  </si>
  <si>
    <t>e61d5651-3918-4c12-ba41-7c730f20a87b</t>
  </si>
  <si>
    <t>2026-04-15 06:46:51</t>
  </si>
  <si>
    <t>27675520759</t>
  </si>
  <si>
    <t>13862056</t>
  </si>
  <si>
    <t>7be2693e-b829-4f35-af52-29f9a3ef1f94</t>
  </si>
  <si>
    <t>2026-04-15 06:46:00</t>
  </si>
  <si>
    <t>27824057348</t>
  </si>
  <si>
    <t>13863442</t>
  </si>
  <si>
    <t>21b20b1b-1b71-495f-ad4a-35477037802d</t>
  </si>
  <si>
    <t>2026-04-15 06:44:16</t>
  </si>
  <si>
    <t>27826164807</t>
  </si>
  <si>
    <t>13864246</t>
  </si>
  <si>
    <t>5b575737-a789-4778-9bd4-85b458e9a0db</t>
  </si>
  <si>
    <t>2026-04-15 06:43:48</t>
  </si>
  <si>
    <t>27607258076</t>
  </si>
  <si>
    <t>13864169</t>
  </si>
  <si>
    <t>a6c8c9bd-1bbc-4ea6-8284-04243e5633c7</t>
  </si>
  <si>
    <t>2026-04-15 06:43:32</t>
  </si>
  <si>
    <t>27791525256</t>
  </si>
  <si>
    <t>13864189</t>
  </si>
  <si>
    <t>62eb66e1-48a6-4f0a-acda-d38dfe4254d9</t>
  </si>
  <si>
    <t>2026-04-15 06:42:35</t>
  </si>
  <si>
    <t>27797481547</t>
  </si>
  <si>
    <t>13863515</t>
  </si>
  <si>
    <t>06abba64-5443-4d42-bead-999ee03e6216</t>
  </si>
  <si>
    <t>2026-04-15 06:40:21</t>
  </si>
  <si>
    <t>27716160441</t>
  </si>
  <si>
    <t>13864217</t>
  </si>
  <si>
    <t>da04c385-f11f-4316-b925-c3987b9a17ea</t>
  </si>
  <si>
    <t>2026-04-15 06:38:01</t>
  </si>
  <si>
    <t>27825191373</t>
  </si>
  <si>
    <t>13864229</t>
  </si>
  <si>
    <t>d71893d6-b359-4da3-8d1a-fe4558f21511</t>
  </si>
  <si>
    <t>2026-04-15 06:37:52</t>
  </si>
  <si>
    <t>27827667770</t>
  </si>
  <si>
    <t>13864256</t>
  </si>
  <si>
    <t>f857bba1-611d-478e-8055-dd32e2260347</t>
  </si>
  <si>
    <t>2026-04-15 06:33:32</t>
  </si>
  <si>
    <t>27609439929</t>
  </si>
  <si>
    <t>13864262</t>
  </si>
  <si>
    <t>afb7a93d-ea7d-4f5f-b9d9-8b75687ede2f</t>
  </si>
  <si>
    <t>2026-04-15 06:33:07</t>
  </si>
  <si>
    <t>27637970870</t>
  </si>
  <si>
    <t>13864274</t>
  </si>
  <si>
    <t>12a60c02-87fc-4a0e-8a57-66f610f12680</t>
  </si>
  <si>
    <t>2026-04-15 06:32:01</t>
  </si>
  <si>
    <t>27649923579</t>
  </si>
  <si>
    <t>13864318</t>
  </si>
  <si>
    <t>0737a4d8-1cfb-47d4-9101-aeab783910ed</t>
  </si>
  <si>
    <t>2026-04-15 06:27:12</t>
  </si>
  <si>
    <t>27716232806</t>
  </si>
  <si>
    <t>13863626</t>
  </si>
  <si>
    <t>702222c9-2381-4a56-9e60-aa9b155916f4</t>
  </si>
  <si>
    <t>2026-04-15 06:24:40</t>
  </si>
  <si>
    <t>27794800973</t>
  </si>
  <si>
    <t>13862411</t>
  </si>
  <si>
    <t>d31ff7c8-06e5-41e3-a896-2cf2f2f3981d</t>
  </si>
  <si>
    <t>2026-04-15 06:23:51</t>
  </si>
  <si>
    <t>27673218647</t>
  </si>
  <si>
    <t>13864821</t>
  </si>
  <si>
    <t>08fbf200-a51f-4f48-a549-69afb86feba5</t>
  </si>
  <si>
    <t>2026-04-15 06:22:49</t>
  </si>
  <si>
    <t>27637859900</t>
  </si>
  <si>
    <t>13864354</t>
  </si>
  <si>
    <t>4b8a8cc4-f613-46d1-8a6e-2e4d0b0589ae</t>
  </si>
  <si>
    <t>2026-04-15 06:19:42</t>
  </si>
  <si>
    <t>27725480460</t>
  </si>
  <si>
    <t>13864359</t>
  </si>
  <si>
    <t>211ee90d-e27c-4301-8239-70605bec5dbd</t>
  </si>
  <si>
    <t>2026-04-15 06:18:24</t>
  </si>
  <si>
    <t>27726499201</t>
  </si>
  <si>
    <t>13864366</t>
  </si>
  <si>
    <t>c437d159-3637-4b3a-ba38-d21bb19c58e8</t>
  </si>
  <si>
    <t>2026-04-15 06:17:54</t>
  </si>
  <si>
    <t>27727003774</t>
  </si>
  <si>
    <t>2e4828c3-9fb6-4a33-b976-ffccadf70b5e</t>
  </si>
  <si>
    <t>2026-04-15 06:14:31</t>
  </si>
  <si>
    <t>27665997526</t>
  </si>
  <si>
    <t>13864383</t>
  </si>
  <si>
    <t>52ff90b5-a3d6-4e7a-a3b0-9c8b24e62abc</t>
  </si>
  <si>
    <t>2026-04-15 06:12:16</t>
  </si>
  <si>
    <t>27760451554</t>
  </si>
  <si>
    <t>13862503</t>
  </si>
  <si>
    <t>4079298c-379c-48cb-a4cd-26e31c1b52ec</t>
  </si>
  <si>
    <t>2026-04-15 06:09:19</t>
  </si>
  <si>
    <t>27797876172</t>
  </si>
  <si>
    <t>13862502</t>
  </si>
  <si>
    <t>c72df574-6faf-4632-a6a4-d660afea019d</t>
  </si>
  <si>
    <t>2026-04-15 06:06:15</t>
  </si>
  <si>
    <t>27796965554</t>
  </si>
  <si>
    <t>13864420</t>
  </si>
  <si>
    <t>49717a4e-6f80-4a57-9574-585238581387</t>
  </si>
  <si>
    <t>2026-04-15 06:03:32</t>
  </si>
  <si>
    <t>27769275932</t>
  </si>
  <si>
    <t>13863735</t>
  </si>
  <si>
    <t>e3fa80e5-bcbf-4545-bf7e-b040037ee8b0</t>
  </si>
  <si>
    <t>2026-04-15 06:02:32</t>
  </si>
  <si>
    <t>27679431424</t>
  </si>
  <si>
    <t>13862701</t>
  </si>
  <si>
    <t>84befb1f-77e7-4b26-bdd1-bd661ef1ab6b</t>
  </si>
  <si>
    <t>2026-04-14 14:47:27</t>
  </si>
  <si>
    <t>27836445017</t>
  </si>
  <si>
    <t>13863949</t>
  </si>
  <si>
    <t>273ce6f2-a61d-4ab2-b2e6-0e0e961f3817</t>
  </si>
  <si>
    <t>2026-04-14 14:45:49</t>
  </si>
  <si>
    <t>27835887819</t>
  </si>
  <si>
    <t>13864453</t>
  </si>
  <si>
    <t>1f7db7d4-e3e6-4b2d-bc11-869eed136b6c</t>
  </si>
  <si>
    <t>2026-04-14 14:43:00</t>
  </si>
  <si>
    <t>27794372250</t>
  </si>
  <si>
    <t>13863966</t>
  </si>
  <si>
    <t>09a0b051-a853-4815-9546-b7b726e98bf7</t>
  </si>
  <si>
    <t>2026-04-14 14:41:34</t>
  </si>
  <si>
    <t>27609552355</t>
  </si>
  <si>
    <t>13864054</t>
  </si>
  <si>
    <t>6e264bcb-45a0-4d1e-95af-675bdf994224</t>
  </si>
  <si>
    <t>2026-04-14 14:12:39</t>
  </si>
  <si>
    <t>27722415949</t>
  </si>
  <si>
    <t>13862802</t>
  </si>
  <si>
    <t>7b9e1345-cd10-447b-86be-dbad1c48c549</t>
  </si>
  <si>
    <t>2026-04-14 14:11:22</t>
  </si>
  <si>
    <t>27762669117</t>
  </si>
  <si>
    <t>13862232</t>
  </si>
  <si>
    <t>320ad6bc-f14e-4c25-8a5e-474b533e6995</t>
  </si>
  <si>
    <t>2026-04-14 14:10:27</t>
  </si>
  <si>
    <t>27636164614</t>
  </si>
  <si>
    <t>13861217</t>
  </si>
  <si>
    <t>b225d609-677a-4d5f-862f-562df962ba2b</t>
  </si>
  <si>
    <t>CQN</t>
  </si>
  <si>
    <t>Client Quoted Not Interested</t>
  </si>
  <si>
    <t>2026-04-14 14:07:11</t>
  </si>
  <si>
    <t>27796435695</t>
  </si>
  <si>
    <t>13862879</t>
  </si>
  <si>
    <t>53f24ccf-5ffa-4994-abba-89b333ae31c2</t>
  </si>
  <si>
    <t>2026-04-14 14:06:18</t>
  </si>
  <si>
    <t>27826491312</t>
  </si>
  <si>
    <t>13864528</t>
  </si>
  <si>
    <t>af0f103c-4b1f-42ef-972f-06068157ef58</t>
  </si>
  <si>
    <t>27606248380</t>
  </si>
  <si>
    <t>13864536</t>
  </si>
  <si>
    <t>85283d39-f918-4616-a88b-58f0c2301330</t>
  </si>
  <si>
    <t>2026-04-14 14:05:42</t>
  </si>
  <si>
    <t>27609807905</t>
  </si>
  <si>
    <t>13864549</t>
  </si>
  <si>
    <t>780016ff-04c1-41bc-80db-af7696712f3e</t>
  </si>
  <si>
    <t>2026-04-14 14:03:23</t>
  </si>
  <si>
    <t>27648978650</t>
  </si>
  <si>
    <t>13862882</t>
  </si>
  <si>
    <t>05ea212e-fc95-4553-a22b-4480a9ea1eb4</t>
  </si>
  <si>
    <t>2026-04-14 13:55:37</t>
  </si>
  <si>
    <t>27827028143</t>
  </si>
  <si>
    <t>13864581</t>
  </si>
  <si>
    <t>d2054b51-c3ed-4482-a394-760b6dd83789</t>
  </si>
  <si>
    <t>2026-04-14 13:50:57</t>
  </si>
  <si>
    <t>27712026427</t>
  </si>
  <si>
    <t>13864586</t>
  </si>
  <si>
    <t>31dbd712-a1a6-4d91-92fc-44da3d319fd0</t>
  </si>
  <si>
    <t>2026-04-14 13:48:51</t>
  </si>
  <si>
    <t>27712694771</t>
  </si>
  <si>
    <t>13862482</t>
  </si>
  <si>
    <t>d64733cc-c337-4dde-8b29-d3322efbc7f9</t>
  </si>
  <si>
    <t>2026-04-14 13:47:43</t>
  </si>
  <si>
    <t>27768183810</t>
  </si>
  <si>
    <t>13864198</t>
  </si>
  <si>
    <t>77d486e2-a682-4e2c-9193-00da99d222c0</t>
  </si>
  <si>
    <t>2026-04-14 13:37:33</t>
  </si>
  <si>
    <t>27799469965</t>
  </si>
  <si>
    <t>13863014</t>
  </si>
  <si>
    <t>cd8382aa-d0bb-4ade-81d4-0583166f9000</t>
  </si>
  <si>
    <t>2026-04-14 13:29:12</t>
  </si>
  <si>
    <t>27727282180</t>
  </si>
  <si>
    <t>13864610</t>
  </si>
  <si>
    <t>dc8b49f8-684b-4fb2-867c-3cbf60e7abfe</t>
  </si>
  <si>
    <t>2026-04-14 13:25:08</t>
  </si>
  <si>
    <t>27719694096</t>
  </si>
  <si>
    <t>13862296</t>
  </si>
  <si>
    <t>7deac0b4-1418-4010-941d-f10ee1565fdb</t>
  </si>
  <si>
    <t>2026-04-14 13:23:25</t>
  </si>
  <si>
    <t>27729242379</t>
  </si>
  <si>
    <t>13864777</t>
  </si>
  <si>
    <t>93a49413-130d-4ad5-81bb-e8a28f8b7c3c</t>
  </si>
  <si>
    <t>2026-04-14 13:19:57</t>
  </si>
  <si>
    <t>27825176257</t>
  </si>
  <si>
    <t>13864629</t>
  </si>
  <si>
    <t>2ea155ec-e5ae-43d6-8864-edd46a53e855</t>
  </si>
  <si>
    <t>2026-04-14 13:17:53</t>
  </si>
  <si>
    <t>27722942045</t>
  </si>
  <si>
    <t>13861888</t>
  </si>
  <si>
    <t>62907315-2d15-4132-ae38-3b7a4a60a5a4</t>
  </si>
  <si>
    <t>2026-04-14 13:10:46</t>
  </si>
  <si>
    <t>27797566086</t>
  </si>
  <si>
    <t>13864655</t>
  </si>
  <si>
    <t>38b4b5a3-45dd-4071-b8ac-74d46302c280</t>
  </si>
  <si>
    <t>2026-04-14 13:05:15</t>
  </si>
  <si>
    <t>27727671424</t>
  </si>
  <si>
    <t>e486c31a-1247-4d99-bdd2-af2f3bb449f7</t>
  </si>
  <si>
    <t>2026-04-14 13:03:53</t>
  </si>
  <si>
    <t>27826768997</t>
  </si>
  <si>
    <t>13864664</t>
  </si>
  <si>
    <t>c6c94af6-4280-46a3-bf09-ddf1729827be</t>
  </si>
  <si>
    <t>2026-04-14 13:02:13</t>
  </si>
  <si>
    <t>27728660403</t>
  </si>
  <si>
    <t>13864689</t>
  </si>
  <si>
    <t>8f2ff074-c66e-4bba-9a35-caa4a6515ed6</t>
  </si>
  <si>
    <t>2026-04-14 12:56:35</t>
  </si>
  <si>
    <t>27763491162</t>
  </si>
  <si>
    <t>13864695</t>
  </si>
  <si>
    <t>f37d94c4-3034-40de-8712-e69eaaf199aa</t>
  </si>
  <si>
    <t>2026-04-14 12:55:07</t>
  </si>
  <si>
    <t>27765261254</t>
  </si>
  <si>
    <t>13864701</t>
  </si>
  <si>
    <t>2c8e0639-2ad2-4e23-9ca1-3c3fa4b07023</t>
  </si>
  <si>
    <t>2026-04-14 12:54:29</t>
  </si>
  <si>
    <t>27765944106</t>
  </si>
  <si>
    <t>13864721</t>
  </si>
  <si>
    <t>2c1566ed-6607-4e37-a16e-13a1a23b283b</t>
  </si>
  <si>
    <t>2026-04-14 12:52:33</t>
  </si>
  <si>
    <t>27787533301</t>
  </si>
  <si>
    <t>13864724</t>
  </si>
  <si>
    <t>ff327b85-0826-459a-82ba-9fdd8676d929</t>
  </si>
  <si>
    <t>2026-04-14 12:52:30</t>
  </si>
  <si>
    <t>27790862340</t>
  </si>
  <si>
    <t>13864726</t>
  </si>
  <si>
    <t>dc66028e-f6b1-41cb-8ea0-308c051983fe</t>
  </si>
  <si>
    <t>2026-04-14 12:52:20</t>
  </si>
  <si>
    <t>27791187032</t>
  </si>
  <si>
    <t>13864728</t>
  </si>
  <si>
    <t>5787cf47-5362-47ba-8006-e41d1aecca78</t>
  </si>
  <si>
    <t>2026-04-14 12:52:15</t>
  </si>
  <si>
    <t>27791965724</t>
  </si>
  <si>
    <t>13864122</t>
  </si>
  <si>
    <t>bd83d3dc-43b7-4a3b-b1f1-749ee9f1d5b3</t>
  </si>
  <si>
    <t>2026-04-14 12:48:26</t>
  </si>
  <si>
    <t>27766073582</t>
  </si>
  <si>
    <t>13864784</t>
  </si>
  <si>
    <t>a421e4f6-5b52-4cef-acf0-ac30f7ca33ab</t>
  </si>
  <si>
    <t>2026-04-14 12:47:43</t>
  </si>
  <si>
    <t>27827666068</t>
  </si>
  <si>
    <t>13864523</t>
  </si>
  <si>
    <t>84f6500a-aa82-4d86-b317-86f50b27dd83</t>
  </si>
  <si>
    <t>2026-04-14 12:44:52</t>
  </si>
  <si>
    <t>27832409419</t>
  </si>
  <si>
    <t>13864851</t>
  </si>
  <si>
    <t>d37b8bff-f1fb-42db-8ead-a9c017175049</t>
  </si>
  <si>
    <t>DC</t>
  </si>
  <si>
    <t>Disconnected</t>
  </si>
  <si>
    <t>2026-04-14 12:43:35</t>
  </si>
  <si>
    <t>27665675019</t>
  </si>
  <si>
    <t>13865743</t>
  </si>
  <si>
    <t>498bdc8a-67bc-4941-b773-18da58894f4f</t>
  </si>
  <si>
    <t>2026-04-14 12:42:23</t>
  </si>
  <si>
    <t>27763265039</t>
  </si>
  <si>
    <t>13864588</t>
  </si>
  <si>
    <t>304478c4-71ef-4132-a26a-6bd4d86a6d8e</t>
  </si>
  <si>
    <t>2026-04-14 12:36:39</t>
  </si>
  <si>
    <t>27713491531</t>
  </si>
  <si>
    <t>13864929</t>
  </si>
  <si>
    <t>9db82af5-55b3-4013-bb08-bb637be78637</t>
  </si>
  <si>
    <t>2026-04-14 12:32:05</t>
  </si>
  <si>
    <t>27761704516</t>
  </si>
  <si>
    <t>13864965</t>
  </si>
  <si>
    <t>a461733a-235c-4add-873e-bdf84bb6fd6b</t>
  </si>
  <si>
    <t>2026-04-14 12:29:03</t>
  </si>
  <si>
    <t>27786258963</t>
  </si>
  <si>
    <t>13864648</t>
  </si>
  <si>
    <t>75f0c943-fe02-4b4e-b027-dfcb1fd15b07</t>
  </si>
  <si>
    <t>2026-04-14 12:28:44</t>
  </si>
  <si>
    <t>27726034093</t>
  </si>
  <si>
    <t>13864970</t>
  </si>
  <si>
    <t>67b54437-e04c-4052-8724-4ad6931bbb79</t>
  </si>
  <si>
    <t>2026-04-14 12:28:01</t>
  </si>
  <si>
    <t>27791427239</t>
  </si>
  <si>
    <t>13864985</t>
  </si>
  <si>
    <t>844c8d2f-4a10-43a4-958c-ccf4a18cb561</t>
  </si>
  <si>
    <t>2026-04-14 12:27:39</t>
  </si>
  <si>
    <t>27794483685</t>
  </si>
  <si>
    <t>13864972</t>
  </si>
  <si>
    <t>99533ef0-7040-4926-8623-434e1f4471b1</t>
  </si>
  <si>
    <t>2026-04-14 12:26:31</t>
  </si>
  <si>
    <t>27791766309</t>
  </si>
  <si>
    <t>13864978</t>
  </si>
  <si>
    <t>00458c1d-7caf-4116-9893-2322ef5d96e8</t>
  </si>
  <si>
    <t>2026-04-14 12:25:55</t>
  </si>
  <si>
    <t>27792844995</t>
  </si>
  <si>
    <t>13864984</t>
  </si>
  <si>
    <t>8b39dbeb-5272-4a80-acd4-1df9f23e91f1</t>
  </si>
  <si>
    <t>2026-04-14 12:25:13</t>
  </si>
  <si>
    <t>27793721534</t>
  </si>
  <si>
    <t>13862614</t>
  </si>
  <si>
    <t>194d4ab0-f5d2-4d1d-bd8b-52a6b4c2c90b</t>
  </si>
  <si>
    <t>2026-04-14 12:21:13</t>
  </si>
  <si>
    <t>27725328216</t>
  </si>
  <si>
    <t>13865292</t>
  </si>
  <si>
    <t>6aa0fe45-2fbb-44b0-ae23-c07247f0b4a2</t>
  </si>
  <si>
    <t>2026-04-14 12:19:06</t>
  </si>
  <si>
    <t>27798589575</t>
  </si>
  <si>
    <t>13864730</t>
  </si>
  <si>
    <t>2fd5fdec-ec4d-4dd6-ad74-4518593b9342</t>
  </si>
  <si>
    <t>2026-04-14 12:16:25</t>
  </si>
  <si>
    <t>27792495382</t>
  </si>
  <si>
    <t>13865104</t>
  </si>
  <si>
    <t>fc7b98e6-ae90-4c4f-a86f-e1d0d64d88e3</t>
  </si>
  <si>
    <t>2026-04-14 12:13:22</t>
  </si>
  <si>
    <t>27674375350</t>
  </si>
  <si>
    <t>13865123</t>
  </si>
  <si>
    <t>6efea271-7674-46cd-8f20-af7c640d9f47</t>
  </si>
  <si>
    <t>2026-04-14 12:10:09</t>
  </si>
  <si>
    <t>27714200519</t>
  </si>
  <si>
    <t>13864118</t>
  </si>
  <si>
    <t>0b882b3e-e825-43c2-87c9-7dbba0a320bc</t>
  </si>
  <si>
    <t>2026-04-14 12:09:26</t>
  </si>
  <si>
    <t>27765508506</t>
  </si>
  <si>
    <t>13862026</t>
  </si>
  <si>
    <t>8dc93dbf-a931-4746-8093-000412b373a1</t>
  </si>
  <si>
    <t>2026-04-14 12:00:16</t>
  </si>
  <si>
    <t>27787723467</t>
  </si>
  <si>
    <t>13865132</t>
  </si>
  <si>
    <t>3da32256-9622-464b-a3b1-1d4236faace4</t>
  </si>
  <si>
    <t>2026-04-14 11:59:09</t>
  </si>
  <si>
    <t>27720270704</t>
  </si>
  <si>
    <t>13865158</t>
  </si>
  <si>
    <t>e83a46c9-6d38-4117-af12-7702c204f1f3</t>
  </si>
  <si>
    <t>2026-04-14 11:53:51</t>
  </si>
  <si>
    <t>27724860547</t>
  </si>
  <si>
    <t>13864886</t>
  </si>
  <si>
    <t>f18703a7-a017-405b-90c2-8e72dd189214</t>
  </si>
  <si>
    <t>2026-04-14 11:49:57</t>
  </si>
  <si>
    <t>27720592517</t>
  </si>
  <si>
    <t>13862265</t>
  </si>
  <si>
    <t>b375cce5-eb08-47ae-a4c6-10d6e60b6952</t>
  </si>
  <si>
    <t>2026-04-14 11:28:07</t>
  </si>
  <si>
    <t>27716491267</t>
  </si>
  <si>
    <t>13864917</t>
  </si>
  <si>
    <t>ced257d0-ecd5-464d-8c31-1926e5e96a58</t>
  </si>
  <si>
    <t>2026-04-14 11:25:17</t>
  </si>
  <si>
    <t>27729463101</t>
  </si>
  <si>
    <t>13864967</t>
  </si>
  <si>
    <t>beeee729-b04d-485c-b87b-70290b001421</t>
  </si>
  <si>
    <t>2026-04-14 10:40:03</t>
  </si>
  <si>
    <t>27790463550</t>
  </si>
  <si>
    <t>13865203</t>
  </si>
  <si>
    <t>c1e2e8a1-b8ab-476f-a894-d6f60ba44373</t>
  </si>
  <si>
    <t>2026-04-14 10:38:12</t>
  </si>
  <si>
    <t>27762743665</t>
  </si>
  <si>
    <t>13865272</t>
  </si>
  <si>
    <t>a2abc3ee-ebd3-489e-b231-c7e6d519ecee</t>
  </si>
  <si>
    <t>2026-04-14 10:31:18</t>
  </si>
  <si>
    <t>27793059212</t>
  </si>
  <si>
    <t>13865059</t>
  </si>
  <si>
    <t>8aa3b1f3-8f63-4b4a-950d-0ad488a944df</t>
  </si>
  <si>
    <t>2026-04-14 10:29:32</t>
  </si>
  <si>
    <t>27608028214</t>
  </si>
  <si>
    <t>13865293</t>
  </si>
  <si>
    <t>764b72d2-27c2-449a-b514-d61f9d728dfd</t>
  </si>
  <si>
    <t>2026-04-14 10:28:21</t>
  </si>
  <si>
    <t>27799306410</t>
  </si>
  <si>
    <t>13865113</t>
  </si>
  <si>
    <t>c1955e97-2c99-488e-8b43-0bab4d2c2b57</t>
  </si>
  <si>
    <t>2026-04-14 10:27:39</t>
  </si>
  <si>
    <t>27711504633</t>
  </si>
  <si>
    <t>13864836</t>
  </si>
  <si>
    <t>00f2931a-2422-4c10-8559-415d9b173b63</t>
  </si>
  <si>
    <t>2026-04-14 10:25:14</t>
  </si>
  <si>
    <t>27660753533</t>
  </si>
  <si>
    <t>13865344</t>
  </si>
  <si>
    <t>b5474f30-f8e8-4a04-bb53-fc84a71588ae</t>
  </si>
  <si>
    <t>2026-04-14 10:22:14</t>
  </si>
  <si>
    <t>27612008399</t>
  </si>
  <si>
    <t>13865359</t>
  </si>
  <si>
    <t>f6001ce3-fc90-4d1f-baa3-51e22ab82fee</t>
  </si>
  <si>
    <t>2026-04-14 10:20:49</t>
  </si>
  <si>
    <t>27646968075</t>
  </si>
  <si>
    <t>13865372</t>
  </si>
  <si>
    <t>a55849b7-27c2-48bc-99cb-361035fa410e</t>
  </si>
  <si>
    <t>2026-04-14 10:19:02</t>
  </si>
  <si>
    <t>27664033203</t>
  </si>
  <si>
    <t>13865398</t>
  </si>
  <si>
    <t>4b073f3d-69eb-44a1-b8bc-10da6447b457</t>
  </si>
  <si>
    <t>2026-04-14 10:17:48</t>
  </si>
  <si>
    <t>27714336365</t>
  </si>
  <si>
    <t>13865412</t>
  </si>
  <si>
    <t>c9acc07b-b0db-4655-9618-805c3acd4218</t>
  </si>
  <si>
    <t>2026-04-14 10:15:59</t>
  </si>
  <si>
    <t>27719983551</t>
  </si>
  <si>
    <t>13865425</t>
  </si>
  <si>
    <t>d4c3cec8-60ea-464d-a35d-0e8ab82a2ee9</t>
  </si>
  <si>
    <t>2026-04-14 10:15:04</t>
  </si>
  <si>
    <t>27722320582</t>
  </si>
  <si>
    <t>13862628</t>
  </si>
  <si>
    <t>a0266779-fcab-47ef-be2f-dab787a9fd76</t>
  </si>
  <si>
    <t>2026-04-14 10:12:50</t>
  </si>
  <si>
    <t>27760492848</t>
  </si>
  <si>
    <t>13865011</t>
  </si>
  <si>
    <t>297295a5-a4ee-4d98-b925-f3b861623606</t>
  </si>
  <si>
    <t>2026-04-14 10:11:39</t>
  </si>
  <si>
    <t>27799231095</t>
  </si>
  <si>
    <t>13865022</t>
  </si>
  <si>
    <t>dc077b8b-5e19-4e51-8e36-986e54b912be</t>
  </si>
  <si>
    <t>2026-04-14 10:10:35</t>
  </si>
  <si>
    <t>27818984705</t>
  </si>
  <si>
    <t>13866047</t>
  </si>
  <si>
    <t>f4a540bf-72a9-4b11-9dda-9de63782a2ea</t>
  </si>
  <si>
    <t>2026-04-14 10:09:49</t>
  </si>
  <si>
    <t>27763622818</t>
  </si>
  <si>
    <t>13865020</t>
  </si>
  <si>
    <t>02180ad6-86a5-42d7-8854-bf1c50002b51</t>
  </si>
  <si>
    <t>2026-04-14 10:09:45</t>
  </si>
  <si>
    <t>27818621701</t>
  </si>
  <si>
    <t>13865051</t>
  </si>
  <si>
    <t>8675bd3f-c791-428c-986a-b0af5be90dcc</t>
  </si>
  <si>
    <t>2026-04-14 10:05:51</t>
  </si>
  <si>
    <t>27829721100</t>
  </si>
  <si>
    <t>71e36394-3d51-4e6b-a06f-3018207b95c0</t>
  </si>
  <si>
    <t>2026-04-14 10:01:34</t>
  </si>
  <si>
    <t>27724077660</t>
  </si>
  <si>
    <t>13861303</t>
  </si>
  <si>
    <t>0722ec61-928b-4f44-a35f-ff48122fea0f</t>
  </si>
  <si>
    <t>2026-04-14 09:58:21</t>
  </si>
  <si>
    <t>27722977852</t>
  </si>
  <si>
    <t>13865496</t>
  </si>
  <si>
    <t>e79c6e77-7345-4359-ae84-82ed48fa0e77</t>
  </si>
  <si>
    <t>2026-04-14 09:57:24</t>
  </si>
  <si>
    <t>27767168230</t>
  </si>
  <si>
    <t>13865506</t>
  </si>
  <si>
    <t>4ca5013b-57f5-47ca-b37d-bbfba07da159</t>
  </si>
  <si>
    <t>2026-04-14 09:56:04</t>
  </si>
  <si>
    <t>27781070336</t>
  </si>
  <si>
    <t>13861292</t>
  </si>
  <si>
    <t>d1868ed9-c73a-4278-8cea-f2dd956bf433</t>
  </si>
  <si>
    <t>2026-04-14 09:52:26</t>
  </si>
  <si>
    <t>27720397154</t>
  </si>
  <si>
    <t>13861287</t>
  </si>
  <si>
    <t>d4fa6161-569b-446b-83ab-061ec2654687</t>
  </si>
  <si>
    <t>2026-04-14 09:51:28</t>
  </si>
  <si>
    <t>27714496401</t>
  </si>
  <si>
    <t>13865674</t>
  </si>
  <si>
    <t>9202bbe9-8a01-41fb-8c18-fe8d7b430298</t>
  </si>
  <si>
    <t>2026-04-14 09:41:23</t>
  </si>
  <si>
    <t>27716442117</t>
  </si>
  <si>
    <t>13863777</t>
  </si>
  <si>
    <t>2f798357-7e26-41fd-a889-17ba9c97e541</t>
  </si>
  <si>
    <t>2026-04-14 09:40:35</t>
  </si>
  <si>
    <t>27725372220</t>
  </si>
  <si>
    <t>13865682</t>
  </si>
  <si>
    <t>9a587b0d-6da0-422b-b275-b9f48e5f92e0</t>
  </si>
  <si>
    <t>2026-04-14 09:38:24</t>
  </si>
  <si>
    <t>27721831946</t>
  </si>
  <si>
    <t>13865684</t>
  </si>
  <si>
    <t>d1fd570d-0f48-4a4b-a825-a8cfbb7202b5</t>
  </si>
  <si>
    <t>2026-04-14 09:38:15</t>
  </si>
  <si>
    <t>27722371141</t>
  </si>
  <si>
    <t>13865710</t>
  </si>
  <si>
    <t>b8de629d-5342-493d-aa67-5d16179e1f5b</t>
  </si>
  <si>
    <t>2026-04-14 09:37:12</t>
  </si>
  <si>
    <t>27727770920</t>
  </si>
  <si>
    <t>13865735</t>
  </si>
  <si>
    <t>8db2a292-5d0d-4c5c-81fe-bea6badc6e81</t>
  </si>
  <si>
    <t>2026-04-14 09:34:34</t>
  </si>
  <si>
    <t>27762231117</t>
  </si>
  <si>
    <t>13865748</t>
  </si>
  <si>
    <t>d7ae2d72-0cb8-4cd2-918e-dfa7884a0c2a</t>
  </si>
  <si>
    <t>2026-04-14 09:33:38</t>
  </si>
  <si>
    <t>27763930358</t>
  </si>
  <si>
    <t>13862127</t>
  </si>
  <si>
    <t>45d3461e-833e-47dd-baef-031a78010edc</t>
  </si>
  <si>
    <t>2026-04-14 09:32:32</t>
  </si>
  <si>
    <t>27723457170</t>
  </si>
  <si>
    <t>13862594</t>
  </si>
  <si>
    <t>40db4d74-608c-432c-9b75-d4fd269785bf</t>
  </si>
  <si>
    <t>2026-04-14 09:32:18</t>
  </si>
  <si>
    <t>27720219112</t>
  </si>
  <si>
    <t>13862456</t>
  </si>
  <si>
    <t>78b86a99-dfe1-4f15-afd9-99d6a20edd40</t>
  </si>
  <si>
    <t>2026-04-14 09:32:17</t>
  </si>
  <si>
    <t>27729224896</t>
  </si>
  <si>
    <t>13865776</t>
  </si>
  <si>
    <t>921d6a1f-2538-4286-9995-97bbcc1e278c</t>
  </si>
  <si>
    <t>2026-04-14 09:27:52</t>
  </si>
  <si>
    <t>27768346462</t>
  </si>
  <si>
    <t>13862579</t>
  </si>
  <si>
    <t>bb83b999-51d0-42c0-b0ab-931dbeae62a4</t>
  </si>
  <si>
    <t>2026-04-14 09:26:36</t>
  </si>
  <si>
    <t>27711138126</t>
  </si>
  <si>
    <t>13865802</t>
  </si>
  <si>
    <t>c05a6cf1-1083-4ca6-8af8-1cf2c9101d90</t>
  </si>
  <si>
    <t>2026-04-14 09:23:08</t>
  </si>
  <si>
    <t>27792800572</t>
  </si>
  <si>
    <t>13865828</t>
  </si>
  <si>
    <t>395c247a-7547-44c3-96a7-abe0805df49f</t>
  </si>
  <si>
    <t>2026-04-14 09:20:02</t>
  </si>
  <si>
    <t>27798908593</t>
  </si>
  <si>
    <t>13865840</t>
  </si>
  <si>
    <t>404f5b99-98e2-41e5-a111-a3dfd8d17f1e</t>
  </si>
  <si>
    <t>2026-04-14 09:19:13</t>
  </si>
  <si>
    <t>27818848913</t>
  </si>
  <si>
    <t>13861224</t>
  </si>
  <si>
    <t>52a54c23-57cc-4883-8b75-3450e698d073</t>
  </si>
  <si>
    <t>2026-04-14 09:14:40</t>
  </si>
  <si>
    <t>27799346458</t>
  </si>
  <si>
    <t>13865944</t>
  </si>
  <si>
    <t>bc68090b-92ed-4035-a85c-c3fe43739088</t>
  </si>
  <si>
    <t>2026-04-14 09:03:11</t>
  </si>
  <si>
    <t>27712033514</t>
  </si>
  <si>
    <t>13865954</t>
  </si>
  <si>
    <t>475a4bf6-4dca-439c-b19c-b512296aaa42</t>
  </si>
  <si>
    <t>2026-04-14 09:00:51</t>
  </si>
  <si>
    <t>27712711691</t>
  </si>
  <si>
    <t>13865955</t>
  </si>
  <si>
    <t>43d75a35-c1ba-4b1f-ac84-f117f2e4a19f</t>
  </si>
  <si>
    <t>2026-04-14 09:00:17</t>
  </si>
  <si>
    <t>27712737412</t>
  </si>
  <si>
    <t>13865719</t>
  </si>
  <si>
    <t>8aefeea7-ebc6-4156-ae70-0dd33921d6d5</t>
  </si>
  <si>
    <t>2026-04-14 08:59:42</t>
  </si>
  <si>
    <t>27729956842</t>
  </si>
  <si>
    <t>13861182</t>
  </si>
  <si>
    <t>f2cf0b2d-ca65-4fd0-bca1-ebc3dd3f6474</t>
  </si>
  <si>
    <t>2026-04-14 08:58:43</t>
  </si>
  <si>
    <t>27767487266</t>
  </si>
  <si>
    <t>84e604e2-9080-4a77-98fd-6fd7fc0c38ea</t>
  </si>
  <si>
    <t>2026-04-14 08:55:47</t>
  </si>
  <si>
    <t>27720203078</t>
  </si>
  <si>
    <t>13861598</t>
  </si>
  <si>
    <t>63a4e2c4-576b-4369-bcfc-3606e1d4e7ec</t>
  </si>
  <si>
    <t>2026-04-14 08:44:16</t>
  </si>
  <si>
    <t>27609088244</t>
  </si>
  <si>
    <t>13861167</t>
  </si>
  <si>
    <t>75ac1d71-6a34-4caf-bd46-110e9fe952f8</t>
  </si>
  <si>
    <t>2026-04-14 08:42:16</t>
  </si>
  <si>
    <t>27762783715</t>
  </si>
  <si>
    <t>13866028</t>
  </si>
  <si>
    <t>c881cf3c-5858-4e0c-a129-e11f29826fc5</t>
  </si>
  <si>
    <t>2026-04-14 08:33:22</t>
  </si>
  <si>
    <t>27733045070</t>
  </si>
  <si>
    <t>13865821</t>
  </si>
  <si>
    <t>9636812a-0e19-4e42-b30b-872eec4c4030</t>
  </si>
  <si>
    <t>2026-04-14 08:30:25</t>
  </si>
  <si>
    <t>27797058734</t>
  </si>
  <si>
    <t>13866033</t>
  </si>
  <si>
    <t>05f5df42-5274-49d4-b31f-ef1ff0e289ed</t>
  </si>
  <si>
    <t>27760188462</t>
  </si>
  <si>
    <t>13862437</t>
  </si>
  <si>
    <t>979724d1-3f20-4899-9322-123274df2b78</t>
  </si>
  <si>
    <t>2026-04-14 08:11:33</t>
  </si>
  <si>
    <t>27723112543</t>
  </si>
  <si>
    <t>13865902</t>
  </si>
  <si>
    <t>8b4e07d3-f563-4544-921a-d0a20acedf64</t>
  </si>
  <si>
    <t>2026-04-14 08:05:51</t>
  </si>
  <si>
    <t>27637982141</t>
  </si>
  <si>
    <t>13861107</t>
  </si>
  <si>
    <t>4fb0c652-a769-4b54-9a56-1e12b36f4ef5</t>
  </si>
  <si>
    <t>2026-04-14 08:03:38</t>
  </si>
  <si>
    <t>27648868771</t>
  </si>
  <si>
    <t>13861100</t>
  </si>
  <si>
    <t>0c455780-471a-4c24-8ed1-0416485a3d77</t>
  </si>
  <si>
    <t>2026-04-14 08:02:42</t>
  </si>
  <si>
    <t>27637208381</t>
  </si>
  <si>
    <t>13861095</t>
  </si>
  <si>
    <t>efef04f8-3ffb-400b-bdb8-85a378b5f3cf</t>
  </si>
  <si>
    <t>2026-04-14 08:01:37</t>
  </si>
  <si>
    <t>27615109785</t>
  </si>
  <si>
    <t>13861089</t>
  </si>
  <si>
    <t>368802fd-67d3-47ed-8021-c09435abaa9f</t>
  </si>
  <si>
    <t>2026-04-14 08:01:03</t>
  </si>
  <si>
    <t>27606942310</t>
  </si>
  <si>
    <t>13862561</t>
  </si>
  <si>
    <t>9b1efe25-07d8-431b-a887-3708cc19bc32</t>
  </si>
  <si>
    <t>2026-04-13 14:27:44</t>
  </si>
  <si>
    <t>27649850025</t>
  </si>
  <si>
    <t>13861785</t>
  </si>
  <si>
    <t>60d4c37c-c5c2-413f-a742-8e4705deebe1</t>
  </si>
  <si>
    <t>2026-04-13 13:07:52</t>
  </si>
  <si>
    <t>27674760621</t>
  </si>
  <si>
    <t>13863184</t>
  </si>
  <si>
    <t>44595801-98f0-4444-8bde-493f0106470e</t>
  </si>
  <si>
    <t>2026-04-13 13:07:19</t>
  </si>
  <si>
    <t>27797048381</t>
  </si>
  <si>
    <t>13862183</t>
  </si>
  <si>
    <t>81ab1417-4045-4485-baad-633d8e4b1f85</t>
  </si>
  <si>
    <t>2026-04-13 13:02:18</t>
  </si>
  <si>
    <t>27793268054</t>
  </si>
  <si>
    <t>13862085</t>
  </si>
  <si>
    <t>d92eba7b-8e90-492c-bcfd-d5d4750b54a7</t>
  </si>
  <si>
    <t>2026-04-13 09:15:59</t>
  </si>
  <si>
    <t>27660620720</t>
  </si>
  <si>
    <t>13862591</t>
  </si>
  <si>
    <t>402dc78c-6a36-446a-b0ee-077a197bbf92</t>
  </si>
  <si>
    <t>2026-04-13 08:54:37</t>
  </si>
  <si>
    <t>27715876440</t>
  </si>
  <si>
    <t>13863914</t>
  </si>
  <si>
    <t>e2cb28b8-5881-4153-8aa6-678cc582f026</t>
  </si>
  <si>
    <t>2026-04-13 07:33:14</t>
  </si>
  <si>
    <t>27822690491</t>
  </si>
  <si>
    <t>13864202</t>
  </si>
  <si>
    <t>9c860e4b-62ae-4015-afbe-26b6e44cad87</t>
  </si>
  <si>
    <t>2026-04-10 12:24:06</t>
  </si>
  <si>
    <t>27818480557</t>
  </si>
  <si>
    <t>13861226</t>
  </si>
  <si>
    <t>1f537047-4093-4357-af09-c6db544b59bb</t>
  </si>
  <si>
    <t>2026-04-10 11:08:25</t>
  </si>
  <si>
    <t>27799774251</t>
  </si>
  <si>
    <t>13862152</t>
  </si>
  <si>
    <t>edc72a36-8714-4bd7-a678-a049315bd768</t>
  </si>
  <si>
    <t>2026-04-10 10:11:57</t>
  </si>
  <si>
    <t>27762084587</t>
  </si>
  <si>
    <t>13862602</t>
  </si>
  <si>
    <t>65c3a515-7425-4c76-bebd-2bd8e9c05ec9</t>
  </si>
  <si>
    <t>2026-04-10 09:46:51</t>
  </si>
  <si>
    <t>27722135109</t>
  </si>
  <si>
    <t>13862837</t>
  </si>
  <si>
    <t>83c2651f-190f-4475-aa3c-e6f64abaf904</t>
  </si>
  <si>
    <t>2026-04-10 09:27:13</t>
  </si>
  <si>
    <t>27772640669</t>
  </si>
  <si>
    <t>13862260</t>
  </si>
  <si>
    <t>4fb75681-85cf-47eb-aee4-ff85de59608c</t>
  </si>
  <si>
    <t>2026-04-10 09:14:39</t>
  </si>
  <si>
    <t>27713460501</t>
  </si>
  <si>
    <t>713e7424-3cf9-4cd0-b5f9-ac92405052ee</t>
  </si>
  <si>
    <t>2026-04-10 07:48:56</t>
  </si>
  <si>
    <t>27633190612</t>
  </si>
  <si>
    <t>13862439</t>
  </si>
  <si>
    <t>cb7e76ee-6ac0-4013-bafa-c1c491fede79</t>
  </si>
  <si>
    <t>2026-04-10 07:37:50</t>
  </si>
  <si>
    <t>27723261806</t>
  </si>
  <si>
    <t>13861801</t>
  </si>
  <si>
    <t>7f83343c-e8d1-4826-95ce-634835c05322</t>
  </si>
  <si>
    <t>2026-04-10 07:35:55</t>
  </si>
  <si>
    <t>27716884245</t>
  </si>
  <si>
    <t>13861311</t>
  </si>
  <si>
    <t>e30b0288-4b46-49c9-9f1e-7f895baf6fe5</t>
  </si>
  <si>
    <t>2026-04-10 07:23:15</t>
  </si>
  <si>
    <t>27725220490</t>
  </si>
  <si>
    <t>13865571</t>
  </si>
  <si>
    <t>52ca1041-6813-4d09-8bb4-b6c95f20e430</t>
  </si>
  <si>
    <t>2026-04-10 07:18:06</t>
  </si>
  <si>
    <t>27825509083</t>
  </si>
  <si>
    <t>13861465</t>
  </si>
  <si>
    <t>4aeaee3f-ae53-41cf-a4e4-80863ee88254</t>
  </si>
  <si>
    <t>2026-04-10 07:12:02</t>
  </si>
  <si>
    <t>27723142669</t>
  </si>
  <si>
    <t>13862528</t>
  </si>
  <si>
    <t>2c5d2aab-589a-4c54-8328-b1fbe85f9208</t>
  </si>
  <si>
    <t>2026-04-10 07:11:57</t>
  </si>
  <si>
    <t>27826195098</t>
  </si>
  <si>
    <t>13862213</t>
  </si>
  <si>
    <t>a5e1ae27-336d-4cc4-9b9c-010fdea96090</t>
  </si>
  <si>
    <t>2026-04-10 07:11:06</t>
  </si>
  <si>
    <t>27824421603</t>
  </si>
  <si>
    <t>13861771</t>
  </si>
  <si>
    <t>dc39a965-391d-4aed-bccb-ef7ed39837b2</t>
  </si>
  <si>
    <t>2026-04-10 07:11:05</t>
  </si>
  <si>
    <t>27648466062</t>
  </si>
  <si>
    <t>13861685</t>
  </si>
  <si>
    <t>3c5b7eae-3265-4d2d-b867-16daf0623490</t>
  </si>
  <si>
    <t>2026-04-10 07:10:01</t>
  </si>
  <si>
    <t>27765221579</t>
  </si>
  <si>
    <t>13862414</t>
  </si>
  <si>
    <t>6faa6859-e06f-492e-9b1e-ac658be813c3</t>
  </si>
  <si>
    <t>2026-04-10 07:08:55</t>
  </si>
  <si>
    <t>27712948759</t>
  </si>
  <si>
    <t>13863739</t>
  </si>
  <si>
    <t>8fdc876c-62ae-4338-b25a-66cb6d8e2c77</t>
  </si>
  <si>
    <t>2026-04-10 07:08:17</t>
  </si>
  <si>
    <t>27712528814</t>
  </si>
  <si>
    <t>13861214</t>
  </si>
  <si>
    <t>3848e69a-4150-460d-91f9-6fb7598e8aa8</t>
  </si>
  <si>
    <t>2026-04-10 07:07:59</t>
  </si>
  <si>
    <t>27795711807</t>
  </si>
  <si>
    <t>13861668</t>
  </si>
  <si>
    <t>4b2afbb0-abb1-4cc9-af9f-3ca72f7c253d</t>
  </si>
  <si>
    <t>2026-04-10 07:05:24</t>
  </si>
  <si>
    <t>27727522297</t>
  </si>
  <si>
    <t>13863193</t>
  </si>
  <si>
    <t>c8828c32-0370-40f7-bff7-705d83f39738</t>
  </si>
  <si>
    <t>2026-04-10 07:04:31</t>
  </si>
  <si>
    <t>27797878626</t>
  </si>
  <si>
    <t>13862681</t>
  </si>
  <si>
    <t>e19c1e86-4917-41d1-aefc-297026f3f657</t>
  </si>
  <si>
    <t>2026-04-10 07:04:28</t>
  </si>
  <si>
    <t>27817443889</t>
  </si>
  <si>
    <t>13861926</t>
  </si>
  <si>
    <t>f54818ff-bc81-40a3-aa0c-ebee840b743b</t>
  </si>
  <si>
    <t>2026-04-10 07:03:04</t>
  </si>
  <si>
    <t>27607478795</t>
  </si>
  <si>
    <t>13861461</t>
  </si>
  <si>
    <t>4631cf41-b9b7-46d3-934d-ef0e2e4f4c40</t>
  </si>
  <si>
    <t>2026-04-10 07:01:38</t>
  </si>
  <si>
    <t>27720946629</t>
  </si>
  <si>
    <t>13861899</t>
  </si>
  <si>
    <t>fdd04204-b8bb-4be5-85e0-e552735db72b</t>
  </si>
  <si>
    <t>2026-04-10 07:01:24</t>
  </si>
  <si>
    <t>27822675362</t>
  </si>
  <si>
    <t>13862062</t>
  </si>
  <si>
    <t>fc3c0ee9-1fde-46b2-9de4-a46d83c15cae</t>
  </si>
  <si>
    <t>2026-04-10 06:57:33</t>
  </si>
  <si>
    <t>27825982426</t>
  </si>
  <si>
    <t>13861533</t>
  </si>
  <si>
    <t>424693b9-2f06-477d-8434-ae104c78f518</t>
  </si>
  <si>
    <t>2026-04-10 06:55:50</t>
  </si>
  <si>
    <t>27791681179</t>
  </si>
  <si>
    <t>13865100</t>
  </si>
  <si>
    <t>3b0b7d6d-03f8-441d-865d-9293c57efbd0</t>
  </si>
  <si>
    <t>2026-04-10 06:54:43</t>
  </si>
  <si>
    <t>27673447006</t>
  </si>
  <si>
    <t>13862082</t>
  </si>
  <si>
    <t>70270f9d-97e8-437e-8082-8eb3ca9fed33</t>
  </si>
  <si>
    <t>2026-04-10 06:54:36</t>
  </si>
  <si>
    <t>27648140030</t>
  </si>
  <si>
    <t>13863763</t>
  </si>
  <si>
    <t>0069e1bd-ff57-4079-9919-c02367c11a11</t>
  </si>
  <si>
    <t>2026-04-10 06:52:56</t>
  </si>
  <si>
    <t>27723183138</t>
  </si>
  <si>
    <t>13862139</t>
  </si>
  <si>
    <t>b4c48a76-0edf-4fdf-8654-26ae0968dcc6</t>
  </si>
  <si>
    <t>2026-04-10 06:52:20</t>
  </si>
  <si>
    <t>27728353252</t>
  </si>
  <si>
    <t>13864219</t>
  </si>
  <si>
    <t>3b1af68e-31a9-4bf0-a6f0-abe86b97ffb2</t>
  </si>
  <si>
    <t>2026-04-10 06:50:49</t>
  </si>
  <si>
    <t>27825601281</t>
  </si>
  <si>
    <t>13861537</t>
  </si>
  <si>
    <t>b78f6035-97ee-4b22-9fb2-699ce18f0025</t>
  </si>
  <si>
    <t>2026-04-10 06:46:25</t>
  </si>
  <si>
    <t>27793276205</t>
  </si>
  <si>
    <t>13861746</t>
  </si>
  <si>
    <t>751045b6-a563-4a8c-b7f8-74e2c6f2f210</t>
  </si>
  <si>
    <t>2026-04-10 06:45:05</t>
  </si>
  <si>
    <t>27823081196</t>
  </si>
  <si>
    <t>13862109</t>
  </si>
  <si>
    <t>d6701d2a-f2d8-45d5-aa20-2c8936debc16</t>
  </si>
  <si>
    <t>27716269795</t>
  </si>
  <si>
    <t>13861827</t>
  </si>
  <si>
    <t>6549e31d-c86d-4494-95fb-8ece625f73d9</t>
  </si>
  <si>
    <t>2026-04-10 06:39:26</t>
  </si>
  <si>
    <t>27729942882</t>
  </si>
  <si>
    <t>13861909</t>
  </si>
  <si>
    <t>afbcd493-7cef-435a-969b-6649e4f3d46e</t>
  </si>
  <si>
    <t>2026-04-10 06:38:38</t>
  </si>
  <si>
    <t>27825309160</t>
  </si>
  <si>
    <t>13862728</t>
  </si>
  <si>
    <t>d2dfc098-9d9f-475d-b98e-e9b40bfc5471</t>
  </si>
  <si>
    <t>2026-04-10 06:36:31</t>
  </si>
  <si>
    <t>27661105477</t>
  </si>
  <si>
    <t>13862522</t>
  </si>
  <si>
    <t>6910490f-87fd-492a-b969-fb3a04e186bf</t>
  </si>
  <si>
    <t>2026-04-10 06:34:27</t>
  </si>
  <si>
    <t>27823598427</t>
  </si>
  <si>
    <t>13862133</t>
  </si>
  <si>
    <t>637eee85-89a0-40dd-bcb4-6cb2fa901035</t>
  </si>
  <si>
    <t>2026-04-10 06:32:53</t>
  </si>
  <si>
    <t>27725316213</t>
  </si>
  <si>
    <t>13863787</t>
  </si>
  <si>
    <t>387ed2e1-7166-4381-b7ad-d43769b35928</t>
  </si>
  <si>
    <t>2026-04-10 06:30:45</t>
  </si>
  <si>
    <t>27726186557</t>
  </si>
  <si>
    <t>13863649</t>
  </si>
  <si>
    <t>6b033fe3-19ff-4df4-8a5b-2ccfc6099280</t>
  </si>
  <si>
    <t>2026-04-10 06:30:43</t>
  </si>
  <si>
    <t>27820643329</t>
  </si>
  <si>
    <t>13862455</t>
  </si>
  <si>
    <t>1498c1da-7244-44d1-8c28-eb72819c7c73</t>
  </si>
  <si>
    <t>2026-04-10 06:30:38</t>
  </si>
  <si>
    <t>27728777390</t>
  </si>
  <si>
    <t>e50820f3-e887-46fc-912d-50fbcb38748e</t>
  </si>
  <si>
    <t>2026-04-10 06:28:53</t>
  </si>
  <si>
    <t>27798509267</t>
  </si>
  <si>
    <t>13863162</t>
  </si>
  <si>
    <t>471464ed-d706-48cb-b686-ea0d195bfa08</t>
  </si>
  <si>
    <t>2026-04-10 06:27:54</t>
  </si>
  <si>
    <t>27790946897</t>
  </si>
  <si>
    <t>13861498</t>
  </si>
  <si>
    <t>6720b725-e888-44db-98ab-50c7869e7ca0</t>
  </si>
  <si>
    <t>2026-04-10 06:26:58</t>
  </si>
  <si>
    <t>27762211178</t>
  </si>
  <si>
    <t>13861265</t>
  </si>
  <si>
    <t>cfc9aef7-ee65-4156-a35f-57065f53f405</t>
  </si>
  <si>
    <t>2026-04-10 06:25:47</t>
  </si>
  <si>
    <t>27660801739</t>
  </si>
  <si>
    <t>13862117</t>
  </si>
  <si>
    <t>0ceb177a-c7fe-4213-a668-1aca0a7359d1</t>
  </si>
  <si>
    <t>2026-04-10 06:25:11</t>
  </si>
  <si>
    <t>27721767081</t>
  </si>
  <si>
    <t>13862432</t>
  </si>
  <si>
    <t>14fd0032-871f-4589-a8db-0ef8c679858b</t>
  </si>
  <si>
    <t>27722414854</t>
  </si>
  <si>
    <t>13863631</t>
  </si>
  <si>
    <t>cf912d4d-d593-4ec3-b501-dce1e4c6f443</t>
  </si>
  <si>
    <t>2026-04-10 06:22:32</t>
  </si>
  <si>
    <t>27796090224</t>
  </si>
  <si>
    <t>13862827</t>
  </si>
  <si>
    <t>6ee3a340-d0d4-4140-be9e-b2570cafaf03</t>
  </si>
  <si>
    <t>2026-04-10 06:21:14</t>
  </si>
  <si>
    <t>27768191931</t>
  </si>
  <si>
    <t>13861848</t>
  </si>
  <si>
    <t>de413338-46d7-40d6-93f8-a530ee3d3578</t>
  </si>
  <si>
    <t>2026-04-10 06:19:22</t>
  </si>
  <si>
    <t>27768433764</t>
  </si>
  <si>
    <t>13862032</t>
  </si>
  <si>
    <t>562eb350-1acd-4e27-97e8-32aef601ffda</t>
  </si>
  <si>
    <t>2026-04-10 06:11:29</t>
  </si>
  <si>
    <t>27791287497</t>
  </si>
  <si>
    <t>13862427</t>
  </si>
  <si>
    <t>1b5d1929-744c-446b-bf56-42058fa32aaf</t>
  </si>
  <si>
    <t>2026-04-10 06:10:19</t>
  </si>
  <si>
    <t>27720819790</t>
  </si>
  <si>
    <t>13861471</t>
  </si>
  <si>
    <t>d0b7aaa8-83a0-4984-ae85-9c8b35d19fa6</t>
  </si>
  <si>
    <t>2026-04-10 06:09:35</t>
  </si>
  <si>
    <t>27724769290</t>
  </si>
  <si>
    <t>13863972</t>
  </si>
  <si>
    <t>d76b4399-dbdf-489c-9d16-858b60bfabe5</t>
  </si>
  <si>
    <t>2026-04-10 06:05:06</t>
  </si>
  <si>
    <t>27637676497</t>
  </si>
  <si>
    <t>13862633</t>
  </si>
  <si>
    <t>77536432-b76c-4477-b1c1-c1c1dd417932</t>
  </si>
  <si>
    <t>2026-04-10 06:02:46</t>
  </si>
  <si>
    <t>27762539706</t>
  </si>
  <si>
    <t>13861648</t>
  </si>
  <si>
    <t>ff7e05dc-6aa8-4b3e-94f2-cc4c3b6f88bf</t>
  </si>
  <si>
    <t>2026-04-09 14:56:34</t>
  </si>
  <si>
    <t>27716898509</t>
  </si>
  <si>
    <t>13862780</t>
  </si>
  <si>
    <t>f88047d4-5180-4272-a5cf-bc12b653328a</t>
  </si>
  <si>
    <t>2026-04-09 14:49:38</t>
  </si>
  <si>
    <t>27727837815</t>
  </si>
  <si>
    <t>13862734</t>
  </si>
  <si>
    <t>ad0d100b-513d-41ee-be52-79389fa0bdba</t>
  </si>
  <si>
    <t>2026-04-09 14:48:47</t>
  </si>
  <si>
    <t>27664075655</t>
  </si>
  <si>
    <t>13862517</t>
  </si>
  <si>
    <t>0a6e5049-cf73-498a-b9ab-8de91e48d397</t>
  </si>
  <si>
    <t>2026-04-09 14:43:45</t>
  </si>
  <si>
    <t>27820599042</t>
  </si>
  <si>
    <t>13861488</t>
  </si>
  <si>
    <t>bddcaa2f-2a62-4d49-8f50-a0f99d30b526</t>
  </si>
  <si>
    <t>2026-04-09 14:40:53</t>
  </si>
  <si>
    <t>Mahlatse Manamela</t>
  </si>
  <si>
    <t>27729344588</t>
  </si>
  <si>
    <t>13861439</t>
  </si>
  <si>
    <t>dc40f08c-c3bd-417d-8edf-70e09f34b6c4</t>
  </si>
  <si>
    <t>2026-04-09 14:36:52</t>
  </si>
  <si>
    <t>27662824934</t>
  </si>
  <si>
    <t>13861356</t>
  </si>
  <si>
    <t>5ca08a8d-981d-4db2-a733-0bd5b7ef99f8</t>
  </si>
  <si>
    <t>2026-04-09 14:34:50</t>
  </si>
  <si>
    <t>27768168988</t>
  </si>
  <si>
    <t>13861232</t>
  </si>
  <si>
    <t>a2794919-fdbf-4290-bb1d-c08ea8f6010c</t>
  </si>
  <si>
    <t>2026-04-09 14:34:45</t>
  </si>
  <si>
    <t>27822194638</t>
  </si>
  <si>
    <t>2e744a05-9923-4cf0-8022-f539e05dd719</t>
  </si>
  <si>
    <t>2026-04-09 14:33:31</t>
  </si>
  <si>
    <t>27798389960</t>
  </si>
  <si>
    <t>13861793</t>
  </si>
  <si>
    <t>6b20b7c6-e442-4bae-a03f-f5c2a19e8991</t>
  </si>
  <si>
    <t>2026-04-09 14:33:25</t>
  </si>
  <si>
    <t>27714569813</t>
  </si>
  <si>
    <t>13861792</t>
  </si>
  <si>
    <t>c06b68e9-5b41-4183-91b3-7632654da7dd</t>
  </si>
  <si>
    <t>2026-04-09 14:31:24</t>
  </si>
  <si>
    <t>27714283689</t>
  </si>
  <si>
    <t>13861563</t>
  </si>
  <si>
    <t>3e50c7a3-f226-4cdd-b9f5-ed24d6cc0288</t>
  </si>
  <si>
    <t>2026-04-09 14:28:06</t>
  </si>
  <si>
    <t>27799336899</t>
  </si>
  <si>
    <t>13864988</t>
  </si>
  <si>
    <t>b8cc9cc0-78d8-4e3c-b019-31afa1322e4a</t>
  </si>
  <si>
    <t>2026-04-09 14:25:45</t>
  </si>
  <si>
    <t>27795510460</t>
  </si>
  <si>
    <t>13862834</t>
  </si>
  <si>
    <t>b7a000a0-8dda-4c0c-a644-dd3148f5cf44</t>
  </si>
  <si>
    <t>2026-04-09 14:25:23</t>
  </si>
  <si>
    <t>27769649929</t>
  </si>
  <si>
    <t>13863502</t>
  </si>
  <si>
    <t>8fa9ca2f-1fb5-460b-b4ce-74b89172688a</t>
  </si>
  <si>
    <t>2026-04-09 14:24:43</t>
  </si>
  <si>
    <t>27712743805</t>
  </si>
  <si>
    <t>13861522</t>
  </si>
  <si>
    <t>6a381965-63ba-47c3-950f-413e09fd0859</t>
  </si>
  <si>
    <t>2026-04-09 14:23:31</t>
  </si>
  <si>
    <t>27769320674</t>
  </si>
  <si>
    <t>13862366</t>
  </si>
  <si>
    <t>3db6c759-701f-4cdf-9551-bd654fa9fe2b</t>
  </si>
  <si>
    <t>2026-04-09 14:20:52</t>
  </si>
  <si>
    <t>27825307901</t>
  </si>
  <si>
    <t>13862714</t>
  </si>
  <si>
    <t>30572257-aae6-4db8-8640-a41448dd2a10</t>
  </si>
  <si>
    <t>2026-04-09 14:20:36</t>
  </si>
  <si>
    <t>27637345090</t>
  </si>
  <si>
    <t>13862708</t>
  </si>
  <si>
    <t>d0f5e060-f345-40f0-878a-3b6fbb88dc95</t>
  </si>
  <si>
    <t>2026-04-09 14:19:52</t>
  </si>
  <si>
    <t>27608763843</t>
  </si>
  <si>
    <t>13862616</t>
  </si>
  <si>
    <t>590a6ffe-e1cb-457d-823f-8481dbe273e3</t>
  </si>
  <si>
    <t>2026-04-09 14:18:29</t>
  </si>
  <si>
    <t>27725888026</t>
  </si>
  <si>
    <t>13862391</t>
  </si>
  <si>
    <t>828854ca-7316-4a2a-844d-bac83e85272a</t>
  </si>
  <si>
    <t>2026-04-09 14:16:31</t>
  </si>
  <si>
    <t>27649806310</t>
  </si>
  <si>
    <t>13862474</t>
  </si>
  <si>
    <t>ee6ee48a-786c-412f-8f2c-4e23f0d455c7</t>
  </si>
  <si>
    <t>2026-04-09 14:15:02</t>
  </si>
  <si>
    <t>27765693689</t>
  </si>
  <si>
    <t>13862467</t>
  </si>
  <si>
    <t>fbe05c19-300a-4daf-a26a-2bf66f3e0a55</t>
  </si>
  <si>
    <t>2026-04-09 14:15:01</t>
  </si>
  <si>
    <t>27761852249</t>
  </si>
  <si>
    <t>13862406</t>
  </si>
  <si>
    <t>08ab92b5-ad98-458e-ac02-341825c0bd42</t>
  </si>
  <si>
    <t>2026-04-09 14:13:35</t>
  </si>
  <si>
    <t>27665680446</t>
  </si>
  <si>
    <t>13862398</t>
  </si>
  <si>
    <t>aff14eab-c04e-4890-8d5b-ab6a9a60c4b8</t>
  </si>
  <si>
    <t>2026-04-09 14:12:48</t>
  </si>
  <si>
    <t>27663294539</t>
  </si>
  <si>
    <t>13864068</t>
  </si>
  <si>
    <t>b4517e9b-97ff-47a1-928a-9d1e84fe5b5c</t>
  </si>
  <si>
    <t>2026-04-09 14:11:49</t>
  </si>
  <si>
    <t>27725493588</t>
  </si>
  <si>
    <t>13862351</t>
  </si>
  <si>
    <t>6f97ec5a-62f1-415c-9442-dae50a0a02c1</t>
  </si>
  <si>
    <t>2026-04-09 14:11:40</t>
  </si>
  <si>
    <t>27797454358</t>
  </si>
  <si>
    <t>13861352</t>
  </si>
  <si>
    <t>9250b9b8-55c9-4aa1-8a7c-f578c8619271</t>
  </si>
  <si>
    <t>2026-04-09 14:07:24</t>
  </si>
  <si>
    <t>27766751298</t>
  </si>
  <si>
    <t>13863796</t>
  </si>
  <si>
    <t>240bb73f-912c-4ea9-b967-ddd4f5df1b41</t>
  </si>
  <si>
    <t>2026-04-09 14:06:45</t>
  </si>
  <si>
    <t>27727814129</t>
  </si>
  <si>
    <t>13862014</t>
  </si>
  <si>
    <t>4c1e3689-4397-4378-864f-3b9968bdd53b</t>
  </si>
  <si>
    <t>2026-04-09 14:03:07</t>
  </si>
  <si>
    <t>27765858242</t>
  </si>
  <si>
    <t>13861908</t>
  </si>
  <si>
    <t>894456ce-254c-4147-b3ef-7c29ee988b7c</t>
  </si>
  <si>
    <t>2026-04-09 14:00:11</t>
  </si>
  <si>
    <t>27825176472</t>
  </si>
  <si>
    <t>13861962</t>
  </si>
  <si>
    <t>5d4324d1-f6c7-40c6-b623-044941bcef88</t>
  </si>
  <si>
    <t>2026-04-09 13:59:24</t>
  </si>
  <si>
    <t>27714368190</t>
  </si>
  <si>
    <t>13864419</t>
  </si>
  <si>
    <t>ad4b5f07-b406-49a6-93bb-d9929a4ff81d</t>
  </si>
  <si>
    <t>2026-04-09 13:57:46</t>
  </si>
  <si>
    <t>27769042468</t>
  </si>
  <si>
    <t>13861904</t>
  </si>
  <si>
    <t>2c236abc-90bb-404a-ae5c-ee93b4f1113d</t>
  </si>
  <si>
    <t>2026-04-09 13:55:49</t>
  </si>
  <si>
    <t>27824421714</t>
  </si>
  <si>
    <t>13863660</t>
  </si>
  <si>
    <t>576d6a2e-7611-48f6-b38e-61c2b0c9642b</t>
  </si>
  <si>
    <t>2026-04-09 13:55:47</t>
  </si>
  <si>
    <t>27823651994</t>
  </si>
  <si>
    <t>13861886</t>
  </si>
  <si>
    <t>f416b3e1-32a0-45a6-90d3-639c0198302f</t>
  </si>
  <si>
    <t>2026-04-09 13:55:04</t>
  </si>
  <si>
    <t>27797420744</t>
  </si>
  <si>
    <t>13861811</t>
  </si>
  <si>
    <t>600348fd-261b-4d42-9885-1381e8f201c3</t>
  </si>
  <si>
    <t>2026-04-09 13:52:46</t>
  </si>
  <si>
    <t>27723179005</t>
  </si>
  <si>
    <t>13863721</t>
  </si>
  <si>
    <t>6f2f70fd-214c-4b93-99fa-71e183f4352e</t>
  </si>
  <si>
    <t>2026-04-09 13:51:23</t>
  </si>
  <si>
    <t>27660622106</t>
  </si>
  <si>
    <t>13865718</t>
  </si>
  <si>
    <t>aac2c489-1540-4f87-8caf-422b495fcbc0</t>
  </si>
  <si>
    <t>2026-04-09 13:51:07</t>
  </si>
  <si>
    <t>27729827719</t>
  </si>
  <si>
    <t>13861841</t>
  </si>
  <si>
    <t>4d45fcd2-4241-4b97-bebf-1dfb4825f0f6</t>
  </si>
  <si>
    <t>2026-04-09 13:50:51</t>
  </si>
  <si>
    <t>27765839431</t>
  </si>
  <si>
    <t>13865581</t>
  </si>
  <si>
    <t>4f5c2825-ccba-4ba8-ad7b-e943e48ec7d0</t>
  </si>
  <si>
    <t>2026-04-09 13:48:38</t>
  </si>
  <si>
    <t>27828309848</t>
  </si>
  <si>
    <t>13863627</t>
  </si>
  <si>
    <t>cd122bfe-1066-4821-b79e-f0bcb348bc62</t>
  </si>
  <si>
    <t>2026-04-09 13:48:22</t>
  </si>
  <si>
    <t>27795018639</t>
  </si>
  <si>
    <t>13861763</t>
  </si>
  <si>
    <t>c9098765-d5bb-463c-8df5-367dc85e78c8</t>
  </si>
  <si>
    <t>2026-04-09 13:46:44</t>
  </si>
  <si>
    <t>27609939218</t>
  </si>
  <si>
    <t>13861702</t>
  </si>
  <si>
    <t>b4094b25-2177-402b-9b53-3a70938a018e</t>
  </si>
  <si>
    <t>2026-04-09 13:45:51</t>
  </si>
  <si>
    <t>27768558978</t>
  </si>
  <si>
    <t>13861698</t>
  </si>
  <si>
    <t>49367a44-6294-4cd6-896e-c13324fc9a18</t>
  </si>
  <si>
    <t>2026-04-09 13:45:48</t>
  </si>
  <si>
    <t>27768228660</t>
  </si>
  <si>
    <t>13861691</t>
  </si>
  <si>
    <t>eb18e561-2c0e-4b29-8cde-110a0a8f1690</t>
  </si>
  <si>
    <t>2026-04-09 13:44:54</t>
  </si>
  <si>
    <t>27766861491</t>
  </si>
  <si>
    <t>13865884</t>
  </si>
  <si>
    <t>9308deb9-dd7f-4eed-85b2-12cccccc3050</t>
  </si>
  <si>
    <t>2026-04-09 13:40:02</t>
  </si>
  <si>
    <t>27606470216</t>
  </si>
  <si>
    <t>13861480</t>
  </si>
  <si>
    <t>fe3260eb-caf3-4162-9c40-e338f29559c0</t>
  </si>
  <si>
    <t>2026-04-09 13:37:38</t>
  </si>
  <si>
    <t>27727760319</t>
  </si>
  <si>
    <t>13861474</t>
  </si>
  <si>
    <t>5cc6239f-1753-43b3-8a30-24897fcc23c0</t>
  </si>
  <si>
    <t>2026-04-09 13:36:55</t>
  </si>
  <si>
    <t>27725444064</t>
  </si>
  <si>
    <t>13863115</t>
  </si>
  <si>
    <t>3d1fccda-ca0c-4bf5-ac47-4497db48949f</t>
  </si>
  <si>
    <t>2026-04-09 13:36:33</t>
  </si>
  <si>
    <t>27730850089</t>
  </si>
  <si>
    <t>13862810</t>
  </si>
  <si>
    <t>c3d8c78f-c634-4e93-82ed-f29722da80b0</t>
  </si>
  <si>
    <t>2026-04-09 13:35:33</t>
  </si>
  <si>
    <t>27765494019</t>
  </si>
  <si>
    <t>13862806</t>
  </si>
  <si>
    <t>21d93067-92af-44b7-ae19-4bf904843190</t>
  </si>
  <si>
    <t>2026-04-09 13:35:04</t>
  </si>
  <si>
    <t>27763700236</t>
  </si>
  <si>
    <t>13862647</t>
  </si>
  <si>
    <t>3f16299f-a926-4cc5-82dd-96c26812d500</t>
  </si>
  <si>
    <t>2026-04-09 13:32:19</t>
  </si>
  <si>
    <t>27766289428</t>
  </si>
  <si>
    <t>13862669</t>
  </si>
  <si>
    <t>55955cc0-5868-40b4-b1b6-b8b369d8f861</t>
  </si>
  <si>
    <t>2026-04-09 13:30:43</t>
  </si>
  <si>
    <t>27793266859</t>
  </si>
  <si>
    <t>13862643</t>
  </si>
  <si>
    <t>f4286db5-3c89-46fd-94ac-80abd4671aab</t>
  </si>
  <si>
    <t>2026-04-09 13:29:52</t>
  </si>
  <si>
    <t>27765650984</t>
  </si>
  <si>
    <t>13862497</t>
  </si>
  <si>
    <t>19c9a1e0-c49a-4a1a-b238-073fbfb7cb3f</t>
  </si>
  <si>
    <t>2026-04-09 13:27:49</t>
  </si>
  <si>
    <t>27795487915</t>
  </si>
  <si>
    <t>13862576</t>
  </si>
  <si>
    <t>fbb03686-8327-4816-b3ef-13ffb27e2f7a</t>
  </si>
  <si>
    <t>2026-04-09 13:26:02</t>
  </si>
  <si>
    <t>27675777528</t>
  </si>
  <si>
    <t>13862453</t>
  </si>
  <si>
    <t>604cd0c0-a205-4a56-bc0b-a4cb882176dc</t>
  </si>
  <si>
    <t>2026-04-09 13:25:55</t>
  </si>
  <si>
    <t>27727887887</t>
  </si>
  <si>
    <t>13862444</t>
  </si>
  <si>
    <t>d487d221-6c63-401d-8127-8d65ff371486</t>
  </si>
  <si>
    <t>2026-04-09 13:24:57</t>
  </si>
  <si>
    <t>27724601105</t>
  </si>
  <si>
    <t>13862548</t>
  </si>
  <si>
    <t>0a02b0d6-073c-4594-b815-68421e43bc75</t>
  </si>
  <si>
    <t>2026-04-09 13:24:16</t>
  </si>
  <si>
    <t>27608861969</t>
  </si>
  <si>
    <t>13861391</t>
  </si>
  <si>
    <t>c1e5db59-fddc-451c-9b79-6c0d0a177a47</t>
  </si>
  <si>
    <t>2026-04-09 13:21:10</t>
  </si>
  <si>
    <t>27797946093</t>
  </si>
  <si>
    <t>13862457</t>
  </si>
  <si>
    <t>f7d4ed7f-1130-487e-b73d-2de7c54bdfde</t>
  </si>
  <si>
    <t>2026-04-09 13:21:05</t>
  </si>
  <si>
    <t>27729441643</t>
  </si>
  <si>
    <t>13862327</t>
  </si>
  <si>
    <t>c4f97b8f-3866-4615-8f11-182b289bf7e7</t>
  </si>
  <si>
    <t>2026-04-09 13:15:41</t>
  </si>
  <si>
    <t>27768839793</t>
  </si>
  <si>
    <t>13862137</t>
  </si>
  <si>
    <t>ec2ccc9d-c757-4574-abc7-5ed8ccebdef7</t>
  </si>
  <si>
    <t>2026-04-09 13:00:01</t>
  </si>
  <si>
    <t>27727968469</t>
  </si>
  <si>
    <t>13862077</t>
  </si>
  <si>
    <t>dfabc5f6-c71d-4170-a720-8fc6ca3d53ea</t>
  </si>
  <si>
    <t>2026-04-09 12:57:00</t>
  </si>
  <si>
    <t>27636869582</t>
  </si>
  <si>
    <t>13862046</t>
  </si>
  <si>
    <t>86eae403-0f5c-4563-8897-9689a32c40c7</t>
  </si>
  <si>
    <t>2026-04-09 12:56:00</t>
  </si>
  <si>
    <t>27797952673</t>
  </si>
  <si>
    <t>13861721</t>
  </si>
  <si>
    <t>ba2a2fcd-7b9a-4e95-afd3-3899fa6267f2</t>
  </si>
  <si>
    <t>2026-04-09 12:41:10</t>
  </si>
  <si>
    <t>27793912561</t>
  </si>
  <si>
    <t>13863656</t>
  </si>
  <si>
    <t>7bbfcc98-f579-494e-955d-428d77e5ff05</t>
  </si>
  <si>
    <t>2026-04-09 12:21:21</t>
  </si>
  <si>
    <t>27823354647</t>
  </si>
  <si>
    <t>92e00363-3944-4571-ae73-85cb3955d072</t>
  </si>
  <si>
    <t>2026-04-09 12:04:57</t>
  </si>
  <si>
    <t>27760182408</t>
  </si>
  <si>
    <t>13862848</t>
  </si>
  <si>
    <t>dae0179d-f3b1-4eea-aeef-4f8337f9044a</t>
  </si>
  <si>
    <t>2026-04-09 11:56:32</t>
  </si>
  <si>
    <t>27795529675</t>
  </si>
  <si>
    <t>13862855</t>
  </si>
  <si>
    <t>44c7cab3-436d-43a8-b749-92e2e9e07966</t>
  </si>
  <si>
    <t>2026-04-09 11:53:59</t>
  </si>
  <si>
    <t>27798162849</t>
  </si>
  <si>
    <t>13862895</t>
  </si>
  <si>
    <t>6f853cd9-5cec-40bc-859f-d60550fb3154</t>
  </si>
  <si>
    <t>2026-04-09 11:46:26</t>
  </si>
  <si>
    <t>27648026129</t>
  </si>
  <si>
    <t>13862909</t>
  </si>
  <si>
    <t>fc026913-7222-4442-991e-dfde6b1dec6a</t>
  </si>
  <si>
    <t>2026-04-09 11:40:28</t>
  </si>
  <si>
    <t>27794717362</t>
  </si>
  <si>
    <t>13862916</t>
  </si>
  <si>
    <t>b9b8c51e-67c7-4fe5-8b05-8aa8aa4b2758</t>
  </si>
  <si>
    <t>2026-04-09 11:39:04</t>
  </si>
  <si>
    <t>27647448632</t>
  </si>
  <si>
    <t>13862919</t>
  </si>
  <si>
    <t>fa257ce8-3b38-4540-a574-978eb412e4e7</t>
  </si>
  <si>
    <t>2026-04-09 11:37:43</t>
  </si>
  <si>
    <t>27673681965</t>
  </si>
  <si>
    <t>13862939</t>
  </si>
  <si>
    <t>bf5b968e-183e-4c42-b970-d4f9137109d2</t>
  </si>
  <si>
    <t>2026-04-09 11:32:47</t>
  </si>
  <si>
    <t>27798086028</t>
  </si>
  <si>
    <t>13862942</t>
  </si>
  <si>
    <t>32dec3af-48af-4d01-8182-01c9fe5a9e83</t>
  </si>
  <si>
    <t>2026-04-09 11:30:17</t>
  </si>
  <si>
    <t>27827172781</t>
  </si>
  <si>
    <t>13861215</t>
  </si>
  <si>
    <t>3172032e-e920-442d-beac-2f07d3df3fe7</t>
  </si>
  <si>
    <t>2026-04-09 11:28:39</t>
  </si>
  <si>
    <t>27795960621</t>
  </si>
  <si>
    <t>13863971</t>
  </si>
  <si>
    <t>aea2e205-7623-464d-bfda-29abec130054</t>
  </si>
  <si>
    <t>2026-04-09 11:25:51</t>
  </si>
  <si>
    <t>27637643443</t>
  </si>
  <si>
    <t>13861328</t>
  </si>
  <si>
    <t>c7a99181-9a9c-48aa-932a-56a9c41bc9e5</t>
  </si>
  <si>
    <t>2026-04-09 11:24:34</t>
  </si>
  <si>
    <t>27760388381</t>
  </si>
  <si>
    <t>13862987</t>
  </si>
  <si>
    <t>b9da54a2-b48b-4039-b60e-eb2846cd4c4b</t>
  </si>
  <si>
    <t>2026-04-09 11:11:39</t>
  </si>
  <si>
    <t>27815635586</t>
  </si>
  <si>
    <t>13863009</t>
  </si>
  <si>
    <t>080e7a57-8a08-49b8-b783-a29c4149e5a3</t>
  </si>
  <si>
    <t>2026-04-09 11:06:03</t>
  </si>
  <si>
    <t>27720306927</t>
  </si>
  <si>
    <t>13861324</t>
  </si>
  <si>
    <t>1bf9fc12-cad0-4996-8b56-652bff44a33d</t>
  </si>
  <si>
    <t>2026-04-09 10:54:08</t>
  </si>
  <si>
    <t>27728929587</t>
  </si>
  <si>
    <t>13863065</t>
  </si>
  <si>
    <t>65ea469b-d899-40a9-ba8f-55d7c7a4a050</t>
  </si>
  <si>
    <t>2026-04-09 10:48:05</t>
  </si>
  <si>
    <t>27674835876</t>
  </si>
  <si>
    <t>13863082</t>
  </si>
  <si>
    <t>6a366f31-86e7-4ecb-a596-12623692cf4a</t>
  </si>
  <si>
    <t>2026-04-09 10:45:12</t>
  </si>
  <si>
    <t>27721099715</t>
  </si>
  <si>
    <t>13863077</t>
  </si>
  <si>
    <t>82ceafe6-ab17-45ae-b785-33a28d383b3b</t>
  </si>
  <si>
    <t>2026-04-09 10:43:35</t>
  </si>
  <si>
    <t>27715935020</t>
  </si>
  <si>
    <t>13863182</t>
  </si>
  <si>
    <t>4d597974-69da-4260-9151-6e3afc9ee87e</t>
  </si>
  <si>
    <t>2026-04-09 10:39:14</t>
  </si>
  <si>
    <t>27796877374</t>
  </si>
  <si>
    <t>13863156</t>
  </si>
  <si>
    <t>359c24eb-fe5d-41b9-84ad-929cf4877aae</t>
  </si>
  <si>
    <t>2026-04-09 10:31:41</t>
  </si>
  <si>
    <t>27774902592</t>
  </si>
  <si>
    <t>94e793d4-56c0-4765-b8b9-58104132b815</t>
  </si>
  <si>
    <t>2026-04-09 10:31:38</t>
  </si>
  <si>
    <t>27773573030</t>
  </si>
  <si>
    <t>13863154</t>
  </si>
  <si>
    <t>e3bd4ca0-c8f3-4463-8dec-0f3e1fc677de</t>
  </si>
  <si>
    <t>2026-04-09 10:31:32</t>
  </si>
  <si>
    <t>27772044700</t>
  </si>
  <si>
    <t>13863149</t>
  </si>
  <si>
    <t>313f2bc8-c23d-48bf-913c-7dff894400cf</t>
  </si>
  <si>
    <t>2026-04-09 10:30:32</t>
  </si>
  <si>
    <t>27768657216</t>
  </si>
  <si>
    <t>13863194</t>
  </si>
  <si>
    <t>fba1a98e-5a67-4233-bb70-863fe350b69a</t>
  </si>
  <si>
    <t>2026-04-09 10:24:52</t>
  </si>
  <si>
    <t>27798287784</t>
  </si>
  <si>
    <t>13863222</t>
  </si>
  <si>
    <t>0a8f1181-fece-4f45-bab7-345b5d6bc737</t>
  </si>
  <si>
    <t>2026-04-09 10:23:45</t>
  </si>
  <si>
    <t>27829274982</t>
  </si>
  <si>
    <t>13861304</t>
  </si>
  <si>
    <t>a1cc9c78-c9d9-4903-92ba-6d0e6101594a</t>
  </si>
  <si>
    <t>2026-04-09 10:21:58</t>
  </si>
  <si>
    <t>27723219096</t>
  </si>
  <si>
    <t>13863252</t>
  </si>
  <si>
    <t>58387c46-fbd3-4163-8ca0-235120bc3122</t>
  </si>
  <si>
    <t>2026-04-09 10:19:19</t>
  </si>
  <si>
    <t>27660126952</t>
  </si>
  <si>
    <t>13863265</t>
  </si>
  <si>
    <t>d290cfdb-a6c7-4e07-9049-e4a6a12264bc</t>
  </si>
  <si>
    <t>2026-04-09 10:17:53</t>
  </si>
  <si>
    <t>27711992466</t>
  </si>
  <si>
    <t>13863266</t>
  </si>
  <si>
    <t>1e26d599-9935-47c2-9dd4-5ea1862a688f</t>
  </si>
  <si>
    <t>27712132279</t>
  </si>
  <si>
    <t>13863282</t>
  </si>
  <si>
    <t>79028b44-6004-4702-88f3-d2c7047a6ae2</t>
  </si>
  <si>
    <t>2026-04-09 10:16:02</t>
  </si>
  <si>
    <t>27717139023</t>
  </si>
  <si>
    <t>13863606</t>
  </si>
  <si>
    <t>e0f3f4e1-f4f3-4bf9-8b87-05307a1cf1b9</t>
  </si>
  <si>
    <t>2026-04-09 10:11:24</t>
  </si>
  <si>
    <t>27790767930</t>
  </si>
  <si>
    <t>13863605</t>
  </si>
  <si>
    <t>6dd0a7f2-f1f1-4d84-a361-984520253dca</t>
  </si>
  <si>
    <t>2026-04-09 10:11:23</t>
  </si>
  <si>
    <t>27790752322</t>
  </si>
  <si>
    <t>13861293</t>
  </si>
  <si>
    <t>34dbb545-419e-4c87-a9e3-12162f1c683f</t>
  </si>
  <si>
    <t>2026-04-09 10:10:45</t>
  </si>
  <si>
    <t>27720828961</t>
  </si>
  <si>
    <t>13864144</t>
  </si>
  <si>
    <t>773afb9a-62fc-4d1d-9e43-7074939342c1</t>
  </si>
  <si>
    <t>2026-04-09 10:09:41</t>
  </si>
  <si>
    <t>27768384574</t>
  </si>
  <si>
    <t>13863451</t>
  </si>
  <si>
    <t>f437f3ac-05af-4070-b242-f717b8dcfb09</t>
  </si>
  <si>
    <t>2026-04-09 10:07:31</t>
  </si>
  <si>
    <t>27827501736</t>
  </si>
  <si>
    <t>13863441</t>
  </si>
  <si>
    <t>06e83ccb-6791-4042-8502-b70fe9a76a98</t>
  </si>
  <si>
    <t>2026-04-09 10:06:53</t>
  </si>
  <si>
    <t>27825945822</t>
  </si>
  <si>
    <t>13863437</t>
  </si>
  <si>
    <t>1e1e0079-708b-4cff-ab2e-1ecbc9832f74</t>
  </si>
  <si>
    <t>2026-04-09 10:04:39</t>
  </si>
  <si>
    <t>27824531939</t>
  </si>
  <si>
    <t>13863579</t>
  </si>
  <si>
    <t>ddf40794-0811-43e7-84b5-ad5a6eff32fb</t>
  </si>
  <si>
    <t>2026-04-09 10:04:09</t>
  </si>
  <si>
    <t>27766171634</t>
  </si>
  <si>
    <t>13863478</t>
  </si>
  <si>
    <t>8fae9a58-8c44-4642-8c2a-a63f7fe2fc3a</t>
  </si>
  <si>
    <t>2026-04-09 10:01:07</t>
  </si>
  <si>
    <t>27647460640</t>
  </si>
  <si>
    <t>13863551</t>
  </si>
  <si>
    <t>5bab3e22-02fd-4d5c-999e-4d415d972bb8</t>
  </si>
  <si>
    <t>2026-04-09 09:59:18</t>
  </si>
  <si>
    <t>27727681887</t>
  </si>
  <si>
    <t>13863496</t>
  </si>
  <si>
    <t>7c740a45-4617-484b-944b-c45fbaaa37a0</t>
  </si>
  <si>
    <t>2026-04-09 09:58:02</t>
  </si>
  <si>
    <t>27674501940</t>
  </si>
  <si>
    <t>13863543</t>
  </si>
  <si>
    <t>c8599e9f-e1a9-41a6-82d1-b81e99df9340</t>
  </si>
  <si>
    <t>2026-04-09 09:57:07</t>
  </si>
  <si>
    <t>27726736634</t>
  </si>
  <si>
    <t>13863529</t>
  </si>
  <si>
    <t>267ef414-414f-49df-8028-0b1b5c057c67</t>
  </si>
  <si>
    <t>2026-04-09 09:54:35</t>
  </si>
  <si>
    <t>27723057686</t>
  </si>
  <si>
    <t>13863809</t>
  </si>
  <si>
    <t>6ab7d1c5-99a3-447a-b8eb-997b7310e871</t>
  </si>
  <si>
    <t>2026-04-09 09:53:08</t>
  </si>
  <si>
    <t>27729576013</t>
  </si>
  <si>
    <t>13863830</t>
  </si>
  <si>
    <t>7a72d707-d832-46b5-a8ee-584d241b7d3e</t>
  </si>
  <si>
    <t>2026-04-09 09:48:38</t>
  </si>
  <si>
    <t>27764993019</t>
  </si>
  <si>
    <t>13863869</t>
  </si>
  <si>
    <t>f6785edb-19da-4be6-aa7d-845a145c1baf</t>
  </si>
  <si>
    <t>2026-04-09 09:46:11</t>
  </si>
  <si>
    <t>27793680220</t>
  </si>
  <si>
    <t>13864803</t>
  </si>
  <si>
    <t>7d5df9dd-af80-4446-85d9-0109131f6dac</t>
  </si>
  <si>
    <t>2026-04-09 09:44:50</t>
  </si>
  <si>
    <t>27607230068</t>
  </si>
  <si>
    <t>13863670</t>
  </si>
  <si>
    <t>1c0f0c45-0dff-455c-a771-6fcecb57d00b</t>
  </si>
  <si>
    <t>2026-04-09 09:44:39</t>
  </si>
  <si>
    <t>27826393850</t>
  </si>
  <si>
    <t>13863904</t>
  </si>
  <si>
    <t>4139c61c-dc1c-4d33-9a0c-d0668641af11</t>
  </si>
  <si>
    <t>2026-04-09 09:43:29</t>
  </si>
  <si>
    <t>27818196114</t>
  </si>
  <si>
    <t>13863911</t>
  </si>
  <si>
    <t>a97a4f43-52f8-4d7e-a20b-e48db83988d5</t>
  </si>
  <si>
    <t>2026-04-09 09:43:23</t>
  </si>
  <si>
    <t>27822354100</t>
  </si>
  <si>
    <t>13863924</t>
  </si>
  <si>
    <t>e5bca91e-b682-4b33-91e0-23c95e05644b</t>
  </si>
  <si>
    <t>2026-04-09 09:42:38</t>
  </si>
  <si>
    <t>27825002807</t>
  </si>
  <si>
    <t>13863925</t>
  </si>
  <si>
    <t>0269ebfd-8423-4012-931f-a9885d9c47f4</t>
  </si>
  <si>
    <t>27825186109</t>
  </si>
  <si>
    <t>9e955c59-08df-437f-ad15-afa51b34bba3</t>
  </si>
  <si>
    <t>2026-04-09 09:40:04</t>
  </si>
  <si>
    <t>27609476857</t>
  </si>
  <si>
    <t>13863996</t>
  </si>
  <si>
    <t>7b4cb376-a5f4-49cf-92e6-8145ca5c6363</t>
  </si>
  <si>
    <t>2026-04-09 09:38:43</t>
  </si>
  <si>
    <t>27661216974</t>
  </si>
  <si>
    <t>13864016</t>
  </si>
  <si>
    <t>915b965a-79fc-4962-bf89-7d4b3906f3b6</t>
  </si>
  <si>
    <t>2026-04-09 09:37:12</t>
  </si>
  <si>
    <t>27711602770</t>
  </si>
  <si>
    <t>13864026</t>
  </si>
  <si>
    <t>30cd585a-dccb-4747-a9cb-ba8d503fb8a6</t>
  </si>
  <si>
    <t>2026-04-09 09:36:33</t>
  </si>
  <si>
    <t>27713371044</t>
  </si>
  <si>
    <t>13864095</t>
  </si>
  <si>
    <t>1fb346c5-7592-4842-ae3c-614151861800</t>
  </si>
  <si>
    <t>2026-04-09 09:33:44</t>
  </si>
  <si>
    <t>27760305915</t>
  </si>
  <si>
    <t>13864135</t>
  </si>
  <si>
    <t>0828d914-d55a-4309-b288-1164ad4b354a</t>
  </si>
  <si>
    <t>2026-04-09 09:32:00</t>
  </si>
  <si>
    <t>27767146165</t>
  </si>
  <si>
    <t>13864158</t>
  </si>
  <si>
    <t>bcba73f2-51d5-499d-a3d9-4ffc5a61ae30</t>
  </si>
  <si>
    <t>2026-04-09 09:30:08</t>
  </si>
  <si>
    <t>27772635326</t>
  </si>
  <si>
    <t>13864160</t>
  </si>
  <si>
    <t>785a7276-9570-4844-8fe9-08e5f6d3736d</t>
  </si>
  <si>
    <t>2026-04-09 09:30:00</t>
  </si>
  <si>
    <t>27772932338</t>
  </si>
  <si>
    <t>13861425</t>
  </si>
  <si>
    <t>5b9aa7b7-0e68-46de-a970-546ebb4f5271</t>
  </si>
  <si>
    <t>2026-04-09 09:29:06</t>
  </si>
  <si>
    <t>27609560469</t>
  </si>
  <si>
    <t>13861408</t>
  </si>
  <si>
    <t>0f6a3bc2-f516-4128-9cf2-5f064ef38a06</t>
  </si>
  <si>
    <t>2026-04-09 09:27:42</t>
  </si>
  <si>
    <t>27827666908</t>
  </si>
  <si>
    <t>13864184</t>
  </si>
  <si>
    <t>3eb135ee-cdfa-47d1-a373-392d08ac4e95</t>
  </si>
  <si>
    <t>2026-04-09 09:26:42</t>
  </si>
  <si>
    <t>27795429518</t>
  </si>
  <si>
    <t>13864255</t>
  </si>
  <si>
    <t>7da9dfb8-f6af-4821-85e5-f7a95fa040f2</t>
  </si>
  <si>
    <t>2026-04-09 09:21:38</t>
  </si>
  <si>
    <t>27609018176</t>
  </si>
  <si>
    <t>13864301</t>
  </si>
  <si>
    <t>b9460701-4682-4b0a-85fe-37e6e9df7adf</t>
  </si>
  <si>
    <t>2026-04-09 09:19:52</t>
  </si>
  <si>
    <t>27713198571</t>
  </si>
  <si>
    <t>13864308</t>
  </si>
  <si>
    <t>df66b404-193f-4d6f-b684-d2b8f68c6eab</t>
  </si>
  <si>
    <t>2026-04-09 09:18:37</t>
  </si>
  <si>
    <t>27714310958</t>
  </si>
  <si>
    <t>13864378</t>
  </si>
  <si>
    <t>bd308e74-0197-4735-834d-d1d43ff20bac</t>
  </si>
  <si>
    <t>2026-04-09 09:16:25</t>
  </si>
  <si>
    <t>27729862010</t>
  </si>
  <si>
    <t>13864364</t>
  </si>
  <si>
    <t>5f4eeafa-7473-4e21-85f3-37fd96cf1a04</t>
  </si>
  <si>
    <t>2026-04-09 09:15:09</t>
  </si>
  <si>
    <t>27726848787</t>
  </si>
  <si>
    <t>13864403</t>
  </si>
  <si>
    <t>64870e1b-c99c-4313-8654-63632f66fc7f</t>
  </si>
  <si>
    <t>2026-04-09 09:13:22</t>
  </si>
  <si>
    <t>27764715383</t>
  </si>
  <si>
    <t>13864152</t>
  </si>
  <si>
    <t>fa11c3ca-bccb-4552-99c3-2fbb84826141</t>
  </si>
  <si>
    <t>2026-04-09 09:12:12</t>
  </si>
  <si>
    <t>27769136639</t>
  </si>
  <si>
    <t>13864427</t>
  </si>
  <si>
    <t>85019aae-2ad0-40f9-afc6-25535131e2a9</t>
  </si>
  <si>
    <t>2026-04-09 09:11:38</t>
  </si>
  <si>
    <t>27790535270</t>
  </si>
  <si>
    <t>13864679</t>
  </si>
  <si>
    <t>051bd0cf-3522-4610-9dc4-6fe3d73804c3</t>
  </si>
  <si>
    <t>2026-04-09 09:08:21</t>
  </si>
  <si>
    <t>27761468129</t>
  </si>
  <si>
    <t>13864508</t>
  </si>
  <si>
    <t>df55f1e0-4f47-416f-af85-24bf9f5ba414</t>
  </si>
  <si>
    <t>2026-04-09 09:04:39</t>
  </si>
  <si>
    <t>27825131744</t>
  </si>
  <si>
    <t>13864582</t>
  </si>
  <si>
    <t>d3c2e33c-ca83-453b-84b5-c140edc61cf6</t>
  </si>
  <si>
    <t>2026-04-09 09:00:07</t>
  </si>
  <si>
    <t>27712115811</t>
  </si>
  <si>
    <t>13864593</t>
  </si>
  <si>
    <t>6aba9933-d57b-4213-b0c4-29c1c2ea520b</t>
  </si>
  <si>
    <t>2026-04-09 08:59:19</t>
  </si>
  <si>
    <t>27714462834</t>
  </si>
  <si>
    <t>13864341</t>
  </si>
  <si>
    <t>4bf566f0-1821-43d7-bc05-4ed88a6e9465</t>
  </si>
  <si>
    <t>2026-04-09 08:58:30</t>
  </si>
  <si>
    <t>27723901647</t>
  </si>
  <si>
    <t>13864611</t>
  </si>
  <si>
    <t>9ad97a0e-686b-451b-8449-f2d60692c275</t>
  </si>
  <si>
    <t>2026-04-09 08:58:04</t>
  </si>
  <si>
    <t>27720390989</t>
  </si>
  <si>
    <t>13864634</t>
  </si>
  <si>
    <t>38b43e35-ed68-42fb-bc55-7f6adf5d1c9f</t>
  </si>
  <si>
    <t>2026-04-09 08:57:19</t>
  </si>
  <si>
    <t>27723774609</t>
  </si>
  <si>
    <t>13864673</t>
  </si>
  <si>
    <t>d83e9969-16ec-4e39-9516-64f2cc0101df</t>
  </si>
  <si>
    <t>2026-04-09 08:53:05</t>
  </si>
  <si>
    <t>27760778499</t>
  </si>
  <si>
    <t>13864712</t>
  </si>
  <si>
    <t>b83d2c36-e7fb-4ce0-89f1-39c9c5179fba</t>
  </si>
  <si>
    <t>2026-04-09 08:50:55</t>
  </si>
  <si>
    <t>27767970698</t>
  </si>
  <si>
    <t>13865056</t>
  </si>
  <si>
    <t>46438852-bc0a-4ffd-8437-fe3b2cb7bbb9</t>
  </si>
  <si>
    <t>2026-04-09 08:50:34</t>
  </si>
  <si>
    <t>27606560710</t>
  </si>
  <si>
    <t>13864829</t>
  </si>
  <si>
    <t>aaadad31-af8c-4cdf-9705-e648379f98d9</t>
  </si>
  <si>
    <t>2026-04-09 08:46:39</t>
  </si>
  <si>
    <t>27648991864</t>
  </si>
  <si>
    <t>13864849</t>
  </si>
  <si>
    <t>b98b8146-f4d4-4ed4-b746-99c0e64c1186</t>
  </si>
  <si>
    <t>2026-04-09 08:45:58</t>
  </si>
  <si>
    <t>27664938878</t>
  </si>
  <si>
    <t>13864873</t>
  </si>
  <si>
    <t>42aa37d2-1af4-4626-b342-f6360606ede5</t>
  </si>
  <si>
    <t>2026-04-09 08:45:13</t>
  </si>
  <si>
    <t>27713732059</t>
  </si>
  <si>
    <t>13864976</t>
  </si>
  <si>
    <t>90295f92-7fc7-4e51-b5ef-9bc79c97ee44</t>
  </si>
  <si>
    <t>2026-04-09 08:40:06</t>
  </si>
  <si>
    <t>27792631917</t>
  </si>
  <si>
    <t>13865046</t>
  </si>
  <si>
    <t>0bd9d810-764a-4188-bdac-747cfa6c6287</t>
  </si>
  <si>
    <t>2026-04-09 08:35:33</t>
  </si>
  <si>
    <t>27827551661</t>
  </si>
  <si>
    <t>13865089</t>
  </si>
  <si>
    <t>2db2df71-e76a-4d4a-ab97-7288b1b1618e</t>
  </si>
  <si>
    <t>2026-04-09 08:34:59</t>
  </si>
  <si>
    <t>27663528229</t>
  </si>
  <si>
    <t>13865097</t>
  </si>
  <si>
    <t>b24d7f58-1fe0-4a71-93ba-c27c8944b1ac</t>
  </si>
  <si>
    <t>2026-04-09 08:34:11</t>
  </si>
  <si>
    <t>27665826082</t>
  </si>
  <si>
    <t>13865111</t>
  </si>
  <si>
    <t>cfbfbc6f-dcb5-4e0d-a833-4edd2df72dc0</t>
  </si>
  <si>
    <t>2026-04-09 08:34:04</t>
  </si>
  <si>
    <t>27711373443</t>
  </si>
  <si>
    <t>13865139</t>
  </si>
  <si>
    <t>5f927bee-56a2-40c5-acc8-a8ed8abac5e1</t>
  </si>
  <si>
    <t>2026-04-09 08:33:57</t>
  </si>
  <si>
    <t>27722267757</t>
  </si>
  <si>
    <t>13862016</t>
  </si>
  <si>
    <t>24545f50-84e7-4420-859a-0f54ec87ed45</t>
  </si>
  <si>
    <t>2026-04-09 06:49:09</t>
  </si>
  <si>
    <t>27766487704</t>
  </si>
  <si>
    <t>13865257</t>
  </si>
  <si>
    <t>90a73867-3b0d-417f-8e71-d7420cce21fd</t>
  </si>
  <si>
    <t>2026-04-09 06:46:22</t>
  </si>
  <si>
    <t>27790490591</t>
  </si>
  <si>
    <t>13864941</t>
  </si>
  <si>
    <t>d07cee5d-7444-452d-a1c8-0c9083b34754</t>
  </si>
  <si>
    <t>2026-04-09 06:44:04</t>
  </si>
  <si>
    <t>27764974598</t>
  </si>
  <si>
    <t>13862011</t>
  </si>
  <si>
    <t>b8e75762-2195-4410-98dc-fe98ac5262c9</t>
  </si>
  <si>
    <t>2026-04-09 06:42:27</t>
  </si>
  <si>
    <t>27764317739</t>
  </si>
  <si>
    <t>13865325</t>
  </si>
  <si>
    <t>a46dcdad-a9c9-4641-a0b1-cf0fb46bdd66</t>
  </si>
  <si>
    <t>2026-04-09 06:41:17</t>
  </si>
  <si>
    <t>27828695911</t>
  </si>
  <si>
    <t>13864859</t>
  </si>
  <si>
    <t>60e2c67f-668f-48bd-b272-0f4d534399ff</t>
  </si>
  <si>
    <t>2026-04-09 06:40:06</t>
  </si>
  <si>
    <t>27710890897</t>
  </si>
  <si>
    <t>13865351</t>
  </si>
  <si>
    <t>ad38037a-f991-446b-8479-59d9b463c746</t>
  </si>
  <si>
    <t>2026-04-09 06:38:34</t>
  </si>
  <si>
    <t>27637638502</t>
  </si>
  <si>
    <t>13865423</t>
  </si>
  <si>
    <t>d5f31cd0-41fe-49b0-9610-a9443e617da0</t>
  </si>
  <si>
    <t>2026-04-09 06:32:47</t>
  </si>
  <si>
    <t>27722010755</t>
  </si>
  <si>
    <t>13865441</t>
  </si>
  <si>
    <t>840925af-aa48-4a71-a494-0d72e05a4d48</t>
  </si>
  <si>
    <t>2026-04-09 06:30:33</t>
  </si>
  <si>
    <t>27726724824</t>
  </si>
  <si>
    <t>13861999</t>
  </si>
  <si>
    <t>a4db5b65-d90e-476a-9dae-912df94dd683</t>
  </si>
  <si>
    <t>2026-04-09 06:29:28</t>
  </si>
  <si>
    <t>27760379009</t>
  </si>
  <si>
    <t>13861996</t>
  </si>
  <si>
    <t>23c0c727-9bde-4ae7-b5f9-0ad3da53b856</t>
  </si>
  <si>
    <t>2026-04-09 06:28:51</t>
  </si>
  <si>
    <t>27729882445</t>
  </si>
  <si>
    <t>13865475</t>
  </si>
  <si>
    <t>e98d4c0f-ed60-4312-9c3e-3de030f67848</t>
  </si>
  <si>
    <t>2026-04-09 06:23:30</t>
  </si>
  <si>
    <t>27761823817</t>
  </si>
  <si>
    <t>13865588</t>
  </si>
  <si>
    <t>d554c9e4-8eb1-4a0a-b442-673f20d09e5d</t>
  </si>
  <si>
    <t>2026-04-09 06:18:07</t>
  </si>
  <si>
    <t>27847611707</t>
  </si>
  <si>
    <t>13865663</t>
  </si>
  <si>
    <t>7b388474-8956-4188-9a41-f1d90a773ad1</t>
  </si>
  <si>
    <t>2026-04-09 06:12:24</t>
  </si>
  <si>
    <t>27713136322</t>
  </si>
  <si>
    <t>13865042</t>
  </si>
  <si>
    <t>6c09f0db-adc1-4742-ac85-e4aa180b81da</t>
  </si>
  <si>
    <t>2026-04-09 06:11:39</t>
  </si>
  <si>
    <t>27826240011</t>
  </si>
  <si>
    <t>13865055</t>
  </si>
  <si>
    <t>1c82da9b-4a67-46e0-9ab5-773cd5a5768f</t>
  </si>
  <si>
    <t>2026-04-09 06:08:25</t>
  </si>
  <si>
    <t>27606330698</t>
  </si>
  <si>
    <t>13865699</t>
  </si>
  <si>
    <t>14f0340f-1e4f-44bf-9af9-4ea2d78bdf08</t>
  </si>
  <si>
    <t>2026-04-09 06:03:50</t>
  </si>
  <si>
    <t>27725647135</t>
  </si>
  <si>
    <t>13865072</t>
  </si>
  <si>
    <t>c22eec46-a574-4b74-8bab-37866c26ab34</t>
  </si>
  <si>
    <t>2026-04-09 06:03:37</t>
  </si>
  <si>
    <t>27646165350</t>
  </si>
  <si>
    <t>13865124</t>
  </si>
  <si>
    <t>7bf9d486-b0ae-40b4-8848-d0242e7782a0</t>
  </si>
  <si>
    <t>2026-04-08 14:53:00</t>
  </si>
  <si>
    <t>27714225557</t>
  </si>
  <si>
    <t>13865143</t>
  </si>
  <si>
    <t>6e6b0db2-dc2f-434c-8ce7-2b05cb929918</t>
  </si>
  <si>
    <t>2026-04-08 14:46:36</t>
  </si>
  <si>
    <t>27723179826</t>
  </si>
  <si>
    <t>13865725</t>
  </si>
  <si>
    <t>6cab839e-1ea1-4c67-b6e8-1a091b113448</t>
  </si>
  <si>
    <t>2026-04-08 14:44:36</t>
  </si>
  <si>
    <t>27760647031</t>
  </si>
  <si>
    <t>13865163</t>
  </si>
  <si>
    <t>08a59af4-cb48-42bc-a2ea-04f2b9a68ab1</t>
  </si>
  <si>
    <t>2026-04-08 14:43:34</t>
  </si>
  <si>
    <t>27725137188</t>
  </si>
  <si>
    <t>13865178</t>
  </si>
  <si>
    <t>d60a922a-9a0b-4d18-8d4d-7d6f68304345</t>
  </si>
  <si>
    <t>2026-04-08 14:40:43</t>
  </si>
  <si>
    <t>27727601448</t>
  </si>
  <si>
    <t>13865177</t>
  </si>
  <si>
    <t>1a710145-dd9a-46f9-a037-6ae83f372bf8</t>
  </si>
  <si>
    <t>2026-04-08 14:40:13</t>
  </si>
  <si>
    <t>27727576148</t>
  </si>
  <si>
    <t>13865185</t>
  </si>
  <si>
    <t>1cd4b0e0-0900-45e7-a6c3-c12d57815161</t>
  </si>
  <si>
    <t>2026-04-08 14:39:13</t>
  </si>
  <si>
    <t>27729001734</t>
  </si>
  <si>
    <t>13865210</t>
  </si>
  <si>
    <t>9b71964d-3241-4bb5-b4eb-11b0fa9b5d6b</t>
  </si>
  <si>
    <t>2026-04-08 14:34:50</t>
  </si>
  <si>
    <t>27763757931</t>
  </si>
  <si>
    <t>13865280</t>
  </si>
  <si>
    <t>def8a08d-c406-4030-a559-f69fce346c86</t>
  </si>
  <si>
    <t>2026-04-08 14:21:09</t>
  </si>
  <si>
    <t>27794372196</t>
  </si>
  <si>
    <t>13865294</t>
  </si>
  <si>
    <t>2ac89700-3952-4cfe-b4b9-8f79402ba9eb</t>
  </si>
  <si>
    <t>2026-04-08 14:19:45</t>
  </si>
  <si>
    <t>27799387752</t>
  </si>
  <si>
    <t>13862659</t>
  </si>
  <si>
    <t>d845ef55-1562-4859-b511-d20923112b3b</t>
  </si>
  <si>
    <t>2026-04-08 14:13:46</t>
  </si>
  <si>
    <t>27772986239</t>
  </si>
  <si>
    <t>13865314</t>
  </si>
  <si>
    <t>5ba57eb1-54c0-424b-9c5f-ab3c19d010c2</t>
  </si>
  <si>
    <t>2026-04-08 13:44:41</t>
  </si>
  <si>
    <t>27825810862</t>
  </si>
  <si>
    <t>13865885</t>
  </si>
  <si>
    <t>796fbb62-04a7-436c-8971-6d5e9e9464d2</t>
  </si>
  <si>
    <t>2026-04-08 13:31:24</t>
  </si>
  <si>
    <t>27607234880</t>
  </si>
  <si>
    <t>13865886</t>
  </si>
  <si>
    <t>9a39f90f-b66d-40c7-866e-d3774d9e6d0b</t>
  </si>
  <si>
    <t>2026-04-08 13:31:18</t>
  </si>
  <si>
    <t>27607329632</t>
  </si>
  <si>
    <t>13865894</t>
  </si>
  <si>
    <t>dbce8904-ecb4-4975-8a8e-c2d348d1cc77</t>
  </si>
  <si>
    <t>2026-04-08 13:28:26</t>
  </si>
  <si>
    <t>27636058161</t>
  </si>
  <si>
    <t>13865490</t>
  </si>
  <si>
    <t>a6fd4b05-1937-424d-a23e-cc6906d40a71</t>
  </si>
  <si>
    <t>2026-04-08 13:21:36</t>
  </si>
  <si>
    <t>27765270583</t>
  </si>
  <si>
    <t>13865906</t>
  </si>
  <si>
    <t>c70aa0df-d089-4bdc-a5b7-be3f90d9f9db</t>
  </si>
  <si>
    <t>2026-04-08 13:18:32</t>
  </si>
  <si>
    <t>27646993535</t>
  </si>
  <si>
    <t>13865410</t>
  </si>
  <si>
    <t>a46ab09a-d4ca-4a43-a270-be5e9ccc498e</t>
  </si>
  <si>
    <t>2026-04-08 13:16:22</t>
  </si>
  <si>
    <t>27716647390</t>
  </si>
  <si>
    <t>13865918</t>
  </si>
  <si>
    <t>4ae7d82c-df45-484c-9c81-cb577b927ebf</t>
  </si>
  <si>
    <t>2026-04-08 13:08:20</t>
  </si>
  <si>
    <t>27660454127</t>
  </si>
  <si>
    <t>13865471</t>
  </si>
  <si>
    <t>52280f74-1120-49f4-8b9a-696690958d42</t>
  </si>
  <si>
    <t>2026-04-08 13:01:25</t>
  </si>
  <si>
    <t>27760825825</t>
  </si>
  <si>
    <t>13865946</t>
  </si>
  <si>
    <t>daee67f3-ad31-4b6d-9122-6d6fd11f81bc</t>
  </si>
  <si>
    <t>2026-04-08 12:59:48</t>
  </si>
  <si>
    <t>27712203384</t>
  </si>
  <si>
    <t>13865956</t>
  </si>
  <si>
    <t>f6dc046a-0b66-4eea-8331-844337e30b47</t>
  </si>
  <si>
    <t>2026-04-08 12:52:19</t>
  </si>
  <si>
    <t>27712922986</t>
  </si>
  <si>
    <t>41e63650-ec25-44b9-b1a6-d2ba195930ec</t>
  </si>
  <si>
    <t>2026-04-08 12:43:41</t>
  </si>
  <si>
    <t>27796455452</t>
  </si>
  <si>
    <t>0e318367-8b58-4e6a-a6af-9aafb3732d01</t>
  </si>
  <si>
    <t>2026-04-08 12:43:24</t>
  </si>
  <si>
    <t>27716754089</t>
  </si>
  <si>
    <t>13865978</t>
  </si>
  <si>
    <t>d85470ef-e605-4337-bdb4-fadc7acfba35</t>
  </si>
  <si>
    <t>2026-04-08 12:41:24</t>
  </si>
  <si>
    <t>27721398373</t>
  </si>
  <si>
    <t>13865568</t>
  </si>
  <si>
    <t>270ae61a-6c75-4fc7-90ca-11376eef228f</t>
  </si>
  <si>
    <t>2026-04-08 12:38:48</t>
  </si>
  <si>
    <t>27825302499</t>
  </si>
  <si>
    <t>e1482b03-413f-488e-b402-1364bf401e2e</t>
  </si>
  <si>
    <t>2026-04-08 12:38:25</t>
  </si>
  <si>
    <t>27722520726</t>
  </si>
  <si>
    <t>13865573</t>
  </si>
  <si>
    <t>8c175480-207a-435d-8544-42fee0629d38</t>
  </si>
  <si>
    <t>2026-04-08 12:36:14</t>
  </si>
  <si>
    <t>27826301625</t>
  </si>
  <si>
    <t>13865606</t>
  </si>
  <si>
    <t>1ce46379-fb69-4104-9a68-748444cba153</t>
  </si>
  <si>
    <t>2026-04-08 12:25:48</t>
  </si>
  <si>
    <t>27636685565</t>
  </si>
  <si>
    <t>13861185</t>
  </si>
  <si>
    <t>240af164-f67d-4c8d-9da2-770bd6b72099</t>
  </si>
  <si>
    <t>2026-04-08 12:24:16</t>
  </si>
  <si>
    <t>27767707931</t>
  </si>
  <si>
    <t>13865622</t>
  </si>
  <si>
    <t>88999ec7-922b-4309-ba8b-96084338134d</t>
  </si>
  <si>
    <t>2026-04-08 12:24:06</t>
  </si>
  <si>
    <t>27661042873</t>
  </si>
  <si>
    <t>13865629</t>
  </si>
  <si>
    <t>d9ed3430-d18b-4a71-abfa-1fabb90f8520</t>
  </si>
  <si>
    <t>2026-04-08 12:22:22</t>
  </si>
  <si>
    <t>27663212593</t>
  </si>
  <si>
    <t>13865652</t>
  </si>
  <si>
    <t>73f87f6e-397d-4fb3-a3ea-b95a89465368</t>
  </si>
  <si>
    <t>2026-04-08 12:15:55</t>
  </si>
  <si>
    <t>27711615812</t>
  </si>
  <si>
    <t>13865657</t>
  </si>
  <si>
    <t>44150bbe-a6c3-44b0-99fa-13eda8d5639b</t>
  </si>
  <si>
    <t>2026-04-08 12:15:11</t>
  </si>
  <si>
    <t>27712382561</t>
  </si>
  <si>
    <t>13865672</t>
  </si>
  <si>
    <t>39768288-0cc1-436c-a831-fef301b6e436</t>
  </si>
  <si>
    <t>2026-04-08 12:12:38</t>
  </si>
  <si>
    <t>27715647454</t>
  </si>
  <si>
    <t>13865676</t>
  </si>
  <si>
    <t>7a7bc1b7-9a71-4577-ae25-28153cd23590</t>
  </si>
  <si>
    <t>2026-04-08 12:10:44</t>
  </si>
  <si>
    <t>27717564047</t>
  </si>
  <si>
    <t>13866035</t>
  </si>
  <si>
    <t>3770944c-631e-4ad5-a8c4-ddae38021452</t>
  </si>
  <si>
    <t>2026-04-08 12:10:23</t>
  </si>
  <si>
    <t>27760771150</t>
  </si>
  <si>
    <t>13866041</t>
  </si>
  <si>
    <t>1f751596-c582-4e10-9d14-62ad656c370c</t>
  </si>
  <si>
    <t>2026-04-08 12:09:03</t>
  </si>
  <si>
    <t>27762468036</t>
  </si>
  <si>
    <t>13865688</t>
  </si>
  <si>
    <t>300a0f0c-31b2-48df-8dcd-d1d0eaacfd6f</t>
  </si>
  <si>
    <t>2026-04-08 12:07:52</t>
  </si>
  <si>
    <t>27723060060</t>
  </si>
  <si>
    <t>13866045</t>
  </si>
  <si>
    <t>dcb758ad-0016-4206-a450-7b150120b6f3</t>
  </si>
  <si>
    <t>2026-04-08 12:07:17</t>
  </si>
  <si>
    <t>27763212555</t>
  </si>
  <si>
    <t>13866049</t>
  </si>
  <si>
    <t>dd3f0a9d-2e72-4d0b-897f-be41a8c9c06a</t>
  </si>
  <si>
    <t>2026-04-08 12:05:59</t>
  </si>
  <si>
    <t>27764590916</t>
  </si>
  <si>
    <t>13866050</t>
  </si>
  <si>
    <t>8b3c3703-20fc-49db-ad46-cd23c9b79351</t>
  </si>
  <si>
    <t>27764669106</t>
  </si>
  <si>
    <t>13866069</t>
  </si>
  <si>
    <t>de50b2ef-0311-4323-a3de-13981ba50685</t>
  </si>
  <si>
    <t>2026-04-08 12:02:54</t>
  </si>
  <si>
    <t>27769663828</t>
  </si>
  <si>
    <t>13866064</t>
  </si>
  <si>
    <t>ca4fe86b-4506-4f99-9de7-a9ca81c94208</t>
  </si>
  <si>
    <t>2026-04-08 12:02:04</t>
  </si>
  <si>
    <t>27768587449</t>
  </si>
  <si>
    <t>13866065</t>
  </si>
  <si>
    <t>715fe9e3-64dc-49b4-96a9-0aeb18c66166</t>
  </si>
  <si>
    <t>2026-04-08 12:00:21</t>
  </si>
  <si>
    <t>27769205997</t>
  </si>
  <si>
    <t>13861122</t>
  </si>
  <si>
    <t>b12d0729-61f7-4a00-a1f4-29b978f4473e</t>
  </si>
  <si>
    <t>2026-04-08 11:55:56</t>
  </si>
  <si>
    <t>27674843965</t>
  </si>
  <si>
    <t>13863613</t>
  </si>
  <si>
    <t>a1bbd98c-dbfb-42ab-a153-fd486001cafe</t>
  </si>
  <si>
    <t>2026-04-08 11:52:54</t>
  </si>
  <si>
    <t>27792429834</t>
  </si>
  <si>
    <t>13865767</t>
  </si>
  <si>
    <t>9ac48009-2db3-4865-a449-8368c9f63c41</t>
  </si>
  <si>
    <t>2026-04-08 11:49:17</t>
  </si>
  <si>
    <t>27766384174</t>
  </si>
  <si>
    <t>13865783</t>
  </si>
  <si>
    <t>ababd232-b51c-425b-8c78-96e0f0f26418</t>
  </si>
  <si>
    <t>2026-04-08 11:43:19</t>
  </si>
  <si>
    <t>27769804857</t>
  </si>
  <si>
    <t>13865803</t>
  </si>
  <si>
    <t>34dc2bb3-d366-4656-8089-06fb313c3aae</t>
  </si>
  <si>
    <t>2026-04-08 11:37:04</t>
  </si>
  <si>
    <t>27792936349</t>
  </si>
  <si>
    <t>13865813</t>
  </si>
  <si>
    <t>170d0358-ad89-415a-bc09-647e0317f406</t>
  </si>
  <si>
    <t>2026-04-08 11:35:55</t>
  </si>
  <si>
    <t>27794886742</t>
  </si>
  <si>
    <t>13865830</t>
  </si>
  <si>
    <t>f10361e3-891d-44f2-add9-1366360d480b</t>
  </si>
  <si>
    <t>2026-04-08 10:39:25</t>
  </si>
  <si>
    <t>27799541600</t>
  </si>
  <si>
    <t>13861157</t>
  </si>
  <si>
    <t>b75fd262-9f6a-4f3a-92d2-fd932e77e291</t>
  </si>
  <si>
    <t>2026-04-08 10:39:20</t>
  </si>
  <si>
    <t>27726918068</t>
  </si>
  <si>
    <t>13861154</t>
  </si>
  <si>
    <t>c5c85ec8-8996-4265-b71f-aafa604489d7</t>
  </si>
  <si>
    <t>2026-04-08 10:36:18</t>
  </si>
  <si>
    <t>27725566825</t>
  </si>
  <si>
    <t>13865879</t>
  </si>
  <si>
    <t>3d1fc18e-e809-4950-aee5-e89935e30662</t>
  </si>
  <si>
    <t>2026-04-08 10:32:57</t>
  </si>
  <si>
    <t>27834180337</t>
  </si>
  <si>
    <t>13861138</t>
  </si>
  <si>
    <t>9c4f6d52-8657-4df5-a17e-59b232094a56</t>
  </si>
  <si>
    <t>2026-04-08 10:31:01</t>
  </si>
  <si>
    <t>27721187654</t>
  </si>
  <si>
    <t>13861106</t>
  </si>
  <si>
    <t>506a1f5d-dbea-4c3c-842c-2e0bacf5f683</t>
  </si>
  <si>
    <t>2026-04-08 10:29:57</t>
  </si>
  <si>
    <t>27648673466</t>
  </si>
  <si>
    <t>13864901</t>
  </si>
  <si>
    <t>a67fd1eb-4a90-44c9-9809-2f80654b1f9d</t>
  </si>
  <si>
    <t>2026-04-08 10:24:14</t>
  </si>
  <si>
    <t>27724666498</t>
  </si>
  <si>
    <t>13861121</t>
  </si>
  <si>
    <t>fdcdd220-a051-4080-a5e7-aaa69948a02d</t>
  </si>
  <si>
    <t>2026-04-08 10:16:33</t>
  </si>
  <si>
    <t>27673503517</t>
  </si>
  <si>
    <t>13865366</t>
  </si>
  <si>
    <t>bba040df-821e-4dd1-aa43-465b9c425a02</t>
  </si>
  <si>
    <t>2026-04-08 10:08:51</t>
  </si>
  <si>
    <t>27660702630</t>
  </si>
  <si>
    <t>13861091</t>
  </si>
  <si>
    <t>de4ce3df-6e26-4aa5-9f2c-79ee95ab62f8</t>
  </si>
  <si>
    <t>2026-04-08 10:03:07</t>
  </si>
  <si>
    <t>27607812130</t>
  </si>
  <si>
    <t>13865877</t>
  </si>
  <si>
    <t>64626ad9-c812-4f20-800f-2cf3dc8b47ab</t>
  </si>
  <si>
    <t>2026-04-08 10:00:36</t>
  </si>
  <si>
    <t>27829665256</t>
  </si>
  <si>
    <t>13863963</t>
  </si>
  <si>
    <t>f5cd5412-4977-4db9-b18b-63910e8eb901</t>
  </si>
  <si>
    <t>2026-04-08 08:40:24</t>
  </si>
  <si>
    <t>27609278773</t>
  </si>
  <si>
    <t>13864718</t>
  </si>
  <si>
    <t>d1ebef60-72ae-42df-aa77-3d747a3ea63f</t>
  </si>
  <si>
    <t>2026-04-07 13:37:47</t>
  </si>
  <si>
    <t>27772558281</t>
  </si>
  <si>
    <t>13863428</t>
  </si>
  <si>
    <t>2861c7d2-7e8b-4e68-a18b-5ddabba4ade7</t>
  </si>
  <si>
    <t>2026-04-07 12:29:30</t>
  </si>
  <si>
    <t>27822936006</t>
  </si>
  <si>
    <t>13865246</t>
  </si>
  <si>
    <t>d7df78df-03f0-43c8-b139-b1a97f646585</t>
  </si>
  <si>
    <t>2026-04-07 10:34:05</t>
  </si>
  <si>
    <t>27769889148</t>
  </si>
  <si>
    <t>13865898</t>
  </si>
  <si>
    <t>3890dac6-43f5-44e0-b3c8-6fdce3a63021</t>
  </si>
  <si>
    <t>2026-04-07 10:16:31</t>
  </si>
  <si>
    <t>27636608022</t>
  </si>
  <si>
    <t>40e339d7-2a15-480d-862e-2c79f0dbc47c</t>
  </si>
  <si>
    <t>2026-04-07 09:57:35</t>
  </si>
  <si>
    <t>27791507003</t>
  </si>
  <si>
    <t>13863467</t>
  </si>
  <si>
    <t>6008fbcd-a933-4854-b37c-83edd471b530</t>
  </si>
  <si>
    <t>2026-04-07 09:40:40</t>
  </si>
  <si>
    <t>27637139560</t>
  </si>
  <si>
    <t>13864948</t>
  </si>
  <si>
    <t>c2e82602-6ce7-4a37-acb8-718e21ac36a4</t>
  </si>
  <si>
    <t>27766728881</t>
  </si>
  <si>
    <t>13862890</t>
  </si>
  <si>
    <t>74a4a045-071b-44f0-b38a-a1e8283f4734</t>
  </si>
  <si>
    <t>2026-04-07 09:32:01</t>
  </si>
  <si>
    <t>27829707639</t>
  </si>
  <si>
    <t>13865013</t>
  </si>
  <si>
    <t>5351a33d-59ca-4ce8-b6d5-52a0d1b0f2b7</t>
  </si>
  <si>
    <t>2026-04-07 07:50:06</t>
  </si>
  <si>
    <t>27799331982</t>
  </si>
  <si>
    <t>13862368</t>
  </si>
  <si>
    <t>2e1b3b71-6518-4917-8d24-5f917c0793e2</t>
  </si>
  <si>
    <t>2026-04-07 07:31:15</t>
  </si>
  <si>
    <t>27827133759</t>
  </si>
  <si>
    <t>13865239</t>
  </si>
  <si>
    <t>87f825f1-4582-4553-84b7-9b4c58d5acc8</t>
  </si>
  <si>
    <t>2026-04-07 07:08:15</t>
  </si>
  <si>
    <t>27768559395</t>
  </si>
  <si>
    <t>13862189</t>
  </si>
  <si>
    <t>cf8c3420-eb94-418b-a357-d121d95d0f9a</t>
  </si>
  <si>
    <t>2026-04-02 13:16:18</t>
  </si>
  <si>
    <t>27796219189</t>
  </si>
  <si>
    <t>13864088</t>
  </si>
  <si>
    <t>a84c5cec-fda7-477c-aac2-c67671baab72</t>
  </si>
  <si>
    <t>2026-04-02 12:08:21</t>
  </si>
  <si>
    <t>27729640008</t>
  </si>
  <si>
    <t>13863715</t>
  </si>
  <si>
    <t>a01f2fc3-5230-4b79-af1d-044d00dd0f3f</t>
  </si>
  <si>
    <t>2026-04-02 11:45:04</t>
  </si>
  <si>
    <t>27649910114</t>
  </si>
  <si>
    <t>13864476</t>
  </si>
  <si>
    <t>bb946bc0-bd33-4285-b65d-a4358f10e3da</t>
  </si>
  <si>
    <t>2026-04-02 11:39:40</t>
  </si>
  <si>
    <t>27798661570</t>
  </si>
  <si>
    <t>13864499</t>
  </si>
  <si>
    <t>1948c8bb-085b-4ef7-a1a8-c66569bf3aa4</t>
  </si>
  <si>
    <t>2026-04-02 11:09:05</t>
  </si>
  <si>
    <t>27822832366</t>
  </si>
  <si>
    <t>13863931</t>
  </si>
  <si>
    <t>a40adf32-4241-4ece-b109-29ccf5f4c514</t>
  </si>
  <si>
    <t>2026-04-02 10:54:11</t>
  </si>
  <si>
    <t>27826699460</t>
  </si>
  <si>
    <t>13864289</t>
  </si>
  <si>
    <t>f74dc63e-de8a-4222-a0c7-136d8c9903b9</t>
  </si>
  <si>
    <t>2026-04-02 10:19:10</t>
  </si>
  <si>
    <t>27711263100</t>
  </si>
  <si>
    <t>13863651</t>
  </si>
  <si>
    <t>cb50c6e7-b725-4740-8976-a3ade873fd42</t>
  </si>
  <si>
    <t>2026-04-02 10:15:51</t>
  </si>
  <si>
    <t>27820934600</t>
  </si>
  <si>
    <t>13865937</t>
  </si>
  <si>
    <t>9edcdd8f-fad6-44d3-8ff2-8872212825d5</t>
  </si>
  <si>
    <t>2026-04-02 10:15:10</t>
  </si>
  <si>
    <t>27673966696</t>
  </si>
  <si>
    <t>13864440</t>
  </si>
  <si>
    <t>d2e98aec-2f2a-4300-a0ed-09611eba5b66</t>
  </si>
  <si>
    <t>2026-04-02 10:08:58</t>
  </si>
  <si>
    <t>27791946062</t>
  </si>
  <si>
    <t>13862571</t>
  </si>
  <si>
    <t>5c9f05e6-ddbf-47c6-9a3b-369a7f25beaf</t>
  </si>
  <si>
    <t>2026-04-02 10:06:26</t>
  </si>
  <si>
    <t>27665577499</t>
  </si>
  <si>
    <t>13865983</t>
  </si>
  <si>
    <t>df63611d-25af-465e-8724-c809007ac6c9</t>
  </si>
  <si>
    <t>2026-04-02 09:57:17</t>
  </si>
  <si>
    <t>27722587632</t>
  </si>
  <si>
    <t>13865984</t>
  </si>
  <si>
    <t>d8a9b2ad-8a6e-413c-9cfd-49bb3858262c</t>
  </si>
  <si>
    <t>2026-04-02 09:56:43</t>
  </si>
  <si>
    <t>27722610874</t>
  </si>
  <si>
    <t>13862419</t>
  </si>
  <si>
    <t>17b8401a-c4a9-41d2-9c86-ddd215fd43c8</t>
  </si>
  <si>
    <t>2026-04-02 09:55:05</t>
  </si>
  <si>
    <t>27714948882</t>
  </si>
  <si>
    <t>13862418</t>
  </si>
  <si>
    <t>9350dc64-d3d8-4ab5-a30c-e83b292ffd0e</t>
  </si>
  <si>
    <t>2026-04-02 09:50:39</t>
  </si>
  <si>
    <t>27714552123</t>
  </si>
  <si>
    <t>13863993</t>
  </si>
  <si>
    <t>5c26e09d-e269-48b8-9228-5ecea87a816f</t>
  </si>
  <si>
    <t>2026-04-02 09:50:36</t>
  </si>
  <si>
    <t>27660733975</t>
  </si>
  <si>
    <t>13865545</t>
  </si>
  <si>
    <t>fc1cda7e-8da7-4145-bc4b-9651a2f09bf7</t>
  </si>
  <si>
    <t>2026-04-02 09:46:12</t>
  </si>
  <si>
    <t>27798652936</t>
  </si>
  <si>
    <t>13864422</t>
  </si>
  <si>
    <t>26298bed-58e1-41b7-8aeb-43ac883d4279</t>
  </si>
  <si>
    <t>2026-04-02 09:46:00</t>
  </si>
  <si>
    <t>27769766355</t>
  </si>
  <si>
    <t>13863205</t>
  </si>
  <si>
    <t>9547c931-70bd-4682-9066-1c3faa8eeca0</t>
  </si>
  <si>
    <t>2026-04-02 09:44:50</t>
  </si>
  <si>
    <t>27822226413</t>
  </si>
  <si>
    <t>13865152</t>
  </si>
  <si>
    <t>3c571786-eb07-428d-bb8b-f399610d4c2c</t>
  </si>
  <si>
    <t>2026-04-02 09:43:28</t>
  </si>
  <si>
    <t>27724466875</t>
  </si>
  <si>
    <t>13865150</t>
  </si>
  <si>
    <t>7d86417f-fdc7-4a87-8373-127c9c64d20d</t>
  </si>
  <si>
    <t>2026-04-02 09:42:36</t>
  </si>
  <si>
    <t>27724197275</t>
  </si>
  <si>
    <t>13864983</t>
  </si>
  <si>
    <t>6d0bf101-3e5b-4f96-8d25-47c5013b3811</t>
  </si>
  <si>
    <t>2026-04-02 09:25:17</t>
  </si>
  <si>
    <t>27793700612</t>
  </si>
  <si>
    <t>13863801</t>
  </si>
  <si>
    <t>6b030038-fff8-44df-a783-359091f702c4</t>
  </si>
  <si>
    <t>2026-04-02 09:25:16</t>
  </si>
  <si>
    <t>27728655861</t>
  </si>
  <si>
    <t>13861459</t>
  </si>
  <si>
    <t>5bae4839-2c25-42da-a7ac-0b0949d49b16</t>
  </si>
  <si>
    <t>2026-04-02 09:15:09</t>
  </si>
  <si>
    <t>27720166367</t>
  </si>
  <si>
    <t>13862447</t>
  </si>
  <si>
    <t>1e38edb9-d170-451f-98cc-b268ea26e1ad</t>
  </si>
  <si>
    <t>2026-04-02 09:14:13</t>
  </si>
  <si>
    <t>27726025543</t>
  </si>
  <si>
    <t>13863808</t>
  </si>
  <si>
    <t>10f086d4-2282-4121-b352-a37dbce75aad</t>
  </si>
  <si>
    <t>2026-04-02 08:57:11</t>
  </si>
  <si>
    <t>27729517874</t>
  </si>
  <si>
    <t>13864732</t>
  </si>
  <si>
    <t>b1e198de-35d7-480a-bd2a-c670f7699a23</t>
  </si>
  <si>
    <t>2026-04-02 08:47:11</t>
  </si>
  <si>
    <t>27792930785</t>
  </si>
  <si>
    <t>13864738</t>
  </si>
  <si>
    <t>784d1933-3015-4f91-ad92-803dec49ac3b</t>
  </si>
  <si>
    <t>2026-04-02 08:28:10</t>
  </si>
  <si>
    <t>27794022582</t>
  </si>
  <si>
    <t>13862450</t>
  </si>
  <si>
    <t>61314c3b-d1ca-4e58-a719-190b0e165b00</t>
  </si>
  <si>
    <t>2026-04-02 07:10:07</t>
  </si>
  <si>
    <t>27726821345</t>
  </si>
  <si>
    <t>13862202</t>
  </si>
  <si>
    <t>8c59046f-c7c9-44b3-99f0-9f49fce1eaf1</t>
  </si>
  <si>
    <t>2026-04-01 13:51:39</t>
  </si>
  <si>
    <t>27818501168</t>
  </si>
  <si>
    <t>13865202</t>
  </si>
  <si>
    <t>091dd551-8209-48a5-914d-efd9a5b4672f</t>
  </si>
  <si>
    <t>2026-04-01 12:43:12</t>
  </si>
  <si>
    <t>27762670257</t>
  </si>
  <si>
    <t>13865512</t>
  </si>
  <si>
    <t>5f40455c-05f9-47db-9b8c-2571e20afe5a</t>
  </si>
  <si>
    <t>2026-04-01 12:41:50</t>
  </si>
  <si>
    <t>27790821965</t>
  </si>
  <si>
    <t>13862705</t>
  </si>
  <si>
    <t>d0c4b2d8-950c-4c58-9b3e-a18aa324a8ba</t>
  </si>
  <si>
    <t>2026-04-01 12:41:49</t>
  </si>
  <si>
    <t>27607702558</t>
  </si>
  <si>
    <t>13863381</t>
  </si>
  <si>
    <t>6bd45c89-7261-4c24-8a67-e02002211256</t>
  </si>
  <si>
    <t>2026-04-01 12:39:00</t>
  </si>
  <si>
    <t>27791390569</t>
  </si>
  <si>
    <t>13864251</t>
  </si>
  <si>
    <t>1eab8e9f-49e0-43e7-96c6-efb58555d421</t>
  </si>
  <si>
    <t>2026-04-01 12:31:05</t>
  </si>
  <si>
    <t>27608016272</t>
  </si>
  <si>
    <t>13865045</t>
  </si>
  <si>
    <t>d25ce4cd-6537-4b06-a36f-02b0cac4cbb4</t>
  </si>
  <si>
    <t>2026-04-01 12:21:18</t>
  </si>
  <si>
    <t>27827131179</t>
  </si>
  <si>
    <t>13864993</t>
  </si>
  <si>
    <t>5f0e26c1-3e11-43f4-8fec-a411939b94af</t>
  </si>
  <si>
    <t>2026-04-01 12:17:46</t>
  </si>
  <si>
    <t>27796116067</t>
  </si>
  <si>
    <t>13862755</t>
  </si>
  <si>
    <t>621bfe13-f924-495e-96c3-aecd917da27a</t>
  </si>
  <si>
    <t>2026-04-01 11:59:47</t>
  </si>
  <si>
    <t>27716046900</t>
  </si>
  <si>
    <t>13863507</t>
  </si>
  <si>
    <t>e5a9c4a9-52b6-4486-8df0-dd7fb43ac4ed</t>
  </si>
  <si>
    <t>2026-04-01 11:59:39</t>
  </si>
  <si>
    <t>27714195503</t>
  </si>
  <si>
    <t>13865103</t>
  </si>
  <si>
    <t>7c1d0e18-07b9-4b85-8f73-6d0edc818b8f</t>
  </si>
  <si>
    <t>2026-04-01 11:58:41</t>
  </si>
  <si>
    <t>27673937255</t>
  </si>
  <si>
    <t>13862567</t>
  </si>
  <si>
    <t>0c97f0db-78bb-4d10-a27e-1a88fc4fa8b8</t>
  </si>
  <si>
    <t>2026-04-01 11:56:43</t>
  </si>
  <si>
    <t>27664053652</t>
  </si>
  <si>
    <t>13864942</t>
  </si>
  <si>
    <t>bb7cd41d-d5c1-4ece-92f8-993f6057423f</t>
  </si>
  <si>
    <t>2026-04-01 11:53:19</t>
  </si>
  <si>
    <t>27765317045</t>
  </si>
  <si>
    <t>13864059</t>
  </si>
  <si>
    <t>e57efede-bccf-4c3d-ae39-e16431ad680b</t>
  </si>
  <si>
    <t>2026-04-01 11:51:50</t>
  </si>
  <si>
    <t>27723780093</t>
  </si>
  <si>
    <t>13865050</t>
  </si>
  <si>
    <t>0a501aa0-cf7c-4832-a14d-b3205ce94d65</t>
  </si>
  <si>
    <t>2026-04-01 11:50:20</t>
  </si>
  <si>
    <t>27829565678</t>
  </si>
  <si>
    <t>13863652</t>
  </si>
  <si>
    <t>7c6ffca5-b9a6-4fb4-8077-b19254eafee9</t>
  </si>
  <si>
    <t>2026-04-01 11:40:47</t>
  </si>
  <si>
    <t>27822319332</t>
  </si>
  <si>
    <t>13864567</t>
  </si>
  <si>
    <t>eee5f379-c50d-4c06-83cd-8e672445e92a</t>
  </si>
  <si>
    <t>2026-04-01 11:19:47</t>
  </si>
  <si>
    <t>27665841074</t>
  </si>
  <si>
    <t>13862476</t>
  </si>
  <si>
    <t>cc2295cf-262b-4c90-8709-35e532733f56</t>
  </si>
  <si>
    <t>2026-04-01 11:17:41</t>
  </si>
  <si>
    <t>27766310240</t>
  </si>
  <si>
    <t>13864295</t>
  </si>
  <si>
    <t>4316418f-6b02-412e-ba7e-7ae0144ea6f9</t>
  </si>
  <si>
    <t>2026-04-01 11:02:31</t>
  </si>
  <si>
    <t>27712291527</t>
  </si>
  <si>
    <t>13862504</t>
  </si>
  <si>
    <t>1658288f-068c-4038-b4b8-6f9c656154b0</t>
  </si>
  <si>
    <t>2026-04-01 11:02:29</t>
  </si>
  <si>
    <t>27798076379</t>
  </si>
  <si>
    <t>13865244</t>
  </si>
  <si>
    <t>14a0ec1a-182b-4b58-9941-497301973950</t>
  </si>
  <si>
    <t>2026-04-01 10:59:48</t>
  </si>
  <si>
    <t>27769706779</t>
  </si>
  <si>
    <t>13862163</t>
  </si>
  <si>
    <t>6b82c006-cea4-43ef-8fe6-c0cfc2fe68a7</t>
  </si>
  <si>
    <t>2026-04-01 10:59:16</t>
  </si>
  <si>
    <t>27766583714</t>
  </si>
  <si>
    <t>13864979</t>
  </si>
  <si>
    <t>d32e804f-5ad9-4ced-b4d0-aaa11a511cc5</t>
  </si>
  <si>
    <t>2026-04-01 10:57:00</t>
  </si>
  <si>
    <t>27793247972</t>
  </si>
  <si>
    <t>13865452</t>
  </si>
  <si>
    <t>200071ec-8b43-4dbc-8755-a3e9273e3297</t>
  </si>
  <si>
    <t>2026-04-01 10:52:25</t>
  </si>
  <si>
    <t>27728053001</t>
  </si>
  <si>
    <t>13864650</t>
  </si>
  <si>
    <t>1394b1d3-d79d-4feb-877f-b9995141fe96</t>
  </si>
  <si>
    <t>2026-04-01 10:52:24</t>
  </si>
  <si>
    <t>27726657008</t>
  </si>
  <si>
    <t>13864233</t>
  </si>
  <si>
    <t>a54738ef-aba2-48f2-9053-d71999186cae</t>
  </si>
  <si>
    <t>2026-04-01 10:52:19</t>
  </si>
  <si>
    <t>27828461965</t>
  </si>
  <si>
    <t>13862075</t>
  </si>
  <si>
    <t>08b9ea1c-19ca-4e9e-97e5-66c895351b1e</t>
  </si>
  <si>
    <t>2026-04-01 10:49:30</t>
  </si>
  <si>
    <t>27636070692</t>
  </si>
  <si>
    <t>13862478</t>
  </si>
  <si>
    <t>b21ab442-77ba-413a-878f-b5d515683681</t>
  </si>
  <si>
    <t>2026-04-01 10:48:43</t>
  </si>
  <si>
    <t>27766568908</t>
  </si>
  <si>
    <t>13864081</t>
  </si>
  <si>
    <t>ba2308d5-75c8-4bea-83c7-2fee77a013d1</t>
  </si>
  <si>
    <t>2026-04-01 10:47:55</t>
  </si>
  <si>
    <t>27728521368</t>
  </si>
  <si>
    <t>e9327ff0-6249-4e80-9a7f-5e022214a719</t>
  </si>
  <si>
    <t>2026-04-01 10:47:39</t>
  </si>
  <si>
    <t>27662875549</t>
  </si>
  <si>
    <t>13863493</t>
  </si>
  <si>
    <t>652091d6-1b41-4a2e-950b-deb3ae1b9c61</t>
  </si>
  <si>
    <t>2026-04-01 10:46:14</t>
  </si>
  <si>
    <t>27664606461</t>
  </si>
  <si>
    <t>13864173</t>
  </si>
  <si>
    <t>e6ac2540-f5e4-4297-acc6-87cdc7790cb8</t>
  </si>
  <si>
    <t>2026-04-01 10:45:27</t>
  </si>
  <si>
    <t>27792466047</t>
  </si>
  <si>
    <t>13863347</t>
  </si>
  <si>
    <t>0ca2bee1-9087-440c-957c-65d7ff4499e3</t>
  </si>
  <si>
    <t>2026-04-01 10:43:18</t>
  </si>
  <si>
    <t>27765118096</t>
  </si>
  <si>
    <t>13863399</t>
  </si>
  <si>
    <t>c34f38ff-54ae-4c3c-80ed-b8b35a298162</t>
  </si>
  <si>
    <t>2026-04-01 10:43:14</t>
  </si>
  <si>
    <t>27794064393</t>
  </si>
  <si>
    <t>13864798</t>
  </si>
  <si>
    <t>8ee33b1c-3b01-477a-84e6-c42bec48d9a6</t>
  </si>
  <si>
    <t>2026-04-01 10:41:35</t>
  </si>
  <si>
    <t>27606616110</t>
  </si>
  <si>
    <t>13864762</t>
  </si>
  <si>
    <t>7c538413-9e1a-4acc-9e02-6ac3399dcf43</t>
  </si>
  <si>
    <t>2026-04-01 10:40:23</t>
  </si>
  <si>
    <t>27822213135</t>
  </si>
  <si>
    <t>13862660</t>
  </si>
  <si>
    <t>3feaf10a-0e60-4282-ad9a-3bd739eacd52</t>
  </si>
  <si>
    <t>2026-04-01 10:38:37</t>
  </si>
  <si>
    <t>27773958011</t>
  </si>
  <si>
    <t>13865069</t>
  </si>
  <si>
    <t>7f4000f9-4816-4550-bbcf-451e82d039e7</t>
  </si>
  <si>
    <t>2026-04-01 10:36:34</t>
  </si>
  <si>
    <t>27626755340</t>
  </si>
  <si>
    <t>13865782</t>
  </si>
  <si>
    <t>f0ff9d7a-e6d3-491a-9ade-bb7efb4825f9</t>
  </si>
  <si>
    <t>27769659924</t>
  </si>
  <si>
    <t>13865567</t>
  </si>
  <si>
    <t>547ac29c-615e-4d3c-8908-9c0157fdc077</t>
  </si>
  <si>
    <t>2026-04-01 10:32:19</t>
  </si>
  <si>
    <t>27824880490</t>
  </si>
  <si>
    <t>13864175</t>
  </si>
  <si>
    <t>a1c1fb21-e2a9-466a-bb58-7d8b4fb056ae</t>
  </si>
  <si>
    <t>2026-04-01 09:51:54</t>
  </si>
  <si>
    <t>27793744567</t>
  </si>
  <si>
    <t>13864428</t>
  </si>
  <si>
    <t>2c3fa233-4fd7-4086-a33d-2585fa0ed05e</t>
  </si>
  <si>
    <t>2026-04-01 09:50:32</t>
  </si>
  <si>
    <t>27790622121</t>
  </si>
  <si>
    <t>13866034</t>
  </si>
  <si>
    <t>2dc77f24-56c9-4f2e-a3ee-c22c52256b92</t>
  </si>
  <si>
    <t>2026-04-01 09:46:55</t>
  </si>
  <si>
    <t>27760494462</t>
  </si>
  <si>
    <t>13862466</t>
  </si>
  <si>
    <t>f9d69fb8-5aa7-4a72-a7bd-022c307faf83</t>
  </si>
  <si>
    <t>2026-04-01 09:45:20</t>
  </si>
  <si>
    <t>27761467015</t>
  </si>
  <si>
    <t>13863528</t>
  </si>
  <si>
    <t>4bc9b450-548e-4d0d-bff3-f81169131ef6</t>
  </si>
  <si>
    <t>2026-04-01 09:43:38</t>
  </si>
  <si>
    <t>27722805073</t>
  </si>
  <si>
    <t>13862086</t>
  </si>
  <si>
    <t>04a43bc9-5299-4dbb-82c3-2c8b10e2b5ad</t>
  </si>
  <si>
    <t>2026-04-01 09:42:37</t>
  </si>
  <si>
    <t>27660793153</t>
  </si>
  <si>
    <t>13862087</t>
  </si>
  <si>
    <t>20842fb2-e2a5-4b60-8d59-fa89c0de8187</t>
  </si>
  <si>
    <t>27660904373</t>
  </si>
  <si>
    <t>13863470</t>
  </si>
  <si>
    <t>db5d4f7b-30dd-4e93-aec2-e5aec1fc4167</t>
  </si>
  <si>
    <t>2026-04-01 09:41:24</t>
  </si>
  <si>
    <t>27637673953</t>
  </si>
  <si>
    <t>13865516</t>
  </si>
  <si>
    <t>8b685f1d-1a2f-4e49-b9f1-1158ee51c322</t>
  </si>
  <si>
    <t>2026-04-01 09:37:47</t>
  </si>
  <si>
    <t>27791206761</t>
  </si>
  <si>
    <t>13863291</t>
  </si>
  <si>
    <t>e32a931c-01ae-4d24-95bb-56d635113fe4</t>
  </si>
  <si>
    <t>2026-04-01 09:35:52</t>
  </si>
  <si>
    <t>27722512679</t>
  </si>
  <si>
    <t>13865426</t>
  </si>
  <si>
    <t>991ae64f-32ca-4806-ae2e-e2afbf22e299</t>
  </si>
  <si>
    <t>2026-04-01 09:35:16</t>
  </si>
  <si>
    <t>27722567448</t>
  </si>
  <si>
    <t>13864324</t>
  </si>
  <si>
    <t>d9e14611-0856-4b21-b2a0-6079c1b37786</t>
  </si>
  <si>
    <t>2026-04-01 09:33:43</t>
  </si>
  <si>
    <t>27720459430</t>
  </si>
  <si>
    <t>13864349</t>
  </si>
  <si>
    <t>89237153-4d6b-4f72-84b4-a61a1059ab3a</t>
  </si>
  <si>
    <t>2026-04-01 09:32:53</t>
  </si>
  <si>
    <t>27725120077</t>
  </si>
  <si>
    <t>13864310</t>
  </si>
  <si>
    <t>699f311d-08da-4ba7-90ad-820ac802c0f5</t>
  </si>
  <si>
    <t>2026-04-01 09:28:07</t>
  </si>
  <si>
    <t>27714667581</t>
  </si>
  <si>
    <t>13862739</t>
  </si>
  <si>
    <t>9a63bf43-99e4-4ef4-b425-c2ca0de3050b</t>
  </si>
  <si>
    <t>2026-04-01 09:27:07</t>
  </si>
  <si>
    <t>27675517128</t>
  </si>
  <si>
    <t>13864273</t>
  </si>
  <si>
    <t>1ccb7e58-c519-4c41-a15a-d7e9bb9d1e41</t>
  </si>
  <si>
    <t>2026-04-01 09:26:23</t>
  </si>
  <si>
    <t>27649902648</t>
  </si>
  <si>
    <t>13864509</t>
  </si>
  <si>
    <t>4b4cfb81-76e3-4281-b8e5-4652cbf282ad</t>
  </si>
  <si>
    <t>2026-04-01 09:24:54</t>
  </si>
  <si>
    <t>27825176207</t>
  </si>
  <si>
    <t>13864512</t>
  </si>
  <si>
    <t>3c91b57e-5383-4466-83f3-c7d3d03250d4</t>
  </si>
  <si>
    <t>2026-04-01 09:23:23</t>
  </si>
  <si>
    <t>27825395363</t>
  </si>
  <si>
    <t>13862025</t>
  </si>
  <si>
    <t>0db4acd1-ab3c-431c-9a8b-ecbe66a9f927</t>
  </si>
  <si>
    <t>2026-04-01 09:21:44</t>
  </si>
  <si>
    <t>27773856241</t>
  </si>
  <si>
    <t>13862766</t>
  </si>
  <si>
    <t>305f8eb9-f2a6-4400-9883-e9765769bcfa</t>
  </si>
  <si>
    <t>2026-04-01 09:21:36</t>
  </si>
  <si>
    <t>27722318965</t>
  </si>
  <si>
    <t>13865875</t>
  </si>
  <si>
    <t>ace8d722-b3bc-4240-b5fb-3c7d88ea1c5d</t>
  </si>
  <si>
    <t>2026-04-01 09:19:08</t>
  </si>
  <si>
    <t>27828463231</t>
  </si>
  <si>
    <t>13865924</t>
  </si>
  <si>
    <t>53f4d73d-b778-4370-82c8-8fa8a902ff1b</t>
  </si>
  <si>
    <t>2026-04-01 09:18:35</t>
  </si>
  <si>
    <t>27661391074</t>
  </si>
  <si>
    <t>13863526</t>
  </si>
  <si>
    <t>61903a2c-8de1-462f-bd14-1bb5c21a0c20</t>
  </si>
  <si>
    <t>2026-04-01 09:16:39</t>
  </si>
  <si>
    <t>27722482342</t>
  </si>
  <si>
    <t>13864953</t>
  </si>
  <si>
    <t>0509d394-d14d-46a7-a159-62cb13c917f8</t>
  </si>
  <si>
    <t>27768415018</t>
  </si>
  <si>
    <t>13864489</t>
  </si>
  <si>
    <t>3514e70c-7c92-4a04-85b2-b720b293b917</t>
  </si>
  <si>
    <t>2026-04-01 09:14:58</t>
  </si>
  <si>
    <t>27818364975</t>
  </si>
  <si>
    <t>13865566</t>
  </si>
  <si>
    <t>9fd62d73-a157-4167-bf2a-4f6c5884a189</t>
  </si>
  <si>
    <t>2026-04-01 09:13:35</t>
  </si>
  <si>
    <t>27824262263</t>
  </si>
  <si>
    <t>13864474</t>
  </si>
  <si>
    <t>8603a047-7529-4e52-9132-94440ca4d74c</t>
  </si>
  <si>
    <t>2026-04-01 09:10:55</t>
  </si>
  <si>
    <t>27798338829</t>
  </si>
  <si>
    <t>13864478</t>
  </si>
  <si>
    <t>a9f747e7-86f0-488f-947e-01860b7f0055</t>
  </si>
  <si>
    <t>2026-04-01 09:10:30</t>
  </si>
  <si>
    <t>27799119085</t>
  </si>
  <si>
    <t>13864480</t>
  </si>
  <si>
    <t>87d2b593-d8f0-46bc-983d-0c6c7365869a</t>
  </si>
  <si>
    <t>2026-04-01 09:10:24</t>
  </si>
  <si>
    <t>27799263506</t>
  </si>
  <si>
    <t>13865981</t>
  </si>
  <si>
    <t>183b2576-0eb4-4800-ab5b-e3cfe303115d</t>
  </si>
  <si>
    <t>2026-04-01 09:10:07</t>
  </si>
  <si>
    <t>27721830996</t>
  </si>
  <si>
    <t>13863741</t>
  </si>
  <si>
    <t>f3a54774-8d5e-4242-be59-5c0edc3d4de2</t>
  </si>
  <si>
    <t>2026-04-01 09:09:06</t>
  </si>
  <si>
    <t>27713423496</t>
  </si>
  <si>
    <t>13864249</t>
  </si>
  <si>
    <t>e90af162-40f1-4620-8b1b-e66d53e5507e</t>
  </si>
  <si>
    <t>2026-04-01 09:08:15</t>
  </si>
  <si>
    <t>27607404852</t>
  </si>
  <si>
    <t>13864092</t>
  </si>
  <si>
    <t>ab71a596-87df-4d01-9aa9-3942a2c5d6c5</t>
  </si>
  <si>
    <t>2026-04-01 09:07:31</t>
  </si>
  <si>
    <t>27736149035</t>
  </si>
  <si>
    <t>13862662</t>
  </si>
  <si>
    <t>d30d8ce1-c133-49eb-bfd5-4540bc5f475e</t>
  </si>
  <si>
    <t>2026-04-01 09:06:34</t>
  </si>
  <si>
    <t>27774955416</t>
  </si>
  <si>
    <t>13864792</t>
  </si>
  <si>
    <t>9d9958f5-b690-41b9-8a96-ecc0a6e314b2</t>
  </si>
  <si>
    <t>2026-04-01 09:04:54</t>
  </si>
  <si>
    <t>27829686886</t>
  </si>
  <si>
    <t>13864340</t>
  </si>
  <si>
    <t>50b222b1-b30f-4c0a-b639-158a2654aa35</t>
  </si>
  <si>
    <t>2026-04-01 09:04:45</t>
  </si>
  <si>
    <t>27723766247</t>
  </si>
  <si>
    <t>13866000</t>
  </si>
  <si>
    <t>6b117d55-985b-4fe1-a805-bf55403998cd</t>
  </si>
  <si>
    <t>2026-04-01 09:02:47</t>
  </si>
  <si>
    <t>27724971751</t>
  </si>
  <si>
    <t>13863455</t>
  </si>
  <si>
    <t>796ebb0e-1739-425f-9f20-105767fc5e52</t>
  </si>
  <si>
    <t>2026-04-01 09:00:20</t>
  </si>
  <si>
    <t>27828337401</t>
  </si>
  <si>
    <t>13864221</t>
  </si>
  <si>
    <t>5a55f920-87c0-4b22-84d4-f7a8f5658b5a</t>
  </si>
  <si>
    <t>2026-04-01 08:58:45</t>
  </si>
  <si>
    <t>27825733528</t>
  </si>
  <si>
    <t>13864456</t>
  </si>
  <si>
    <t>5ca92118-919e-4295-8151-d83eb7c1c1ef</t>
  </si>
  <si>
    <t>2026-04-01 08:57:28</t>
  </si>
  <si>
    <t>27795240800</t>
  </si>
  <si>
    <t>13862653</t>
  </si>
  <si>
    <t>d5a1b7c9-be8f-4ad5-89cb-6766b46bc97c</t>
  </si>
  <si>
    <t>2026-04-01 08:57:17</t>
  </si>
  <si>
    <t>27766984305</t>
  </si>
  <si>
    <t>13863486</t>
  </si>
  <si>
    <t>78fe5735-86bc-43ad-af49-3e90093dcde1</t>
  </si>
  <si>
    <t>2026-04-01 08:57:15</t>
  </si>
  <si>
    <t>27663774332</t>
  </si>
  <si>
    <t>13862021</t>
  </si>
  <si>
    <t>b65eaa37-2bed-4148-a766-ee205dedd139</t>
  </si>
  <si>
    <t>2026-04-01 08:52:05</t>
  </si>
  <si>
    <t>27769026884</t>
  </si>
  <si>
    <t>13864788</t>
  </si>
  <si>
    <t>1e2ad9ab-8fe8-490e-835d-34dcbd847a39</t>
  </si>
  <si>
    <t>2026-04-01 08:51:15</t>
  </si>
  <si>
    <t>27828538637</t>
  </si>
  <si>
    <t>13863629</t>
  </si>
  <si>
    <t>5cf3fa67-114c-4e82-812e-750145b82ca6</t>
  </si>
  <si>
    <t>2026-04-01 08:50:39</t>
  </si>
  <si>
    <t>27795781026</t>
  </si>
  <si>
    <t>13865642</t>
  </si>
  <si>
    <t>9257957e-6fb2-4f4b-9fc8-842fb3ae9c03</t>
  </si>
  <si>
    <t>2026-04-01 08:42:57</t>
  </si>
  <si>
    <t>27665614027</t>
  </si>
  <si>
    <t>13862948</t>
  </si>
  <si>
    <t>46e98cf4-35ef-42db-b125-2f2fcc2c4e3a</t>
  </si>
  <si>
    <t>2026-04-01 08:40:45</t>
  </si>
  <si>
    <t>27636877146</t>
  </si>
  <si>
    <t>13865212</t>
  </si>
  <si>
    <t>c62f1127-8ac5-4c91-a17d-1452eb611957</t>
  </si>
  <si>
    <t>2026-04-01 08:40:36</t>
  </si>
  <si>
    <t>27764062672</t>
  </si>
  <si>
    <t>13863618</t>
  </si>
  <si>
    <t>dbd81e57-49dc-40fc-bc59-5cc9ebc90245</t>
  </si>
  <si>
    <t>2026-04-01 08:39:26</t>
  </si>
  <si>
    <t>27793261519</t>
  </si>
  <si>
    <t>13866037</t>
  </si>
  <si>
    <t>f4cb3d5a-ace2-48fb-8356-72f62996cf1b</t>
  </si>
  <si>
    <t>2026-04-01 08:39:20</t>
  </si>
  <si>
    <t>27761824085</t>
  </si>
  <si>
    <t>13863952</t>
  </si>
  <si>
    <t>f0994025-af0e-431c-8e8d-eb07fd36a0a2</t>
  </si>
  <si>
    <t>2026-04-01 08:39:12</t>
  </si>
  <si>
    <t>27606397493</t>
  </si>
  <si>
    <t>13864835</t>
  </si>
  <si>
    <t>e5b1825e-52f7-4887-a1b7-b2c908613495</t>
  </si>
  <si>
    <t>2026-04-01 08:38:08</t>
  </si>
  <si>
    <t>27660581852</t>
  </si>
  <si>
    <t>13863405</t>
  </si>
  <si>
    <t>8001cb81-9d77-43c6-8f82-e9f361cc26f7</t>
  </si>
  <si>
    <t>2026-04-01 08:36:34</t>
  </si>
  <si>
    <t>27795358048</t>
  </si>
  <si>
    <t>13865227</t>
  </si>
  <si>
    <t>021773d3-f4d1-4573-9471-939c7cf45bde</t>
  </si>
  <si>
    <t>2026-04-01 08:36:00</t>
  </si>
  <si>
    <t>27767192666</t>
  </si>
  <si>
    <t>13865304</t>
  </si>
  <si>
    <t>bcea683c-e718-40a0-9483-26898bd13fe4</t>
  </si>
  <si>
    <t>AGE</t>
  </si>
  <si>
    <t>Under Age</t>
  </si>
  <si>
    <t>2026-04-01 08:31:37</t>
  </si>
  <si>
    <t>27820706382</t>
  </si>
  <si>
    <t>13864009</t>
  </si>
  <si>
    <t>2ef91971-be32-4b79-ba8c-52ff8ebb6a26</t>
  </si>
  <si>
    <t>2026-04-01 08:29:39</t>
  </si>
  <si>
    <t>27665111713</t>
  </si>
  <si>
    <t>13864360</t>
  </si>
  <si>
    <t>d963520c-d0e9-4a6d-887b-2d6193823e93</t>
  </si>
  <si>
    <t>2026-04-01 08:28:19</t>
  </si>
  <si>
    <t>27726537345</t>
  </si>
  <si>
    <t>13865941</t>
  </si>
  <si>
    <t>f0a5be90-0e6d-47d4-8f34-c3f05e891d8f</t>
  </si>
  <si>
    <t>2026-04-01 08:26:39</t>
  </si>
  <si>
    <t>27711678495</t>
  </si>
  <si>
    <t>13864847</t>
  </si>
  <si>
    <t>3bd25cf4-fd77-4c0a-97c7-8b1859295656</t>
  </si>
  <si>
    <t>2026-04-01 08:24:07</t>
  </si>
  <si>
    <t>27664640685</t>
  </si>
  <si>
    <t>13865052</t>
  </si>
  <si>
    <t>5fd48610-4589-40d9-b4f8-46436bf76bbc</t>
  </si>
  <si>
    <t>2026-04-01 08:19:12</t>
  </si>
  <si>
    <t>27832287346</t>
  </si>
  <si>
    <t>13864331</t>
  </si>
  <si>
    <t>73c33de9-45b2-421b-ad96-9b7a8ef8bebe</t>
  </si>
  <si>
    <t>2026-04-01 08:16:47</t>
  </si>
  <si>
    <t>27721067487</t>
  </si>
  <si>
    <t>13865341</t>
  </si>
  <si>
    <t>887fb384-7c4f-47ca-bdec-a058e8db9f28</t>
  </si>
  <si>
    <t>2026-04-01 08:15:01</t>
  </si>
  <si>
    <t>27608488657</t>
  </si>
  <si>
    <t>13862826</t>
  </si>
  <si>
    <t>7420f861-0568-42b7-8490-1fb5589a3700</t>
  </si>
  <si>
    <t>2026-04-01 08:13:32</t>
  </si>
  <si>
    <t>27768038165</t>
  </si>
  <si>
    <t>13865363</t>
  </si>
  <si>
    <t>5532985f-38ba-4aa1-9117-5482be981989</t>
  </si>
  <si>
    <t>2026-04-01 08:12:06</t>
  </si>
  <si>
    <t>27649784827</t>
  </si>
  <si>
    <t>13865367</t>
  </si>
  <si>
    <t>f3ff14ca-5e58-46bf-8746-c4adfe2030e6</t>
  </si>
  <si>
    <t>2026-04-01 08:12:03</t>
  </si>
  <si>
    <t>27661230830</t>
  </si>
  <si>
    <t>13864878</t>
  </si>
  <si>
    <t>fbee00b5-e737-4cf7-9575-bb3730e27c78</t>
  </si>
  <si>
    <t>2026-04-01 08:05:03</t>
  </si>
  <si>
    <t>27715411031</t>
  </si>
  <si>
    <t>13864889</t>
  </si>
  <si>
    <t>0a0f16b0-6c6e-428c-9f06-e7c3a6471c67</t>
  </si>
  <si>
    <t>2026-04-01 08:03:30</t>
  </si>
  <si>
    <t>27721321895</t>
  </si>
  <si>
    <t>13865777</t>
  </si>
  <si>
    <t>2ae933a1-b351-4357-a3db-42d773bdd97b</t>
  </si>
  <si>
    <t>2026-04-01 08:01:45</t>
  </si>
  <si>
    <t>27768569514</t>
  </si>
  <si>
    <t>13864980</t>
  </si>
  <si>
    <t>b1f95594-10bf-4ed0-babf-8a15096e762e</t>
  </si>
  <si>
    <t>2026-04-01 08:01:29</t>
  </si>
  <si>
    <t>27793436383</t>
  </si>
  <si>
    <t>13862835</t>
  </si>
  <si>
    <t>17745af4-96dc-436a-b449-163cff7e6fb5</t>
  </si>
  <si>
    <t>2026-04-01 07:58:09</t>
  </si>
  <si>
    <t>27769797891</t>
  </si>
  <si>
    <t>13862158</t>
  </si>
  <si>
    <t>57bf81f4-9363-4d5b-ba64-08df59e2a560</t>
  </si>
  <si>
    <t>2026-04-01 07:54:22</t>
  </si>
  <si>
    <t>27764254017</t>
  </si>
  <si>
    <t>13865141</t>
  </si>
  <si>
    <t>1b13f31c-73a7-475a-901d-57a262ad447b</t>
  </si>
  <si>
    <t>2026-04-01 07:53:16</t>
  </si>
  <si>
    <t>27722908091</t>
  </si>
  <si>
    <t>13862506</t>
  </si>
  <si>
    <t>6c2b5a19-025d-4013-8701-fd9249a5a51f</t>
  </si>
  <si>
    <t>2026-04-01 07:52:30</t>
  </si>
  <si>
    <t>27799133843</t>
  </si>
  <si>
    <t>e25186d3-57d9-4a98-891b-57518b862317</t>
  </si>
  <si>
    <t>2026-04-01 07:52:02</t>
  </si>
  <si>
    <t>27799835213</t>
  </si>
  <si>
    <t>13865077</t>
  </si>
  <si>
    <t>d99123b5-8be1-4135-994d-88e756678648</t>
  </si>
  <si>
    <t>2026-04-01 07:50:28</t>
  </si>
  <si>
    <t>27648336135</t>
  </si>
  <si>
    <t>13864573</t>
  </si>
  <si>
    <t>1f2c585d-0960-4266-8f9a-881d7b4c3df9</t>
  </si>
  <si>
    <t>2026-04-01 07:43:19</t>
  </si>
  <si>
    <t>27673911217</t>
  </si>
  <si>
    <t>13863875</t>
  </si>
  <si>
    <t>af7e3877-0e39-4d35-9a61-fe1bd93051d7</t>
  </si>
  <si>
    <t>2026-04-01 07:40:36</t>
  </si>
  <si>
    <t>27794496097</t>
  </si>
  <si>
    <t>13863883</t>
  </si>
  <si>
    <t>87ea7495-5511-4a21-9d5f-92374674c4c3</t>
  </si>
  <si>
    <t>2026-04-01 07:39:35</t>
  </si>
  <si>
    <t>27796133478</t>
  </si>
  <si>
    <t>13864946</t>
  </si>
  <si>
    <t>d9808071-9d5e-4d4c-89be-6bc0c8f6534a</t>
  </si>
  <si>
    <t>2026-04-01 07:34:16</t>
  </si>
  <si>
    <t>27766207460</t>
  </si>
  <si>
    <t>13863612</t>
  </si>
  <si>
    <t>efcabeb2-48c3-46fe-a5e5-99758664490b</t>
  </si>
  <si>
    <t>2026-04-01 07:32:46</t>
  </si>
  <si>
    <t>27792341972</t>
  </si>
  <si>
    <t>13863614</t>
  </si>
  <si>
    <t>a529f724-3173-48f5-860f-238c22fb4ca8</t>
  </si>
  <si>
    <t>2026-04-01 07:32:42</t>
  </si>
  <si>
    <t>27792881405</t>
  </si>
  <si>
    <t>13864667</t>
  </si>
  <si>
    <t>61fef348-6be0-405f-b3c0-d331e58e4317</t>
  </si>
  <si>
    <t>2026-04-01 07:31:40</t>
  </si>
  <si>
    <t>27729410517</t>
  </si>
  <si>
    <t>13865234</t>
  </si>
  <si>
    <t>43f14544-25bf-41c1-a630-99df61666cb8</t>
  </si>
  <si>
    <t>27767922220</t>
  </si>
  <si>
    <t>13863834</t>
  </si>
  <si>
    <t>cecee7ae-0ee6-49bf-b8b9-6ab31859268e</t>
  </si>
  <si>
    <t>2026-04-01 07:24:57</t>
  </si>
  <si>
    <t>27766611033</t>
  </si>
  <si>
    <t>13864796</t>
  </si>
  <si>
    <t>9a95747b-e413-4769-bc08-efa5d362cc23</t>
  </si>
  <si>
    <t>2026-04-01 07:24:52</t>
  </si>
  <si>
    <t>27606285016</t>
  </si>
  <si>
    <t>13865384</t>
  </si>
  <si>
    <t>5704a960-18a3-427c-9a68-1629236d6542</t>
  </si>
  <si>
    <t>2026-04-01 07:23:51</t>
  </si>
  <si>
    <t>27711121617</t>
  </si>
  <si>
    <t>13865175</t>
  </si>
  <si>
    <t>7d7e251a-e0be-48f9-82d8-0f670dcc6d9e</t>
  </si>
  <si>
    <t>2026-03-31 09:53:11</t>
  </si>
  <si>
    <t>27727536297</t>
  </si>
  <si>
    <t>13864306</t>
  </si>
  <si>
    <t>16e3bad5-4841-4851-84e8-685226dfa4a2</t>
  </si>
  <si>
    <t>2026-03-31 09:19:11</t>
  </si>
  <si>
    <t>27714096809</t>
  </si>
  <si>
    <t>13862169</t>
  </si>
  <si>
    <t>b3586b3b-890e-4282-b21c-f390921471d1</t>
  </si>
  <si>
    <t>2026-03-30 14:37:02</t>
  </si>
  <si>
    <t>27768964744</t>
  </si>
  <si>
    <t>13864199</t>
  </si>
  <si>
    <t>0c081553-4acb-46ef-b0bb-d96a8dfc162a</t>
  </si>
  <si>
    <t>2026-03-30 12:48:20</t>
  </si>
  <si>
    <t>27799689228</t>
  </si>
  <si>
    <t>13865696</t>
  </si>
  <si>
    <t>bd19e653-d6fb-4690-8f96-c746daa01b6b</t>
  </si>
  <si>
    <t>2026-03-30 11:42:36</t>
  </si>
  <si>
    <t>27724253220</t>
  </si>
  <si>
    <t>13864544</t>
  </si>
  <si>
    <t>456a6411-6a18-4494-b5f3-1c6d2afa2423</t>
  </si>
  <si>
    <t>2026-03-30 11:23:53</t>
  </si>
  <si>
    <t>27647735326</t>
  </si>
  <si>
    <t>13864560</t>
  </si>
  <si>
    <t>ed2c67a8-1c74-4449-9d95-85e4b2ef4569</t>
  </si>
  <si>
    <t>2026-03-30 11:22:07</t>
  </si>
  <si>
    <t>27663738867</t>
  </si>
  <si>
    <t>13861591</t>
  </si>
  <si>
    <t>b24bb243-2561-4ce5-901f-4e88ed8dcd34</t>
  </si>
  <si>
    <t>2026-03-30 11:14:55</t>
  </si>
  <si>
    <t>27606159195</t>
  </si>
  <si>
    <t>13865142</t>
  </si>
  <si>
    <t>f762a84c-f85a-4375-82fd-cd85a27e4a6a</t>
  </si>
  <si>
    <t>2026-03-30 11:09:05</t>
  </si>
  <si>
    <t>27723090671</t>
  </si>
  <si>
    <t>13865184</t>
  </si>
  <si>
    <t>0b59b1f6-c1cf-4a46-8cf3-1ea2ff315c30</t>
  </si>
  <si>
    <t>2026-03-30 10:57:24</t>
  </si>
  <si>
    <t>27728989889</t>
  </si>
  <si>
    <t>13863850</t>
  </si>
  <si>
    <t>e84edb17-91a1-4805-b44e-45014e2ff6ff</t>
  </si>
  <si>
    <t>2026-03-30 10:53:44</t>
  </si>
  <si>
    <t>27769481831</t>
  </si>
  <si>
    <t>13862563</t>
  </si>
  <si>
    <t>35189524-c082-4808-a976-c9643739fc99</t>
  </si>
  <si>
    <t>2026-03-30 10:53:09</t>
  </si>
  <si>
    <t>27661669667</t>
  </si>
  <si>
    <t>13863352</t>
  </si>
  <si>
    <t>b9bca114-6ff4-4d91-a0d9-62d3af96600d</t>
  </si>
  <si>
    <t>2026-03-30 10:18:06</t>
  </si>
  <si>
    <t>27766382271</t>
  </si>
  <si>
    <t>13863385</t>
  </si>
  <si>
    <t>0b518647-283e-4f65-b6fb-4dbae59985c2</t>
  </si>
  <si>
    <t>2026-03-30 10:17:24</t>
  </si>
  <si>
    <t>27792445883</t>
  </si>
  <si>
    <t>13863253</t>
  </si>
  <si>
    <t>e2bfb783-02d3-4c4e-9d20-250693254a89</t>
  </si>
  <si>
    <t>2026-03-30 10:15:24</t>
  </si>
  <si>
    <t>27660372919</t>
  </si>
  <si>
    <t>13865335</t>
  </si>
  <si>
    <t>de64f7a5-9a52-4ef2-8184-6d938bcabb59</t>
  </si>
  <si>
    <t>2026-03-30 10:12:07</t>
  </si>
  <si>
    <t>27606710680</t>
  </si>
  <si>
    <t>6e8663de-65dd-488b-b205-4fadb88f9f09</t>
  </si>
  <si>
    <t>2026-03-30 10:09:07</t>
  </si>
  <si>
    <t>27790234898</t>
  </si>
  <si>
    <t>13862400</t>
  </si>
  <si>
    <t>66198225-b931-41f1-90c1-e7b11818c6f5</t>
  </si>
  <si>
    <t>2026-03-30 10:08:55</t>
  </si>
  <si>
    <t>27663791067</t>
  </si>
  <si>
    <t>13864109</t>
  </si>
  <si>
    <t>878b0f91-dd0e-40ca-82cf-fa97cf3cd5a1</t>
  </si>
  <si>
    <t>2026-03-30 10:06:07</t>
  </si>
  <si>
    <t>27763736728</t>
  </si>
  <si>
    <t>13863589</t>
  </si>
  <si>
    <t>bd3ecf28-95f0-4f93-a2cb-4a3ae3893318</t>
  </si>
  <si>
    <t>2026-03-30 10:05:51</t>
  </si>
  <si>
    <t>27768450913</t>
  </si>
  <si>
    <t>13862785</t>
  </si>
  <si>
    <t>291767a3-24a2-4354-a6e9-ee2a6bbad81b</t>
  </si>
  <si>
    <t>2026-03-30 10:04:40</t>
  </si>
  <si>
    <t>27729357277</t>
  </si>
  <si>
    <t>13862791</t>
  </si>
  <si>
    <t>075643f6-5490-4302-a58d-f9dcee903f27</t>
  </si>
  <si>
    <t>2026-03-30 10:04:36</t>
  </si>
  <si>
    <t>27760276317</t>
  </si>
  <si>
    <t>13864075</t>
  </si>
  <si>
    <t>6dc049af-846d-49ab-a474-59a4bf9da86c</t>
  </si>
  <si>
    <t>2026-03-30 10:03:36</t>
  </si>
  <si>
    <t>27727433204</t>
  </si>
  <si>
    <t>13864024</t>
  </si>
  <si>
    <t>d079432e-538c-4e25-b5e6-71745340007d</t>
  </si>
  <si>
    <t>2026-03-30 09:59:58</t>
  </si>
  <si>
    <t>27712604434</t>
  </si>
  <si>
    <t>13863523</t>
  </si>
  <si>
    <t>f7c917c5-420e-48ca-8821-a97120fb35d9</t>
  </si>
  <si>
    <t>2026-03-30 09:58:14</t>
  </si>
  <si>
    <t>27720539257</t>
  </si>
  <si>
    <t>13865102</t>
  </si>
  <si>
    <t>3de1b9c7-d408-4ce4-9dd1-971a5e66196e</t>
  </si>
  <si>
    <t>2026-03-30 09:57:33</t>
  </si>
  <si>
    <t>27673850360</t>
  </si>
  <si>
    <t>13865218</t>
  </si>
  <si>
    <t>d3781183-841f-4439-a20f-3ab3fb72b23f</t>
  </si>
  <si>
    <t>2026-03-30 09:56:45</t>
  </si>
  <si>
    <t>27765077423</t>
  </si>
  <si>
    <t>13863257</t>
  </si>
  <si>
    <t>8d8b6b3c-db3e-4b09-a4e3-fd50587eb393</t>
  </si>
  <si>
    <t>2026-03-30 09:54:57</t>
  </si>
  <si>
    <t>27662337518</t>
  </si>
  <si>
    <t>13864561</t>
  </si>
  <si>
    <t>1b96a11a-4355-47d6-b05b-46414a67bded</t>
  </si>
  <si>
    <t>2026-03-30 09:45:51</t>
  </si>
  <si>
    <t>27663911024</t>
  </si>
  <si>
    <t>13863587</t>
  </si>
  <si>
    <t>726374c6-0581-4a64-b1d7-bfb90727a725</t>
  </si>
  <si>
    <t>2026-03-30 09:44:51</t>
  </si>
  <si>
    <t>27768002187</t>
  </si>
  <si>
    <t>13864635</t>
  </si>
  <si>
    <t>8c982de4-0697-4e2b-89fd-49f9acb95d77</t>
  </si>
  <si>
    <t>2026-03-30 09:41:56</t>
  </si>
  <si>
    <t>27723987416</t>
  </si>
  <si>
    <t>13865890</t>
  </si>
  <si>
    <t>37653bda-9a85-4cda-a76b-97596f6a7ea2</t>
  </si>
  <si>
    <t>2026-03-30 09:41:05</t>
  </si>
  <si>
    <t>27608276183</t>
  </si>
  <si>
    <t>13865881</t>
  </si>
  <si>
    <t>c8028899-fa73-4fd1-ab49-967976085303</t>
  </si>
  <si>
    <t>2026-03-30 09:40:24</t>
  </si>
  <si>
    <t>27835389674</t>
  </si>
  <si>
    <t>13865880</t>
  </si>
  <si>
    <t>eb98e82e-c49d-4585-afff-729831b9af62</t>
  </si>
  <si>
    <t>2026-03-30 09:38:41</t>
  </si>
  <si>
    <t>27834737988</t>
  </si>
  <si>
    <t>13862105</t>
  </si>
  <si>
    <t>efe43aae-1379-4942-9a1d-f6683d73887a</t>
  </si>
  <si>
    <t>2026-03-30 09:37:10</t>
  </si>
  <si>
    <t>27714242298</t>
  </si>
  <si>
    <t>13862379</t>
  </si>
  <si>
    <t>d51f494d-10d5-4bfd-9181-b929e3b40b15</t>
  </si>
  <si>
    <t>2026-03-30 09:36:09</t>
  </si>
  <si>
    <t>27607355511</t>
  </si>
  <si>
    <t>13862386</t>
  </si>
  <si>
    <t>113cb820-df02-4626-a0d1-08c544e6cb3b</t>
  </si>
  <si>
    <t>2026-03-30 09:36:07</t>
  </si>
  <si>
    <t>27637667773</t>
  </si>
  <si>
    <t>13864534</t>
  </si>
  <si>
    <t>547d3a08-92db-4e95-9044-bc3984084a46</t>
  </si>
  <si>
    <t>2026-03-30 09:34:56</t>
  </si>
  <si>
    <t>27609249797</t>
  </si>
  <si>
    <t>13862803</t>
  </si>
  <si>
    <t>d553e302-c48d-46e3-bd36-615afca74d27</t>
  </si>
  <si>
    <t>2026-03-30 09:32:51</t>
  </si>
  <si>
    <t>27763173306</t>
  </si>
  <si>
    <t>13862013</t>
  </si>
  <si>
    <t>43b3042f-ac6e-4939-b3be-3b84577d4f24</t>
  </si>
  <si>
    <t>2026-03-30 09:32:08</t>
  </si>
  <si>
    <t>27764628861</t>
  </si>
  <si>
    <t>13862171</t>
  </si>
  <si>
    <t>0fcf89d4-e5d3-47ec-a50c-7c87df443dcc</t>
  </si>
  <si>
    <t>2026-03-30 09:30:24</t>
  </si>
  <si>
    <t>27769763068</t>
  </si>
  <si>
    <t>13863598</t>
  </si>
  <si>
    <t>1ef469ed-5d58-44e5-b329-1c707660eaa9</t>
  </si>
  <si>
    <t>2026-03-30 08:57:10</t>
  </si>
  <si>
    <t>27785474446</t>
  </si>
  <si>
    <t>13863774</t>
  </si>
  <si>
    <t>ccdfe97d-9f71-4c6a-b440-91b976839d7e</t>
  </si>
  <si>
    <t>2026-03-30 07:46:08</t>
  </si>
  <si>
    <t>27724858636</t>
  </si>
  <si>
    <t>13862531</t>
  </si>
  <si>
    <t>68127668-6b4e-432d-a810-ee454e947251</t>
  </si>
  <si>
    <t>2026-03-30 06:50:17</t>
  </si>
  <si>
    <t>27826865328</t>
  </si>
  <si>
    <t>13862283</t>
  </si>
  <si>
    <t>cfe1caae-0ba3-402a-91b4-bd3fe039b12b</t>
  </si>
  <si>
    <t>2026-03-27 12:33:15</t>
  </si>
  <si>
    <t>27724368651</t>
  </si>
  <si>
    <t>13863196</t>
  </si>
  <si>
    <t>93befa64-dc8b-4761-b1ca-8cecf2719f40</t>
  </si>
  <si>
    <t>2026-03-27 12:23:50</t>
  </si>
  <si>
    <t>27799309810</t>
  </si>
  <si>
    <t>13865230</t>
  </si>
  <si>
    <t>d1d6b812-7c25-40fb-a891-d253fc2c45d1</t>
  </si>
  <si>
    <t>2026-03-27 11:12:59</t>
  </si>
  <si>
    <t>27767557073</t>
  </si>
  <si>
    <t>13865724</t>
  </si>
  <si>
    <t>d2d6a482-a0e2-4ea4-86f7-b03b5b1ae347</t>
  </si>
  <si>
    <t>2026-03-27 08:59:48</t>
  </si>
  <si>
    <t>27760517652</t>
  </si>
  <si>
    <t>13864924</t>
  </si>
  <si>
    <t>d84a9da1-53ac-4fc2-87d4-0e76b6c32701</t>
  </si>
  <si>
    <t>2026-03-27 08:51:50</t>
  </si>
  <si>
    <t>27733440736</t>
  </si>
  <si>
    <t>13863403</t>
  </si>
  <si>
    <t>c255347a-6b86-448a-8ebe-c1d96a64ca4f</t>
  </si>
  <si>
    <t>2026-03-27 08:45:19</t>
  </si>
  <si>
    <t>27795149608</t>
  </si>
  <si>
    <t>13863398</t>
  </si>
  <si>
    <t>9fdb3800-4b5f-42c5-bb25-c25dd4e576db</t>
  </si>
  <si>
    <t>2026-03-27 08:36:05</t>
  </si>
  <si>
    <t>27793943772</t>
  </si>
  <si>
    <t>13865170</t>
  </si>
  <si>
    <t>679c98cb-5f48-41fa-a79c-c30430aad3f5</t>
  </si>
  <si>
    <t>2026-03-27 07:50:10</t>
  </si>
  <si>
    <t>27726936086</t>
  </si>
  <si>
    <t>13862248</t>
  </si>
  <si>
    <t>c4ddcd06-6454-4d22-8e94-badf1f5526eb</t>
  </si>
  <si>
    <t>2026-03-27 06:23:23</t>
  </si>
  <si>
    <t>27661769961</t>
  </si>
  <si>
    <t>e46378cc-43fb-452d-bac0-9593331f9be8</t>
  </si>
  <si>
    <t>2026-03-26 14:39:40</t>
  </si>
  <si>
    <t>27713087617</t>
  </si>
  <si>
    <t>13861611</t>
  </si>
  <si>
    <t>c08170b0-66b3-46c7-95e6-f30094c4d3d7</t>
  </si>
  <si>
    <t>2026-03-26 14:01:25</t>
  </si>
  <si>
    <t>27647852563</t>
  </si>
  <si>
    <t>13864699</t>
  </si>
  <si>
    <t>9764df1f-3d87-4bdd-b15a-f55bc5a30b90</t>
  </si>
  <si>
    <t>2026-03-26 13:41:24</t>
  </si>
  <si>
    <t>27765868355</t>
  </si>
  <si>
    <t>13864032</t>
  </si>
  <si>
    <t>0647fe8d-7416-4af0-8d2c-ea4139bb7f2c</t>
  </si>
  <si>
    <t>2026-03-26 12:20:10</t>
  </si>
  <si>
    <t>27714788161</t>
  </si>
  <si>
    <t>13862510</t>
  </si>
  <si>
    <t>6eda91de-07a7-4b71-b81f-aeb6d04750fa</t>
  </si>
  <si>
    <t>2026-03-26 11:59:14</t>
  </si>
  <si>
    <t>27818389103</t>
  </si>
  <si>
    <t>13864204</t>
  </si>
  <si>
    <t>18fc75bc-3567-4ec8-b778-47cf80f3538c</t>
  </si>
  <si>
    <t>2026-03-26 11:56:47</t>
  </si>
  <si>
    <t>27818737868</t>
  </si>
  <si>
    <t>13865354</t>
  </si>
  <si>
    <t>f0e953fa-68b3-4100-b6a6-4bb2010a5aa7</t>
  </si>
  <si>
    <t>2026-03-26 11:54:06</t>
  </si>
  <si>
    <t>27646071357</t>
  </si>
  <si>
    <t>13863878</t>
  </si>
  <si>
    <t>bdcb2dd4-835f-4996-bd4c-055b51193792</t>
  </si>
  <si>
    <t>2026-03-26 11:42:11</t>
  </si>
  <si>
    <t>27795506067</t>
  </si>
  <si>
    <t>13862428</t>
  </si>
  <si>
    <t>648b85e8-e236-48e9-ac81-d1933de9c458</t>
  </si>
  <si>
    <t>2026-03-26 11:22:28</t>
  </si>
  <si>
    <t>27720872752</t>
  </si>
  <si>
    <t>13864384</t>
  </si>
  <si>
    <t>19a8137c-5bb7-40d4-9aee-4a04aa0fdac7</t>
  </si>
  <si>
    <t>2026-03-26 11:21:53</t>
  </si>
  <si>
    <t>27760582065</t>
  </si>
  <si>
    <t>13865231</t>
  </si>
  <si>
    <t>785bb591-b9b3-4647-b528-a3b4c1b01ecd</t>
  </si>
  <si>
    <t>2026-03-26 10:43:29</t>
  </si>
  <si>
    <t>27767583174</t>
  </si>
  <si>
    <t>13863219</t>
  </si>
  <si>
    <t>17bb6332-ed7b-4ebb-bd10-bddbefc8745e</t>
  </si>
  <si>
    <t>2026-03-26 10:38:05</t>
  </si>
  <si>
    <t>27827706873</t>
  </si>
  <si>
    <t>13862672</t>
  </si>
  <si>
    <t>992e31ed-7304-47a8-b0b6-3944e1fd4e3b</t>
  </si>
  <si>
    <t>2026-03-26 10:37:05</t>
  </si>
  <si>
    <t>27795170157</t>
  </si>
  <si>
    <t>13864083</t>
  </si>
  <si>
    <t>925215eb-77ea-4a90-8d4d-19f53f3ed391</t>
  </si>
  <si>
    <t>2026-03-26 10:31:19</t>
  </si>
  <si>
    <t>27729002920</t>
  </si>
  <si>
    <t>e8143f96-e820-4097-ac36-4cb0944221e7</t>
  </si>
  <si>
    <t>27725112470</t>
  </si>
  <si>
    <t>13862101</t>
  </si>
  <si>
    <t>4a45a752-2a1e-4834-aa3e-e170b36fed77</t>
  </si>
  <si>
    <t>2026-03-26 10:28:29</t>
  </si>
  <si>
    <t>27712458245</t>
  </si>
  <si>
    <t>13863501</t>
  </si>
  <si>
    <t>24b558d0-674f-4ebd-b7c9-8584b9d5a9b3</t>
  </si>
  <si>
    <t>2026-03-26 10:27:40</t>
  </si>
  <si>
    <t>27712574860</t>
  </si>
  <si>
    <t>13865193</t>
  </si>
  <si>
    <t>03501177-96a0-43fd-81bf-58e4d8fc6f16</t>
  </si>
  <si>
    <t>2026-03-26 10:26:30</t>
  </si>
  <si>
    <t>27760183208</t>
  </si>
  <si>
    <t>13862783</t>
  </si>
  <si>
    <t>bf4f12de-273c-4a84-b408-a1ce205150eb</t>
  </si>
  <si>
    <t>2026-03-26 10:26:19</t>
  </si>
  <si>
    <t>27729191849</t>
  </si>
  <si>
    <t>13865194</t>
  </si>
  <si>
    <t>0881634a-b7ae-4b2b-8b4a-053728ff7509</t>
  </si>
  <si>
    <t>2026-03-26 10:25:41</t>
  </si>
  <si>
    <t>27760298646</t>
  </si>
  <si>
    <t>13863725</t>
  </si>
  <si>
    <t>83b2aea0-eaf9-4937-b300-50a5c92a09d5</t>
  </si>
  <si>
    <t>2026-03-26 10:25:31</t>
  </si>
  <si>
    <t>27661594816</t>
  </si>
  <si>
    <t>13865489</t>
  </si>
  <si>
    <t>49004e9a-74ec-4468-bb67-10a748c96c52</t>
  </si>
  <si>
    <t>2026-03-26 10:24:04</t>
  </si>
  <si>
    <t>27765156508</t>
  </si>
  <si>
    <t>13865504</t>
  </si>
  <si>
    <t>ac30581a-e7d7-4ed4-ab5b-f65b91d4f394</t>
  </si>
  <si>
    <t>2026-03-26 10:23:15</t>
  </si>
  <si>
    <t>27772639270</t>
  </si>
  <si>
    <t>13862339</t>
  </si>
  <si>
    <t>b1f2dd4f-d23c-4773-9461-2924bdd4c243</t>
  </si>
  <si>
    <t>2026-03-26 10:19:59</t>
  </si>
  <si>
    <t>27793158625</t>
  </si>
  <si>
    <t>13865620</t>
  </si>
  <si>
    <t>caa99c95-c6fa-4465-bd73-103de16c1c02</t>
  </si>
  <si>
    <t>2026-03-26 10:19:54</t>
  </si>
  <si>
    <t>27660305684</t>
  </si>
  <si>
    <t>13863986</t>
  </si>
  <si>
    <t>8028185a-c5dc-4c29-86ed-b4317c14ee82</t>
  </si>
  <si>
    <t>2026-03-26 10:17:24</t>
  </si>
  <si>
    <t>27649960596</t>
  </si>
  <si>
    <t>13865209</t>
  </si>
  <si>
    <t>238e9d84-2e5b-4278-932d-7a361d227202</t>
  </si>
  <si>
    <t>27763748566</t>
  </si>
  <si>
    <t>13862270</t>
  </si>
  <si>
    <t>453f9b24-6c4c-4436-bf48-426648065781</t>
  </si>
  <si>
    <t>2026-03-26 10:15:28</t>
  </si>
  <si>
    <t>27720959935</t>
  </si>
  <si>
    <t>13865010</t>
  </si>
  <si>
    <t>8239041a-8303-4531-a9b9-8f6a2038b098</t>
  </si>
  <si>
    <t>2026-03-26 10:12:06</t>
  </si>
  <si>
    <t>27799209856</t>
  </si>
  <si>
    <t>13863485</t>
  </si>
  <si>
    <t>e0123d09-c2d4-4fac-a5e4-023c065bef40</t>
  </si>
  <si>
    <t>2026-03-26 10:12:00</t>
  </si>
  <si>
    <t>27663722225</t>
  </si>
  <si>
    <t>13865451</t>
  </si>
  <si>
    <t>1442bdf4-fdb3-4ebb-9998-1ade05ba1e46</t>
  </si>
  <si>
    <t>2026-03-26 10:01:54</t>
  </si>
  <si>
    <t>27727495990</t>
  </si>
  <si>
    <t>13863452</t>
  </si>
  <si>
    <t>d0038c0c-550a-458a-a744-11df05ed080d</t>
  </si>
  <si>
    <t>2026-03-26 09:55:48</t>
  </si>
  <si>
    <t>27827639346</t>
  </si>
  <si>
    <t>13862983</t>
  </si>
  <si>
    <t>a2932470-b68f-4753-bcb1-20b0df37f520</t>
  </si>
  <si>
    <t>2026-03-26 09:54:32</t>
  </si>
  <si>
    <t>27796421152</t>
  </si>
  <si>
    <t>13862599</t>
  </si>
  <si>
    <t>d4bfde82-1e2b-42ab-9719-7cc2f14f2035</t>
  </si>
  <si>
    <t>2026-03-26 09:53:04</t>
  </si>
  <si>
    <t>27721809398</t>
  </si>
  <si>
    <t>13862982</t>
  </si>
  <si>
    <t>b38d6673-f315-49e1-8759-1020064af577</t>
  </si>
  <si>
    <t>2026-03-26 09:52:24</t>
  </si>
  <si>
    <t>27795340023</t>
  </si>
  <si>
    <t>13862995</t>
  </si>
  <si>
    <t>9883d97a-ef1e-443e-8eb2-784b6a13200f</t>
  </si>
  <si>
    <t>2026-03-26 09:51:16</t>
  </si>
  <si>
    <t>27663226083</t>
  </si>
  <si>
    <t>13862861</t>
  </si>
  <si>
    <t>c369084d-0a13-4f14-b096-61c0ed9e9435</t>
  </si>
  <si>
    <t>2026-03-26 09:51:00</t>
  </si>
  <si>
    <t>27818775875</t>
  </si>
  <si>
    <t>13863686</t>
  </si>
  <si>
    <t>f2501602-8640-492e-baff-c6834b7a8fa1</t>
  </si>
  <si>
    <t>2026-03-26 09:50:35</t>
  </si>
  <si>
    <t>27607651942</t>
  </si>
  <si>
    <t>13863727</t>
  </si>
  <si>
    <t>f7689b7d-1389-4218-9a80-d40757a835b1</t>
  </si>
  <si>
    <t>2026-03-26 09:49:17</t>
  </si>
  <si>
    <t>27663937411</t>
  </si>
  <si>
    <t>13864860</t>
  </si>
  <si>
    <t>d6d6434a-7449-4bdf-a695-63138dae6e70</t>
  </si>
  <si>
    <t>2026-03-26 09:47:56</t>
  </si>
  <si>
    <t>27711244627</t>
  </si>
  <si>
    <t>13863566</t>
  </si>
  <si>
    <t>f318ac77-ce64-4a6d-a88d-a974119ab90d</t>
  </si>
  <si>
    <t>2026-03-26 09:46:27</t>
  </si>
  <si>
    <t>27763205042</t>
  </si>
  <si>
    <t>13865083</t>
  </si>
  <si>
    <t>0523d19b-4698-484a-9fb7-d781f52f9b9f</t>
  </si>
  <si>
    <t>2026-03-26 09:43:41</t>
  </si>
  <si>
    <t>27660250268</t>
  </si>
  <si>
    <t>13863678</t>
  </si>
  <si>
    <t>996baabb-3f6e-431c-92c9-79083e817304</t>
  </si>
  <si>
    <t>2026-03-26 09:40:26</t>
  </si>
  <si>
    <t>27838821466</t>
  </si>
  <si>
    <t>13863820</t>
  </si>
  <si>
    <t>d668d914-1db5-4c48-bf97-52205aab7143</t>
  </si>
  <si>
    <t>2026-03-26 09:37:04</t>
  </si>
  <si>
    <t>27762409898</t>
  </si>
  <si>
    <t>13863167</t>
  </si>
  <si>
    <t>796b3eb1-1e56-405d-b745-89c6d5a94a3b</t>
  </si>
  <si>
    <t>2026-03-26 09:35:51</t>
  </si>
  <si>
    <t>27792101529</t>
  </si>
  <si>
    <t>13862922</t>
  </si>
  <si>
    <t>8fae0f39-b597-45fb-b71d-4852bd1c0837</t>
  </si>
  <si>
    <t>2026-03-26 09:35:48</t>
  </si>
  <si>
    <t>27716784783</t>
  </si>
  <si>
    <t>e757fd40-067f-4c59-9e43-714784639c41</t>
  </si>
  <si>
    <t>2026-03-26 09:35:08</t>
  </si>
  <si>
    <t>27665281178</t>
  </si>
  <si>
    <t>13862971</t>
  </si>
  <si>
    <t>9a75ce99-5c28-4150-831a-9ff5480d3005</t>
  </si>
  <si>
    <t>2026-03-26 09:34:42</t>
  </si>
  <si>
    <t>27766455249</t>
  </si>
  <si>
    <t>13862920</t>
  </si>
  <si>
    <t>2a620a16-19af-4b0d-82a5-cb1cdbe3446f</t>
  </si>
  <si>
    <t>2026-03-26 09:34:19</t>
  </si>
  <si>
    <t>27711012460</t>
  </si>
  <si>
    <t>13863975</t>
  </si>
  <si>
    <t>ecd67ae5-9b7f-4846-a1e0-7549efa48eed</t>
  </si>
  <si>
    <t>2026-03-26 09:33:53</t>
  </si>
  <si>
    <t>27646270181</t>
  </si>
  <si>
    <t>13862925</t>
  </si>
  <si>
    <t>cae8e9ce-1ac2-4337-b45b-e532bb6f6890</t>
  </si>
  <si>
    <t>2026-03-26 09:33:25</t>
  </si>
  <si>
    <t>27727311821</t>
  </si>
  <si>
    <t>13865861</t>
  </si>
  <si>
    <t>6f5ba71d-47c6-4328-8ffc-0a8c2782835a</t>
  </si>
  <si>
    <t>2026-03-26 09:33:24</t>
  </si>
  <si>
    <t>27825289761</t>
  </si>
  <si>
    <t>e931d191-3477-4c88-9861-d15f85a6c5d3</t>
  </si>
  <si>
    <t>2026-03-26 09:32:58</t>
  </si>
  <si>
    <t>27768575826</t>
  </si>
  <si>
    <t>13862911</t>
  </si>
  <si>
    <t>efa969a0-4126-4a15-8983-3a5b4b7501b1</t>
  </si>
  <si>
    <t>2026-03-26 09:30:59</t>
  </si>
  <si>
    <t>27820906751</t>
  </si>
  <si>
    <t>13863976</t>
  </si>
  <si>
    <t>3b0bcd01-dfc2-4a94-b701-5ab0c630f6d9</t>
  </si>
  <si>
    <t>2026-03-26 09:29:01</t>
  </si>
  <si>
    <t>27646856891</t>
  </si>
  <si>
    <t>13864376</t>
  </si>
  <si>
    <t>26c2efe3-d003-4506-bba5-2013272010e1</t>
  </si>
  <si>
    <t>2026-03-26 09:28:49</t>
  </si>
  <si>
    <t>27729290763</t>
  </si>
  <si>
    <t>13865855</t>
  </si>
  <si>
    <t>dc9348ec-bde3-43af-a2dc-6c65c981fcbc</t>
  </si>
  <si>
    <t>2026-03-26 09:26:41</t>
  </si>
  <si>
    <t>27824243423</t>
  </si>
  <si>
    <t>13863273</t>
  </si>
  <si>
    <t>13bec99a-35db-4e89-b868-6d70d04258da</t>
  </si>
  <si>
    <t>2026-03-26 09:22:01</t>
  </si>
  <si>
    <t>27713835259</t>
  </si>
  <si>
    <t>13862345</t>
  </si>
  <si>
    <t>4aaa836e-a195-487a-b7cf-7fb7dc2a5646</t>
  </si>
  <si>
    <t>2026-03-26 09:21:29</t>
  </si>
  <si>
    <t>27795734701</t>
  </si>
  <si>
    <t>13864616</t>
  </si>
  <si>
    <t>2fab64a8-44d4-49c7-af53-643a809cb109</t>
  </si>
  <si>
    <t>2026-03-26 09:19:58</t>
  </si>
  <si>
    <t>27721206644</t>
  </si>
  <si>
    <t>13864387</t>
  </si>
  <si>
    <t>76c24b31-c8cd-467c-a3ff-e521045a5b61</t>
  </si>
  <si>
    <t>2026-03-26 09:19:11</t>
  </si>
  <si>
    <t>27760951708</t>
  </si>
  <si>
    <t>13864390</t>
  </si>
  <si>
    <t>3014a388-197a-4bf0-8a1c-e72c07962a83</t>
  </si>
  <si>
    <t>2026-03-26 09:17:30</t>
  </si>
  <si>
    <t>27761751199</t>
  </si>
  <si>
    <t>13863165</t>
  </si>
  <si>
    <t>055b6d5c-24c2-458d-9d35-1193cc0f20b9</t>
  </si>
  <si>
    <t>2026-03-26 09:16:37</t>
  </si>
  <si>
    <t>27791561250</t>
  </si>
  <si>
    <t>13863366</t>
  </si>
  <si>
    <t>b05ced4b-9007-4cd3-8dea-dbd7c29ebf41</t>
  </si>
  <si>
    <t>2026-03-26 09:15:28</t>
  </si>
  <si>
    <t>27769514886</t>
  </si>
  <si>
    <t>13862315</t>
  </si>
  <si>
    <t>f825f6ac-7458-4006-b3a0-33653a4ccead</t>
  </si>
  <si>
    <t>2026-03-26 09:14:04</t>
  </si>
  <si>
    <t>27764677516</t>
  </si>
  <si>
    <t>13864415</t>
  </si>
  <si>
    <t>6e8b6303-9d83-4930-8f5e-e9b85444d925</t>
  </si>
  <si>
    <t>2026-03-26 09:13:02</t>
  </si>
  <si>
    <t>27768592941</t>
  </si>
  <si>
    <t>13865532</t>
  </si>
  <si>
    <t>02e1ba0a-425f-443a-8a67-e6db1e151352</t>
  </si>
  <si>
    <t>2026-03-26 09:10:15</t>
  </si>
  <si>
    <t>27795379450</t>
  </si>
  <si>
    <t>13865593</t>
  </si>
  <si>
    <t>cba0f18a-4b36-4b8e-af95-746f81a3b8b9</t>
  </si>
  <si>
    <t>2026-03-26 09:08:59</t>
  </si>
  <si>
    <t>27606613184</t>
  </si>
  <si>
    <t>13862306</t>
  </si>
  <si>
    <t>12d910eb-0725-4a50-87b9-0a334308e5fb</t>
  </si>
  <si>
    <t>2026-03-26 09:07:59</t>
  </si>
  <si>
    <t>27761687474</t>
  </si>
  <si>
    <t>0e96921e-8f4d-4beb-8b58-2f7181fea62e</t>
  </si>
  <si>
    <t>2026-03-26 09:06:26</t>
  </si>
  <si>
    <t>27723615592</t>
  </si>
  <si>
    <t>13862301</t>
  </si>
  <si>
    <t>83360bd7-072e-4741-9bad-dc306a697ef9</t>
  </si>
  <si>
    <t>2026-03-26 09:06:25</t>
  </si>
  <si>
    <t>27760167751</t>
  </si>
  <si>
    <t>13862282</t>
  </si>
  <si>
    <t>86c90f95-d90a-43e4-bcb4-a0f9d0ac7eb7</t>
  </si>
  <si>
    <t>2026-03-26 09:04:27</t>
  </si>
  <si>
    <t>27724368483</t>
  </si>
  <si>
    <t>e135221b-f59e-4050-8203-f35be3f9deb1</t>
  </si>
  <si>
    <t>2026-03-26 09:03:57</t>
  </si>
  <si>
    <t>27792668402</t>
  </si>
  <si>
    <t>13862699</t>
  </si>
  <si>
    <t>f7fc43e3-494b-46b9-b4e1-05bfd8c07703</t>
  </si>
  <si>
    <t>2026-03-26 09:03:56</t>
  </si>
  <si>
    <t>27828855950</t>
  </si>
  <si>
    <t>13865789</t>
  </si>
  <si>
    <t>95bf6752-5bcb-4e6f-be20-316a4b6bd8ec</t>
  </si>
  <si>
    <t>2026-03-26 09:03:10</t>
  </si>
  <si>
    <t>27790642875</t>
  </si>
  <si>
    <t>13865805</t>
  </si>
  <si>
    <t>5af9e77f-238d-47f5-85aa-77a5e14f2bd4</t>
  </si>
  <si>
    <t>2026-03-26 09:01:26</t>
  </si>
  <si>
    <t>27793459410</t>
  </si>
  <si>
    <t>13862692</t>
  </si>
  <si>
    <t>c1e83f78-e1f9-45ab-9eb2-fe05e80e46a5</t>
  </si>
  <si>
    <t>2026-03-26 09:01:24</t>
  </si>
  <si>
    <t>27825331871</t>
  </si>
  <si>
    <t>13862691</t>
  </si>
  <si>
    <t>0aeab52d-24c2-4f85-aa4f-cafd9b4e12d0</t>
  </si>
  <si>
    <t>2026-03-26 09:01:04</t>
  </si>
  <si>
    <t>27825148053</t>
  </si>
  <si>
    <t>13862544</t>
  </si>
  <si>
    <t>d0d6db6b-6dc1-4531-8462-1d6a328df067</t>
  </si>
  <si>
    <t>2026-03-26 09:00:23</t>
  </si>
  <si>
    <t>27607295625</t>
  </si>
  <si>
    <t>13865759</t>
  </si>
  <si>
    <t>ff64dcbc-b0e7-4fe1-b1fd-d22ec9c65c7b</t>
  </si>
  <si>
    <t>2026-03-26 08:57:58</t>
  </si>
  <si>
    <t>27765592985</t>
  </si>
  <si>
    <t>13865756</t>
  </si>
  <si>
    <t>3347bca3-e2f4-4d32-a697-72825d58bd19</t>
  </si>
  <si>
    <t>2026-03-26 08:56:54</t>
  </si>
  <si>
    <t>27765373309</t>
  </si>
  <si>
    <t>13862003</t>
  </si>
  <si>
    <t>ad1d3d6c-9d74-492e-b897-00ee9009b0a0</t>
  </si>
  <si>
    <t>2026-03-26 08:55:50</t>
  </si>
  <si>
    <t>27762717956</t>
  </si>
  <si>
    <t>13862529</t>
  </si>
  <si>
    <t>78343767-98b1-4b4f-a4e0-6b80b63084c5</t>
  </si>
  <si>
    <t>2026-03-26 08:53:54</t>
  </si>
  <si>
    <t>27826406414</t>
  </si>
  <si>
    <t>13861227</t>
  </si>
  <si>
    <t>890f139f-b47c-49b6-b2b7-a54172cc321e</t>
  </si>
  <si>
    <t>2026-03-26 08:52:39</t>
  </si>
  <si>
    <t>27818244254</t>
  </si>
  <si>
    <t>13863106</t>
  </si>
  <si>
    <t>5d4284f0-6605-4268-bd17-00c1114679fe</t>
  </si>
  <si>
    <t>2026-03-26 08:51:02</t>
  </si>
  <si>
    <t>27727917575</t>
  </si>
  <si>
    <t>13865897</t>
  </si>
  <si>
    <t>9bd192ba-46b1-4d7d-9d8b-074da2393d44</t>
  </si>
  <si>
    <t>2026-03-26 08:50:33</t>
  </si>
  <si>
    <t>27636583775</t>
  </si>
  <si>
    <t>13862516</t>
  </si>
  <si>
    <t>01101f93-6a65-4f0e-b4fc-9418fb1f1ac3</t>
  </si>
  <si>
    <t>2026-03-26 08:50:05</t>
  </si>
  <si>
    <t>27820476444</t>
  </si>
  <si>
    <t>13865961</t>
  </si>
  <si>
    <t>b79dbca4-2147-4bd9-9841-7762729eb316</t>
  </si>
  <si>
    <t>2026-03-26 08:49:53</t>
  </si>
  <si>
    <t>27714274568</t>
  </si>
  <si>
    <t>13862524</t>
  </si>
  <si>
    <t>1d074680-193d-435d-bbdf-19ba792d3b30</t>
  </si>
  <si>
    <t>2026-03-26 07:52:19</t>
  </si>
  <si>
    <t>27824334471</t>
  </si>
  <si>
    <t>13863717</t>
  </si>
  <si>
    <t>c100583e-ad8f-4a28-a469-c81d01406b70</t>
  </si>
  <si>
    <t>27660020571</t>
  </si>
  <si>
    <t>13865608</t>
  </si>
  <si>
    <t>56a953f7-8a50-4dd2-a828-0e1bb4b17718</t>
  </si>
  <si>
    <t>2026-03-26 07:50:18</t>
  </si>
  <si>
    <t>27637353853</t>
  </si>
  <si>
    <t>13865610</t>
  </si>
  <si>
    <t>0c29c3d4-906a-4f6f-b859-7c56d1f14ed5</t>
  </si>
  <si>
    <t>27639808652</t>
  </si>
  <si>
    <t>13865612</t>
  </si>
  <si>
    <t>87d5b10f-162a-4607-9705-e4909541094c</t>
  </si>
  <si>
    <t>2026-03-26 07:50:16</t>
  </si>
  <si>
    <t>27646463144</t>
  </si>
  <si>
    <t>13863206</t>
  </si>
  <si>
    <t>dcdc406f-5bd7-4009-bef9-7cbc970e951c</t>
  </si>
  <si>
    <t>2026-03-26 07:46:17</t>
  </si>
  <si>
    <t>27823065889</t>
  </si>
  <si>
    <t>13863117</t>
  </si>
  <si>
    <t>7f7d79a4-799f-4292-a129-0f580dfa914a</t>
  </si>
  <si>
    <t>2026-03-26 07:33:14</t>
  </si>
  <si>
    <t>27732076638</t>
  </si>
  <si>
    <t>13861336</t>
  </si>
  <si>
    <t>d7fcea95-3bd6-4dae-ab42-7921831f26bc</t>
  </si>
  <si>
    <t>2026-03-25 14:39:14</t>
  </si>
  <si>
    <t>27762287259</t>
  </si>
  <si>
    <t>e8273e95-faae-43c0-9eab-10aa830d8cc6</t>
  </si>
  <si>
    <t>2026-03-25 12:54:47</t>
  </si>
  <si>
    <t>27731257100</t>
  </si>
  <si>
    <t>25e79655-a617-49a4-820f-567eb77a43a0</t>
  </si>
  <si>
    <t>2026-03-25 12:24:39</t>
  </si>
  <si>
    <t>27827475501</t>
  </si>
  <si>
    <t>13861513</t>
  </si>
  <si>
    <t>a0a806d9-3895-466d-bee6-75d4be4c8f2e</t>
  </si>
  <si>
    <t>2026-03-25 12:11:47</t>
  </si>
  <si>
    <t>27767278586</t>
  </si>
  <si>
    <t>13865945</t>
  </si>
  <si>
    <t>07bea68e-689f-402c-a075-f6ea43a051fd</t>
  </si>
  <si>
    <t>2026-03-25 10:29:32</t>
  </si>
  <si>
    <t>27712040741</t>
  </si>
  <si>
    <t>13862479</t>
  </si>
  <si>
    <t>a0265962-4f07-48bc-b099-ad9a2ee1356e</t>
  </si>
  <si>
    <t>2026-03-25 09:25:28</t>
  </si>
  <si>
    <t>27766613920</t>
  </si>
  <si>
    <t>13862483</t>
  </si>
  <si>
    <t>6b275171-9b6d-4ef0-af81-a4f1a7e118e5</t>
  </si>
  <si>
    <t>2026-03-25 09:15:33</t>
  </si>
  <si>
    <t>27768363008</t>
  </si>
  <si>
    <t>13864868</t>
  </si>
  <si>
    <t>c0778a4d-2f77-40a4-8268-2df9e6970194</t>
  </si>
  <si>
    <t>2026-03-25 09:08:43</t>
  </si>
  <si>
    <t>27713083698</t>
  </si>
  <si>
    <t>13865651</t>
  </si>
  <si>
    <t>69f9155e-40f6-4116-9f91-6f21c3d80c4c</t>
  </si>
  <si>
    <t>2026-03-25 08:44:34</t>
  </si>
  <si>
    <t>27711477958</t>
  </si>
  <si>
    <t>13863084</t>
  </si>
  <si>
    <t>c873d38e-5242-4dda-924d-0f350ba275ab</t>
  </si>
  <si>
    <t>2026-03-25 07:59:34</t>
  </si>
  <si>
    <t>27721300267</t>
  </si>
  <si>
    <t>13861948</t>
  </si>
  <si>
    <t>ecc9d27b-18fe-4b3c-9feb-4b6988310f33</t>
  </si>
  <si>
    <t>2026-03-24 12:33:22</t>
  </si>
  <si>
    <t>27691960125</t>
  </si>
  <si>
    <t>13861994</t>
  </si>
  <si>
    <t>72bcc66b-bca8-46b5-9753-e144ae8bb207</t>
  </si>
  <si>
    <t>2026-03-24 11:59:37</t>
  </si>
  <si>
    <t>27729342739</t>
  </si>
  <si>
    <t>13861989</t>
  </si>
  <si>
    <t>7ade582f-dda0-456e-b7b0-8aa72075d989</t>
  </si>
  <si>
    <t>2026-03-24 11:58:14</t>
  </si>
  <si>
    <t>27727866621</t>
  </si>
  <si>
    <t>13861981</t>
  </si>
  <si>
    <t>ec894e45-c107-4939-93ff-02a239cd0244</t>
  </si>
  <si>
    <t>2026-03-24 11:57:11</t>
  </si>
  <si>
    <t>27724670901</t>
  </si>
  <si>
    <t>13861974</t>
  </si>
  <si>
    <t>65b8e619-777b-484e-a43d-d1a679550330</t>
  </si>
  <si>
    <t>2026-03-24 11:53:50</t>
  </si>
  <si>
    <t>27721863027</t>
  </si>
  <si>
    <t>13861967</t>
  </si>
  <si>
    <t>5be48f7b-4a70-418c-b175-2d6d75e6213c</t>
  </si>
  <si>
    <t>2026-03-24 11:52:04</t>
  </si>
  <si>
    <t>27715379675</t>
  </si>
  <si>
    <t>13861963</t>
  </si>
  <si>
    <t>ee845246-6a52-4a63-95b4-48f8ae44269e</t>
  </si>
  <si>
    <t>2026-03-24 11:51:32</t>
  </si>
  <si>
    <t>27714398197</t>
  </si>
  <si>
    <t>13861959</t>
  </si>
  <si>
    <t>2d074cd0-0880-4493-b881-bc2294076864</t>
  </si>
  <si>
    <t>2026-03-24 11:50:31</t>
  </si>
  <si>
    <t>27713649548</t>
  </si>
  <si>
    <t>13863353</t>
  </si>
  <si>
    <t>a0992950-5eab-4bf1-ada1-02bea8c02f48</t>
  </si>
  <si>
    <t>2026-03-24 11:49:29</t>
  </si>
  <si>
    <t>27767360657</t>
  </si>
  <si>
    <t>13863334</t>
  </si>
  <si>
    <t>075105ae-8ee4-4856-a1a4-a98c9a55488b</t>
  </si>
  <si>
    <t>2026-03-24 11:26:28</t>
  </si>
  <si>
    <t>27761822986</t>
  </si>
  <si>
    <t>13861910</t>
  </si>
  <si>
    <t>493a9aca-1f20-4ea0-9cb8-7eace52e49e7</t>
  </si>
  <si>
    <t>2026-03-24 10:55:37</t>
  </si>
  <si>
    <t>27825445970</t>
  </si>
  <si>
    <t>13861907</t>
  </si>
  <si>
    <t>173d7ebb-0435-4cd6-bf2e-e6c9814f47fe</t>
  </si>
  <si>
    <t>2026-03-24 10:51:57</t>
  </si>
  <si>
    <t>27824782925</t>
  </si>
  <si>
    <t>13861895</t>
  </si>
  <si>
    <t>ffd7b1dd-264e-4493-b6c0-61750663758e</t>
  </si>
  <si>
    <t>2026-03-24 10:49:12</t>
  </si>
  <si>
    <t>27818956567</t>
  </si>
  <si>
    <t>13861882</t>
  </si>
  <si>
    <t>60b09cce-5ec5-42bb-a193-416205527aea</t>
  </si>
  <si>
    <t>2026-03-24 10:47:08</t>
  </si>
  <si>
    <t>27796384684</t>
  </si>
  <si>
    <t>13863268</t>
  </si>
  <si>
    <t>b9192f91-b771-4e5d-9c89-8453582fa463</t>
  </si>
  <si>
    <t>2026-03-24 10:44:33</t>
  </si>
  <si>
    <t>27712878696</t>
  </si>
  <si>
    <t>13861870</t>
  </si>
  <si>
    <t>c7233ae0-59f7-4134-adab-9a03803495a1</t>
  </si>
  <si>
    <t>2026-03-24 10:44:21</t>
  </si>
  <si>
    <t>27793594303</t>
  </si>
  <si>
    <t>13861868</t>
  </si>
  <si>
    <t>14a82a07-629d-4293-b894-7fdf21776a8b</t>
  </si>
  <si>
    <t>2026-03-24 10:43:47</t>
  </si>
  <si>
    <t>27792778876</t>
  </si>
  <si>
    <t>13861852</t>
  </si>
  <si>
    <t>77fe7c84-fea4-4aa7-85bf-319844dbeee5</t>
  </si>
  <si>
    <t>2026-03-24 10:42:04</t>
  </si>
  <si>
    <t>27772883394</t>
  </si>
  <si>
    <t>13863258</t>
  </si>
  <si>
    <t>74a189c5-9054-49ba-9815-3f9de9309e4f</t>
  </si>
  <si>
    <t>2026-03-24 10:41:31</t>
  </si>
  <si>
    <t>27663732633</t>
  </si>
  <si>
    <t>13861856</t>
  </si>
  <si>
    <t>338b69ee-8434-423d-9562-eeefe74a1954</t>
  </si>
  <si>
    <t>2026-03-24 10:40:43</t>
  </si>
  <si>
    <t>27790182362</t>
  </si>
  <si>
    <t>13861847</t>
  </si>
  <si>
    <t>612cbb77-1587-4670-a0b1-ee170543ea84</t>
  </si>
  <si>
    <t>2026-03-24 10:38:47</t>
  </si>
  <si>
    <t>27768208962</t>
  </si>
  <si>
    <t>13863241</t>
  </si>
  <si>
    <t>208f6169-be05-408a-ac69-bc364661ac8f</t>
  </si>
  <si>
    <t>2026-03-24 10:37:47</t>
  </si>
  <si>
    <t>27637560551</t>
  </si>
  <si>
    <t>13861839</t>
  </si>
  <si>
    <t>79779ef2-303c-4605-9a10-359c7dc3eeeb</t>
  </si>
  <si>
    <t>2026-03-24 10:36:57</t>
  </si>
  <si>
    <t>27763921453</t>
  </si>
  <si>
    <t>13861815</t>
  </si>
  <si>
    <t>c15f5727-4b9d-4872-a6b9-87bed2d94636</t>
  </si>
  <si>
    <t>2026-03-24 10:32:06</t>
  </si>
  <si>
    <t>27725414975</t>
  </si>
  <si>
    <t>13861821</t>
  </si>
  <si>
    <t>859ec029-f62f-4140-b8a1-554cb5291f03</t>
  </si>
  <si>
    <t>2026-03-24 10:29:57</t>
  </si>
  <si>
    <t>27727919838</t>
  </si>
  <si>
    <t>13861816</t>
  </si>
  <si>
    <t>800e28d7-4997-4318-a48b-c7def2570857</t>
  </si>
  <si>
    <t>2026-03-24 10:29:54</t>
  </si>
  <si>
    <t>27725603139</t>
  </si>
  <si>
    <t>13861800</t>
  </si>
  <si>
    <t>38f0499d-79a2-46dc-9fb7-34bdf42cf04a</t>
  </si>
  <si>
    <t>2026-03-24 10:27:30</t>
  </si>
  <si>
    <t>27716834574</t>
  </si>
  <si>
    <t>13861798</t>
  </si>
  <si>
    <t>0444310e-8e6c-45ee-8b08-d59571c540f0</t>
  </si>
  <si>
    <t>2026-03-24 10:27:20</t>
  </si>
  <si>
    <t>27716425940</t>
  </si>
  <si>
    <t>13861789</t>
  </si>
  <si>
    <t>00b3df10-5d90-4164-a342-954dcc5a3270</t>
  </si>
  <si>
    <t>2026-03-24 10:25:45</t>
  </si>
  <si>
    <t>27712356125</t>
  </si>
  <si>
    <t>13861773</t>
  </si>
  <si>
    <t>18ba6be4-cb16-4b9b-93ae-9413204b628c</t>
  </si>
  <si>
    <t>2026-03-24 10:23:01</t>
  </si>
  <si>
    <t>27649186388</t>
  </si>
  <si>
    <t>13861761</t>
  </si>
  <si>
    <t>349e41d3-5827-4307-b106-5390882ad5ec</t>
  </si>
  <si>
    <t>2026-03-24 10:21:22</t>
  </si>
  <si>
    <t>27608502506</t>
  </si>
  <si>
    <t>13861747</t>
  </si>
  <si>
    <t>83e17c34-ac0a-4722-bb86-103100232288</t>
  </si>
  <si>
    <t>2026-03-24 10:19:25</t>
  </si>
  <si>
    <t>27823140123</t>
  </si>
  <si>
    <t>13861745</t>
  </si>
  <si>
    <t>99bbbd0e-f770-4c8f-bb79-0b967fffbde1</t>
  </si>
  <si>
    <t>2026-03-24 10:19:08</t>
  </si>
  <si>
    <t>27820948050</t>
  </si>
  <si>
    <t>13861714</t>
  </si>
  <si>
    <t>4ff7a66c-82f5-48c6-a73b-1b586440d284</t>
  </si>
  <si>
    <t>2026-03-24 10:14:24</t>
  </si>
  <si>
    <t>27792595279</t>
  </si>
  <si>
    <t>13861709</t>
  </si>
  <si>
    <t>b698b5ca-5965-4fdb-a76b-3eef796ece7e</t>
  </si>
  <si>
    <t>2026-03-24 10:13:59</t>
  </si>
  <si>
    <t>27781219667</t>
  </si>
  <si>
    <t>13861706</t>
  </si>
  <si>
    <t>61209e53-0086-4547-b3f9-f6e1f5dd9ace</t>
  </si>
  <si>
    <t>2026-03-24 10:13:28</t>
  </si>
  <si>
    <t>27769421248</t>
  </si>
  <si>
    <t>13863095</t>
  </si>
  <si>
    <t>a3f1c27f-d3b3-4302-8232-1b627f3b8503</t>
  </si>
  <si>
    <t>2026-03-24 10:12:03</t>
  </si>
  <si>
    <t>27724057959</t>
  </si>
  <si>
    <t>13863108</t>
  </si>
  <si>
    <t>9307ea79-3b7b-41ec-9300-71aa91daed57</t>
  </si>
  <si>
    <t>2026-03-24 10:09:08</t>
  </si>
  <si>
    <t>27728484749</t>
  </si>
  <si>
    <t>13861619</t>
  </si>
  <si>
    <t>748822e9-5ee1-4061-8317-3ff763f7d2b8</t>
  </si>
  <si>
    <t>2026-03-24 10:08:24</t>
  </si>
  <si>
    <t>27664069676</t>
  </si>
  <si>
    <t>13861609</t>
  </si>
  <si>
    <t>6c8ea030-798d-46b1-8b65-02b586e3808f</t>
  </si>
  <si>
    <t>2026-03-24 10:03:12</t>
  </si>
  <si>
    <t>27646606370</t>
  </si>
  <si>
    <t>13861644</t>
  </si>
  <si>
    <t>2bbf9c7b-7cce-4d37-9b3a-4ee619877e75</t>
  </si>
  <si>
    <t>2026-03-24 10:02:24</t>
  </si>
  <si>
    <t>27715015523</t>
  </si>
  <si>
    <t>13861623</t>
  </si>
  <si>
    <t>8527af43-cb43-4a4a-8a39-df4679c64798</t>
  </si>
  <si>
    <t>2026-03-24 10:00:25</t>
  </si>
  <si>
    <t>27674980818</t>
  </si>
  <si>
    <t>13861610</t>
  </si>
  <si>
    <t>6d73c0d3-2cbf-499f-9284-af66fd385cfc</t>
  </si>
  <si>
    <t>2026-03-24 09:58:29</t>
  </si>
  <si>
    <t>27647823875</t>
  </si>
  <si>
    <t>13861604</t>
  </si>
  <si>
    <t>2ba99f26-19ce-4e12-b851-eeffd43832e5</t>
  </si>
  <si>
    <t>2026-03-24 09:56:51</t>
  </si>
  <si>
    <t>27636165656</t>
  </si>
  <si>
    <t>13861597</t>
  </si>
  <si>
    <t>5690737a-b5ad-436c-8ef1-4cd8a2b18689</t>
  </si>
  <si>
    <t>2026-03-24 09:56:27</t>
  </si>
  <si>
    <t>27608764593</t>
  </si>
  <si>
    <t>13861594</t>
  </si>
  <si>
    <t>87cfd5b1-2b71-4994-8350-1b2da26ccf04</t>
  </si>
  <si>
    <t>2026-03-24 09:55:09</t>
  </si>
  <si>
    <t>27607213134</t>
  </si>
  <si>
    <t>13861587</t>
  </si>
  <si>
    <t>39797682-6d23-4bc1-b902-adf5fa56cfb3</t>
  </si>
  <si>
    <t>2026-03-24 09:54:47</t>
  </si>
  <si>
    <t>27829552955</t>
  </si>
  <si>
    <t>92e9661d-e67b-446a-a2b4-a23f76f6d4e4</t>
  </si>
  <si>
    <t>2026-03-24 09:54:25</t>
  </si>
  <si>
    <t>27829515003</t>
  </si>
  <si>
    <t>13861581</t>
  </si>
  <si>
    <t>80361d0c-5a40-4e4e-8925-8bb1f903633f</t>
  </si>
  <si>
    <t>2026-03-24 09:52:37</t>
  </si>
  <si>
    <t>27827901159</t>
  </si>
  <si>
    <t>13861571</t>
  </si>
  <si>
    <t>8c09c7d1-fe1b-474a-a634-9ae9d4f284d3</t>
  </si>
  <si>
    <t>2026-03-24 09:51:30</t>
  </si>
  <si>
    <t>27824507636</t>
  </si>
  <si>
    <t>13861566</t>
  </si>
  <si>
    <t>7efb0efb-821e-4210-8b6c-3203cfdf32cf</t>
  </si>
  <si>
    <t>2026-03-24 09:50:42</t>
  </si>
  <si>
    <t>27817363387</t>
  </si>
  <si>
    <t>13862991</t>
  </si>
  <si>
    <t>0bca8408-7b38-4493-95fe-eed00e17791e</t>
  </si>
  <si>
    <t>2026-03-24 09:49:40</t>
  </si>
  <si>
    <t>27636181270</t>
  </si>
  <si>
    <t>13861552</t>
  </si>
  <si>
    <t>15ce9860-7aab-45d7-af4a-402406d6a392</t>
  </si>
  <si>
    <t>2026-03-24 09:48:06</t>
  </si>
  <si>
    <t>27797009950</t>
  </si>
  <si>
    <t>13861536</t>
  </si>
  <si>
    <t>82b56f9c-f48c-47b2-bcb2-f089b96df9a3</t>
  </si>
  <si>
    <t>2026-03-24 09:46:37</t>
  </si>
  <si>
    <t>27792702506</t>
  </si>
  <si>
    <t>1552e583-f571-446b-8583-5027b61e9975</t>
  </si>
  <si>
    <t>2026-03-24 09:44:55</t>
  </si>
  <si>
    <t>27760426874</t>
  </si>
  <si>
    <t>13862960</t>
  </si>
  <si>
    <t>bc27d517-4782-46e9-85e4-ab2c77ad3ef0</t>
  </si>
  <si>
    <t>2026-03-24 09:42:37</t>
  </si>
  <si>
    <t>27712680579</t>
  </si>
  <si>
    <t>13861516</t>
  </si>
  <si>
    <t>bd7a35ed-34fb-4889-9056-cac759f9b4ff</t>
  </si>
  <si>
    <t>2026-03-24 09:40:06</t>
  </si>
  <si>
    <t>27767764768</t>
  </si>
  <si>
    <t>13861506</t>
  </si>
  <si>
    <t>c87342ee-57da-4f91-a7bf-c6f972b6da67</t>
  </si>
  <si>
    <t>2026-03-24 09:20:30</t>
  </si>
  <si>
    <t>27765072833</t>
  </si>
  <si>
    <t>13861507</t>
  </si>
  <si>
    <t>598626d0-84a0-4256-adb3-47b69fa9497a</t>
  </si>
  <si>
    <t>27765136101</t>
  </si>
  <si>
    <t>13861484</t>
  </si>
  <si>
    <t>51eee570-cbd9-4cbe-8698-7e03d4a09dce</t>
  </si>
  <si>
    <t>2026-03-24 09:14:23</t>
  </si>
  <si>
    <t>27728138357</t>
  </si>
  <si>
    <t>13861482</t>
  </si>
  <si>
    <t>3a3f9243-da44-4dfd-a9b4-6a21770d77f7</t>
  </si>
  <si>
    <t>2026-03-24 09:14:13</t>
  </si>
  <si>
    <t>27727813847</t>
  </si>
  <si>
    <t>8e710a12-669b-44ec-a5c6-02fd3d3494f4</t>
  </si>
  <si>
    <t>2026-03-24 09:13:14</t>
  </si>
  <si>
    <t>27724948798</t>
  </si>
  <si>
    <t>8e796b8c-a666-49ea-8ca0-e4e177dbf66c</t>
  </si>
  <si>
    <t>2026-03-24 09:09:10</t>
  </si>
  <si>
    <t>27665602886</t>
  </si>
  <si>
    <t>13861438</t>
  </si>
  <si>
    <t>d42e2751-03c8-48a3-99bd-001e7a15ac7e</t>
  </si>
  <si>
    <t>2026-03-24 09:07:09</t>
  </si>
  <si>
    <t>27660430416</t>
  </si>
  <si>
    <t>13861418</t>
  </si>
  <si>
    <t>0760ddb0-08ca-46c6-935a-72ecca648f9f</t>
  </si>
  <si>
    <t>2026-03-24 09:05:21</t>
  </si>
  <si>
    <t>27607372256</t>
  </si>
  <si>
    <t>13861362</t>
  </si>
  <si>
    <t>cab2b2b8-ec05-4e1c-9776-c72fa0f5bfdb</t>
  </si>
  <si>
    <t>2026-03-24 08:58:48</t>
  </si>
  <si>
    <t>27769687768</t>
  </si>
  <si>
    <t>13861349</t>
  </si>
  <si>
    <t>90a8362d-b0d7-449c-855f-3f5f9d08bff0</t>
  </si>
  <si>
    <t>2026-03-24 08:57:09</t>
  </si>
  <si>
    <t>27765324991</t>
  </si>
  <si>
    <t>13861343</t>
  </si>
  <si>
    <t>99dfa706-3046-4816-8eef-9ceba76b164c</t>
  </si>
  <si>
    <t>2026-03-24 08:56:57</t>
  </si>
  <si>
    <t>27763402926</t>
  </si>
  <si>
    <t>13861334</t>
  </si>
  <si>
    <t>3458470d-3de6-40a5-8f05-5cd727168276</t>
  </si>
  <si>
    <t>2026-03-24 08:55:23</t>
  </si>
  <si>
    <t>27761567746</t>
  </si>
  <si>
    <t>13861312</t>
  </si>
  <si>
    <t>8f3c1d31-3dc9-434d-9ded-151f227ced65</t>
  </si>
  <si>
    <t>2026-03-24 08:51:07</t>
  </si>
  <si>
    <t>27725301420</t>
  </si>
  <si>
    <t>13861298</t>
  </si>
  <si>
    <t>2353bff0-6410-43ca-8df9-cec9202b98b5</t>
  </si>
  <si>
    <t>2026-03-24 08:47:38</t>
  </si>
  <si>
    <t>27721441022</t>
  </si>
  <si>
    <t>13862754</t>
  </si>
  <si>
    <t>d508fcc0-2900-464a-8c53-2ebbaee4e646</t>
  </si>
  <si>
    <t>2026-03-24 08:45:48</t>
  </si>
  <si>
    <t>27715589104</t>
  </si>
  <si>
    <t>13861278</t>
  </si>
  <si>
    <t>e07f7830-3b6c-408a-8db9-938f9e56c0ba</t>
  </si>
  <si>
    <t>2026-03-24 08:44:33</t>
  </si>
  <si>
    <t>27711589197</t>
  </si>
  <si>
    <t>13861234</t>
  </si>
  <si>
    <t>489008fa-ad7f-49ff-9a68-451c4e7ec13b</t>
  </si>
  <si>
    <t>2026-03-24 08:38:27</t>
  </si>
  <si>
    <t>27823683861</t>
  </si>
  <si>
    <t>13861200</t>
  </si>
  <si>
    <t>92605192-a3a4-4d14-8565-2ba462e04c46</t>
  </si>
  <si>
    <t>2026-03-24 08:35:19</t>
  </si>
  <si>
    <t>27790331119</t>
  </si>
  <si>
    <t>13861179</t>
  </si>
  <si>
    <t>6d14c825-197e-47de-a8a8-c8646d996ce1</t>
  </si>
  <si>
    <t>2026-03-24 08:31:22</t>
  </si>
  <si>
    <t>27766695969</t>
  </si>
  <si>
    <t>13861168</t>
  </si>
  <si>
    <t>0e0a18ee-fdd1-4d08-a8fc-42951d1a5aa0</t>
  </si>
  <si>
    <t>2026-03-24 08:30:13</t>
  </si>
  <si>
    <t>27762791293</t>
  </si>
  <si>
    <t>13861159</t>
  </si>
  <si>
    <t>7035eab7-7a0d-49c5-b19a-f99699ab1407</t>
  </si>
  <si>
    <t>2026-03-24 08:29:53</t>
  </si>
  <si>
    <t>27727458905</t>
  </si>
  <si>
    <t>13861144</t>
  </si>
  <si>
    <t>ac2337d6-08c5-41f2-9020-0a375488191d</t>
  </si>
  <si>
    <t>2026-03-24 08:27:38</t>
  </si>
  <si>
    <t>27723344397</t>
  </si>
  <si>
    <t>13861111</t>
  </si>
  <si>
    <t>38a6daec-d591-4c39-abb0-0e4a95f600cd</t>
  </si>
  <si>
    <t>2026-03-24 08:05:47</t>
  </si>
  <si>
    <t>27660744566</t>
  </si>
  <si>
    <t>13861112</t>
  </si>
  <si>
    <t>fe1b7681-129e-44db-98bf-bf7d778de845</t>
  </si>
  <si>
    <t>2026-03-24 08:04:21</t>
  </si>
  <si>
    <t>27660931939</t>
  </si>
  <si>
    <t>13861102</t>
  </si>
  <si>
    <t>1799f5d8-4dea-4e33-b2a7-1ad0b67d1f25</t>
  </si>
  <si>
    <t>2026-03-24 08:02:09</t>
  </si>
  <si>
    <t>27646932612</t>
  </si>
  <si>
    <t>13861103</t>
  </si>
  <si>
    <t>533ffb2c-5c1a-4819-8587-41f78fb604c7</t>
  </si>
  <si>
    <t>2026-03-24 08:01:50</t>
  </si>
  <si>
    <t>27647820149</t>
  </si>
  <si>
    <t>13861099</t>
  </si>
  <si>
    <t>6551cc43-1afc-4842-96e3-3a1976198e10</t>
  </si>
  <si>
    <t>2026-03-24 08:00:02</t>
  </si>
  <si>
    <t>27637110721</t>
  </si>
  <si>
    <t>13861395</t>
  </si>
  <si>
    <t>2ac968de-3a04-4d2a-b5ce-b446cdd67ed7</t>
  </si>
  <si>
    <t>27818512765</t>
  </si>
  <si>
    <t>13861724</t>
  </si>
  <si>
    <t>None</t>
  </si>
  <si>
    <t>New</t>
  </si>
  <si>
    <t>27794791902</t>
  </si>
  <si>
    <t>13861737</t>
  </si>
  <si>
    <t>58ad14e8-3f3d-4444-a248-8dbdded0512e</t>
  </si>
  <si>
    <t>27799070572</t>
  </si>
  <si>
    <t>13861845</t>
  </si>
  <si>
    <t>785f46f0-2190-4f73-bfb5-a2d5c344fbe6</t>
  </si>
  <si>
    <t>27766421624</t>
  </si>
  <si>
    <t>13861764</t>
  </si>
  <si>
    <t>fe3502cf-3962-434f-bce9-2baff5e6771b</t>
  </si>
  <si>
    <t>27631068447</t>
  </si>
  <si>
    <t>13862006</t>
  </si>
  <si>
    <t>c4db0012-e1da-45ea-a927-6e1310521e48</t>
  </si>
  <si>
    <t>27763457226</t>
  </si>
  <si>
    <t>13862585</t>
  </si>
  <si>
    <t>286205dc-0f42-43c5-9fdc-5528c7ea02e8</t>
  </si>
  <si>
    <t>27712766282</t>
  </si>
  <si>
    <t>13862811</t>
  </si>
  <si>
    <t>7697cfeb-3471-4fa9-a884-231bed71602f</t>
  </si>
  <si>
    <t>27765538950</t>
  </si>
  <si>
    <t>13862774</t>
  </si>
  <si>
    <t>d7c5b59f-0e5e-49c4-b49e-f3e4f689e2d0</t>
  </si>
  <si>
    <t>27725946459</t>
  </si>
  <si>
    <t>13863237</t>
  </si>
  <si>
    <t>141eb61d-db51-4cd9-82e1-1d10dd5fa22e</t>
  </si>
  <si>
    <t>27636425234</t>
  </si>
  <si>
    <t>2e555eaa-a400-47f3-b42d-3f8348b92a72</t>
  </si>
  <si>
    <t>27765493564</t>
  </si>
  <si>
    <t>13864520</t>
  </si>
  <si>
    <t>79753494-562e-41c9-95a5-20a2860a99e5</t>
  </si>
  <si>
    <t>27828307322</t>
  </si>
  <si>
    <t>13865317</t>
  </si>
  <si>
    <t>2057b0a0-10ea-476f-a54b-9f2005e55bda</t>
  </si>
  <si>
    <t>27826163599</t>
  </si>
  <si>
    <t>13865329</t>
  </si>
  <si>
    <t>082afdf8-9ff3-47e1-8c9c-64943236fbda</t>
  </si>
  <si>
    <t>27837650884</t>
  </si>
  <si>
    <t>13865709</t>
  </si>
  <si>
    <t>62fbcf08-84b1-449a-a6eb-831773c3b214</t>
  </si>
  <si>
    <t>27727694399</t>
  </si>
  <si>
    <t>13865643</t>
  </si>
  <si>
    <t>fc80b273-59a9-4397-b4db-3b40fb45939a</t>
  </si>
  <si>
    <t>27673018566</t>
  </si>
  <si>
    <t>13865122</t>
  </si>
  <si>
    <t>071ae011-d97a-4fed-aaf8-c90bfef71527</t>
  </si>
  <si>
    <t>27712807099</t>
  </si>
  <si>
    <t>Count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</si>
  <si>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</si>
  <si>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</si>
  <si>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</si>
  <si>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</si>
  <si>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</si>
  <si>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</si>
  <si>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</si>
  <si>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</si>
  <si>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TPS Registered Number</t>
  </si>
  <si>
    <t>Outbound Pre-Routing Drop</t>
  </si>
  <si>
    <t>Engaged</t>
  </si>
  <si>
    <t>CONGESTED</t>
  </si>
  <si>
    <t>Flow Inbound Abandon</t>
  </si>
  <si>
    <t>Missed</t>
  </si>
  <si>
    <t>Answered</t>
  </si>
  <si>
    <t>Customer drop</t>
  </si>
  <si>
    <t>Disconnected Number Temporary</t>
  </si>
  <si>
    <t>Sale Made - Completed Mandate</t>
  </si>
  <si>
    <t>Sale Made - Pending Mandate</t>
  </si>
  <si>
    <t>Tyme Bank Account Sale</t>
  </si>
  <si>
    <t>QA Rework</t>
  </si>
  <si>
    <t>Do Not Call</t>
  </si>
  <si>
    <t>No Smartphones</t>
  </si>
  <si>
    <t>Client Overage Limit</t>
  </si>
  <si>
    <t>Non SA Citizen</t>
  </si>
  <si>
    <t>No Bank Account</t>
  </si>
  <si>
    <t>Client Underage</t>
  </si>
  <si>
    <t>Go To The Branch</t>
  </si>
  <si>
    <t>Completed</t>
  </si>
  <si>
    <t>Cannot Afford Upfront Payment</t>
  </si>
  <si>
    <t>Account Suspended</t>
  </si>
  <si>
    <t>Insured at another company</t>
  </si>
  <si>
    <t>Scheduled Appointment</t>
  </si>
  <si>
    <t>Refund Request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</si>
  <si>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</si>
  <si>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</si>
  <si>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</si>
  <si>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</si>
  <si>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</si>
  <si>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</si>
  <si>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Cannot Afford Premium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</si>
  <si>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</si>
  <si>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</si>
  <si>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</si>
  <si>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</si>
  <si>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</si>
  <si>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</si>
  <si>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</si>
  <si>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</si>
  <si>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</si>
  <si>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</si>
  <si>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</si>
  <si>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</si>
  <si>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</si>
  <si>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</si>
  <si>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</si>
  <si>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</si>
  <si>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</si>
  <si>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% Contribution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</si>
</sst>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00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D2" t="s">
        <v>40</v>
      </c>
      <c r="E2" t="s">
        <v>41</v>
      </c>
      <c r="H2" t="s">
        <v>42</v>
      </c>
      <c r="J2" t="s">
        <v>43</v>
      </c>
      <c r="K2" t="s">
        <v>44</v>
      </c>
      <c r="L2">
        <v>6</v>
      </c>
      <c r="M2" t="s">
        <v>45</v>
      </c>
      <c r="N2" t="s">
        <v>46</v>
      </c>
      <c r="O2" t="s">
        <v>47</v>
      </c>
      <c r="P2" t="s">
        <v>47</v>
      </c>
      <c r="Y2" t="s">
        <v>42</v>
      </c>
      <c r="AG2" t="s">
        <v>48</v>
      </c>
    </row>
    <row r="3" spans="1:38">
      <c r="A3" t="s">
        <v>49</v>
      </c>
      <c r="B3" t="s">
        <v>50</v>
      </c>
      <c r="D3" t="s">
        <v>40</v>
      </c>
      <c r="E3" t="s">
        <v>41</v>
      </c>
      <c r="H3" t="s">
        <v>51</v>
      </c>
      <c r="J3" t="s">
        <v>43</v>
      </c>
      <c r="K3" t="s">
        <v>44</v>
      </c>
      <c r="L3">
        <v>9</v>
      </c>
      <c r="M3" t="s">
        <v>52</v>
      </c>
      <c r="N3" t="s">
        <v>46</v>
      </c>
      <c r="O3" t="s">
        <v>47</v>
      </c>
      <c r="P3" t="s">
        <v>47</v>
      </c>
      <c r="Y3" t="s">
        <v>51</v>
      </c>
      <c r="AG3" t="s">
        <v>48</v>
      </c>
    </row>
    <row r="4" spans="1:38">
      <c r="A4" t="s">
        <v>53</v>
      </c>
      <c r="B4" t="s">
        <v>54</v>
      </c>
      <c r="D4" t="s">
        <v>40</v>
      </c>
      <c r="E4" t="s">
        <v>41</v>
      </c>
      <c r="H4" t="s">
        <v>55</v>
      </c>
      <c r="J4" t="s">
        <v>56</v>
      </c>
      <c r="K4" t="s">
        <v>57</v>
      </c>
      <c r="L4">
        <v>5</v>
      </c>
      <c r="M4" t="s">
        <v>58</v>
      </c>
      <c r="N4" t="s">
        <v>59</v>
      </c>
      <c r="O4" t="s">
        <v>47</v>
      </c>
      <c r="P4" t="s">
        <v>47</v>
      </c>
      <c r="Y4" t="s">
        <v>55</v>
      </c>
      <c r="AG4" t="s">
        <v>48</v>
      </c>
    </row>
    <row r="5" spans="1:38">
      <c r="A5" t="s">
        <v>60</v>
      </c>
      <c r="B5" t="s">
        <v>61</v>
      </c>
      <c r="D5" t="s">
        <v>40</v>
      </c>
      <c r="E5" t="s">
        <v>41</v>
      </c>
      <c r="H5" t="s">
        <v>62</v>
      </c>
      <c r="J5" t="s">
        <v>63</v>
      </c>
      <c r="K5" t="s">
        <v>64</v>
      </c>
      <c r="L5">
        <v>5</v>
      </c>
      <c r="M5" t="s">
        <v>65</v>
      </c>
      <c r="N5" t="s">
        <v>59</v>
      </c>
      <c r="O5" t="s">
        <v>47</v>
      </c>
      <c r="P5" t="s">
        <v>47</v>
      </c>
      <c r="Y5" t="s">
        <v>62</v>
      </c>
      <c r="AG5" t="s">
        <v>48</v>
      </c>
    </row>
    <row r="6" spans="1:38">
      <c r="A6" t="s">
        <v>66</v>
      </c>
      <c r="B6" t="s">
        <v>67</v>
      </c>
      <c r="D6" t="s">
        <v>40</v>
      </c>
      <c r="E6" t="s">
        <v>41</v>
      </c>
      <c r="H6" t="s">
        <v>68</v>
      </c>
      <c r="J6" t="s">
        <v>69</v>
      </c>
      <c r="K6" t="s">
        <v>70</v>
      </c>
      <c r="L6">
        <v>10</v>
      </c>
      <c r="M6" t="s">
        <v>71</v>
      </c>
      <c r="N6" t="s">
        <v>46</v>
      </c>
      <c r="O6" t="s">
        <v>47</v>
      </c>
      <c r="P6" t="s">
        <v>47</v>
      </c>
      <c r="Y6" t="s">
        <v>68</v>
      </c>
      <c r="AG6" t="s">
        <v>48</v>
      </c>
    </row>
    <row r="7" spans="1:38">
      <c r="A7" t="s">
        <v>72</v>
      </c>
      <c r="B7" t="s">
        <v>73</v>
      </c>
      <c r="D7" t="s">
        <v>40</v>
      </c>
      <c r="E7" t="s">
        <v>41</v>
      </c>
      <c r="J7" t="s">
        <v>43</v>
      </c>
      <c r="K7" t="s">
        <v>44</v>
      </c>
      <c r="L7">
        <v>6</v>
      </c>
      <c r="M7" t="s">
        <v>74</v>
      </c>
      <c r="N7" t="s">
        <v>46</v>
      </c>
      <c r="O7" t="s">
        <v>47</v>
      </c>
      <c r="P7" t="s">
        <v>47</v>
      </c>
      <c r="Y7" t="s">
        <v>75</v>
      </c>
      <c r="AG7" t="s">
        <v>48</v>
      </c>
    </row>
    <row r="8" spans="1:38">
      <c r="A8" t="s">
        <v>76</v>
      </c>
      <c r="B8" t="s">
        <v>77</v>
      </c>
      <c r="D8" t="s">
        <v>40</v>
      </c>
      <c r="E8" t="s">
        <v>41</v>
      </c>
      <c r="H8" t="s">
        <v>78</v>
      </c>
      <c r="J8" t="s">
        <v>63</v>
      </c>
      <c r="K8" t="s">
        <v>64</v>
      </c>
      <c r="L8">
        <v>5</v>
      </c>
      <c r="M8" t="s">
        <v>79</v>
      </c>
      <c r="N8" t="s">
        <v>59</v>
      </c>
      <c r="O8" t="s">
        <v>47</v>
      </c>
      <c r="P8" t="s">
        <v>47</v>
      </c>
      <c r="Y8" t="s">
        <v>78</v>
      </c>
      <c r="AG8" t="s">
        <v>48</v>
      </c>
    </row>
    <row r="9" spans="1:38">
      <c r="A9" t="s">
        <v>80</v>
      </c>
      <c r="B9" t="s">
        <v>81</v>
      </c>
      <c r="D9" t="s">
        <v>40</v>
      </c>
      <c r="E9" t="s">
        <v>41</v>
      </c>
      <c r="H9" t="s">
        <v>82</v>
      </c>
      <c r="J9" t="s">
        <v>63</v>
      </c>
      <c r="K9" t="s">
        <v>64</v>
      </c>
      <c r="L9">
        <v>5</v>
      </c>
      <c r="M9" t="s">
        <v>83</v>
      </c>
      <c r="N9" t="s">
        <v>59</v>
      </c>
      <c r="O9" t="s">
        <v>47</v>
      </c>
      <c r="P9" t="s">
        <v>47</v>
      </c>
      <c r="Y9" t="s">
        <v>82</v>
      </c>
      <c r="AG9" t="s">
        <v>48</v>
      </c>
    </row>
    <row r="10" spans="1:38">
      <c r="A10" t="s">
        <v>84</v>
      </c>
      <c r="B10" t="s">
        <v>85</v>
      </c>
      <c r="D10" t="s">
        <v>40</v>
      </c>
      <c r="E10" t="s">
        <v>41</v>
      </c>
      <c r="J10" t="s">
        <v>86</v>
      </c>
      <c r="K10" t="s">
        <v>87</v>
      </c>
      <c r="L10">
        <v>6</v>
      </c>
      <c r="M10" t="s">
        <v>88</v>
      </c>
      <c r="N10" t="s">
        <v>46</v>
      </c>
      <c r="O10" t="s">
        <v>47</v>
      </c>
      <c r="P10" t="s">
        <v>47</v>
      </c>
      <c r="Y10" t="s">
        <v>89</v>
      </c>
      <c r="AG10" t="s">
        <v>48</v>
      </c>
    </row>
    <row r="11" spans="1:38">
      <c r="A11" t="s">
        <v>90</v>
      </c>
      <c r="B11" t="s">
        <v>91</v>
      </c>
      <c r="D11" t="s">
        <v>40</v>
      </c>
      <c r="E11" t="s">
        <v>41</v>
      </c>
      <c r="H11" t="s">
        <v>92</v>
      </c>
      <c r="J11" t="s">
        <v>63</v>
      </c>
      <c r="K11" t="s">
        <v>64</v>
      </c>
      <c r="L11">
        <v>5</v>
      </c>
      <c r="M11" t="s">
        <v>93</v>
      </c>
      <c r="N11" t="s">
        <v>59</v>
      </c>
      <c r="O11" t="s">
        <v>47</v>
      </c>
      <c r="P11" t="s">
        <v>47</v>
      </c>
      <c r="Y11" t="s">
        <v>92</v>
      </c>
      <c r="AG11" t="s">
        <v>48</v>
      </c>
    </row>
    <row r="12" spans="1:38">
      <c r="A12" t="s">
        <v>94</v>
      </c>
      <c r="B12" t="s">
        <v>95</v>
      </c>
      <c r="D12" t="s">
        <v>40</v>
      </c>
      <c r="E12" t="s">
        <v>41</v>
      </c>
      <c r="H12" t="s">
        <v>96</v>
      </c>
      <c r="J12" t="s">
        <v>56</v>
      </c>
      <c r="K12" t="s">
        <v>57</v>
      </c>
      <c r="L12">
        <v>5</v>
      </c>
      <c r="M12" t="s">
        <v>97</v>
      </c>
      <c r="N12" t="s">
        <v>59</v>
      </c>
      <c r="O12" t="s">
        <v>47</v>
      </c>
      <c r="P12" t="s">
        <v>47</v>
      </c>
      <c r="Y12" t="s">
        <v>96</v>
      </c>
      <c r="AG12" t="s">
        <v>48</v>
      </c>
    </row>
    <row r="13" spans="1:38">
      <c r="A13" t="s">
        <v>98</v>
      </c>
      <c r="B13" t="s">
        <v>99</v>
      </c>
      <c r="D13" t="s">
        <v>40</v>
      </c>
      <c r="E13" t="s">
        <v>41</v>
      </c>
      <c r="H13" t="s">
        <v>100</v>
      </c>
      <c r="J13" t="s">
        <v>63</v>
      </c>
      <c r="K13" t="s">
        <v>64</v>
      </c>
      <c r="L13">
        <v>5</v>
      </c>
      <c r="M13" t="s">
        <v>101</v>
      </c>
      <c r="N13" t="s">
        <v>59</v>
      </c>
      <c r="O13" t="s">
        <v>47</v>
      </c>
      <c r="P13" t="s">
        <v>47</v>
      </c>
      <c r="Y13" t="s">
        <v>100</v>
      </c>
      <c r="AG13" t="s">
        <v>48</v>
      </c>
    </row>
    <row r="14" spans="1:38">
      <c r="A14" t="s">
        <v>102</v>
      </c>
      <c r="B14" t="s">
        <v>103</v>
      </c>
      <c r="D14" t="s">
        <v>40</v>
      </c>
      <c r="E14" t="s">
        <v>41</v>
      </c>
      <c r="H14" t="s">
        <v>104</v>
      </c>
      <c r="J14" t="s">
        <v>63</v>
      </c>
      <c r="K14" t="s">
        <v>64</v>
      </c>
      <c r="L14">
        <v>6</v>
      </c>
      <c r="M14" t="s">
        <v>105</v>
      </c>
      <c r="N14" t="s">
        <v>59</v>
      </c>
      <c r="O14" t="s">
        <v>47</v>
      </c>
      <c r="P14" t="s">
        <v>47</v>
      </c>
      <c r="Y14" t="s">
        <v>104</v>
      </c>
      <c r="AG14" t="s">
        <v>48</v>
      </c>
    </row>
    <row r="15" spans="1:38">
      <c r="A15" t="s">
        <v>106</v>
      </c>
      <c r="B15" t="s">
        <v>107</v>
      </c>
      <c r="D15" t="s">
        <v>40</v>
      </c>
      <c r="E15" t="s">
        <v>41</v>
      </c>
      <c r="J15" t="s">
        <v>108</v>
      </c>
      <c r="K15" t="s">
        <v>109</v>
      </c>
      <c r="L15">
        <v>6</v>
      </c>
      <c r="M15" t="s">
        <v>110</v>
      </c>
      <c r="N15" t="s">
        <v>59</v>
      </c>
      <c r="O15" t="s">
        <v>47</v>
      </c>
      <c r="P15" t="s">
        <v>47</v>
      </c>
      <c r="Y15" t="s">
        <v>111</v>
      </c>
      <c r="AG15" t="s">
        <v>48</v>
      </c>
    </row>
    <row r="16" spans="1:38">
      <c r="A16" t="s">
        <v>112</v>
      </c>
      <c r="B16" t="s">
        <v>113</v>
      </c>
      <c r="D16" t="s">
        <v>40</v>
      </c>
      <c r="E16" t="s">
        <v>41</v>
      </c>
      <c r="J16" t="s">
        <v>114</v>
      </c>
      <c r="K16" t="s">
        <v>115</v>
      </c>
      <c r="L16">
        <v>6</v>
      </c>
      <c r="M16" t="s">
        <v>110</v>
      </c>
      <c r="N16" t="s">
        <v>59</v>
      </c>
      <c r="O16" t="s">
        <v>47</v>
      </c>
      <c r="P16" t="s">
        <v>47</v>
      </c>
      <c r="Y16" t="s">
        <v>116</v>
      </c>
      <c r="AG16" t="s">
        <v>48</v>
      </c>
    </row>
    <row r="17" spans="1:33">
      <c r="A17" t="s">
        <v>117</v>
      </c>
      <c r="B17" t="s">
        <v>118</v>
      </c>
      <c r="D17" t="s">
        <v>40</v>
      </c>
      <c r="E17" t="s">
        <v>41</v>
      </c>
      <c r="H17" t="s">
        <v>119</v>
      </c>
      <c r="J17" t="s">
        <v>43</v>
      </c>
      <c r="K17" t="s">
        <v>44</v>
      </c>
      <c r="L17">
        <v>7</v>
      </c>
      <c r="M17" t="s">
        <v>120</v>
      </c>
      <c r="N17" t="s">
        <v>46</v>
      </c>
      <c r="O17" t="s">
        <v>47</v>
      </c>
      <c r="P17" t="s">
        <v>47</v>
      </c>
      <c r="Y17" t="s">
        <v>119</v>
      </c>
      <c r="AG17" t="s">
        <v>48</v>
      </c>
    </row>
    <row r="18" spans="1:33">
      <c r="A18" t="s">
        <v>121</v>
      </c>
      <c r="B18" t="s">
        <v>122</v>
      </c>
      <c r="D18" t="s">
        <v>40</v>
      </c>
      <c r="E18" t="s">
        <v>41</v>
      </c>
      <c r="J18" t="s">
        <v>123</v>
      </c>
      <c r="K18" t="s">
        <v>124</v>
      </c>
      <c r="L18">
        <v>6</v>
      </c>
      <c r="M18" t="s">
        <v>125</v>
      </c>
      <c r="N18" t="s">
        <v>46</v>
      </c>
      <c r="O18" t="s">
        <v>47</v>
      </c>
      <c r="P18" t="s">
        <v>47</v>
      </c>
      <c r="Y18" t="s">
        <v>126</v>
      </c>
      <c r="AG18" t="s">
        <v>48</v>
      </c>
    </row>
    <row r="19" spans="1:33">
      <c r="A19" t="s">
        <v>127</v>
      </c>
      <c r="B19" t="s">
        <v>128</v>
      </c>
      <c r="D19" t="s">
        <v>40</v>
      </c>
      <c r="E19" t="s">
        <v>41</v>
      </c>
      <c r="J19" t="s">
        <v>129</v>
      </c>
      <c r="K19" t="s">
        <v>130</v>
      </c>
      <c r="L19">
        <v>6</v>
      </c>
      <c r="M19" t="s">
        <v>131</v>
      </c>
      <c r="N19" t="s">
        <v>46</v>
      </c>
      <c r="O19" t="s">
        <v>47</v>
      </c>
      <c r="P19" t="s">
        <v>47</v>
      </c>
      <c r="Y19" t="s">
        <v>132</v>
      </c>
      <c r="AG19" t="s">
        <v>48</v>
      </c>
    </row>
    <row r="20" spans="1:33">
      <c r="A20" t="s">
        <v>133</v>
      </c>
      <c r="B20" t="s">
        <v>134</v>
      </c>
      <c r="D20" t="s">
        <v>40</v>
      </c>
      <c r="E20" t="s">
        <v>41</v>
      </c>
      <c r="H20" t="s">
        <v>135</v>
      </c>
      <c r="J20" t="s">
        <v>123</v>
      </c>
      <c r="K20" t="s">
        <v>124</v>
      </c>
      <c r="L20">
        <v>6</v>
      </c>
      <c r="M20" t="s">
        <v>136</v>
      </c>
      <c r="N20" t="s">
        <v>46</v>
      </c>
      <c r="O20" t="s">
        <v>47</v>
      </c>
      <c r="P20" t="s">
        <v>47</v>
      </c>
      <c r="Y20" t="s">
        <v>135</v>
      </c>
      <c r="AG20" t="s">
        <v>48</v>
      </c>
    </row>
    <row r="21" spans="1:33">
      <c r="A21" t="s">
        <v>137</v>
      </c>
      <c r="B21" t="s">
        <v>138</v>
      </c>
      <c r="D21" t="s">
        <v>40</v>
      </c>
      <c r="E21" t="s">
        <v>41</v>
      </c>
      <c r="J21" t="s">
        <v>43</v>
      </c>
      <c r="K21" t="s">
        <v>44</v>
      </c>
      <c r="L21">
        <v>6</v>
      </c>
      <c r="M21" t="s">
        <v>139</v>
      </c>
      <c r="N21" t="s">
        <v>46</v>
      </c>
      <c r="O21" t="s">
        <v>47</v>
      </c>
      <c r="P21" t="s">
        <v>47</v>
      </c>
      <c r="Y21" t="s">
        <v>140</v>
      </c>
      <c r="AG21" t="s">
        <v>48</v>
      </c>
    </row>
    <row r="22" spans="1:33">
      <c r="A22" t="s">
        <v>141</v>
      </c>
      <c r="B22" t="s">
        <v>142</v>
      </c>
      <c r="D22" t="s">
        <v>40</v>
      </c>
      <c r="E22" t="s">
        <v>41</v>
      </c>
      <c r="H22" t="s">
        <v>143</v>
      </c>
      <c r="J22" t="s">
        <v>63</v>
      </c>
      <c r="K22" t="s">
        <v>64</v>
      </c>
      <c r="L22">
        <v>6</v>
      </c>
      <c r="M22" t="s">
        <v>144</v>
      </c>
      <c r="N22" t="s">
        <v>59</v>
      </c>
      <c r="O22" t="s">
        <v>47</v>
      </c>
      <c r="P22" t="s">
        <v>47</v>
      </c>
      <c r="Y22" t="s">
        <v>143</v>
      </c>
      <c r="AG22" t="s">
        <v>48</v>
      </c>
    </row>
    <row r="23" spans="1:33">
      <c r="A23" t="s">
        <v>145</v>
      </c>
      <c r="B23" t="s">
        <v>146</v>
      </c>
      <c r="D23" t="s">
        <v>40</v>
      </c>
      <c r="E23" t="s">
        <v>41</v>
      </c>
      <c r="J23" t="s">
        <v>147</v>
      </c>
      <c r="K23" t="s">
        <v>148</v>
      </c>
      <c r="L23">
        <v>6</v>
      </c>
      <c r="M23" t="s">
        <v>149</v>
      </c>
      <c r="N23" t="s">
        <v>46</v>
      </c>
      <c r="O23" t="s">
        <v>47</v>
      </c>
      <c r="P23" t="s">
        <v>47</v>
      </c>
      <c r="Y23" t="s">
        <v>150</v>
      </c>
      <c r="AG23" t="s">
        <v>48</v>
      </c>
    </row>
    <row r="24" spans="1:33">
      <c r="A24" t="s">
        <v>151</v>
      </c>
      <c r="B24" t="s">
        <v>152</v>
      </c>
      <c r="D24" t="s">
        <v>40</v>
      </c>
      <c r="E24" t="s">
        <v>41</v>
      </c>
      <c r="J24" t="s">
        <v>147</v>
      </c>
      <c r="K24" t="s">
        <v>148</v>
      </c>
      <c r="L24">
        <v>6</v>
      </c>
      <c r="M24" t="s">
        <v>153</v>
      </c>
      <c r="N24" t="s">
        <v>46</v>
      </c>
      <c r="O24" t="s">
        <v>47</v>
      </c>
      <c r="P24" t="s">
        <v>47</v>
      </c>
      <c r="Y24" t="s">
        <v>154</v>
      </c>
      <c r="AG24" t="s">
        <v>48</v>
      </c>
    </row>
    <row r="25" spans="1:33">
      <c r="A25" t="s">
        <v>155</v>
      </c>
      <c r="B25" t="s">
        <v>156</v>
      </c>
      <c r="D25" t="s">
        <v>40</v>
      </c>
      <c r="E25" t="s">
        <v>41</v>
      </c>
      <c r="J25" t="s">
        <v>123</v>
      </c>
      <c r="K25" t="s">
        <v>124</v>
      </c>
      <c r="L25">
        <v>6</v>
      </c>
      <c r="M25" t="s">
        <v>157</v>
      </c>
      <c r="N25" t="s">
        <v>46</v>
      </c>
      <c r="O25" t="s">
        <v>47</v>
      </c>
      <c r="P25" t="s">
        <v>47</v>
      </c>
      <c r="Y25" t="s">
        <v>158</v>
      </c>
      <c r="AG25" t="s">
        <v>48</v>
      </c>
    </row>
    <row r="26" spans="1:33">
      <c r="A26" t="s">
        <v>159</v>
      </c>
      <c r="B26" t="s">
        <v>160</v>
      </c>
      <c r="D26" t="s">
        <v>40</v>
      </c>
      <c r="E26" t="s">
        <v>41</v>
      </c>
      <c r="H26" t="s">
        <v>161</v>
      </c>
      <c r="J26" t="s">
        <v>162</v>
      </c>
      <c r="K26" t="s">
        <v>163</v>
      </c>
      <c r="L26">
        <v>5</v>
      </c>
      <c r="M26" t="s">
        <v>164</v>
      </c>
      <c r="N26" t="s">
        <v>59</v>
      </c>
      <c r="O26" t="s">
        <v>47</v>
      </c>
      <c r="P26" t="s">
        <v>47</v>
      </c>
      <c r="Y26" t="s">
        <v>161</v>
      </c>
      <c r="AG26" t="s">
        <v>48</v>
      </c>
    </row>
    <row r="27" spans="1:33">
      <c r="A27" t="s">
        <v>165</v>
      </c>
      <c r="B27" t="s">
        <v>166</v>
      </c>
      <c r="D27" t="s">
        <v>40</v>
      </c>
      <c r="E27" t="s">
        <v>41</v>
      </c>
      <c r="H27" t="s">
        <v>167</v>
      </c>
      <c r="J27" t="s">
        <v>56</v>
      </c>
      <c r="K27" t="s">
        <v>57</v>
      </c>
      <c r="L27">
        <v>5</v>
      </c>
      <c r="M27" t="s">
        <v>168</v>
      </c>
      <c r="N27" t="s">
        <v>59</v>
      </c>
      <c r="O27" t="s">
        <v>47</v>
      </c>
      <c r="P27" t="s">
        <v>47</v>
      </c>
      <c r="Y27" t="s">
        <v>167</v>
      </c>
      <c r="AG27" t="s">
        <v>48</v>
      </c>
    </row>
    <row r="28" spans="1:33">
      <c r="A28" t="s">
        <v>169</v>
      </c>
      <c r="B28" t="s">
        <v>170</v>
      </c>
      <c r="D28" t="s">
        <v>40</v>
      </c>
      <c r="E28" t="s">
        <v>41</v>
      </c>
      <c r="H28" t="s">
        <v>171</v>
      </c>
      <c r="J28" t="s">
        <v>56</v>
      </c>
      <c r="K28" t="s">
        <v>57</v>
      </c>
      <c r="L28">
        <v>5</v>
      </c>
      <c r="M28" t="s">
        <v>172</v>
      </c>
      <c r="N28" t="s">
        <v>59</v>
      </c>
      <c r="O28" t="s">
        <v>47</v>
      </c>
      <c r="P28" t="s">
        <v>47</v>
      </c>
      <c r="Y28" t="s">
        <v>171</v>
      </c>
      <c r="AG28" t="s">
        <v>48</v>
      </c>
    </row>
    <row r="29" spans="1:33">
      <c r="A29" t="s">
        <v>173</v>
      </c>
      <c r="B29" t="s">
        <v>174</v>
      </c>
      <c r="D29" t="s">
        <v>40</v>
      </c>
      <c r="E29" t="s">
        <v>41</v>
      </c>
      <c r="H29" t="s">
        <v>175</v>
      </c>
      <c r="J29" t="s">
        <v>56</v>
      </c>
      <c r="K29" t="s">
        <v>57</v>
      </c>
      <c r="L29">
        <v>5</v>
      </c>
      <c r="M29" t="s">
        <v>176</v>
      </c>
      <c r="N29" t="s">
        <v>59</v>
      </c>
      <c r="O29" t="s">
        <v>47</v>
      </c>
      <c r="P29" t="s">
        <v>47</v>
      </c>
      <c r="Y29" t="s">
        <v>175</v>
      </c>
      <c r="AG29" t="s">
        <v>48</v>
      </c>
    </row>
    <row r="30" spans="1:33">
      <c r="A30" t="s">
        <v>177</v>
      </c>
      <c r="B30" t="s">
        <v>178</v>
      </c>
      <c r="D30" t="s">
        <v>40</v>
      </c>
      <c r="E30" t="s">
        <v>41</v>
      </c>
      <c r="H30" t="s">
        <v>179</v>
      </c>
      <c r="J30" t="s">
        <v>56</v>
      </c>
      <c r="K30" t="s">
        <v>57</v>
      </c>
      <c r="L30">
        <v>5</v>
      </c>
      <c r="M30" t="s">
        <v>180</v>
      </c>
      <c r="N30" t="s">
        <v>59</v>
      </c>
      <c r="O30" t="s">
        <v>47</v>
      </c>
      <c r="P30" t="s">
        <v>47</v>
      </c>
      <c r="Y30" t="s">
        <v>179</v>
      </c>
      <c r="AG30" t="s">
        <v>48</v>
      </c>
    </row>
    <row r="31" spans="1:33">
      <c r="A31" t="s">
        <v>117</v>
      </c>
      <c r="B31" t="s">
        <v>181</v>
      </c>
      <c r="D31" t="s">
        <v>40</v>
      </c>
      <c r="E31" t="s">
        <v>41</v>
      </c>
      <c r="H31" t="s">
        <v>182</v>
      </c>
      <c r="J31" t="s">
        <v>63</v>
      </c>
      <c r="K31" t="s">
        <v>64</v>
      </c>
      <c r="L31">
        <v>5</v>
      </c>
      <c r="M31" t="s">
        <v>183</v>
      </c>
      <c r="N31" t="s">
        <v>59</v>
      </c>
      <c r="O31" t="s">
        <v>47</v>
      </c>
      <c r="P31" t="s">
        <v>47</v>
      </c>
      <c r="Y31" t="s">
        <v>182</v>
      </c>
      <c r="AG31" t="s">
        <v>48</v>
      </c>
    </row>
    <row r="32" spans="1:33">
      <c r="A32" t="s">
        <v>184</v>
      </c>
      <c r="B32" t="s">
        <v>185</v>
      </c>
      <c r="D32" t="s">
        <v>40</v>
      </c>
      <c r="E32" t="s">
        <v>41</v>
      </c>
      <c r="H32" t="s">
        <v>186</v>
      </c>
      <c r="J32" t="s">
        <v>63</v>
      </c>
      <c r="K32" t="s">
        <v>64</v>
      </c>
      <c r="L32">
        <v>5</v>
      </c>
      <c r="M32" t="s">
        <v>187</v>
      </c>
      <c r="N32" t="s">
        <v>59</v>
      </c>
      <c r="O32" t="s">
        <v>47</v>
      </c>
      <c r="P32" t="s">
        <v>47</v>
      </c>
      <c r="Y32" t="s">
        <v>186</v>
      </c>
      <c r="AG32" t="s">
        <v>48</v>
      </c>
    </row>
    <row r="33" spans="1:33">
      <c r="A33" t="s">
        <v>188</v>
      </c>
      <c r="B33" t="s">
        <v>189</v>
      </c>
      <c r="D33" t="s">
        <v>40</v>
      </c>
      <c r="E33" t="s">
        <v>41</v>
      </c>
      <c r="H33" t="s">
        <v>190</v>
      </c>
      <c r="J33" t="s">
        <v>123</v>
      </c>
      <c r="K33" t="s">
        <v>124</v>
      </c>
      <c r="L33">
        <v>7</v>
      </c>
      <c r="M33" t="s">
        <v>191</v>
      </c>
      <c r="N33" t="s">
        <v>192</v>
      </c>
      <c r="O33" t="s">
        <v>47</v>
      </c>
      <c r="P33" t="s">
        <v>47</v>
      </c>
      <c r="Y33" t="s">
        <v>190</v>
      </c>
      <c r="AG33" t="s">
        <v>48</v>
      </c>
    </row>
    <row r="34" spans="1:33">
      <c r="A34" t="s">
        <v>193</v>
      </c>
      <c r="B34" t="s">
        <v>194</v>
      </c>
      <c r="D34" t="s">
        <v>40</v>
      </c>
      <c r="E34" t="s">
        <v>41</v>
      </c>
      <c r="H34" t="s">
        <v>195</v>
      </c>
      <c r="J34" t="s">
        <v>43</v>
      </c>
      <c r="K34" t="s">
        <v>44</v>
      </c>
      <c r="L34">
        <v>5</v>
      </c>
      <c r="M34" t="s">
        <v>196</v>
      </c>
      <c r="N34" t="s">
        <v>192</v>
      </c>
      <c r="O34" t="s">
        <v>47</v>
      </c>
      <c r="P34" t="s">
        <v>47</v>
      </c>
      <c r="Y34" t="s">
        <v>195</v>
      </c>
      <c r="AG34" t="s">
        <v>48</v>
      </c>
    </row>
    <row r="35" spans="1:33">
      <c r="A35" t="s">
        <v>197</v>
      </c>
      <c r="B35" t="s">
        <v>198</v>
      </c>
      <c r="D35" t="s">
        <v>40</v>
      </c>
      <c r="E35" t="s">
        <v>41</v>
      </c>
      <c r="H35" t="s">
        <v>199</v>
      </c>
      <c r="J35" t="s">
        <v>63</v>
      </c>
      <c r="K35" t="s">
        <v>64</v>
      </c>
      <c r="L35">
        <v>5</v>
      </c>
      <c r="M35" t="s">
        <v>200</v>
      </c>
      <c r="N35" t="s">
        <v>59</v>
      </c>
      <c r="O35" t="s">
        <v>47</v>
      </c>
      <c r="P35" t="s">
        <v>47</v>
      </c>
      <c r="Y35" t="s">
        <v>199</v>
      </c>
      <c r="AG35" t="s">
        <v>48</v>
      </c>
    </row>
    <row r="36" spans="1:33">
      <c r="A36" t="s">
        <v>201</v>
      </c>
      <c r="B36" t="s">
        <v>202</v>
      </c>
      <c r="D36" t="s">
        <v>40</v>
      </c>
      <c r="E36" t="s">
        <v>41</v>
      </c>
      <c r="H36" t="s">
        <v>203</v>
      </c>
      <c r="J36" t="s">
        <v>147</v>
      </c>
      <c r="K36" t="s">
        <v>148</v>
      </c>
      <c r="L36">
        <v>13</v>
      </c>
      <c r="M36" t="s">
        <v>204</v>
      </c>
      <c r="N36" t="s">
        <v>192</v>
      </c>
      <c r="O36" t="s">
        <v>47</v>
      </c>
      <c r="P36" t="s">
        <v>47</v>
      </c>
      <c r="Y36" t="s">
        <v>203</v>
      </c>
      <c r="AG36" t="s">
        <v>48</v>
      </c>
    </row>
    <row r="37" spans="1:33">
      <c r="A37" t="s">
        <v>205</v>
      </c>
      <c r="B37" t="s">
        <v>206</v>
      </c>
      <c r="D37" t="s">
        <v>40</v>
      </c>
      <c r="E37" t="s">
        <v>41</v>
      </c>
      <c r="H37" t="s">
        <v>207</v>
      </c>
      <c r="J37" t="s">
        <v>63</v>
      </c>
      <c r="K37" t="s">
        <v>64</v>
      </c>
      <c r="L37">
        <v>5</v>
      </c>
      <c r="M37" t="s">
        <v>208</v>
      </c>
      <c r="N37" t="s">
        <v>59</v>
      </c>
      <c r="O37" t="s">
        <v>47</v>
      </c>
      <c r="P37" t="s">
        <v>47</v>
      </c>
      <c r="Y37" t="s">
        <v>207</v>
      </c>
      <c r="AG37" t="s">
        <v>48</v>
      </c>
    </row>
    <row r="38" spans="1:33">
      <c r="A38" t="s">
        <v>209</v>
      </c>
      <c r="B38" t="s">
        <v>210</v>
      </c>
      <c r="D38" t="s">
        <v>40</v>
      </c>
      <c r="E38" t="s">
        <v>41</v>
      </c>
      <c r="J38" t="s">
        <v>123</v>
      </c>
      <c r="K38" t="s">
        <v>124</v>
      </c>
      <c r="L38">
        <v>6</v>
      </c>
      <c r="M38" t="s">
        <v>211</v>
      </c>
      <c r="N38" t="s">
        <v>192</v>
      </c>
      <c r="O38" t="s">
        <v>47</v>
      </c>
      <c r="P38" t="s">
        <v>47</v>
      </c>
      <c r="Y38" t="s">
        <v>212</v>
      </c>
      <c r="AG38" t="s">
        <v>48</v>
      </c>
    </row>
    <row r="39" spans="1:33">
      <c r="A39" t="s">
        <v>213</v>
      </c>
      <c r="B39" t="s">
        <v>214</v>
      </c>
      <c r="D39" t="s">
        <v>40</v>
      </c>
      <c r="E39" t="s">
        <v>41</v>
      </c>
      <c r="J39" t="s">
        <v>215</v>
      </c>
      <c r="K39" t="s">
        <v>216</v>
      </c>
      <c r="L39">
        <v>7</v>
      </c>
      <c r="M39" t="s">
        <v>217</v>
      </c>
      <c r="N39" t="s">
        <v>218</v>
      </c>
      <c r="O39" t="s">
        <v>47</v>
      </c>
      <c r="P39" t="s">
        <v>47</v>
      </c>
      <c r="Y39" t="s">
        <v>219</v>
      </c>
      <c r="AG39" t="s">
        <v>48</v>
      </c>
    </row>
    <row r="40" spans="1:33">
      <c r="A40" t="s">
        <v>220</v>
      </c>
      <c r="B40" t="s">
        <v>221</v>
      </c>
      <c r="D40" t="s">
        <v>40</v>
      </c>
      <c r="E40" t="s">
        <v>41</v>
      </c>
      <c r="H40" t="s">
        <v>222</v>
      </c>
      <c r="J40" t="s">
        <v>63</v>
      </c>
      <c r="K40" t="s">
        <v>64</v>
      </c>
      <c r="L40">
        <v>5</v>
      </c>
      <c r="M40" t="s">
        <v>223</v>
      </c>
      <c r="N40" t="s">
        <v>59</v>
      </c>
      <c r="O40" t="s">
        <v>47</v>
      </c>
      <c r="P40" t="s">
        <v>47</v>
      </c>
      <c r="Y40" t="s">
        <v>222</v>
      </c>
      <c r="AG40" t="s">
        <v>48</v>
      </c>
    </row>
    <row r="41" spans="1:33">
      <c r="A41" t="s">
        <v>224</v>
      </c>
      <c r="B41" t="s">
        <v>225</v>
      </c>
      <c r="D41" t="s">
        <v>40</v>
      </c>
      <c r="E41" t="s">
        <v>41</v>
      </c>
      <c r="J41" t="s">
        <v>129</v>
      </c>
      <c r="K41" t="s">
        <v>130</v>
      </c>
      <c r="L41">
        <v>6</v>
      </c>
      <c r="M41" t="s">
        <v>226</v>
      </c>
      <c r="N41" t="s">
        <v>192</v>
      </c>
      <c r="O41" t="s">
        <v>47</v>
      </c>
      <c r="P41" t="s">
        <v>47</v>
      </c>
      <c r="Y41" t="s">
        <v>227</v>
      </c>
      <c r="AG41" t="s">
        <v>48</v>
      </c>
    </row>
    <row r="42" spans="1:33">
      <c r="A42" t="s">
        <v>228</v>
      </c>
      <c r="B42" t="s">
        <v>229</v>
      </c>
      <c r="D42" t="s">
        <v>40</v>
      </c>
      <c r="E42" t="s">
        <v>41</v>
      </c>
      <c r="H42" t="s">
        <v>230</v>
      </c>
      <c r="J42" t="s">
        <v>147</v>
      </c>
      <c r="K42" t="s">
        <v>148</v>
      </c>
      <c r="L42">
        <v>7</v>
      </c>
      <c r="M42" t="s">
        <v>231</v>
      </c>
      <c r="N42" t="s">
        <v>46</v>
      </c>
      <c r="O42" t="s">
        <v>47</v>
      </c>
      <c r="P42" t="s">
        <v>47</v>
      </c>
      <c r="Y42" t="s">
        <v>230</v>
      </c>
      <c r="AG42" t="s">
        <v>48</v>
      </c>
    </row>
    <row r="43" spans="1:33">
      <c r="A43" t="s">
        <v>232</v>
      </c>
      <c r="B43" t="s">
        <v>233</v>
      </c>
      <c r="D43" t="s">
        <v>40</v>
      </c>
      <c r="E43" t="s">
        <v>41</v>
      </c>
      <c r="H43" t="s">
        <v>234</v>
      </c>
      <c r="J43" t="s">
        <v>123</v>
      </c>
      <c r="K43" t="s">
        <v>124</v>
      </c>
      <c r="L43">
        <v>5</v>
      </c>
      <c r="M43" t="s">
        <v>235</v>
      </c>
      <c r="N43" t="s">
        <v>218</v>
      </c>
      <c r="O43" t="s">
        <v>47</v>
      </c>
      <c r="P43" t="s">
        <v>47</v>
      </c>
      <c r="Y43" t="s">
        <v>234</v>
      </c>
      <c r="AG43" t="s">
        <v>48</v>
      </c>
    </row>
    <row r="44" spans="1:33">
      <c r="A44" t="s">
        <v>236</v>
      </c>
      <c r="B44" t="s">
        <v>237</v>
      </c>
      <c r="D44" t="s">
        <v>40</v>
      </c>
      <c r="E44" t="s">
        <v>41</v>
      </c>
      <c r="H44" t="s">
        <v>238</v>
      </c>
      <c r="J44" t="s">
        <v>63</v>
      </c>
      <c r="K44" t="s">
        <v>64</v>
      </c>
      <c r="L44">
        <v>5</v>
      </c>
      <c r="M44" t="s">
        <v>239</v>
      </c>
      <c r="N44" t="s">
        <v>59</v>
      </c>
      <c r="O44" t="s">
        <v>47</v>
      </c>
      <c r="P44" t="s">
        <v>47</v>
      </c>
      <c r="Y44" t="s">
        <v>238</v>
      </c>
      <c r="AG44" t="s">
        <v>48</v>
      </c>
    </row>
    <row r="45" spans="1:33">
      <c r="A45" t="s">
        <v>240</v>
      </c>
      <c r="B45" t="s">
        <v>241</v>
      </c>
      <c r="D45" t="s">
        <v>40</v>
      </c>
      <c r="E45" t="s">
        <v>41</v>
      </c>
      <c r="H45" t="s">
        <v>242</v>
      </c>
      <c r="J45" t="s">
        <v>129</v>
      </c>
      <c r="K45" t="s">
        <v>130</v>
      </c>
      <c r="L45">
        <v>5</v>
      </c>
      <c r="M45" t="s">
        <v>243</v>
      </c>
      <c r="N45" t="s">
        <v>46</v>
      </c>
      <c r="O45" t="s">
        <v>47</v>
      </c>
      <c r="P45" t="s">
        <v>47</v>
      </c>
      <c r="Y45" t="s">
        <v>242</v>
      </c>
      <c r="AG45" t="s">
        <v>48</v>
      </c>
    </row>
    <row r="46" spans="1:33">
      <c r="A46" t="s">
        <v>244</v>
      </c>
      <c r="B46" t="s">
        <v>245</v>
      </c>
      <c r="D46" t="s">
        <v>40</v>
      </c>
      <c r="E46" t="s">
        <v>41</v>
      </c>
      <c r="H46" t="s">
        <v>246</v>
      </c>
      <c r="J46" t="s">
        <v>63</v>
      </c>
      <c r="K46" t="s">
        <v>64</v>
      </c>
      <c r="L46">
        <v>5</v>
      </c>
      <c r="M46" t="s">
        <v>247</v>
      </c>
      <c r="N46" t="s">
        <v>59</v>
      </c>
      <c r="O46" t="s">
        <v>47</v>
      </c>
      <c r="P46" t="s">
        <v>47</v>
      </c>
      <c r="Y46" t="s">
        <v>246</v>
      </c>
      <c r="AG46" t="s">
        <v>48</v>
      </c>
    </row>
    <row r="47" spans="1:33">
      <c r="A47" t="s">
        <v>248</v>
      </c>
      <c r="B47" t="s">
        <v>249</v>
      </c>
      <c r="D47" t="s">
        <v>40</v>
      </c>
      <c r="E47" t="s">
        <v>41</v>
      </c>
      <c r="H47" t="s">
        <v>250</v>
      </c>
      <c r="J47" t="s">
        <v>129</v>
      </c>
      <c r="K47" t="s">
        <v>130</v>
      </c>
      <c r="L47">
        <v>6</v>
      </c>
      <c r="M47" t="s">
        <v>251</v>
      </c>
      <c r="N47" t="s">
        <v>59</v>
      </c>
      <c r="O47" t="s">
        <v>47</v>
      </c>
      <c r="P47" t="s">
        <v>47</v>
      </c>
      <c r="Y47" t="s">
        <v>250</v>
      </c>
      <c r="AG47" t="s">
        <v>48</v>
      </c>
    </row>
    <row r="48" spans="1:33">
      <c r="A48" t="s">
        <v>252</v>
      </c>
      <c r="B48" t="s">
        <v>253</v>
      </c>
      <c r="D48" t="s">
        <v>40</v>
      </c>
      <c r="E48" t="s">
        <v>41</v>
      </c>
      <c r="H48" t="s">
        <v>254</v>
      </c>
      <c r="J48" t="s">
        <v>215</v>
      </c>
      <c r="K48" t="s">
        <v>216</v>
      </c>
      <c r="L48">
        <v>5</v>
      </c>
      <c r="M48" t="s">
        <v>255</v>
      </c>
      <c r="N48" t="s">
        <v>46</v>
      </c>
      <c r="O48" t="s">
        <v>47</v>
      </c>
      <c r="P48" t="s">
        <v>47</v>
      </c>
      <c r="Y48" t="s">
        <v>254</v>
      </c>
      <c r="AG48" t="s">
        <v>48</v>
      </c>
    </row>
    <row r="49" spans="1:33">
      <c r="A49" t="s">
        <v>256</v>
      </c>
      <c r="B49" t="s">
        <v>257</v>
      </c>
      <c r="D49" t="s">
        <v>40</v>
      </c>
      <c r="E49" t="s">
        <v>41</v>
      </c>
      <c r="H49" t="s">
        <v>258</v>
      </c>
      <c r="J49" t="s">
        <v>129</v>
      </c>
      <c r="K49" t="s">
        <v>130</v>
      </c>
      <c r="L49">
        <v>6</v>
      </c>
      <c r="M49" t="s">
        <v>259</v>
      </c>
      <c r="N49" t="s">
        <v>218</v>
      </c>
      <c r="O49" t="s">
        <v>47</v>
      </c>
      <c r="P49" t="s">
        <v>47</v>
      </c>
      <c r="Y49" t="s">
        <v>258</v>
      </c>
      <c r="AG49" t="s">
        <v>48</v>
      </c>
    </row>
    <row r="50" spans="1:33">
      <c r="A50" t="s">
        <v>260</v>
      </c>
      <c r="B50" t="s">
        <v>261</v>
      </c>
      <c r="D50" t="s">
        <v>40</v>
      </c>
      <c r="E50" t="s">
        <v>41</v>
      </c>
      <c r="H50" t="s">
        <v>262</v>
      </c>
      <c r="J50" t="s">
        <v>129</v>
      </c>
      <c r="K50" t="s">
        <v>130</v>
      </c>
      <c r="L50">
        <v>5</v>
      </c>
      <c r="M50" t="s">
        <v>263</v>
      </c>
      <c r="N50" t="s">
        <v>192</v>
      </c>
      <c r="O50" t="s">
        <v>47</v>
      </c>
      <c r="P50" t="s">
        <v>47</v>
      </c>
      <c r="Y50" t="s">
        <v>262</v>
      </c>
      <c r="AG50" t="s">
        <v>48</v>
      </c>
    </row>
    <row r="51" spans="1:33">
      <c r="A51" t="s">
        <v>264</v>
      </c>
      <c r="B51" t="s">
        <v>265</v>
      </c>
      <c r="D51" t="s">
        <v>40</v>
      </c>
      <c r="E51" t="s">
        <v>41</v>
      </c>
      <c r="H51" t="s">
        <v>266</v>
      </c>
      <c r="J51" t="s">
        <v>129</v>
      </c>
      <c r="K51" t="s">
        <v>130</v>
      </c>
      <c r="L51">
        <v>5</v>
      </c>
      <c r="M51" t="s">
        <v>267</v>
      </c>
      <c r="N51" t="s">
        <v>192</v>
      </c>
      <c r="O51" t="s">
        <v>47</v>
      </c>
      <c r="P51" t="s">
        <v>47</v>
      </c>
      <c r="Y51" t="s">
        <v>266</v>
      </c>
      <c r="AG51" t="s">
        <v>48</v>
      </c>
    </row>
    <row r="52" spans="1:33">
      <c r="A52" t="s">
        <v>268</v>
      </c>
      <c r="B52" t="s">
        <v>269</v>
      </c>
      <c r="D52" t="s">
        <v>40</v>
      </c>
      <c r="E52" t="s">
        <v>41</v>
      </c>
      <c r="J52" t="s">
        <v>270</v>
      </c>
      <c r="K52" t="s">
        <v>271</v>
      </c>
      <c r="L52">
        <v>5</v>
      </c>
      <c r="M52" t="s">
        <v>272</v>
      </c>
      <c r="N52" t="s">
        <v>59</v>
      </c>
      <c r="O52" t="s">
        <v>47</v>
      </c>
      <c r="P52" t="s">
        <v>47</v>
      </c>
      <c r="Y52" t="s">
        <v>273</v>
      </c>
      <c r="AG52" t="s">
        <v>48</v>
      </c>
    </row>
    <row r="53" spans="1:33">
      <c r="A53" t="s">
        <v>274</v>
      </c>
      <c r="B53" t="s">
        <v>275</v>
      </c>
      <c r="D53" t="s">
        <v>40</v>
      </c>
      <c r="E53" t="s">
        <v>41</v>
      </c>
      <c r="J53" t="s">
        <v>108</v>
      </c>
      <c r="K53" t="s">
        <v>109</v>
      </c>
      <c r="L53">
        <v>5</v>
      </c>
      <c r="M53" t="s">
        <v>272</v>
      </c>
      <c r="N53" t="s">
        <v>59</v>
      </c>
      <c r="O53" t="s">
        <v>47</v>
      </c>
      <c r="P53" t="s">
        <v>47</v>
      </c>
      <c r="Y53" t="s">
        <v>276</v>
      </c>
      <c r="AG53" t="s">
        <v>48</v>
      </c>
    </row>
    <row r="54" spans="1:33">
      <c r="A54" t="s">
        <v>277</v>
      </c>
      <c r="B54" t="s">
        <v>278</v>
      </c>
      <c r="D54" t="s">
        <v>40</v>
      </c>
      <c r="E54" t="s">
        <v>41</v>
      </c>
      <c r="J54" t="s">
        <v>270</v>
      </c>
      <c r="K54" t="s">
        <v>271</v>
      </c>
      <c r="L54">
        <v>5</v>
      </c>
      <c r="M54" t="s">
        <v>279</v>
      </c>
      <c r="N54" t="s">
        <v>59</v>
      </c>
      <c r="O54" t="s">
        <v>47</v>
      </c>
      <c r="P54" t="s">
        <v>47</v>
      </c>
      <c r="Y54" t="s">
        <v>280</v>
      </c>
      <c r="AG54" t="s">
        <v>48</v>
      </c>
    </row>
    <row r="55" spans="1:33">
      <c r="A55" t="s">
        <v>281</v>
      </c>
      <c r="B55" t="s">
        <v>282</v>
      </c>
      <c r="D55" t="s">
        <v>40</v>
      </c>
      <c r="E55" t="s">
        <v>41</v>
      </c>
      <c r="J55" t="s">
        <v>129</v>
      </c>
      <c r="K55" t="s">
        <v>130</v>
      </c>
      <c r="L55">
        <v>5</v>
      </c>
      <c r="M55" t="s">
        <v>283</v>
      </c>
      <c r="N55" t="s">
        <v>218</v>
      </c>
      <c r="O55" t="s">
        <v>47</v>
      </c>
      <c r="P55" t="s">
        <v>47</v>
      </c>
      <c r="Y55" t="s">
        <v>284</v>
      </c>
      <c r="AG55" t="s">
        <v>48</v>
      </c>
    </row>
    <row r="56" spans="1:33">
      <c r="A56" t="s">
        <v>285</v>
      </c>
      <c r="B56" t="s">
        <v>286</v>
      </c>
      <c r="D56" t="s">
        <v>40</v>
      </c>
      <c r="E56" t="s">
        <v>41</v>
      </c>
      <c r="J56" t="s">
        <v>162</v>
      </c>
      <c r="K56" t="s">
        <v>163</v>
      </c>
      <c r="L56">
        <v>5</v>
      </c>
      <c r="M56" t="s">
        <v>287</v>
      </c>
      <c r="N56" t="s">
        <v>59</v>
      </c>
      <c r="O56" t="s">
        <v>47</v>
      </c>
      <c r="P56" t="s">
        <v>47</v>
      </c>
      <c r="Y56" t="s">
        <v>288</v>
      </c>
      <c r="AG56" t="s">
        <v>48</v>
      </c>
    </row>
    <row r="57" spans="1:33">
      <c r="A57" t="s">
        <v>117</v>
      </c>
      <c r="B57" t="s">
        <v>289</v>
      </c>
      <c r="D57" t="s">
        <v>40</v>
      </c>
      <c r="E57" t="s">
        <v>41</v>
      </c>
      <c r="J57" t="s">
        <v>290</v>
      </c>
      <c r="K57" t="s">
        <v>291</v>
      </c>
      <c r="L57">
        <v>5</v>
      </c>
      <c r="M57" t="s">
        <v>287</v>
      </c>
      <c r="N57" t="s">
        <v>59</v>
      </c>
      <c r="O57" t="s">
        <v>47</v>
      </c>
      <c r="P57" t="s">
        <v>47</v>
      </c>
      <c r="Y57" t="s">
        <v>292</v>
      </c>
      <c r="AG57" t="s">
        <v>48</v>
      </c>
    </row>
    <row r="58" spans="1:33">
      <c r="A58" t="s">
        <v>293</v>
      </c>
      <c r="B58" t="s">
        <v>294</v>
      </c>
      <c r="D58" t="s">
        <v>40</v>
      </c>
      <c r="E58" t="s">
        <v>41</v>
      </c>
      <c r="H58" t="s">
        <v>295</v>
      </c>
      <c r="J58" t="s">
        <v>63</v>
      </c>
      <c r="K58" t="s">
        <v>64</v>
      </c>
      <c r="L58">
        <v>5</v>
      </c>
      <c r="M58" t="s">
        <v>296</v>
      </c>
      <c r="N58" t="s">
        <v>59</v>
      </c>
      <c r="O58" t="s">
        <v>47</v>
      </c>
      <c r="P58" t="s">
        <v>47</v>
      </c>
      <c r="Y58" t="s">
        <v>295</v>
      </c>
      <c r="AG58" t="s">
        <v>48</v>
      </c>
    </row>
    <row r="59" spans="1:33">
      <c r="A59" t="s">
        <v>297</v>
      </c>
      <c r="B59" t="s">
        <v>298</v>
      </c>
      <c r="D59" t="s">
        <v>40</v>
      </c>
      <c r="E59" t="s">
        <v>41</v>
      </c>
      <c r="H59" t="s">
        <v>299</v>
      </c>
      <c r="J59" t="s">
        <v>108</v>
      </c>
      <c r="K59" t="s">
        <v>109</v>
      </c>
      <c r="L59">
        <v>5</v>
      </c>
      <c r="M59" t="s">
        <v>300</v>
      </c>
      <c r="N59" t="s">
        <v>59</v>
      </c>
      <c r="O59" t="s">
        <v>47</v>
      </c>
      <c r="P59" t="s">
        <v>47</v>
      </c>
      <c r="Y59" t="s">
        <v>299</v>
      </c>
      <c r="AG59" t="s">
        <v>48</v>
      </c>
    </row>
    <row r="60" spans="1:33">
      <c r="A60" t="s">
        <v>301</v>
      </c>
      <c r="B60" t="s">
        <v>302</v>
      </c>
      <c r="D60" t="s">
        <v>40</v>
      </c>
      <c r="E60" t="s">
        <v>41</v>
      </c>
      <c r="H60" t="s">
        <v>303</v>
      </c>
      <c r="J60" t="s">
        <v>290</v>
      </c>
      <c r="K60" t="s">
        <v>291</v>
      </c>
      <c r="L60">
        <v>5</v>
      </c>
      <c r="M60" t="s">
        <v>300</v>
      </c>
      <c r="N60" t="s">
        <v>59</v>
      </c>
      <c r="O60" t="s">
        <v>47</v>
      </c>
      <c r="P60" t="s">
        <v>47</v>
      </c>
      <c r="Y60" t="s">
        <v>303</v>
      </c>
      <c r="AG60" t="s">
        <v>48</v>
      </c>
    </row>
    <row r="61" spans="1:33">
      <c r="A61" t="s">
        <v>117</v>
      </c>
      <c r="B61" t="s">
        <v>304</v>
      </c>
      <c r="D61" t="s">
        <v>40</v>
      </c>
      <c r="E61" t="s">
        <v>41</v>
      </c>
      <c r="J61" t="s">
        <v>270</v>
      </c>
      <c r="K61" t="s">
        <v>271</v>
      </c>
      <c r="L61">
        <v>5</v>
      </c>
      <c r="M61" t="s">
        <v>300</v>
      </c>
      <c r="N61" t="s">
        <v>59</v>
      </c>
      <c r="O61" t="s">
        <v>47</v>
      </c>
      <c r="P61" t="s">
        <v>47</v>
      </c>
      <c r="Y61" t="s">
        <v>305</v>
      </c>
      <c r="AG61" t="s">
        <v>48</v>
      </c>
    </row>
    <row r="62" spans="1:33">
      <c r="A62" t="s">
        <v>306</v>
      </c>
      <c r="B62" t="s">
        <v>307</v>
      </c>
      <c r="D62" t="s">
        <v>40</v>
      </c>
      <c r="E62" t="s">
        <v>41</v>
      </c>
      <c r="J62" t="s">
        <v>123</v>
      </c>
      <c r="K62" t="s">
        <v>124</v>
      </c>
      <c r="L62">
        <v>5</v>
      </c>
      <c r="M62" t="s">
        <v>308</v>
      </c>
      <c r="N62" t="s">
        <v>46</v>
      </c>
      <c r="O62" t="s">
        <v>47</v>
      </c>
      <c r="P62" t="s">
        <v>47</v>
      </c>
      <c r="Y62" t="s">
        <v>309</v>
      </c>
      <c r="AG62" t="s">
        <v>48</v>
      </c>
    </row>
    <row r="63" spans="1:33">
      <c r="A63" t="s">
        <v>310</v>
      </c>
      <c r="B63" t="s">
        <v>311</v>
      </c>
      <c r="D63" t="s">
        <v>40</v>
      </c>
      <c r="E63" t="s">
        <v>41</v>
      </c>
      <c r="J63" t="s">
        <v>312</v>
      </c>
      <c r="K63" t="s">
        <v>313</v>
      </c>
      <c r="L63">
        <v>5</v>
      </c>
      <c r="M63" t="s">
        <v>308</v>
      </c>
      <c r="N63" t="s">
        <v>192</v>
      </c>
      <c r="O63" t="s">
        <v>47</v>
      </c>
      <c r="P63" t="s">
        <v>47</v>
      </c>
      <c r="Y63" t="s">
        <v>314</v>
      </c>
      <c r="AG63" t="s">
        <v>48</v>
      </c>
    </row>
    <row r="64" spans="1:33">
      <c r="A64" t="s">
        <v>315</v>
      </c>
      <c r="B64" t="s">
        <v>316</v>
      </c>
      <c r="D64" t="s">
        <v>40</v>
      </c>
      <c r="E64" t="s">
        <v>41</v>
      </c>
      <c r="J64" t="s">
        <v>270</v>
      </c>
      <c r="K64" t="s">
        <v>271</v>
      </c>
      <c r="L64">
        <v>5</v>
      </c>
      <c r="M64" t="s">
        <v>308</v>
      </c>
      <c r="N64" t="s">
        <v>59</v>
      </c>
      <c r="O64" t="s">
        <v>47</v>
      </c>
      <c r="P64" t="s">
        <v>47</v>
      </c>
      <c r="Y64" t="s">
        <v>317</v>
      </c>
      <c r="AG64" t="s">
        <v>48</v>
      </c>
    </row>
    <row r="65" spans="1:33">
      <c r="A65" t="s">
        <v>318</v>
      </c>
      <c r="B65" t="s">
        <v>319</v>
      </c>
      <c r="D65" t="s">
        <v>40</v>
      </c>
      <c r="E65" t="s">
        <v>41</v>
      </c>
      <c r="J65" t="s">
        <v>108</v>
      </c>
      <c r="K65" t="s">
        <v>109</v>
      </c>
      <c r="L65">
        <v>5</v>
      </c>
      <c r="M65" t="s">
        <v>320</v>
      </c>
      <c r="N65" t="s">
        <v>59</v>
      </c>
      <c r="O65" t="s">
        <v>47</v>
      </c>
      <c r="P65" t="s">
        <v>47</v>
      </c>
      <c r="Y65" t="s">
        <v>321</v>
      </c>
      <c r="AG65" t="s">
        <v>48</v>
      </c>
    </row>
    <row r="66" spans="1:33">
      <c r="A66" t="s">
        <v>322</v>
      </c>
      <c r="B66" t="s">
        <v>323</v>
      </c>
      <c r="D66" t="s">
        <v>40</v>
      </c>
      <c r="E66" t="s">
        <v>41</v>
      </c>
      <c r="J66" t="s">
        <v>123</v>
      </c>
      <c r="K66" t="s">
        <v>124</v>
      </c>
      <c r="L66">
        <v>5</v>
      </c>
      <c r="M66" t="s">
        <v>324</v>
      </c>
      <c r="N66" t="s">
        <v>218</v>
      </c>
      <c r="O66" t="s">
        <v>47</v>
      </c>
      <c r="P66" t="s">
        <v>47</v>
      </c>
      <c r="Y66" t="s">
        <v>325</v>
      </c>
      <c r="AG66" t="s">
        <v>48</v>
      </c>
    </row>
    <row r="67" spans="1:33">
      <c r="A67" t="s">
        <v>326</v>
      </c>
      <c r="B67" t="s">
        <v>327</v>
      </c>
      <c r="D67" t="s">
        <v>40</v>
      </c>
      <c r="E67" t="s">
        <v>41</v>
      </c>
      <c r="J67" t="s">
        <v>290</v>
      </c>
      <c r="K67" t="s">
        <v>291</v>
      </c>
      <c r="L67">
        <v>5</v>
      </c>
      <c r="M67" t="s">
        <v>324</v>
      </c>
      <c r="N67" t="s">
        <v>59</v>
      </c>
      <c r="O67" t="s">
        <v>47</v>
      </c>
      <c r="P67" t="s">
        <v>47</v>
      </c>
      <c r="Y67" t="s">
        <v>328</v>
      </c>
      <c r="AG67" t="s">
        <v>48</v>
      </c>
    </row>
    <row r="68" spans="1:33">
      <c r="A68" t="s">
        <v>329</v>
      </c>
      <c r="B68" t="s">
        <v>330</v>
      </c>
      <c r="D68" t="s">
        <v>40</v>
      </c>
      <c r="E68" t="s">
        <v>41</v>
      </c>
      <c r="J68" t="s">
        <v>290</v>
      </c>
      <c r="K68" t="s">
        <v>291</v>
      </c>
      <c r="L68">
        <v>5</v>
      </c>
      <c r="M68" t="s">
        <v>331</v>
      </c>
      <c r="N68" t="s">
        <v>59</v>
      </c>
      <c r="O68" t="s">
        <v>47</v>
      </c>
      <c r="P68" t="s">
        <v>47</v>
      </c>
      <c r="Y68" t="s">
        <v>332</v>
      </c>
      <c r="AG68" t="s">
        <v>48</v>
      </c>
    </row>
    <row r="69" spans="1:33">
      <c r="A69" t="s">
        <v>333</v>
      </c>
      <c r="B69" t="s">
        <v>334</v>
      </c>
      <c r="D69" t="s">
        <v>40</v>
      </c>
      <c r="E69" t="s">
        <v>41</v>
      </c>
      <c r="J69" t="s">
        <v>290</v>
      </c>
      <c r="K69" t="s">
        <v>291</v>
      </c>
      <c r="L69">
        <v>5</v>
      </c>
      <c r="M69" t="s">
        <v>335</v>
      </c>
      <c r="N69" t="s">
        <v>59</v>
      </c>
      <c r="O69" t="s">
        <v>47</v>
      </c>
      <c r="P69" t="s">
        <v>47</v>
      </c>
      <c r="Y69" t="s">
        <v>336</v>
      </c>
      <c r="AG69" t="s">
        <v>48</v>
      </c>
    </row>
    <row r="70" spans="1:33">
      <c r="A70" t="s">
        <v>337</v>
      </c>
      <c r="B70" t="s">
        <v>338</v>
      </c>
      <c r="D70" t="s">
        <v>40</v>
      </c>
      <c r="E70" t="s">
        <v>41</v>
      </c>
      <c r="J70" t="s">
        <v>290</v>
      </c>
      <c r="K70" t="s">
        <v>291</v>
      </c>
      <c r="L70">
        <v>5</v>
      </c>
      <c r="M70" t="s">
        <v>335</v>
      </c>
      <c r="N70" t="s">
        <v>59</v>
      </c>
      <c r="O70" t="s">
        <v>47</v>
      </c>
      <c r="P70" t="s">
        <v>47</v>
      </c>
      <c r="Y70" t="s">
        <v>339</v>
      </c>
      <c r="AG70" t="s">
        <v>48</v>
      </c>
    </row>
    <row r="71" spans="1:33">
      <c r="A71" t="s">
        <v>340</v>
      </c>
      <c r="B71" t="s">
        <v>341</v>
      </c>
      <c r="D71" t="s">
        <v>40</v>
      </c>
      <c r="E71" t="s">
        <v>41</v>
      </c>
      <c r="J71" t="s">
        <v>123</v>
      </c>
      <c r="K71" t="s">
        <v>124</v>
      </c>
      <c r="L71">
        <v>5</v>
      </c>
      <c r="M71" t="s">
        <v>335</v>
      </c>
      <c r="N71" t="s">
        <v>46</v>
      </c>
      <c r="O71" t="s">
        <v>47</v>
      </c>
      <c r="P71" t="s">
        <v>47</v>
      </c>
      <c r="Y71" t="s">
        <v>342</v>
      </c>
      <c r="AG71" t="s">
        <v>48</v>
      </c>
    </row>
    <row r="72" spans="1:33">
      <c r="A72" t="s">
        <v>343</v>
      </c>
      <c r="B72" t="s">
        <v>344</v>
      </c>
      <c r="D72" t="s">
        <v>40</v>
      </c>
      <c r="E72" t="s">
        <v>41</v>
      </c>
      <c r="J72" t="s">
        <v>290</v>
      </c>
      <c r="K72" t="s">
        <v>291</v>
      </c>
      <c r="L72">
        <v>5</v>
      </c>
      <c r="M72" t="s">
        <v>345</v>
      </c>
      <c r="N72" t="s">
        <v>59</v>
      </c>
      <c r="O72" t="s">
        <v>47</v>
      </c>
      <c r="P72" t="s">
        <v>47</v>
      </c>
      <c r="Y72" t="s">
        <v>346</v>
      </c>
      <c r="AG72" t="s">
        <v>48</v>
      </c>
    </row>
    <row r="73" spans="1:33">
      <c r="A73" t="s">
        <v>347</v>
      </c>
      <c r="B73" t="s">
        <v>348</v>
      </c>
      <c r="D73" t="s">
        <v>40</v>
      </c>
      <c r="E73" t="s">
        <v>41</v>
      </c>
      <c r="J73" t="s">
        <v>129</v>
      </c>
      <c r="K73" t="s">
        <v>130</v>
      </c>
      <c r="L73">
        <v>5</v>
      </c>
      <c r="M73" t="s">
        <v>349</v>
      </c>
      <c r="N73" t="s">
        <v>192</v>
      </c>
      <c r="O73" t="s">
        <v>47</v>
      </c>
      <c r="P73" t="s">
        <v>47</v>
      </c>
      <c r="Y73" t="s">
        <v>350</v>
      </c>
      <c r="AG73" t="s">
        <v>48</v>
      </c>
    </row>
    <row r="74" spans="1:33">
      <c r="A74" t="s">
        <v>351</v>
      </c>
      <c r="B74" t="s">
        <v>352</v>
      </c>
      <c r="D74" t="s">
        <v>40</v>
      </c>
      <c r="E74" t="s">
        <v>41</v>
      </c>
      <c r="J74" t="s">
        <v>162</v>
      </c>
      <c r="K74" t="s">
        <v>163</v>
      </c>
      <c r="L74">
        <v>5</v>
      </c>
      <c r="M74" t="s">
        <v>353</v>
      </c>
      <c r="N74" t="s">
        <v>59</v>
      </c>
      <c r="O74" t="s">
        <v>47</v>
      </c>
      <c r="P74" t="s">
        <v>47</v>
      </c>
      <c r="Y74" t="s">
        <v>354</v>
      </c>
      <c r="AG74" t="s">
        <v>48</v>
      </c>
    </row>
    <row r="75" spans="1:33">
      <c r="A75" t="s">
        <v>355</v>
      </c>
      <c r="B75" t="s">
        <v>356</v>
      </c>
      <c r="D75" t="s">
        <v>40</v>
      </c>
      <c r="E75" t="s">
        <v>41</v>
      </c>
      <c r="J75" t="s">
        <v>108</v>
      </c>
      <c r="K75" t="s">
        <v>109</v>
      </c>
      <c r="L75">
        <v>5</v>
      </c>
      <c r="M75" t="s">
        <v>357</v>
      </c>
      <c r="N75" t="s">
        <v>59</v>
      </c>
      <c r="O75" t="s">
        <v>47</v>
      </c>
      <c r="P75" t="s">
        <v>47</v>
      </c>
      <c r="Y75" t="s">
        <v>358</v>
      </c>
      <c r="AG75" t="s">
        <v>48</v>
      </c>
    </row>
    <row r="76" spans="1:33">
      <c r="A76" t="s">
        <v>359</v>
      </c>
      <c r="B76" t="s">
        <v>360</v>
      </c>
      <c r="D76" t="s">
        <v>40</v>
      </c>
      <c r="E76" t="s">
        <v>41</v>
      </c>
      <c r="J76" t="s">
        <v>108</v>
      </c>
      <c r="K76" t="s">
        <v>109</v>
      </c>
      <c r="L76">
        <v>5</v>
      </c>
      <c r="M76" t="s">
        <v>361</v>
      </c>
      <c r="N76" t="s">
        <v>59</v>
      </c>
      <c r="O76" t="s">
        <v>47</v>
      </c>
      <c r="P76" t="s">
        <v>47</v>
      </c>
      <c r="Y76" t="s">
        <v>362</v>
      </c>
      <c r="AG76" t="s">
        <v>48</v>
      </c>
    </row>
    <row r="77" spans="1:33">
      <c r="A77" t="s">
        <v>363</v>
      </c>
      <c r="B77" t="s">
        <v>364</v>
      </c>
      <c r="D77" t="s">
        <v>40</v>
      </c>
      <c r="E77" t="s">
        <v>41</v>
      </c>
      <c r="J77" t="s">
        <v>162</v>
      </c>
      <c r="K77" t="s">
        <v>163</v>
      </c>
      <c r="L77">
        <v>5</v>
      </c>
      <c r="M77" t="s">
        <v>365</v>
      </c>
      <c r="N77" t="s">
        <v>59</v>
      </c>
      <c r="O77" t="s">
        <v>47</v>
      </c>
      <c r="P77" t="s">
        <v>47</v>
      </c>
      <c r="Y77" t="s">
        <v>366</v>
      </c>
      <c r="AG77" t="s">
        <v>48</v>
      </c>
    </row>
    <row r="78" spans="1:33">
      <c r="A78" t="s">
        <v>367</v>
      </c>
      <c r="B78" t="s">
        <v>368</v>
      </c>
      <c r="D78" t="s">
        <v>40</v>
      </c>
      <c r="E78" t="s">
        <v>41</v>
      </c>
      <c r="J78" t="s">
        <v>290</v>
      </c>
      <c r="K78" t="s">
        <v>291</v>
      </c>
      <c r="L78">
        <v>5</v>
      </c>
      <c r="M78" t="s">
        <v>369</v>
      </c>
      <c r="N78" t="s">
        <v>59</v>
      </c>
      <c r="O78" t="s">
        <v>47</v>
      </c>
      <c r="P78" t="s">
        <v>47</v>
      </c>
      <c r="Y78" t="s">
        <v>370</v>
      </c>
      <c r="AG78" t="s">
        <v>48</v>
      </c>
    </row>
    <row r="79" spans="1:33">
      <c r="A79" t="s">
        <v>371</v>
      </c>
      <c r="B79" t="s">
        <v>372</v>
      </c>
      <c r="D79" t="s">
        <v>40</v>
      </c>
      <c r="E79" t="s">
        <v>41</v>
      </c>
      <c r="J79" t="s">
        <v>290</v>
      </c>
      <c r="K79" t="s">
        <v>291</v>
      </c>
      <c r="L79">
        <v>5</v>
      </c>
      <c r="M79" t="s">
        <v>373</v>
      </c>
      <c r="N79" t="s">
        <v>59</v>
      </c>
      <c r="O79" t="s">
        <v>47</v>
      </c>
      <c r="P79" t="s">
        <v>47</v>
      </c>
      <c r="Y79" t="s">
        <v>374</v>
      </c>
      <c r="AG79" t="s">
        <v>48</v>
      </c>
    </row>
    <row r="80" spans="1:33">
      <c r="A80" t="s">
        <v>375</v>
      </c>
      <c r="B80" t="s">
        <v>376</v>
      </c>
      <c r="D80" t="s">
        <v>40</v>
      </c>
      <c r="E80" t="s">
        <v>41</v>
      </c>
      <c r="J80" t="s">
        <v>108</v>
      </c>
      <c r="K80" t="s">
        <v>109</v>
      </c>
      <c r="L80">
        <v>5</v>
      </c>
      <c r="M80" t="s">
        <v>373</v>
      </c>
      <c r="N80" t="s">
        <v>59</v>
      </c>
      <c r="O80" t="s">
        <v>47</v>
      </c>
      <c r="P80" t="s">
        <v>47</v>
      </c>
      <c r="Y80" t="s">
        <v>377</v>
      </c>
      <c r="AG80" t="s">
        <v>48</v>
      </c>
    </row>
    <row r="81" spans="1:33">
      <c r="A81" t="s">
        <v>378</v>
      </c>
      <c r="B81" t="s">
        <v>379</v>
      </c>
      <c r="D81" t="s">
        <v>40</v>
      </c>
      <c r="E81" t="s">
        <v>41</v>
      </c>
      <c r="H81" t="s">
        <v>380</v>
      </c>
      <c r="J81" t="s">
        <v>162</v>
      </c>
      <c r="K81" t="s">
        <v>163</v>
      </c>
      <c r="L81">
        <v>5</v>
      </c>
      <c r="M81" t="s">
        <v>373</v>
      </c>
      <c r="N81" t="s">
        <v>59</v>
      </c>
      <c r="O81" t="s">
        <v>47</v>
      </c>
      <c r="P81" t="s">
        <v>47</v>
      </c>
      <c r="Y81" t="s">
        <v>380</v>
      </c>
      <c r="AG81" t="s">
        <v>48</v>
      </c>
    </row>
    <row r="82" spans="1:33">
      <c r="A82" t="s">
        <v>381</v>
      </c>
      <c r="B82" t="s">
        <v>382</v>
      </c>
      <c r="D82" t="s">
        <v>40</v>
      </c>
      <c r="E82" t="s">
        <v>41</v>
      </c>
      <c r="J82" t="s">
        <v>108</v>
      </c>
      <c r="K82" t="s">
        <v>109</v>
      </c>
      <c r="L82">
        <v>5</v>
      </c>
      <c r="M82" t="s">
        <v>383</v>
      </c>
      <c r="N82" t="s">
        <v>59</v>
      </c>
      <c r="O82" t="s">
        <v>47</v>
      </c>
      <c r="P82" t="s">
        <v>47</v>
      </c>
      <c r="Y82" t="s">
        <v>384</v>
      </c>
      <c r="AG82" t="s">
        <v>48</v>
      </c>
    </row>
    <row r="83" spans="1:33">
      <c r="A83" t="s">
        <v>385</v>
      </c>
      <c r="B83" t="s">
        <v>386</v>
      </c>
      <c r="D83" t="s">
        <v>40</v>
      </c>
      <c r="E83" t="s">
        <v>41</v>
      </c>
      <c r="J83" t="s">
        <v>162</v>
      </c>
      <c r="K83" t="s">
        <v>163</v>
      </c>
      <c r="L83">
        <v>5</v>
      </c>
      <c r="M83" t="s">
        <v>387</v>
      </c>
      <c r="N83" t="s">
        <v>59</v>
      </c>
      <c r="O83" t="s">
        <v>47</v>
      </c>
      <c r="P83" t="s">
        <v>47</v>
      </c>
      <c r="Y83" t="s">
        <v>388</v>
      </c>
      <c r="AG83" t="s">
        <v>48</v>
      </c>
    </row>
    <row r="84" spans="1:33">
      <c r="A84" t="s">
        <v>389</v>
      </c>
      <c r="B84" t="s">
        <v>390</v>
      </c>
      <c r="D84" t="s">
        <v>40</v>
      </c>
      <c r="E84" t="s">
        <v>41</v>
      </c>
      <c r="J84" t="s">
        <v>290</v>
      </c>
      <c r="K84" t="s">
        <v>291</v>
      </c>
      <c r="L84">
        <v>5</v>
      </c>
      <c r="M84" t="s">
        <v>391</v>
      </c>
      <c r="N84" t="s">
        <v>59</v>
      </c>
      <c r="O84" t="s">
        <v>47</v>
      </c>
      <c r="P84" t="s">
        <v>47</v>
      </c>
      <c r="Y84" t="s">
        <v>392</v>
      </c>
      <c r="AG84" t="s">
        <v>48</v>
      </c>
    </row>
    <row r="85" spans="1:33">
      <c r="A85" t="s">
        <v>393</v>
      </c>
      <c r="B85" t="s">
        <v>394</v>
      </c>
      <c r="D85" t="s">
        <v>40</v>
      </c>
      <c r="E85" t="s">
        <v>41</v>
      </c>
      <c r="J85" t="s">
        <v>290</v>
      </c>
      <c r="K85" t="s">
        <v>291</v>
      </c>
      <c r="L85">
        <v>5</v>
      </c>
      <c r="M85" t="s">
        <v>395</v>
      </c>
      <c r="N85" t="s">
        <v>59</v>
      </c>
      <c r="O85" t="s">
        <v>47</v>
      </c>
      <c r="P85" t="s">
        <v>47</v>
      </c>
      <c r="Y85" t="s">
        <v>396</v>
      </c>
      <c r="AG85" t="s">
        <v>48</v>
      </c>
    </row>
    <row r="86" spans="1:33">
      <c r="A86" t="s">
        <v>397</v>
      </c>
      <c r="B86" t="s">
        <v>398</v>
      </c>
      <c r="D86" t="s">
        <v>40</v>
      </c>
      <c r="E86" t="s">
        <v>41</v>
      </c>
      <c r="J86" t="s">
        <v>114</v>
      </c>
      <c r="K86" t="s">
        <v>115</v>
      </c>
      <c r="L86">
        <v>5</v>
      </c>
      <c r="M86" t="s">
        <v>399</v>
      </c>
      <c r="N86" t="s">
        <v>59</v>
      </c>
      <c r="O86" t="s">
        <v>47</v>
      </c>
      <c r="P86" t="s">
        <v>47</v>
      </c>
      <c r="Y86" t="s">
        <v>400</v>
      </c>
      <c r="AG86" t="s">
        <v>48</v>
      </c>
    </row>
    <row r="87" spans="1:33">
      <c r="A87" t="s">
        <v>401</v>
      </c>
      <c r="B87" t="s">
        <v>402</v>
      </c>
      <c r="D87" t="s">
        <v>40</v>
      </c>
      <c r="E87" t="s">
        <v>41</v>
      </c>
      <c r="J87" t="s">
        <v>290</v>
      </c>
      <c r="K87" t="s">
        <v>291</v>
      </c>
      <c r="L87">
        <v>5</v>
      </c>
      <c r="M87" t="s">
        <v>403</v>
      </c>
      <c r="N87" t="s">
        <v>59</v>
      </c>
      <c r="O87" t="s">
        <v>47</v>
      </c>
      <c r="P87" t="s">
        <v>47</v>
      </c>
      <c r="Y87" t="s">
        <v>404</v>
      </c>
      <c r="AG87" t="s">
        <v>48</v>
      </c>
    </row>
    <row r="88" spans="1:33">
      <c r="A88" t="s">
        <v>405</v>
      </c>
      <c r="B88" t="s">
        <v>406</v>
      </c>
      <c r="D88" t="s">
        <v>40</v>
      </c>
      <c r="E88" t="s">
        <v>41</v>
      </c>
      <c r="J88" t="s">
        <v>290</v>
      </c>
      <c r="K88" t="s">
        <v>291</v>
      </c>
      <c r="L88">
        <v>5</v>
      </c>
      <c r="M88" t="s">
        <v>403</v>
      </c>
      <c r="N88" t="s">
        <v>59</v>
      </c>
      <c r="O88" t="s">
        <v>47</v>
      </c>
      <c r="P88" t="s">
        <v>47</v>
      </c>
      <c r="Y88" t="s">
        <v>407</v>
      </c>
      <c r="AG88" t="s">
        <v>48</v>
      </c>
    </row>
    <row r="89" spans="1:33">
      <c r="A89" t="s">
        <v>408</v>
      </c>
      <c r="B89" t="s">
        <v>409</v>
      </c>
      <c r="D89" t="s">
        <v>40</v>
      </c>
      <c r="E89" t="s">
        <v>41</v>
      </c>
      <c r="J89" t="s">
        <v>162</v>
      </c>
      <c r="K89" t="s">
        <v>163</v>
      </c>
      <c r="L89">
        <v>5</v>
      </c>
      <c r="M89" t="s">
        <v>403</v>
      </c>
      <c r="N89" t="s">
        <v>59</v>
      </c>
      <c r="O89" t="s">
        <v>47</v>
      </c>
      <c r="P89" t="s">
        <v>47</v>
      </c>
      <c r="Y89" t="s">
        <v>410</v>
      </c>
      <c r="AG89" t="s">
        <v>48</v>
      </c>
    </row>
    <row r="90" spans="1:33">
      <c r="A90" t="s">
        <v>117</v>
      </c>
      <c r="B90" t="s">
        <v>411</v>
      </c>
      <c r="D90" t="s">
        <v>40</v>
      </c>
      <c r="E90" t="s">
        <v>41</v>
      </c>
      <c r="J90" t="s">
        <v>290</v>
      </c>
      <c r="K90" t="s">
        <v>291</v>
      </c>
      <c r="L90">
        <v>5</v>
      </c>
      <c r="M90" t="s">
        <v>412</v>
      </c>
      <c r="N90" t="s">
        <v>59</v>
      </c>
      <c r="O90" t="s">
        <v>47</v>
      </c>
      <c r="P90" t="s">
        <v>47</v>
      </c>
      <c r="Y90" t="s">
        <v>413</v>
      </c>
      <c r="AG90" t="s">
        <v>48</v>
      </c>
    </row>
    <row r="91" spans="1:33">
      <c r="A91" t="s">
        <v>414</v>
      </c>
      <c r="B91" t="s">
        <v>415</v>
      </c>
      <c r="D91" t="s">
        <v>40</v>
      </c>
      <c r="E91" t="s">
        <v>41</v>
      </c>
      <c r="J91" t="s">
        <v>290</v>
      </c>
      <c r="K91" t="s">
        <v>291</v>
      </c>
      <c r="L91">
        <v>5</v>
      </c>
      <c r="M91" t="s">
        <v>416</v>
      </c>
      <c r="N91" t="s">
        <v>59</v>
      </c>
      <c r="O91" t="s">
        <v>47</v>
      </c>
      <c r="P91" t="s">
        <v>47</v>
      </c>
      <c r="Y91" t="s">
        <v>417</v>
      </c>
      <c r="AG91" t="s">
        <v>48</v>
      </c>
    </row>
    <row r="92" spans="1:33">
      <c r="A92" t="s">
        <v>418</v>
      </c>
      <c r="B92" t="s">
        <v>419</v>
      </c>
      <c r="D92" t="s">
        <v>40</v>
      </c>
      <c r="E92" t="s">
        <v>41</v>
      </c>
      <c r="J92" t="s">
        <v>290</v>
      </c>
      <c r="K92" t="s">
        <v>291</v>
      </c>
      <c r="L92">
        <v>5</v>
      </c>
      <c r="M92" t="s">
        <v>416</v>
      </c>
      <c r="N92" t="s">
        <v>59</v>
      </c>
      <c r="O92" t="s">
        <v>47</v>
      </c>
      <c r="P92" t="s">
        <v>47</v>
      </c>
      <c r="Y92" t="s">
        <v>420</v>
      </c>
      <c r="AG92" t="s">
        <v>48</v>
      </c>
    </row>
    <row r="93" spans="1:33">
      <c r="A93" t="s">
        <v>421</v>
      </c>
      <c r="B93" t="s">
        <v>422</v>
      </c>
      <c r="D93" t="s">
        <v>40</v>
      </c>
      <c r="E93" t="s">
        <v>41</v>
      </c>
      <c r="H93" t="s">
        <v>423</v>
      </c>
      <c r="J93" t="s">
        <v>129</v>
      </c>
      <c r="K93" t="s">
        <v>130</v>
      </c>
      <c r="L93">
        <v>5</v>
      </c>
      <c r="M93" t="s">
        <v>416</v>
      </c>
      <c r="N93" t="s">
        <v>46</v>
      </c>
      <c r="O93" t="s">
        <v>47</v>
      </c>
      <c r="P93" t="s">
        <v>47</v>
      </c>
      <c r="Y93" t="s">
        <v>423</v>
      </c>
      <c r="AG93" t="s">
        <v>48</v>
      </c>
    </row>
    <row r="94" spans="1:33">
      <c r="A94" t="s">
        <v>117</v>
      </c>
      <c r="B94" t="s">
        <v>424</v>
      </c>
      <c r="D94" t="s">
        <v>40</v>
      </c>
      <c r="E94" t="s">
        <v>41</v>
      </c>
      <c r="J94" t="s">
        <v>129</v>
      </c>
      <c r="K94" t="s">
        <v>130</v>
      </c>
      <c r="L94">
        <v>5</v>
      </c>
      <c r="M94" t="s">
        <v>425</v>
      </c>
      <c r="N94" t="s">
        <v>192</v>
      </c>
      <c r="O94" t="s">
        <v>47</v>
      </c>
      <c r="P94" t="s">
        <v>47</v>
      </c>
      <c r="Y94" t="s">
        <v>426</v>
      </c>
      <c r="AG94" t="s">
        <v>48</v>
      </c>
    </row>
    <row r="95" spans="1:33">
      <c r="A95" t="s">
        <v>117</v>
      </c>
      <c r="B95" t="s">
        <v>427</v>
      </c>
      <c r="D95" t="s">
        <v>40</v>
      </c>
      <c r="E95" t="s">
        <v>41</v>
      </c>
      <c r="J95" t="s">
        <v>290</v>
      </c>
      <c r="K95" t="s">
        <v>291</v>
      </c>
      <c r="L95">
        <v>5</v>
      </c>
      <c r="M95" t="s">
        <v>428</v>
      </c>
      <c r="N95" t="s">
        <v>59</v>
      </c>
      <c r="O95" t="s">
        <v>47</v>
      </c>
      <c r="P95" t="s">
        <v>47</v>
      </c>
      <c r="Y95" t="s">
        <v>429</v>
      </c>
      <c r="AG95" t="s">
        <v>48</v>
      </c>
    </row>
    <row r="96" spans="1:33">
      <c r="A96" t="s">
        <v>430</v>
      </c>
      <c r="B96" t="s">
        <v>431</v>
      </c>
      <c r="D96" t="s">
        <v>40</v>
      </c>
      <c r="E96" t="s">
        <v>41</v>
      </c>
      <c r="J96" t="s">
        <v>290</v>
      </c>
      <c r="K96" t="s">
        <v>291</v>
      </c>
      <c r="L96">
        <v>5</v>
      </c>
      <c r="M96" t="s">
        <v>428</v>
      </c>
      <c r="N96" t="s">
        <v>59</v>
      </c>
      <c r="O96" t="s">
        <v>47</v>
      </c>
      <c r="P96" t="s">
        <v>47</v>
      </c>
      <c r="Y96" t="s">
        <v>432</v>
      </c>
      <c r="AG96" t="s">
        <v>48</v>
      </c>
    </row>
    <row r="97" spans="1:33">
      <c r="A97" t="s">
        <v>433</v>
      </c>
      <c r="B97" t="s">
        <v>434</v>
      </c>
      <c r="D97" t="s">
        <v>40</v>
      </c>
      <c r="E97" t="s">
        <v>41</v>
      </c>
      <c r="J97" t="s">
        <v>162</v>
      </c>
      <c r="K97" t="s">
        <v>163</v>
      </c>
      <c r="L97">
        <v>5</v>
      </c>
      <c r="M97" t="s">
        <v>435</v>
      </c>
      <c r="N97" t="s">
        <v>59</v>
      </c>
      <c r="O97" t="s">
        <v>47</v>
      </c>
      <c r="P97" t="s">
        <v>47</v>
      </c>
      <c r="Y97" t="s">
        <v>436</v>
      </c>
      <c r="AG97" t="s">
        <v>48</v>
      </c>
    </row>
    <row r="98" spans="1:33">
      <c r="A98" t="s">
        <v>437</v>
      </c>
      <c r="B98" t="s">
        <v>438</v>
      </c>
      <c r="D98" t="s">
        <v>40</v>
      </c>
      <c r="E98" t="s">
        <v>41</v>
      </c>
      <c r="J98" t="s">
        <v>290</v>
      </c>
      <c r="K98" t="s">
        <v>291</v>
      </c>
      <c r="L98">
        <v>5</v>
      </c>
      <c r="M98" t="s">
        <v>435</v>
      </c>
      <c r="N98" t="s">
        <v>59</v>
      </c>
      <c r="O98" t="s">
        <v>47</v>
      </c>
      <c r="P98" t="s">
        <v>47</v>
      </c>
      <c r="Y98" t="s">
        <v>439</v>
      </c>
      <c r="AG98" t="s">
        <v>48</v>
      </c>
    </row>
    <row r="99" spans="1:33">
      <c r="A99" t="s">
        <v>440</v>
      </c>
      <c r="B99" t="s">
        <v>441</v>
      </c>
      <c r="D99" t="s">
        <v>40</v>
      </c>
      <c r="E99" t="s">
        <v>41</v>
      </c>
      <c r="J99" t="s">
        <v>129</v>
      </c>
      <c r="K99" t="s">
        <v>130</v>
      </c>
      <c r="L99">
        <v>5</v>
      </c>
      <c r="M99" t="s">
        <v>442</v>
      </c>
      <c r="N99" t="s">
        <v>218</v>
      </c>
      <c r="O99" t="s">
        <v>47</v>
      </c>
      <c r="P99" t="s">
        <v>47</v>
      </c>
      <c r="Y99" t="s">
        <v>443</v>
      </c>
      <c r="AG99" t="s">
        <v>48</v>
      </c>
    </row>
    <row r="100" spans="1:33">
      <c r="A100" t="s">
        <v>444</v>
      </c>
      <c r="B100" t="s">
        <v>445</v>
      </c>
      <c r="D100" t="s">
        <v>40</v>
      </c>
      <c r="E100" t="s">
        <v>41</v>
      </c>
      <c r="H100" t="s">
        <v>446</v>
      </c>
      <c r="J100" t="s">
        <v>290</v>
      </c>
      <c r="K100" t="s">
        <v>291</v>
      </c>
      <c r="L100">
        <v>5</v>
      </c>
      <c r="M100" t="s">
        <v>442</v>
      </c>
      <c r="N100" t="s">
        <v>59</v>
      </c>
      <c r="O100" t="s">
        <v>47</v>
      </c>
      <c r="P100" t="s">
        <v>47</v>
      </c>
      <c r="Y100" t="s">
        <v>446</v>
      </c>
      <c r="AG100" t="s">
        <v>48</v>
      </c>
    </row>
    <row r="101" spans="1:33">
      <c r="A101" t="s">
        <v>447</v>
      </c>
      <c r="B101" t="s">
        <v>448</v>
      </c>
      <c r="D101" t="s">
        <v>40</v>
      </c>
      <c r="E101" t="s">
        <v>41</v>
      </c>
      <c r="J101" t="s">
        <v>290</v>
      </c>
      <c r="K101" t="s">
        <v>291</v>
      </c>
      <c r="L101">
        <v>5</v>
      </c>
      <c r="M101" t="s">
        <v>449</v>
      </c>
      <c r="N101" t="s">
        <v>59</v>
      </c>
      <c r="O101" t="s">
        <v>47</v>
      </c>
      <c r="P101" t="s">
        <v>47</v>
      </c>
      <c r="Y101" t="s">
        <v>450</v>
      </c>
      <c r="AG101" t="s">
        <v>48</v>
      </c>
    </row>
    <row r="102" spans="1:33">
      <c r="A102" t="s">
        <v>451</v>
      </c>
      <c r="B102" t="s">
        <v>452</v>
      </c>
      <c r="D102" t="s">
        <v>40</v>
      </c>
      <c r="E102" t="s">
        <v>41</v>
      </c>
      <c r="J102" t="s">
        <v>162</v>
      </c>
      <c r="K102" t="s">
        <v>163</v>
      </c>
      <c r="L102">
        <v>5</v>
      </c>
      <c r="M102" t="s">
        <v>449</v>
      </c>
      <c r="N102" t="s">
        <v>59</v>
      </c>
      <c r="O102" t="s">
        <v>47</v>
      </c>
      <c r="P102" t="s">
        <v>47</v>
      </c>
      <c r="Y102" t="s">
        <v>453</v>
      </c>
      <c r="AG102" t="s">
        <v>48</v>
      </c>
    </row>
    <row r="103" spans="1:33">
      <c r="A103" t="s">
        <v>454</v>
      </c>
      <c r="B103" t="s">
        <v>455</v>
      </c>
      <c r="D103" t="s">
        <v>40</v>
      </c>
      <c r="E103" t="s">
        <v>41</v>
      </c>
      <c r="J103" t="s">
        <v>290</v>
      </c>
      <c r="K103" t="s">
        <v>291</v>
      </c>
      <c r="L103">
        <v>5</v>
      </c>
      <c r="M103" t="s">
        <v>456</v>
      </c>
      <c r="N103" t="s">
        <v>59</v>
      </c>
      <c r="O103" t="s">
        <v>47</v>
      </c>
      <c r="P103" t="s">
        <v>47</v>
      </c>
      <c r="Y103" t="s">
        <v>457</v>
      </c>
      <c r="AG103" t="s">
        <v>48</v>
      </c>
    </row>
    <row r="104" spans="1:33">
      <c r="A104" t="s">
        <v>458</v>
      </c>
      <c r="B104" t="s">
        <v>459</v>
      </c>
      <c r="D104" t="s">
        <v>40</v>
      </c>
      <c r="E104" t="s">
        <v>41</v>
      </c>
      <c r="J104" t="s">
        <v>270</v>
      </c>
      <c r="K104" t="s">
        <v>271</v>
      </c>
      <c r="L104">
        <v>5</v>
      </c>
      <c r="M104" t="s">
        <v>460</v>
      </c>
      <c r="N104" t="s">
        <v>59</v>
      </c>
      <c r="O104" t="s">
        <v>47</v>
      </c>
      <c r="P104" t="s">
        <v>47</v>
      </c>
      <c r="Y104" t="s">
        <v>461</v>
      </c>
      <c r="AG104" t="s">
        <v>48</v>
      </c>
    </row>
    <row r="105" spans="1:33">
      <c r="A105" t="s">
        <v>462</v>
      </c>
      <c r="B105" t="s">
        <v>463</v>
      </c>
      <c r="D105" t="s">
        <v>40</v>
      </c>
      <c r="E105" t="s">
        <v>41</v>
      </c>
      <c r="J105" t="s">
        <v>162</v>
      </c>
      <c r="K105" t="s">
        <v>163</v>
      </c>
      <c r="L105">
        <v>5</v>
      </c>
      <c r="M105" t="s">
        <v>464</v>
      </c>
      <c r="N105" t="s">
        <v>59</v>
      </c>
      <c r="O105" t="s">
        <v>47</v>
      </c>
      <c r="P105" t="s">
        <v>47</v>
      </c>
      <c r="Y105" t="s">
        <v>465</v>
      </c>
      <c r="AG105" t="s">
        <v>48</v>
      </c>
    </row>
    <row r="106" spans="1:33">
      <c r="A106" t="s">
        <v>466</v>
      </c>
      <c r="B106" t="s">
        <v>467</v>
      </c>
      <c r="D106" t="s">
        <v>40</v>
      </c>
      <c r="E106" t="s">
        <v>41</v>
      </c>
      <c r="J106" t="s">
        <v>270</v>
      </c>
      <c r="K106" t="s">
        <v>271</v>
      </c>
      <c r="L106">
        <v>5</v>
      </c>
      <c r="M106" t="s">
        <v>468</v>
      </c>
      <c r="N106" t="s">
        <v>59</v>
      </c>
      <c r="O106" t="s">
        <v>47</v>
      </c>
      <c r="P106" t="s">
        <v>47</v>
      </c>
      <c r="Y106" t="s">
        <v>469</v>
      </c>
      <c r="AG106" t="s">
        <v>48</v>
      </c>
    </row>
    <row r="107" spans="1:33">
      <c r="A107" t="s">
        <v>470</v>
      </c>
      <c r="B107" t="s">
        <v>471</v>
      </c>
      <c r="D107" t="s">
        <v>40</v>
      </c>
      <c r="E107" t="s">
        <v>41</v>
      </c>
      <c r="J107" t="s">
        <v>162</v>
      </c>
      <c r="K107" t="s">
        <v>163</v>
      </c>
      <c r="L107">
        <v>5</v>
      </c>
      <c r="M107" t="s">
        <v>468</v>
      </c>
      <c r="N107" t="s">
        <v>59</v>
      </c>
      <c r="O107" t="s">
        <v>47</v>
      </c>
      <c r="P107" t="s">
        <v>47</v>
      </c>
      <c r="Y107" t="s">
        <v>472</v>
      </c>
      <c r="AG107" t="s">
        <v>48</v>
      </c>
    </row>
    <row r="108" spans="1:33">
      <c r="A108" t="s">
        <v>473</v>
      </c>
      <c r="B108" t="s">
        <v>474</v>
      </c>
      <c r="D108" t="s">
        <v>40</v>
      </c>
      <c r="E108" t="s">
        <v>41</v>
      </c>
      <c r="J108" t="s">
        <v>114</v>
      </c>
      <c r="K108" t="s">
        <v>115</v>
      </c>
      <c r="L108">
        <v>5</v>
      </c>
      <c r="M108" t="s">
        <v>468</v>
      </c>
      <c r="N108" t="s">
        <v>59</v>
      </c>
      <c r="O108" t="s">
        <v>47</v>
      </c>
      <c r="P108" t="s">
        <v>47</v>
      </c>
      <c r="Y108" t="s">
        <v>475</v>
      </c>
      <c r="AG108" t="s">
        <v>48</v>
      </c>
    </row>
    <row r="109" spans="1:33">
      <c r="A109" t="s">
        <v>476</v>
      </c>
      <c r="B109" t="s">
        <v>477</v>
      </c>
      <c r="D109" t="s">
        <v>40</v>
      </c>
      <c r="E109" t="s">
        <v>41</v>
      </c>
      <c r="J109" t="s">
        <v>270</v>
      </c>
      <c r="K109" t="s">
        <v>271</v>
      </c>
      <c r="L109">
        <v>5</v>
      </c>
      <c r="M109" t="s">
        <v>468</v>
      </c>
      <c r="N109" t="s">
        <v>59</v>
      </c>
      <c r="O109" t="s">
        <v>47</v>
      </c>
      <c r="P109" t="s">
        <v>47</v>
      </c>
      <c r="Y109" t="s">
        <v>478</v>
      </c>
      <c r="AG109" t="s">
        <v>48</v>
      </c>
    </row>
    <row r="110" spans="1:33">
      <c r="A110" t="s">
        <v>479</v>
      </c>
      <c r="B110" t="s">
        <v>480</v>
      </c>
      <c r="D110" t="s">
        <v>40</v>
      </c>
      <c r="E110" t="s">
        <v>41</v>
      </c>
      <c r="J110" t="s">
        <v>43</v>
      </c>
      <c r="K110" t="s">
        <v>44</v>
      </c>
      <c r="L110">
        <v>5</v>
      </c>
      <c r="M110" t="s">
        <v>481</v>
      </c>
      <c r="N110" t="s">
        <v>218</v>
      </c>
      <c r="O110" t="s">
        <v>47</v>
      </c>
      <c r="P110" t="s">
        <v>47</v>
      </c>
      <c r="Y110" t="s">
        <v>482</v>
      </c>
      <c r="AG110" t="s">
        <v>48</v>
      </c>
    </row>
    <row r="111" spans="1:33">
      <c r="A111" t="s">
        <v>483</v>
      </c>
      <c r="B111" t="s">
        <v>484</v>
      </c>
      <c r="D111" t="s">
        <v>40</v>
      </c>
      <c r="E111" t="s">
        <v>41</v>
      </c>
      <c r="J111" t="s">
        <v>108</v>
      </c>
      <c r="K111" t="s">
        <v>109</v>
      </c>
      <c r="L111">
        <v>5</v>
      </c>
      <c r="M111" t="s">
        <v>485</v>
      </c>
      <c r="N111" t="s">
        <v>59</v>
      </c>
      <c r="O111" t="s">
        <v>47</v>
      </c>
      <c r="P111" t="s">
        <v>47</v>
      </c>
      <c r="Y111" t="s">
        <v>486</v>
      </c>
      <c r="AG111" t="s">
        <v>48</v>
      </c>
    </row>
    <row r="112" spans="1:33">
      <c r="A112" t="s">
        <v>487</v>
      </c>
      <c r="B112" t="s">
        <v>488</v>
      </c>
      <c r="D112" t="s">
        <v>40</v>
      </c>
      <c r="E112" t="s">
        <v>41</v>
      </c>
      <c r="H112" t="s">
        <v>489</v>
      </c>
      <c r="J112" t="s">
        <v>162</v>
      </c>
      <c r="K112" t="s">
        <v>163</v>
      </c>
      <c r="L112">
        <v>5</v>
      </c>
      <c r="M112" t="s">
        <v>485</v>
      </c>
      <c r="N112" t="s">
        <v>59</v>
      </c>
      <c r="O112" t="s">
        <v>47</v>
      </c>
      <c r="P112" t="s">
        <v>47</v>
      </c>
      <c r="Y112" t="s">
        <v>489</v>
      </c>
      <c r="AG112" t="s">
        <v>48</v>
      </c>
    </row>
    <row r="113" spans="1:33">
      <c r="A113" t="s">
        <v>490</v>
      </c>
      <c r="B113" t="s">
        <v>491</v>
      </c>
      <c r="D113" t="s">
        <v>40</v>
      </c>
      <c r="E113" t="s">
        <v>41</v>
      </c>
      <c r="J113" t="s">
        <v>270</v>
      </c>
      <c r="K113" t="s">
        <v>271</v>
      </c>
      <c r="L113">
        <v>5</v>
      </c>
      <c r="M113" t="s">
        <v>485</v>
      </c>
      <c r="N113" t="s">
        <v>59</v>
      </c>
      <c r="O113" t="s">
        <v>47</v>
      </c>
      <c r="P113" t="s">
        <v>47</v>
      </c>
      <c r="Y113" t="s">
        <v>492</v>
      </c>
      <c r="AG113" t="s">
        <v>48</v>
      </c>
    </row>
    <row r="114" spans="1:33">
      <c r="A114" t="s">
        <v>493</v>
      </c>
      <c r="B114" t="s">
        <v>494</v>
      </c>
      <c r="D114" t="s">
        <v>40</v>
      </c>
      <c r="E114" t="s">
        <v>41</v>
      </c>
      <c r="J114" t="s">
        <v>43</v>
      </c>
      <c r="K114" t="s">
        <v>44</v>
      </c>
      <c r="L114">
        <v>5</v>
      </c>
      <c r="M114" t="s">
        <v>495</v>
      </c>
      <c r="N114" t="s">
        <v>192</v>
      </c>
      <c r="O114" t="s">
        <v>47</v>
      </c>
      <c r="P114" t="s">
        <v>47</v>
      </c>
      <c r="Y114" t="s">
        <v>496</v>
      </c>
      <c r="AG114" t="s">
        <v>48</v>
      </c>
    </row>
    <row r="115" spans="1:33">
      <c r="A115" t="s">
        <v>497</v>
      </c>
      <c r="B115" t="s">
        <v>498</v>
      </c>
      <c r="D115" t="s">
        <v>40</v>
      </c>
      <c r="E115" t="s">
        <v>41</v>
      </c>
      <c r="J115" t="s">
        <v>290</v>
      </c>
      <c r="K115" t="s">
        <v>291</v>
      </c>
      <c r="L115">
        <v>5</v>
      </c>
      <c r="M115" t="s">
        <v>499</v>
      </c>
      <c r="N115" t="s">
        <v>59</v>
      </c>
      <c r="O115" t="s">
        <v>47</v>
      </c>
      <c r="P115" t="s">
        <v>47</v>
      </c>
      <c r="Y115" t="s">
        <v>500</v>
      </c>
      <c r="AG115" t="s">
        <v>48</v>
      </c>
    </row>
    <row r="116" spans="1:33">
      <c r="A116" t="s">
        <v>501</v>
      </c>
      <c r="B116" t="s">
        <v>502</v>
      </c>
      <c r="D116" t="s">
        <v>40</v>
      </c>
      <c r="E116" t="s">
        <v>41</v>
      </c>
      <c r="J116" t="s">
        <v>270</v>
      </c>
      <c r="K116" t="s">
        <v>271</v>
      </c>
      <c r="L116">
        <v>5</v>
      </c>
      <c r="M116" t="s">
        <v>503</v>
      </c>
      <c r="N116" t="s">
        <v>59</v>
      </c>
      <c r="O116" t="s">
        <v>47</v>
      </c>
      <c r="P116" t="s">
        <v>47</v>
      </c>
      <c r="Y116" t="s">
        <v>504</v>
      </c>
      <c r="AG116" t="s">
        <v>48</v>
      </c>
    </row>
    <row r="117" spans="1:33">
      <c r="A117" t="s">
        <v>505</v>
      </c>
      <c r="B117" t="s">
        <v>506</v>
      </c>
      <c r="D117" t="s">
        <v>40</v>
      </c>
      <c r="E117" t="s">
        <v>41</v>
      </c>
      <c r="H117" t="s">
        <v>507</v>
      </c>
      <c r="J117" t="s">
        <v>129</v>
      </c>
      <c r="K117" t="s">
        <v>130</v>
      </c>
      <c r="L117">
        <v>5</v>
      </c>
      <c r="M117" t="s">
        <v>503</v>
      </c>
      <c r="N117" t="s">
        <v>192</v>
      </c>
      <c r="O117" t="s">
        <v>47</v>
      </c>
      <c r="P117" t="s">
        <v>47</v>
      </c>
      <c r="Y117" t="s">
        <v>507</v>
      </c>
      <c r="AG117" t="s">
        <v>48</v>
      </c>
    </row>
    <row r="118" spans="1:33">
      <c r="A118" t="s">
        <v>508</v>
      </c>
      <c r="B118" t="s">
        <v>509</v>
      </c>
      <c r="D118" t="s">
        <v>40</v>
      </c>
      <c r="E118" t="s">
        <v>41</v>
      </c>
      <c r="J118" t="s">
        <v>108</v>
      </c>
      <c r="K118" t="s">
        <v>109</v>
      </c>
      <c r="L118">
        <v>5</v>
      </c>
      <c r="M118" t="s">
        <v>503</v>
      </c>
      <c r="N118" t="s">
        <v>59</v>
      </c>
      <c r="O118" t="s">
        <v>47</v>
      </c>
      <c r="P118" t="s">
        <v>47</v>
      </c>
      <c r="Y118" t="s">
        <v>510</v>
      </c>
      <c r="AG118" t="s">
        <v>48</v>
      </c>
    </row>
    <row r="119" spans="1:33">
      <c r="A119" t="s">
        <v>511</v>
      </c>
      <c r="B119" t="s">
        <v>512</v>
      </c>
      <c r="D119" t="s">
        <v>40</v>
      </c>
      <c r="E119" t="s">
        <v>41</v>
      </c>
      <c r="H119" t="s">
        <v>513</v>
      </c>
      <c r="J119" t="s">
        <v>129</v>
      </c>
      <c r="K119" t="s">
        <v>130</v>
      </c>
      <c r="L119">
        <v>5</v>
      </c>
      <c r="M119" t="s">
        <v>514</v>
      </c>
      <c r="N119" t="s">
        <v>218</v>
      </c>
      <c r="O119" t="s">
        <v>47</v>
      </c>
      <c r="P119" t="s">
        <v>47</v>
      </c>
      <c r="Y119" t="s">
        <v>513</v>
      </c>
      <c r="AG119" t="s">
        <v>48</v>
      </c>
    </row>
    <row r="120" spans="1:33">
      <c r="A120" t="s">
        <v>515</v>
      </c>
      <c r="B120" t="s">
        <v>516</v>
      </c>
      <c r="D120" t="s">
        <v>40</v>
      </c>
      <c r="E120" t="s">
        <v>41</v>
      </c>
      <c r="J120" t="s">
        <v>270</v>
      </c>
      <c r="K120" t="s">
        <v>271</v>
      </c>
      <c r="L120">
        <v>5</v>
      </c>
      <c r="M120" t="s">
        <v>517</v>
      </c>
      <c r="N120" t="s">
        <v>59</v>
      </c>
      <c r="O120" t="s">
        <v>47</v>
      </c>
      <c r="P120" t="s">
        <v>47</v>
      </c>
      <c r="Y120" t="s">
        <v>518</v>
      </c>
      <c r="AG120" t="s">
        <v>48</v>
      </c>
    </row>
    <row r="121" spans="1:33">
      <c r="A121" t="s">
        <v>519</v>
      </c>
      <c r="B121" t="s">
        <v>520</v>
      </c>
      <c r="D121" t="s">
        <v>40</v>
      </c>
      <c r="E121" t="s">
        <v>41</v>
      </c>
      <c r="J121" t="s">
        <v>290</v>
      </c>
      <c r="K121" t="s">
        <v>291</v>
      </c>
      <c r="L121">
        <v>5</v>
      </c>
      <c r="M121" t="s">
        <v>521</v>
      </c>
      <c r="N121" t="s">
        <v>59</v>
      </c>
      <c r="O121" t="s">
        <v>47</v>
      </c>
      <c r="P121" t="s">
        <v>47</v>
      </c>
      <c r="Y121" t="s">
        <v>522</v>
      </c>
      <c r="AG121" t="s">
        <v>48</v>
      </c>
    </row>
    <row r="122" spans="1:33">
      <c r="A122" t="s">
        <v>523</v>
      </c>
      <c r="B122" t="s">
        <v>524</v>
      </c>
      <c r="D122" t="s">
        <v>40</v>
      </c>
      <c r="E122" t="s">
        <v>41</v>
      </c>
      <c r="J122" t="s">
        <v>290</v>
      </c>
      <c r="K122" t="s">
        <v>291</v>
      </c>
      <c r="L122">
        <v>5</v>
      </c>
      <c r="M122" t="s">
        <v>525</v>
      </c>
      <c r="N122" t="s">
        <v>59</v>
      </c>
      <c r="O122" t="s">
        <v>47</v>
      </c>
      <c r="P122" t="s">
        <v>47</v>
      </c>
      <c r="Y122" t="s">
        <v>526</v>
      </c>
      <c r="AG122" t="s">
        <v>48</v>
      </c>
    </row>
    <row r="123" spans="1:33">
      <c r="A123" t="s">
        <v>527</v>
      </c>
      <c r="B123" t="s">
        <v>528</v>
      </c>
      <c r="D123" t="s">
        <v>40</v>
      </c>
      <c r="E123" t="s">
        <v>41</v>
      </c>
      <c r="J123" t="s">
        <v>290</v>
      </c>
      <c r="K123" t="s">
        <v>291</v>
      </c>
      <c r="L123">
        <v>5</v>
      </c>
      <c r="M123" t="s">
        <v>525</v>
      </c>
      <c r="N123" t="s">
        <v>59</v>
      </c>
      <c r="O123" t="s">
        <v>47</v>
      </c>
      <c r="P123" t="s">
        <v>47</v>
      </c>
      <c r="Y123" t="s">
        <v>529</v>
      </c>
      <c r="AG123" t="s">
        <v>48</v>
      </c>
    </row>
    <row r="124" spans="1:33">
      <c r="A124" t="s">
        <v>530</v>
      </c>
      <c r="B124" t="s">
        <v>531</v>
      </c>
      <c r="D124" t="s">
        <v>40</v>
      </c>
      <c r="E124" t="s">
        <v>41</v>
      </c>
      <c r="J124" t="s">
        <v>129</v>
      </c>
      <c r="K124" t="s">
        <v>130</v>
      </c>
      <c r="L124">
        <v>5</v>
      </c>
      <c r="M124" t="s">
        <v>532</v>
      </c>
      <c r="N124" t="s">
        <v>192</v>
      </c>
      <c r="O124" t="s">
        <v>47</v>
      </c>
      <c r="P124" t="s">
        <v>47</v>
      </c>
      <c r="Y124" t="s">
        <v>533</v>
      </c>
      <c r="AG124" t="s">
        <v>48</v>
      </c>
    </row>
    <row r="125" spans="1:33">
      <c r="A125" t="s">
        <v>534</v>
      </c>
      <c r="B125" t="s">
        <v>535</v>
      </c>
      <c r="D125" t="s">
        <v>40</v>
      </c>
      <c r="E125" t="s">
        <v>41</v>
      </c>
      <c r="J125" t="s">
        <v>108</v>
      </c>
      <c r="K125" t="s">
        <v>109</v>
      </c>
      <c r="L125">
        <v>5</v>
      </c>
      <c r="M125" t="s">
        <v>532</v>
      </c>
      <c r="N125" t="s">
        <v>59</v>
      </c>
      <c r="O125" t="s">
        <v>47</v>
      </c>
      <c r="P125" t="s">
        <v>47</v>
      </c>
      <c r="Y125" t="s">
        <v>536</v>
      </c>
      <c r="AG125" t="s">
        <v>48</v>
      </c>
    </row>
    <row r="126" spans="1:33">
      <c r="A126" t="s">
        <v>537</v>
      </c>
      <c r="B126" t="s">
        <v>538</v>
      </c>
      <c r="D126" t="s">
        <v>40</v>
      </c>
      <c r="E126" t="s">
        <v>41</v>
      </c>
      <c r="J126" t="s">
        <v>162</v>
      </c>
      <c r="K126" t="s">
        <v>163</v>
      </c>
      <c r="L126">
        <v>5</v>
      </c>
      <c r="M126" t="s">
        <v>539</v>
      </c>
      <c r="N126" t="s">
        <v>59</v>
      </c>
      <c r="O126" t="s">
        <v>47</v>
      </c>
      <c r="P126" t="s">
        <v>47</v>
      </c>
      <c r="Y126" t="s">
        <v>540</v>
      </c>
      <c r="AG126" t="s">
        <v>48</v>
      </c>
    </row>
    <row r="127" spans="1:33">
      <c r="A127" t="s">
        <v>541</v>
      </c>
      <c r="B127" t="s">
        <v>542</v>
      </c>
      <c r="D127" t="s">
        <v>40</v>
      </c>
      <c r="E127" t="s">
        <v>41</v>
      </c>
      <c r="J127" t="s">
        <v>290</v>
      </c>
      <c r="K127" t="s">
        <v>291</v>
      </c>
      <c r="L127">
        <v>5</v>
      </c>
      <c r="M127" t="s">
        <v>543</v>
      </c>
      <c r="N127" t="s">
        <v>59</v>
      </c>
      <c r="O127" t="s">
        <v>47</v>
      </c>
      <c r="P127" t="s">
        <v>47</v>
      </c>
      <c r="Y127" t="s">
        <v>544</v>
      </c>
      <c r="AG127" t="s">
        <v>48</v>
      </c>
    </row>
    <row r="128" spans="1:33">
      <c r="A128" t="s">
        <v>545</v>
      </c>
      <c r="B128" t="s">
        <v>546</v>
      </c>
      <c r="D128" t="s">
        <v>40</v>
      </c>
      <c r="E128" t="s">
        <v>41</v>
      </c>
      <c r="J128" t="s">
        <v>290</v>
      </c>
      <c r="K128" t="s">
        <v>291</v>
      </c>
      <c r="L128">
        <v>5</v>
      </c>
      <c r="M128" t="s">
        <v>543</v>
      </c>
      <c r="N128" t="s">
        <v>59</v>
      </c>
      <c r="O128" t="s">
        <v>47</v>
      </c>
      <c r="P128" t="s">
        <v>47</v>
      </c>
      <c r="Y128" t="s">
        <v>547</v>
      </c>
      <c r="AG128" t="s">
        <v>48</v>
      </c>
    </row>
    <row r="129" spans="1:33">
      <c r="A129" t="s">
        <v>548</v>
      </c>
      <c r="B129" t="s">
        <v>549</v>
      </c>
      <c r="D129" t="s">
        <v>40</v>
      </c>
      <c r="E129" t="s">
        <v>41</v>
      </c>
      <c r="H129" t="s">
        <v>550</v>
      </c>
      <c r="J129" t="s">
        <v>129</v>
      </c>
      <c r="K129" t="s">
        <v>130</v>
      </c>
      <c r="L129">
        <v>5</v>
      </c>
      <c r="M129" t="s">
        <v>551</v>
      </c>
      <c r="N129" t="s">
        <v>218</v>
      </c>
      <c r="O129" t="s">
        <v>47</v>
      </c>
      <c r="P129" t="s">
        <v>47</v>
      </c>
      <c r="Y129" t="s">
        <v>550</v>
      </c>
      <c r="AG129" t="s">
        <v>48</v>
      </c>
    </row>
    <row r="130" spans="1:33">
      <c r="A130" t="s">
        <v>552</v>
      </c>
      <c r="B130" t="s">
        <v>553</v>
      </c>
      <c r="D130" t="s">
        <v>40</v>
      </c>
      <c r="E130" t="s">
        <v>41</v>
      </c>
      <c r="J130" t="s">
        <v>270</v>
      </c>
      <c r="K130" t="s">
        <v>271</v>
      </c>
      <c r="L130">
        <v>5</v>
      </c>
      <c r="M130" t="s">
        <v>554</v>
      </c>
      <c r="N130" t="s">
        <v>59</v>
      </c>
      <c r="O130" t="s">
        <v>47</v>
      </c>
      <c r="P130" t="s">
        <v>47</v>
      </c>
      <c r="Y130" t="s">
        <v>555</v>
      </c>
      <c r="AG130" t="s">
        <v>48</v>
      </c>
    </row>
    <row r="131" spans="1:33">
      <c r="A131" t="s">
        <v>556</v>
      </c>
      <c r="B131" t="s">
        <v>557</v>
      </c>
      <c r="D131" t="s">
        <v>40</v>
      </c>
      <c r="E131" t="s">
        <v>41</v>
      </c>
      <c r="J131" t="s">
        <v>270</v>
      </c>
      <c r="K131" t="s">
        <v>271</v>
      </c>
      <c r="L131">
        <v>5</v>
      </c>
      <c r="M131" t="s">
        <v>558</v>
      </c>
      <c r="N131" t="s">
        <v>59</v>
      </c>
      <c r="O131" t="s">
        <v>47</v>
      </c>
      <c r="P131" t="s">
        <v>47</v>
      </c>
      <c r="Y131" t="s">
        <v>559</v>
      </c>
      <c r="AG131" t="s">
        <v>48</v>
      </c>
    </row>
    <row r="132" spans="1:33">
      <c r="A132" t="s">
        <v>560</v>
      </c>
      <c r="B132" t="s">
        <v>561</v>
      </c>
      <c r="D132" t="s">
        <v>40</v>
      </c>
      <c r="E132" t="s">
        <v>41</v>
      </c>
      <c r="J132" t="s">
        <v>114</v>
      </c>
      <c r="K132" t="s">
        <v>115</v>
      </c>
      <c r="L132">
        <v>5</v>
      </c>
      <c r="M132" t="s">
        <v>562</v>
      </c>
      <c r="N132" t="s">
        <v>59</v>
      </c>
      <c r="O132" t="s">
        <v>47</v>
      </c>
      <c r="P132" t="s">
        <v>47</v>
      </c>
      <c r="Y132" t="s">
        <v>563</v>
      </c>
      <c r="AG132" t="s">
        <v>48</v>
      </c>
    </row>
    <row r="133" spans="1:33">
      <c r="A133" t="s">
        <v>564</v>
      </c>
      <c r="B133" t="s">
        <v>565</v>
      </c>
      <c r="D133" t="s">
        <v>40</v>
      </c>
      <c r="E133" t="s">
        <v>41</v>
      </c>
      <c r="J133" t="s">
        <v>270</v>
      </c>
      <c r="K133" t="s">
        <v>271</v>
      </c>
      <c r="L133">
        <v>5</v>
      </c>
      <c r="M133" t="s">
        <v>562</v>
      </c>
      <c r="N133" t="s">
        <v>59</v>
      </c>
      <c r="O133" t="s">
        <v>47</v>
      </c>
      <c r="P133" t="s">
        <v>47</v>
      </c>
      <c r="Y133" t="s">
        <v>566</v>
      </c>
      <c r="AG133" t="s">
        <v>48</v>
      </c>
    </row>
    <row r="134" spans="1:33">
      <c r="A134" t="s">
        <v>567</v>
      </c>
      <c r="B134" t="s">
        <v>568</v>
      </c>
      <c r="D134" t="s">
        <v>40</v>
      </c>
      <c r="E134" t="s">
        <v>41</v>
      </c>
      <c r="J134" t="s">
        <v>162</v>
      </c>
      <c r="K134" t="s">
        <v>163</v>
      </c>
      <c r="L134">
        <v>5</v>
      </c>
      <c r="M134" t="s">
        <v>569</v>
      </c>
      <c r="N134" t="s">
        <v>59</v>
      </c>
      <c r="O134" t="s">
        <v>47</v>
      </c>
      <c r="P134" t="s">
        <v>47</v>
      </c>
      <c r="Y134" t="s">
        <v>570</v>
      </c>
      <c r="AG134" t="s">
        <v>48</v>
      </c>
    </row>
    <row r="135" spans="1:33">
      <c r="A135" t="s">
        <v>571</v>
      </c>
      <c r="B135" t="s">
        <v>572</v>
      </c>
      <c r="D135" t="s">
        <v>40</v>
      </c>
      <c r="E135" t="s">
        <v>41</v>
      </c>
      <c r="J135" t="s">
        <v>290</v>
      </c>
      <c r="K135" t="s">
        <v>291</v>
      </c>
      <c r="L135">
        <v>5</v>
      </c>
      <c r="M135" t="s">
        <v>573</v>
      </c>
      <c r="N135" t="s">
        <v>59</v>
      </c>
      <c r="O135" t="s">
        <v>47</v>
      </c>
      <c r="P135" t="s">
        <v>47</v>
      </c>
      <c r="Y135" t="s">
        <v>574</v>
      </c>
      <c r="AG135" t="s">
        <v>48</v>
      </c>
    </row>
    <row r="136" spans="1:33">
      <c r="A136" t="s">
        <v>575</v>
      </c>
      <c r="B136" t="s">
        <v>576</v>
      </c>
      <c r="D136" t="s">
        <v>40</v>
      </c>
      <c r="E136" t="s">
        <v>41</v>
      </c>
      <c r="J136" t="s">
        <v>162</v>
      </c>
      <c r="K136" t="s">
        <v>163</v>
      </c>
      <c r="L136">
        <v>5</v>
      </c>
      <c r="M136" t="s">
        <v>573</v>
      </c>
      <c r="N136" t="s">
        <v>59</v>
      </c>
      <c r="O136" t="s">
        <v>47</v>
      </c>
      <c r="P136" t="s">
        <v>47</v>
      </c>
      <c r="Y136" t="s">
        <v>577</v>
      </c>
      <c r="AG136" t="s">
        <v>48</v>
      </c>
    </row>
    <row r="137" spans="1:33">
      <c r="A137" t="s">
        <v>117</v>
      </c>
      <c r="B137" t="s">
        <v>578</v>
      </c>
      <c r="D137" t="s">
        <v>40</v>
      </c>
      <c r="E137" t="s">
        <v>41</v>
      </c>
      <c r="J137" t="s">
        <v>129</v>
      </c>
      <c r="K137" t="s">
        <v>130</v>
      </c>
      <c r="L137">
        <v>5</v>
      </c>
      <c r="M137" t="s">
        <v>579</v>
      </c>
      <c r="N137" t="s">
        <v>192</v>
      </c>
      <c r="O137" t="s">
        <v>47</v>
      </c>
      <c r="P137" t="s">
        <v>47</v>
      </c>
      <c r="Y137" t="s">
        <v>580</v>
      </c>
      <c r="AG137" t="s">
        <v>48</v>
      </c>
    </row>
    <row r="138" spans="1:33">
      <c r="A138" t="s">
        <v>581</v>
      </c>
      <c r="B138" t="s">
        <v>582</v>
      </c>
      <c r="D138" t="s">
        <v>40</v>
      </c>
      <c r="E138" t="s">
        <v>41</v>
      </c>
      <c r="J138" t="s">
        <v>290</v>
      </c>
      <c r="K138" t="s">
        <v>291</v>
      </c>
      <c r="L138">
        <v>5</v>
      </c>
      <c r="M138" t="s">
        <v>583</v>
      </c>
      <c r="N138" t="s">
        <v>59</v>
      </c>
      <c r="O138" t="s">
        <v>47</v>
      </c>
      <c r="P138" t="s">
        <v>47</v>
      </c>
      <c r="Y138" t="s">
        <v>584</v>
      </c>
      <c r="AG138" t="s">
        <v>48</v>
      </c>
    </row>
    <row r="139" spans="1:33">
      <c r="A139" t="s">
        <v>585</v>
      </c>
      <c r="B139" t="s">
        <v>586</v>
      </c>
      <c r="D139" t="s">
        <v>40</v>
      </c>
      <c r="E139" t="s">
        <v>41</v>
      </c>
      <c r="J139" t="s">
        <v>129</v>
      </c>
      <c r="K139" t="s">
        <v>130</v>
      </c>
      <c r="L139">
        <v>5</v>
      </c>
      <c r="M139" t="s">
        <v>587</v>
      </c>
      <c r="N139" t="s">
        <v>218</v>
      </c>
      <c r="O139" t="s">
        <v>47</v>
      </c>
      <c r="P139" t="s">
        <v>47</v>
      </c>
      <c r="Y139" t="s">
        <v>588</v>
      </c>
      <c r="AG139" t="s">
        <v>48</v>
      </c>
    </row>
    <row r="140" spans="1:33">
      <c r="A140" t="s">
        <v>589</v>
      </c>
      <c r="B140" t="s">
        <v>590</v>
      </c>
      <c r="D140" t="s">
        <v>40</v>
      </c>
      <c r="E140" t="s">
        <v>41</v>
      </c>
      <c r="J140" t="s">
        <v>290</v>
      </c>
      <c r="K140" t="s">
        <v>291</v>
      </c>
      <c r="L140">
        <v>5</v>
      </c>
      <c r="M140" t="s">
        <v>591</v>
      </c>
      <c r="N140" t="s">
        <v>59</v>
      </c>
      <c r="O140" t="s">
        <v>47</v>
      </c>
      <c r="P140" t="s">
        <v>47</v>
      </c>
      <c r="Y140" t="s">
        <v>592</v>
      </c>
      <c r="AG140" t="s">
        <v>48</v>
      </c>
    </row>
    <row r="141" spans="1:33">
      <c r="A141" t="s">
        <v>593</v>
      </c>
      <c r="B141" t="s">
        <v>594</v>
      </c>
      <c r="D141" t="s">
        <v>40</v>
      </c>
      <c r="E141" t="s">
        <v>41</v>
      </c>
      <c r="J141" t="s">
        <v>108</v>
      </c>
      <c r="K141" t="s">
        <v>109</v>
      </c>
      <c r="L141">
        <v>5</v>
      </c>
      <c r="M141" t="s">
        <v>591</v>
      </c>
      <c r="N141" t="s">
        <v>59</v>
      </c>
      <c r="O141" t="s">
        <v>47</v>
      </c>
      <c r="P141" t="s">
        <v>47</v>
      </c>
      <c r="Y141" t="s">
        <v>595</v>
      </c>
      <c r="AG141" t="s">
        <v>48</v>
      </c>
    </row>
    <row r="142" spans="1:33">
      <c r="A142" t="s">
        <v>596</v>
      </c>
      <c r="B142" t="s">
        <v>597</v>
      </c>
      <c r="D142" t="s">
        <v>40</v>
      </c>
      <c r="E142" t="s">
        <v>41</v>
      </c>
      <c r="J142" t="s">
        <v>162</v>
      </c>
      <c r="K142" t="s">
        <v>163</v>
      </c>
      <c r="L142">
        <v>5</v>
      </c>
      <c r="M142" t="s">
        <v>591</v>
      </c>
      <c r="N142" t="s">
        <v>59</v>
      </c>
      <c r="O142" t="s">
        <v>47</v>
      </c>
      <c r="P142" t="s">
        <v>47</v>
      </c>
      <c r="Y142" t="s">
        <v>598</v>
      </c>
      <c r="AG142" t="s">
        <v>48</v>
      </c>
    </row>
    <row r="143" spans="1:33">
      <c r="A143" t="s">
        <v>599</v>
      </c>
      <c r="B143" t="s">
        <v>600</v>
      </c>
      <c r="D143" t="s">
        <v>40</v>
      </c>
      <c r="E143" t="s">
        <v>41</v>
      </c>
      <c r="J143" t="s">
        <v>290</v>
      </c>
      <c r="K143" t="s">
        <v>291</v>
      </c>
      <c r="L143">
        <v>5</v>
      </c>
      <c r="M143" t="s">
        <v>601</v>
      </c>
      <c r="N143" t="s">
        <v>59</v>
      </c>
      <c r="O143" t="s">
        <v>47</v>
      </c>
      <c r="P143" t="s">
        <v>47</v>
      </c>
      <c r="Y143" t="s">
        <v>602</v>
      </c>
      <c r="AG143" t="s">
        <v>48</v>
      </c>
    </row>
    <row r="144" spans="1:33">
      <c r="A144" t="s">
        <v>603</v>
      </c>
      <c r="B144" t="s">
        <v>604</v>
      </c>
      <c r="D144" t="s">
        <v>40</v>
      </c>
      <c r="E144" t="s">
        <v>41</v>
      </c>
      <c r="J144" t="s">
        <v>108</v>
      </c>
      <c r="K144" t="s">
        <v>109</v>
      </c>
      <c r="L144">
        <v>5</v>
      </c>
      <c r="M144" t="s">
        <v>601</v>
      </c>
      <c r="N144" t="s">
        <v>59</v>
      </c>
      <c r="O144" t="s">
        <v>47</v>
      </c>
      <c r="P144" t="s">
        <v>47</v>
      </c>
      <c r="Y144" t="s">
        <v>605</v>
      </c>
      <c r="AG144" t="s">
        <v>48</v>
      </c>
    </row>
    <row r="145" spans="1:33">
      <c r="A145" t="s">
        <v>606</v>
      </c>
      <c r="B145" t="s">
        <v>607</v>
      </c>
      <c r="D145" t="s">
        <v>40</v>
      </c>
      <c r="E145" t="s">
        <v>41</v>
      </c>
      <c r="J145" t="s">
        <v>290</v>
      </c>
      <c r="K145" t="s">
        <v>291</v>
      </c>
      <c r="L145">
        <v>5</v>
      </c>
      <c r="M145" t="s">
        <v>601</v>
      </c>
      <c r="N145" t="s">
        <v>59</v>
      </c>
      <c r="O145" t="s">
        <v>47</v>
      </c>
      <c r="P145" t="s">
        <v>47</v>
      </c>
      <c r="Y145" t="s">
        <v>608</v>
      </c>
      <c r="AG145" t="s">
        <v>48</v>
      </c>
    </row>
    <row r="146" spans="1:33">
      <c r="A146" t="s">
        <v>609</v>
      </c>
      <c r="B146" t="s">
        <v>610</v>
      </c>
      <c r="D146" t="s">
        <v>40</v>
      </c>
      <c r="E146" t="s">
        <v>41</v>
      </c>
      <c r="J146" t="s">
        <v>162</v>
      </c>
      <c r="K146" t="s">
        <v>163</v>
      </c>
      <c r="L146">
        <v>5</v>
      </c>
      <c r="M146" t="s">
        <v>611</v>
      </c>
      <c r="N146" t="s">
        <v>59</v>
      </c>
      <c r="O146" t="s">
        <v>47</v>
      </c>
      <c r="P146" t="s">
        <v>47</v>
      </c>
      <c r="Y146" t="s">
        <v>612</v>
      </c>
      <c r="AG146" t="s">
        <v>48</v>
      </c>
    </row>
    <row r="147" spans="1:33">
      <c r="A147" t="s">
        <v>613</v>
      </c>
      <c r="B147" t="s">
        <v>614</v>
      </c>
      <c r="D147" t="s">
        <v>40</v>
      </c>
      <c r="E147" t="s">
        <v>41</v>
      </c>
      <c r="J147" t="s">
        <v>114</v>
      </c>
      <c r="K147" t="s">
        <v>115</v>
      </c>
      <c r="L147">
        <v>5</v>
      </c>
      <c r="M147" t="s">
        <v>615</v>
      </c>
      <c r="N147" t="s">
        <v>59</v>
      </c>
      <c r="O147" t="s">
        <v>47</v>
      </c>
      <c r="P147" t="s">
        <v>47</v>
      </c>
      <c r="Y147" t="s">
        <v>616</v>
      </c>
      <c r="AG147" t="s">
        <v>48</v>
      </c>
    </row>
    <row r="148" spans="1:33">
      <c r="A148" t="s">
        <v>117</v>
      </c>
      <c r="B148" t="s">
        <v>617</v>
      </c>
      <c r="D148" t="s">
        <v>40</v>
      </c>
      <c r="E148" t="s">
        <v>41</v>
      </c>
      <c r="J148" t="s">
        <v>114</v>
      </c>
      <c r="K148" t="s">
        <v>115</v>
      </c>
      <c r="L148">
        <v>5</v>
      </c>
      <c r="M148" t="s">
        <v>618</v>
      </c>
      <c r="N148" t="s">
        <v>59</v>
      </c>
      <c r="O148" t="s">
        <v>47</v>
      </c>
      <c r="P148" t="s">
        <v>47</v>
      </c>
      <c r="Y148" t="s">
        <v>619</v>
      </c>
      <c r="AG148" t="s">
        <v>48</v>
      </c>
    </row>
    <row r="149" spans="1:33">
      <c r="A149" t="s">
        <v>620</v>
      </c>
      <c r="B149" t="s">
        <v>621</v>
      </c>
      <c r="D149" t="s">
        <v>40</v>
      </c>
      <c r="E149" t="s">
        <v>41</v>
      </c>
      <c r="J149" t="s">
        <v>162</v>
      </c>
      <c r="K149" t="s">
        <v>163</v>
      </c>
      <c r="L149">
        <v>5</v>
      </c>
      <c r="M149" t="s">
        <v>622</v>
      </c>
      <c r="N149" t="s">
        <v>59</v>
      </c>
      <c r="O149" t="s">
        <v>47</v>
      </c>
      <c r="P149" t="s">
        <v>47</v>
      </c>
      <c r="Y149" t="s">
        <v>623</v>
      </c>
      <c r="AG149" t="s">
        <v>48</v>
      </c>
    </row>
    <row r="150" spans="1:33">
      <c r="A150" t="s">
        <v>624</v>
      </c>
      <c r="B150" t="s">
        <v>625</v>
      </c>
      <c r="D150" t="s">
        <v>40</v>
      </c>
      <c r="E150" t="s">
        <v>41</v>
      </c>
      <c r="J150" t="s">
        <v>290</v>
      </c>
      <c r="K150" t="s">
        <v>291</v>
      </c>
      <c r="L150">
        <v>5</v>
      </c>
      <c r="M150" t="s">
        <v>626</v>
      </c>
      <c r="N150" t="s">
        <v>59</v>
      </c>
      <c r="O150" t="s">
        <v>47</v>
      </c>
      <c r="P150" t="s">
        <v>47</v>
      </c>
      <c r="Y150" t="s">
        <v>627</v>
      </c>
      <c r="AG150" t="s">
        <v>48</v>
      </c>
    </row>
    <row r="151" spans="1:33">
      <c r="A151" t="s">
        <v>628</v>
      </c>
      <c r="B151" t="s">
        <v>629</v>
      </c>
      <c r="D151" t="s">
        <v>40</v>
      </c>
      <c r="E151" t="s">
        <v>41</v>
      </c>
      <c r="J151" t="s">
        <v>290</v>
      </c>
      <c r="K151" t="s">
        <v>291</v>
      </c>
      <c r="L151">
        <v>5</v>
      </c>
      <c r="M151" t="s">
        <v>626</v>
      </c>
      <c r="N151" t="s">
        <v>59</v>
      </c>
      <c r="O151" t="s">
        <v>47</v>
      </c>
      <c r="P151" t="s">
        <v>47</v>
      </c>
      <c r="Y151" t="s">
        <v>630</v>
      </c>
      <c r="AG151" t="s">
        <v>48</v>
      </c>
    </row>
    <row r="152" spans="1:33">
      <c r="A152" t="s">
        <v>631</v>
      </c>
      <c r="B152" t="s">
        <v>632</v>
      </c>
      <c r="D152" t="s">
        <v>40</v>
      </c>
      <c r="E152" t="s">
        <v>41</v>
      </c>
      <c r="J152" t="s">
        <v>162</v>
      </c>
      <c r="K152" t="s">
        <v>163</v>
      </c>
      <c r="L152">
        <v>5</v>
      </c>
      <c r="M152" t="s">
        <v>626</v>
      </c>
      <c r="N152" t="s">
        <v>59</v>
      </c>
      <c r="O152" t="s">
        <v>47</v>
      </c>
      <c r="P152" t="s">
        <v>47</v>
      </c>
      <c r="Y152" t="s">
        <v>633</v>
      </c>
      <c r="AG152" t="s">
        <v>48</v>
      </c>
    </row>
    <row r="153" spans="1:33">
      <c r="A153" t="s">
        <v>634</v>
      </c>
      <c r="B153" t="s">
        <v>635</v>
      </c>
      <c r="D153" t="s">
        <v>40</v>
      </c>
      <c r="E153" t="s">
        <v>41</v>
      </c>
      <c r="J153" t="s">
        <v>290</v>
      </c>
      <c r="K153" t="s">
        <v>291</v>
      </c>
      <c r="L153">
        <v>5</v>
      </c>
      <c r="M153" t="s">
        <v>626</v>
      </c>
      <c r="N153" t="s">
        <v>59</v>
      </c>
      <c r="O153" t="s">
        <v>47</v>
      </c>
      <c r="P153" t="s">
        <v>47</v>
      </c>
      <c r="Y153" t="s">
        <v>636</v>
      </c>
      <c r="AG153" t="s">
        <v>48</v>
      </c>
    </row>
    <row r="154" spans="1:33">
      <c r="A154" t="s">
        <v>637</v>
      </c>
      <c r="B154" t="s">
        <v>638</v>
      </c>
      <c r="D154" t="s">
        <v>40</v>
      </c>
      <c r="E154" t="s">
        <v>41</v>
      </c>
      <c r="H154" t="s">
        <v>639</v>
      </c>
      <c r="J154" t="s">
        <v>63</v>
      </c>
      <c r="K154" t="s">
        <v>64</v>
      </c>
      <c r="L154">
        <v>5</v>
      </c>
      <c r="M154" t="s">
        <v>640</v>
      </c>
      <c r="N154" t="s">
        <v>59</v>
      </c>
      <c r="O154" t="s">
        <v>47</v>
      </c>
      <c r="P154" t="s">
        <v>47</v>
      </c>
      <c r="Y154" t="s">
        <v>639</v>
      </c>
      <c r="AG154" t="s">
        <v>48</v>
      </c>
    </row>
    <row r="155" spans="1:33">
      <c r="A155" t="s">
        <v>641</v>
      </c>
      <c r="B155" t="s">
        <v>642</v>
      </c>
      <c r="D155" t="s">
        <v>40</v>
      </c>
      <c r="E155" t="s">
        <v>41</v>
      </c>
      <c r="H155" t="s">
        <v>643</v>
      </c>
      <c r="J155" t="s">
        <v>63</v>
      </c>
      <c r="K155" t="s">
        <v>64</v>
      </c>
      <c r="L155">
        <v>5</v>
      </c>
      <c r="M155" t="s">
        <v>644</v>
      </c>
      <c r="N155" t="s">
        <v>59</v>
      </c>
      <c r="O155" t="s">
        <v>47</v>
      </c>
      <c r="P155" t="s">
        <v>47</v>
      </c>
      <c r="Y155" t="s">
        <v>643</v>
      </c>
      <c r="AG155" t="s">
        <v>48</v>
      </c>
    </row>
    <row r="156" spans="1:33">
      <c r="A156" t="s">
        <v>645</v>
      </c>
      <c r="B156" t="s">
        <v>646</v>
      </c>
      <c r="D156" t="s">
        <v>40</v>
      </c>
      <c r="E156" t="s">
        <v>41</v>
      </c>
      <c r="J156" t="s">
        <v>290</v>
      </c>
      <c r="K156" t="s">
        <v>291</v>
      </c>
      <c r="L156">
        <v>5</v>
      </c>
      <c r="M156" t="s">
        <v>647</v>
      </c>
      <c r="N156" t="s">
        <v>59</v>
      </c>
      <c r="O156" t="s">
        <v>47</v>
      </c>
      <c r="P156" t="s">
        <v>47</v>
      </c>
      <c r="Y156" t="s">
        <v>648</v>
      </c>
      <c r="AG156" t="s">
        <v>48</v>
      </c>
    </row>
    <row r="157" spans="1:33">
      <c r="A157" t="s">
        <v>649</v>
      </c>
      <c r="B157" t="s">
        <v>650</v>
      </c>
      <c r="D157" t="s">
        <v>40</v>
      </c>
      <c r="E157" t="s">
        <v>41</v>
      </c>
      <c r="J157" t="s">
        <v>43</v>
      </c>
      <c r="K157" t="s">
        <v>44</v>
      </c>
      <c r="L157">
        <v>5</v>
      </c>
      <c r="M157" t="s">
        <v>651</v>
      </c>
      <c r="N157" t="s">
        <v>192</v>
      </c>
      <c r="O157" t="s">
        <v>47</v>
      </c>
      <c r="P157" t="s">
        <v>47</v>
      </c>
      <c r="Y157" t="s">
        <v>652</v>
      </c>
      <c r="AG157" t="s">
        <v>48</v>
      </c>
    </row>
    <row r="158" spans="1:33">
      <c r="A158" t="s">
        <v>653</v>
      </c>
      <c r="B158" t="s">
        <v>654</v>
      </c>
      <c r="D158" t="s">
        <v>40</v>
      </c>
      <c r="E158" t="s">
        <v>41</v>
      </c>
      <c r="J158" t="s">
        <v>129</v>
      </c>
      <c r="K158" t="s">
        <v>130</v>
      </c>
      <c r="L158">
        <v>5</v>
      </c>
      <c r="M158" t="s">
        <v>655</v>
      </c>
      <c r="N158" t="s">
        <v>218</v>
      </c>
      <c r="O158" t="s">
        <v>47</v>
      </c>
      <c r="P158" t="s">
        <v>47</v>
      </c>
      <c r="Y158" t="s">
        <v>656</v>
      </c>
      <c r="AG158" t="s">
        <v>48</v>
      </c>
    </row>
    <row r="159" spans="1:33">
      <c r="A159" t="s">
        <v>657</v>
      </c>
      <c r="B159" t="s">
        <v>658</v>
      </c>
      <c r="D159" t="s">
        <v>40</v>
      </c>
      <c r="E159" t="s">
        <v>41</v>
      </c>
      <c r="J159" t="s">
        <v>270</v>
      </c>
      <c r="K159" t="s">
        <v>271</v>
      </c>
      <c r="L159">
        <v>5</v>
      </c>
      <c r="M159" t="s">
        <v>655</v>
      </c>
      <c r="N159" t="s">
        <v>59</v>
      </c>
      <c r="O159" t="s">
        <v>47</v>
      </c>
      <c r="P159" t="s">
        <v>47</v>
      </c>
      <c r="Y159" t="s">
        <v>659</v>
      </c>
      <c r="AG159" t="s">
        <v>48</v>
      </c>
    </row>
    <row r="160" spans="1:33">
      <c r="A160" t="s">
        <v>660</v>
      </c>
      <c r="B160" t="s">
        <v>661</v>
      </c>
      <c r="D160" t="s">
        <v>40</v>
      </c>
      <c r="E160" t="s">
        <v>41</v>
      </c>
      <c r="J160" t="s">
        <v>290</v>
      </c>
      <c r="K160" t="s">
        <v>291</v>
      </c>
      <c r="L160">
        <v>5</v>
      </c>
      <c r="M160" t="s">
        <v>662</v>
      </c>
      <c r="N160" t="s">
        <v>59</v>
      </c>
      <c r="O160" t="s">
        <v>47</v>
      </c>
      <c r="P160" t="s">
        <v>47</v>
      </c>
      <c r="Y160" t="s">
        <v>663</v>
      </c>
      <c r="AG160" t="s">
        <v>48</v>
      </c>
    </row>
    <row r="161" spans="1:33">
      <c r="A161" t="s">
        <v>664</v>
      </c>
      <c r="B161" t="s">
        <v>665</v>
      </c>
      <c r="D161" t="s">
        <v>40</v>
      </c>
      <c r="E161" t="s">
        <v>41</v>
      </c>
      <c r="J161" t="s">
        <v>290</v>
      </c>
      <c r="K161" t="s">
        <v>291</v>
      </c>
      <c r="L161">
        <v>5</v>
      </c>
      <c r="M161" t="s">
        <v>666</v>
      </c>
      <c r="N161" t="s">
        <v>59</v>
      </c>
      <c r="O161" t="s">
        <v>47</v>
      </c>
      <c r="P161" t="s">
        <v>47</v>
      </c>
      <c r="Y161" t="s">
        <v>667</v>
      </c>
      <c r="AG161" t="s">
        <v>48</v>
      </c>
    </row>
    <row r="162" spans="1:33">
      <c r="A162" t="s">
        <v>668</v>
      </c>
      <c r="B162" t="s">
        <v>669</v>
      </c>
      <c r="D162" t="s">
        <v>40</v>
      </c>
      <c r="E162" t="s">
        <v>41</v>
      </c>
      <c r="H162" t="s">
        <v>670</v>
      </c>
      <c r="J162" t="s">
        <v>63</v>
      </c>
      <c r="K162" t="s">
        <v>64</v>
      </c>
      <c r="L162">
        <v>5</v>
      </c>
      <c r="M162" t="s">
        <v>671</v>
      </c>
      <c r="N162" t="s">
        <v>59</v>
      </c>
      <c r="O162" t="s">
        <v>47</v>
      </c>
      <c r="P162" t="s">
        <v>47</v>
      </c>
      <c r="Y162" t="s">
        <v>670</v>
      </c>
      <c r="AG162" t="s">
        <v>48</v>
      </c>
    </row>
    <row r="163" spans="1:33">
      <c r="A163" t="s">
        <v>672</v>
      </c>
      <c r="B163" t="s">
        <v>673</v>
      </c>
      <c r="D163" t="s">
        <v>40</v>
      </c>
      <c r="E163" t="s">
        <v>41</v>
      </c>
      <c r="J163" t="s">
        <v>114</v>
      </c>
      <c r="K163" t="s">
        <v>115</v>
      </c>
      <c r="L163">
        <v>5</v>
      </c>
      <c r="M163" t="s">
        <v>674</v>
      </c>
      <c r="N163" t="s">
        <v>59</v>
      </c>
      <c r="O163" t="s">
        <v>47</v>
      </c>
      <c r="P163" t="s">
        <v>47</v>
      </c>
      <c r="Y163" t="s">
        <v>675</v>
      </c>
      <c r="AG163" t="s">
        <v>48</v>
      </c>
    </row>
    <row r="164" spans="1:33">
      <c r="A164" t="s">
        <v>676</v>
      </c>
      <c r="B164" t="s">
        <v>677</v>
      </c>
      <c r="D164" t="s">
        <v>40</v>
      </c>
      <c r="E164" t="s">
        <v>41</v>
      </c>
      <c r="J164" t="s">
        <v>215</v>
      </c>
      <c r="K164" t="s">
        <v>216</v>
      </c>
      <c r="L164">
        <v>5</v>
      </c>
      <c r="M164" t="s">
        <v>678</v>
      </c>
      <c r="N164" t="s">
        <v>192</v>
      </c>
      <c r="O164" t="s">
        <v>47</v>
      </c>
      <c r="P164" t="s">
        <v>47</v>
      </c>
      <c r="Y164" t="s">
        <v>679</v>
      </c>
      <c r="AG164" t="s">
        <v>48</v>
      </c>
    </row>
    <row r="165" spans="1:33">
      <c r="A165" t="s">
        <v>680</v>
      </c>
      <c r="B165" t="s">
        <v>681</v>
      </c>
      <c r="D165" t="s">
        <v>40</v>
      </c>
      <c r="E165" t="s">
        <v>41</v>
      </c>
      <c r="J165" t="s">
        <v>123</v>
      </c>
      <c r="K165" t="s">
        <v>124</v>
      </c>
      <c r="L165">
        <v>5</v>
      </c>
      <c r="M165" t="s">
        <v>678</v>
      </c>
      <c r="N165" t="s">
        <v>192</v>
      </c>
      <c r="O165" t="s">
        <v>47</v>
      </c>
      <c r="P165" t="s">
        <v>47</v>
      </c>
      <c r="Y165" t="s">
        <v>682</v>
      </c>
      <c r="AG165" t="s">
        <v>48</v>
      </c>
    </row>
    <row r="166" spans="1:33">
      <c r="A166" t="s">
        <v>683</v>
      </c>
      <c r="B166" t="s">
        <v>684</v>
      </c>
      <c r="D166" t="s">
        <v>40</v>
      </c>
      <c r="E166" t="s">
        <v>41</v>
      </c>
      <c r="J166" t="s">
        <v>162</v>
      </c>
      <c r="K166" t="s">
        <v>163</v>
      </c>
      <c r="L166">
        <v>5</v>
      </c>
      <c r="M166" t="s">
        <v>678</v>
      </c>
      <c r="N166" t="s">
        <v>59</v>
      </c>
      <c r="O166" t="s">
        <v>47</v>
      </c>
      <c r="P166" t="s">
        <v>47</v>
      </c>
      <c r="Y166" t="s">
        <v>685</v>
      </c>
      <c r="AG166" t="s">
        <v>48</v>
      </c>
    </row>
    <row r="167" spans="1:33">
      <c r="A167" t="s">
        <v>686</v>
      </c>
      <c r="B167" t="s">
        <v>687</v>
      </c>
      <c r="D167" t="s">
        <v>40</v>
      </c>
      <c r="E167" t="s">
        <v>41</v>
      </c>
      <c r="J167" t="s">
        <v>108</v>
      </c>
      <c r="K167" t="s">
        <v>109</v>
      </c>
      <c r="L167">
        <v>5</v>
      </c>
      <c r="M167" t="s">
        <v>688</v>
      </c>
      <c r="N167" t="s">
        <v>59</v>
      </c>
      <c r="O167" t="s">
        <v>47</v>
      </c>
      <c r="P167" t="s">
        <v>47</v>
      </c>
      <c r="Y167" t="s">
        <v>689</v>
      </c>
      <c r="AG167" t="s">
        <v>48</v>
      </c>
    </row>
    <row r="168" spans="1:33">
      <c r="A168" t="s">
        <v>690</v>
      </c>
      <c r="B168" t="s">
        <v>691</v>
      </c>
      <c r="D168" t="s">
        <v>40</v>
      </c>
      <c r="E168" t="s">
        <v>41</v>
      </c>
      <c r="J168" t="s">
        <v>129</v>
      </c>
      <c r="K168" t="s">
        <v>130</v>
      </c>
      <c r="L168">
        <v>5</v>
      </c>
      <c r="M168" t="s">
        <v>692</v>
      </c>
      <c r="N168" t="s">
        <v>218</v>
      </c>
      <c r="O168" t="s">
        <v>47</v>
      </c>
      <c r="P168" t="s">
        <v>47</v>
      </c>
      <c r="Y168" t="s">
        <v>693</v>
      </c>
      <c r="AG168" t="s">
        <v>48</v>
      </c>
    </row>
    <row r="169" spans="1:33">
      <c r="A169" t="s">
        <v>694</v>
      </c>
      <c r="B169" t="s">
        <v>695</v>
      </c>
      <c r="D169" t="s">
        <v>40</v>
      </c>
      <c r="E169" t="s">
        <v>41</v>
      </c>
      <c r="J169" t="s">
        <v>290</v>
      </c>
      <c r="K169" t="s">
        <v>291</v>
      </c>
      <c r="L169">
        <v>5</v>
      </c>
      <c r="M169" t="s">
        <v>696</v>
      </c>
      <c r="N169" t="s">
        <v>59</v>
      </c>
      <c r="O169" t="s">
        <v>47</v>
      </c>
      <c r="P169" t="s">
        <v>47</v>
      </c>
      <c r="Y169" t="s">
        <v>697</v>
      </c>
      <c r="AG169" t="s">
        <v>48</v>
      </c>
    </row>
    <row r="170" spans="1:33">
      <c r="A170" t="s">
        <v>698</v>
      </c>
      <c r="B170" t="s">
        <v>699</v>
      </c>
      <c r="D170" t="s">
        <v>40</v>
      </c>
      <c r="E170" t="s">
        <v>41</v>
      </c>
      <c r="J170" t="s">
        <v>290</v>
      </c>
      <c r="K170" t="s">
        <v>291</v>
      </c>
      <c r="L170">
        <v>5</v>
      </c>
      <c r="M170" t="s">
        <v>700</v>
      </c>
      <c r="N170" t="s">
        <v>59</v>
      </c>
      <c r="O170" t="s">
        <v>47</v>
      </c>
      <c r="P170" t="s">
        <v>47</v>
      </c>
      <c r="Y170" t="s">
        <v>701</v>
      </c>
      <c r="AG170" t="s">
        <v>48</v>
      </c>
    </row>
    <row r="171" spans="1:33">
      <c r="A171" t="s">
        <v>702</v>
      </c>
      <c r="B171" t="s">
        <v>703</v>
      </c>
      <c r="D171" t="s">
        <v>40</v>
      </c>
      <c r="E171" t="s">
        <v>41</v>
      </c>
      <c r="J171" t="s">
        <v>290</v>
      </c>
      <c r="K171" t="s">
        <v>291</v>
      </c>
      <c r="L171">
        <v>5</v>
      </c>
      <c r="M171" t="s">
        <v>704</v>
      </c>
      <c r="N171" t="s">
        <v>59</v>
      </c>
      <c r="O171" t="s">
        <v>47</v>
      </c>
      <c r="P171" t="s">
        <v>47</v>
      </c>
      <c r="Y171" t="s">
        <v>705</v>
      </c>
      <c r="AG171" t="s">
        <v>48</v>
      </c>
    </row>
    <row r="172" spans="1:33">
      <c r="A172" t="s">
        <v>706</v>
      </c>
      <c r="B172" t="s">
        <v>707</v>
      </c>
      <c r="D172" t="s">
        <v>40</v>
      </c>
      <c r="E172" t="s">
        <v>41</v>
      </c>
      <c r="J172" t="s">
        <v>129</v>
      </c>
      <c r="K172" t="s">
        <v>130</v>
      </c>
      <c r="L172">
        <v>5</v>
      </c>
      <c r="M172" t="s">
        <v>708</v>
      </c>
      <c r="N172" t="s">
        <v>218</v>
      </c>
      <c r="O172" t="s">
        <v>47</v>
      </c>
      <c r="P172" t="s">
        <v>47</v>
      </c>
      <c r="Y172" t="s">
        <v>709</v>
      </c>
      <c r="AG172" t="s">
        <v>48</v>
      </c>
    </row>
    <row r="173" spans="1:33">
      <c r="A173" t="s">
        <v>710</v>
      </c>
      <c r="B173" t="s">
        <v>711</v>
      </c>
      <c r="D173" t="s">
        <v>40</v>
      </c>
      <c r="E173" t="s">
        <v>41</v>
      </c>
      <c r="J173" t="s">
        <v>162</v>
      </c>
      <c r="K173" t="s">
        <v>163</v>
      </c>
      <c r="L173">
        <v>5</v>
      </c>
      <c r="M173" t="s">
        <v>712</v>
      </c>
      <c r="N173" t="s">
        <v>59</v>
      </c>
      <c r="O173" t="s">
        <v>47</v>
      </c>
      <c r="P173" t="s">
        <v>47</v>
      </c>
      <c r="Y173" t="s">
        <v>713</v>
      </c>
      <c r="AG173" t="s">
        <v>48</v>
      </c>
    </row>
    <row r="174" spans="1:33">
      <c r="A174" t="s">
        <v>714</v>
      </c>
      <c r="B174" t="s">
        <v>715</v>
      </c>
      <c r="D174" t="s">
        <v>40</v>
      </c>
      <c r="E174" t="s">
        <v>41</v>
      </c>
      <c r="J174" t="s">
        <v>162</v>
      </c>
      <c r="K174" t="s">
        <v>163</v>
      </c>
      <c r="L174">
        <v>5</v>
      </c>
      <c r="M174" t="s">
        <v>716</v>
      </c>
      <c r="N174" t="s">
        <v>59</v>
      </c>
      <c r="O174" t="s">
        <v>47</v>
      </c>
      <c r="P174" t="s">
        <v>47</v>
      </c>
      <c r="Y174" t="s">
        <v>717</v>
      </c>
      <c r="AG174" t="s">
        <v>48</v>
      </c>
    </row>
    <row r="175" spans="1:33">
      <c r="A175" t="s">
        <v>718</v>
      </c>
      <c r="B175" t="s">
        <v>719</v>
      </c>
      <c r="D175" t="s">
        <v>40</v>
      </c>
      <c r="E175" t="s">
        <v>41</v>
      </c>
      <c r="J175" t="s">
        <v>129</v>
      </c>
      <c r="K175" t="s">
        <v>130</v>
      </c>
      <c r="L175">
        <v>5</v>
      </c>
      <c r="M175" t="s">
        <v>720</v>
      </c>
      <c r="N175" t="s">
        <v>218</v>
      </c>
      <c r="O175" t="s">
        <v>47</v>
      </c>
      <c r="P175" t="s">
        <v>47</v>
      </c>
      <c r="Y175" t="s">
        <v>721</v>
      </c>
      <c r="AG175" t="s">
        <v>48</v>
      </c>
    </row>
    <row r="176" spans="1:33">
      <c r="A176" t="s">
        <v>722</v>
      </c>
      <c r="B176" t="s">
        <v>723</v>
      </c>
      <c r="D176" t="s">
        <v>40</v>
      </c>
      <c r="E176" t="s">
        <v>41</v>
      </c>
      <c r="J176" t="s">
        <v>290</v>
      </c>
      <c r="K176" t="s">
        <v>291</v>
      </c>
      <c r="L176">
        <v>5</v>
      </c>
      <c r="M176" t="s">
        <v>724</v>
      </c>
      <c r="N176" t="s">
        <v>59</v>
      </c>
      <c r="O176" t="s">
        <v>47</v>
      </c>
      <c r="P176" t="s">
        <v>47</v>
      </c>
      <c r="Y176" t="s">
        <v>725</v>
      </c>
      <c r="AG176" t="s">
        <v>48</v>
      </c>
    </row>
    <row r="177" spans="1:33">
      <c r="A177" t="s">
        <v>726</v>
      </c>
      <c r="B177" t="s">
        <v>727</v>
      </c>
      <c r="D177" t="s">
        <v>40</v>
      </c>
      <c r="E177" t="s">
        <v>41</v>
      </c>
      <c r="J177" t="s">
        <v>114</v>
      </c>
      <c r="K177" t="s">
        <v>115</v>
      </c>
      <c r="L177">
        <v>5</v>
      </c>
      <c r="M177" t="s">
        <v>728</v>
      </c>
      <c r="N177" t="s">
        <v>59</v>
      </c>
      <c r="O177" t="s">
        <v>47</v>
      </c>
      <c r="P177" t="s">
        <v>47</v>
      </c>
      <c r="Y177" t="s">
        <v>729</v>
      </c>
      <c r="AG177" t="s">
        <v>48</v>
      </c>
    </row>
    <row r="178" spans="1:33">
      <c r="A178" t="s">
        <v>730</v>
      </c>
      <c r="B178" t="s">
        <v>731</v>
      </c>
      <c r="D178" t="s">
        <v>40</v>
      </c>
      <c r="E178" t="s">
        <v>41</v>
      </c>
      <c r="J178" t="s">
        <v>290</v>
      </c>
      <c r="K178" t="s">
        <v>291</v>
      </c>
      <c r="L178">
        <v>5</v>
      </c>
      <c r="M178" t="s">
        <v>732</v>
      </c>
      <c r="N178" t="s">
        <v>59</v>
      </c>
      <c r="O178" t="s">
        <v>47</v>
      </c>
      <c r="P178" t="s">
        <v>47</v>
      </c>
      <c r="Y178" t="s">
        <v>733</v>
      </c>
      <c r="AG178" t="s">
        <v>48</v>
      </c>
    </row>
    <row r="179" spans="1:33">
      <c r="A179" t="s">
        <v>734</v>
      </c>
      <c r="B179" t="s">
        <v>735</v>
      </c>
      <c r="D179" t="s">
        <v>40</v>
      </c>
      <c r="E179" t="s">
        <v>41</v>
      </c>
      <c r="J179" t="s">
        <v>290</v>
      </c>
      <c r="K179" t="s">
        <v>291</v>
      </c>
      <c r="L179">
        <v>5</v>
      </c>
      <c r="M179" t="s">
        <v>732</v>
      </c>
      <c r="N179" t="s">
        <v>59</v>
      </c>
      <c r="O179" t="s">
        <v>47</v>
      </c>
      <c r="P179" t="s">
        <v>47</v>
      </c>
      <c r="Y179" t="s">
        <v>736</v>
      </c>
      <c r="AG179" t="s">
        <v>48</v>
      </c>
    </row>
    <row r="180" spans="1:33">
      <c r="A180" t="s">
        <v>737</v>
      </c>
      <c r="B180" t="s">
        <v>738</v>
      </c>
      <c r="D180" t="s">
        <v>40</v>
      </c>
      <c r="E180" t="s">
        <v>41</v>
      </c>
      <c r="H180" t="s">
        <v>739</v>
      </c>
      <c r="J180" t="s">
        <v>162</v>
      </c>
      <c r="K180" t="s">
        <v>163</v>
      </c>
      <c r="L180">
        <v>5</v>
      </c>
      <c r="M180" t="s">
        <v>732</v>
      </c>
      <c r="N180" t="s">
        <v>59</v>
      </c>
      <c r="O180" t="s">
        <v>47</v>
      </c>
      <c r="P180" t="s">
        <v>47</v>
      </c>
      <c r="Y180" t="s">
        <v>739</v>
      </c>
      <c r="AG180" t="s">
        <v>48</v>
      </c>
    </row>
    <row r="181" spans="1:33">
      <c r="A181" t="s">
        <v>740</v>
      </c>
      <c r="B181" t="s">
        <v>741</v>
      </c>
      <c r="D181" t="s">
        <v>40</v>
      </c>
      <c r="E181" t="s">
        <v>41</v>
      </c>
      <c r="J181" t="s">
        <v>114</v>
      </c>
      <c r="K181" t="s">
        <v>115</v>
      </c>
      <c r="L181">
        <v>5</v>
      </c>
      <c r="M181" t="s">
        <v>742</v>
      </c>
      <c r="N181" t="s">
        <v>59</v>
      </c>
      <c r="O181" t="s">
        <v>47</v>
      </c>
      <c r="P181" t="s">
        <v>47</v>
      </c>
      <c r="Y181" t="s">
        <v>743</v>
      </c>
      <c r="AG181" t="s">
        <v>48</v>
      </c>
    </row>
    <row r="182" spans="1:33">
      <c r="A182" t="s">
        <v>744</v>
      </c>
      <c r="B182" t="s">
        <v>745</v>
      </c>
      <c r="D182" t="s">
        <v>40</v>
      </c>
      <c r="E182" t="s">
        <v>41</v>
      </c>
      <c r="J182" t="s">
        <v>290</v>
      </c>
      <c r="K182" t="s">
        <v>291</v>
      </c>
      <c r="L182">
        <v>5</v>
      </c>
      <c r="M182" t="s">
        <v>746</v>
      </c>
      <c r="N182" t="s">
        <v>59</v>
      </c>
      <c r="O182" t="s">
        <v>47</v>
      </c>
      <c r="P182" t="s">
        <v>47</v>
      </c>
      <c r="Y182" t="s">
        <v>747</v>
      </c>
      <c r="AG182" t="s">
        <v>48</v>
      </c>
    </row>
    <row r="183" spans="1:33">
      <c r="A183" t="s">
        <v>748</v>
      </c>
      <c r="B183" t="s">
        <v>749</v>
      </c>
      <c r="D183" t="s">
        <v>40</v>
      </c>
      <c r="E183" t="s">
        <v>41</v>
      </c>
      <c r="J183" t="s">
        <v>129</v>
      </c>
      <c r="K183" t="s">
        <v>130</v>
      </c>
      <c r="L183">
        <v>5</v>
      </c>
      <c r="M183" t="s">
        <v>746</v>
      </c>
      <c r="N183" t="s">
        <v>218</v>
      </c>
      <c r="O183" t="s">
        <v>47</v>
      </c>
      <c r="P183" t="s">
        <v>47</v>
      </c>
      <c r="Y183" t="s">
        <v>750</v>
      </c>
      <c r="AG183" t="s">
        <v>48</v>
      </c>
    </row>
    <row r="184" spans="1:33">
      <c r="A184" t="s">
        <v>751</v>
      </c>
      <c r="B184" t="s">
        <v>752</v>
      </c>
      <c r="D184" t="s">
        <v>40</v>
      </c>
      <c r="E184" t="s">
        <v>41</v>
      </c>
      <c r="J184" t="s">
        <v>108</v>
      </c>
      <c r="K184" t="s">
        <v>109</v>
      </c>
      <c r="L184">
        <v>5</v>
      </c>
      <c r="M184" t="s">
        <v>753</v>
      </c>
      <c r="N184" t="s">
        <v>59</v>
      </c>
      <c r="O184" t="s">
        <v>47</v>
      </c>
      <c r="P184" t="s">
        <v>47</v>
      </c>
      <c r="Y184" t="s">
        <v>754</v>
      </c>
      <c r="AG184" t="s">
        <v>48</v>
      </c>
    </row>
    <row r="185" spans="1:33">
      <c r="A185" t="s">
        <v>755</v>
      </c>
      <c r="B185" t="s">
        <v>756</v>
      </c>
      <c r="D185" t="s">
        <v>40</v>
      </c>
      <c r="E185" t="s">
        <v>41</v>
      </c>
      <c r="J185" t="s">
        <v>270</v>
      </c>
      <c r="K185" t="s">
        <v>271</v>
      </c>
      <c r="L185">
        <v>5</v>
      </c>
      <c r="M185" t="s">
        <v>753</v>
      </c>
      <c r="N185" t="s">
        <v>59</v>
      </c>
      <c r="O185" t="s">
        <v>47</v>
      </c>
      <c r="P185" t="s">
        <v>47</v>
      </c>
      <c r="Y185" t="s">
        <v>757</v>
      </c>
      <c r="AG185" t="s">
        <v>48</v>
      </c>
    </row>
    <row r="186" spans="1:33">
      <c r="A186" t="s">
        <v>758</v>
      </c>
      <c r="B186" t="s">
        <v>759</v>
      </c>
      <c r="D186" t="s">
        <v>40</v>
      </c>
      <c r="E186" t="s">
        <v>41</v>
      </c>
      <c r="J186" t="s">
        <v>129</v>
      </c>
      <c r="K186" t="s">
        <v>130</v>
      </c>
      <c r="L186">
        <v>5</v>
      </c>
      <c r="M186" t="s">
        <v>753</v>
      </c>
      <c r="N186" t="s">
        <v>218</v>
      </c>
      <c r="O186" t="s">
        <v>47</v>
      </c>
      <c r="P186" t="s">
        <v>47</v>
      </c>
      <c r="Y186" t="s">
        <v>760</v>
      </c>
      <c r="AG186" t="s">
        <v>48</v>
      </c>
    </row>
    <row r="187" spans="1:33">
      <c r="A187" t="s">
        <v>761</v>
      </c>
      <c r="B187" t="s">
        <v>762</v>
      </c>
      <c r="D187" t="s">
        <v>40</v>
      </c>
      <c r="E187" t="s">
        <v>41</v>
      </c>
      <c r="J187" t="s">
        <v>108</v>
      </c>
      <c r="K187" t="s">
        <v>109</v>
      </c>
      <c r="L187">
        <v>5</v>
      </c>
      <c r="M187" t="s">
        <v>753</v>
      </c>
      <c r="N187" t="s">
        <v>59</v>
      </c>
      <c r="O187" t="s">
        <v>47</v>
      </c>
      <c r="P187" t="s">
        <v>47</v>
      </c>
      <c r="Y187" t="s">
        <v>763</v>
      </c>
      <c r="AG187" t="s">
        <v>48</v>
      </c>
    </row>
    <row r="188" spans="1:33">
      <c r="A188" t="s">
        <v>764</v>
      </c>
      <c r="B188" t="s">
        <v>765</v>
      </c>
      <c r="D188" t="s">
        <v>40</v>
      </c>
      <c r="E188" t="s">
        <v>41</v>
      </c>
      <c r="H188" t="s">
        <v>766</v>
      </c>
      <c r="J188" t="s">
        <v>63</v>
      </c>
      <c r="K188" t="s">
        <v>64</v>
      </c>
      <c r="L188">
        <v>5</v>
      </c>
      <c r="M188" t="s">
        <v>767</v>
      </c>
      <c r="N188" t="s">
        <v>59</v>
      </c>
      <c r="O188" t="s">
        <v>47</v>
      </c>
      <c r="P188" t="s">
        <v>47</v>
      </c>
      <c r="Y188" t="s">
        <v>766</v>
      </c>
      <c r="AG188" t="s">
        <v>48</v>
      </c>
    </row>
    <row r="189" spans="1:33">
      <c r="A189" t="s">
        <v>768</v>
      </c>
      <c r="B189" t="s">
        <v>769</v>
      </c>
      <c r="D189" t="s">
        <v>40</v>
      </c>
      <c r="E189" t="s">
        <v>41</v>
      </c>
      <c r="J189" t="s">
        <v>290</v>
      </c>
      <c r="K189" t="s">
        <v>291</v>
      </c>
      <c r="L189">
        <v>5</v>
      </c>
      <c r="M189" t="s">
        <v>770</v>
      </c>
      <c r="N189" t="s">
        <v>59</v>
      </c>
      <c r="O189" t="s">
        <v>47</v>
      </c>
      <c r="P189" t="s">
        <v>47</v>
      </c>
      <c r="Y189" t="s">
        <v>771</v>
      </c>
      <c r="AG189" t="s">
        <v>48</v>
      </c>
    </row>
    <row r="190" spans="1:33">
      <c r="A190" t="s">
        <v>772</v>
      </c>
      <c r="B190" t="s">
        <v>773</v>
      </c>
      <c r="D190" t="s">
        <v>40</v>
      </c>
      <c r="E190" t="s">
        <v>41</v>
      </c>
      <c r="J190" t="s">
        <v>86</v>
      </c>
      <c r="K190" t="s">
        <v>87</v>
      </c>
      <c r="L190">
        <v>5</v>
      </c>
      <c r="M190" t="s">
        <v>774</v>
      </c>
      <c r="N190" t="s">
        <v>46</v>
      </c>
      <c r="O190" t="s">
        <v>47</v>
      </c>
      <c r="P190" t="s">
        <v>47</v>
      </c>
      <c r="Y190" t="s">
        <v>775</v>
      </c>
      <c r="AG190" t="s">
        <v>48</v>
      </c>
    </row>
    <row r="191" spans="1:33">
      <c r="A191" t="s">
        <v>776</v>
      </c>
      <c r="B191" t="s">
        <v>777</v>
      </c>
      <c r="D191" t="s">
        <v>40</v>
      </c>
      <c r="E191" t="s">
        <v>41</v>
      </c>
      <c r="J191" t="s">
        <v>290</v>
      </c>
      <c r="K191" t="s">
        <v>291</v>
      </c>
      <c r="L191">
        <v>5</v>
      </c>
      <c r="M191" t="s">
        <v>778</v>
      </c>
      <c r="N191" t="s">
        <v>59</v>
      </c>
      <c r="O191" t="s">
        <v>47</v>
      </c>
      <c r="P191" t="s">
        <v>47</v>
      </c>
      <c r="Y191" t="s">
        <v>779</v>
      </c>
      <c r="AG191" t="s">
        <v>48</v>
      </c>
    </row>
    <row r="192" spans="1:33">
      <c r="A192" t="s">
        <v>780</v>
      </c>
      <c r="B192" t="s">
        <v>781</v>
      </c>
      <c r="D192" t="s">
        <v>40</v>
      </c>
      <c r="E192" t="s">
        <v>41</v>
      </c>
      <c r="J192" t="s">
        <v>43</v>
      </c>
      <c r="K192" t="s">
        <v>44</v>
      </c>
      <c r="L192">
        <v>5</v>
      </c>
      <c r="M192" t="s">
        <v>782</v>
      </c>
      <c r="N192" t="s">
        <v>218</v>
      </c>
      <c r="O192" t="s">
        <v>47</v>
      </c>
      <c r="P192" t="s">
        <v>47</v>
      </c>
      <c r="Y192" t="s">
        <v>783</v>
      </c>
      <c r="AG192" t="s">
        <v>48</v>
      </c>
    </row>
    <row r="193" spans="1:33">
      <c r="A193" t="s">
        <v>784</v>
      </c>
      <c r="B193" t="s">
        <v>785</v>
      </c>
      <c r="D193" t="s">
        <v>40</v>
      </c>
      <c r="E193" t="s">
        <v>41</v>
      </c>
      <c r="J193" t="s">
        <v>270</v>
      </c>
      <c r="K193" t="s">
        <v>271</v>
      </c>
      <c r="L193">
        <v>5</v>
      </c>
      <c r="M193" t="s">
        <v>786</v>
      </c>
      <c r="N193" t="s">
        <v>59</v>
      </c>
      <c r="O193" t="s">
        <v>47</v>
      </c>
      <c r="P193" t="s">
        <v>47</v>
      </c>
      <c r="Y193" t="s">
        <v>787</v>
      </c>
      <c r="AG193" t="s">
        <v>48</v>
      </c>
    </row>
    <row r="194" spans="1:33">
      <c r="A194" t="s">
        <v>117</v>
      </c>
      <c r="B194" t="s">
        <v>788</v>
      </c>
      <c r="D194" t="s">
        <v>40</v>
      </c>
      <c r="E194" t="s">
        <v>41</v>
      </c>
      <c r="J194" t="s">
        <v>270</v>
      </c>
      <c r="K194" t="s">
        <v>271</v>
      </c>
      <c r="L194">
        <v>5</v>
      </c>
      <c r="M194" t="s">
        <v>786</v>
      </c>
      <c r="N194" t="s">
        <v>59</v>
      </c>
      <c r="O194" t="s">
        <v>47</v>
      </c>
      <c r="P194" t="s">
        <v>47</v>
      </c>
      <c r="Y194" t="s">
        <v>789</v>
      </c>
      <c r="AG194" t="s">
        <v>48</v>
      </c>
    </row>
    <row r="195" spans="1:33">
      <c r="A195" t="s">
        <v>790</v>
      </c>
      <c r="B195" t="s">
        <v>791</v>
      </c>
      <c r="D195" t="s">
        <v>40</v>
      </c>
      <c r="E195" t="s">
        <v>41</v>
      </c>
      <c r="J195" t="s">
        <v>114</v>
      </c>
      <c r="K195" t="s">
        <v>115</v>
      </c>
      <c r="L195">
        <v>5</v>
      </c>
      <c r="M195" t="s">
        <v>786</v>
      </c>
      <c r="N195" t="s">
        <v>59</v>
      </c>
      <c r="O195" t="s">
        <v>47</v>
      </c>
      <c r="P195" t="s">
        <v>47</v>
      </c>
      <c r="Y195" t="s">
        <v>792</v>
      </c>
      <c r="AG195" t="s">
        <v>48</v>
      </c>
    </row>
    <row r="196" spans="1:33">
      <c r="A196" t="s">
        <v>793</v>
      </c>
      <c r="B196" t="s">
        <v>794</v>
      </c>
      <c r="D196" t="s">
        <v>40</v>
      </c>
      <c r="E196" t="s">
        <v>41</v>
      </c>
      <c r="J196" t="s">
        <v>290</v>
      </c>
      <c r="K196" t="s">
        <v>291</v>
      </c>
      <c r="L196">
        <v>5</v>
      </c>
      <c r="M196" t="s">
        <v>786</v>
      </c>
      <c r="N196" t="s">
        <v>59</v>
      </c>
      <c r="O196" t="s">
        <v>47</v>
      </c>
      <c r="P196" t="s">
        <v>47</v>
      </c>
      <c r="Y196" t="s">
        <v>795</v>
      </c>
      <c r="AG196" t="s">
        <v>48</v>
      </c>
    </row>
    <row r="197" spans="1:33">
      <c r="A197" t="s">
        <v>796</v>
      </c>
      <c r="B197" t="s">
        <v>797</v>
      </c>
      <c r="D197" t="s">
        <v>40</v>
      </c>
      <c r="E197" t="s">
        <v>41</v>
      </c>
      <c r="J197" t="s">
        <v>129</v>
      </c>
      <c r="K197" t="s">
        <v>130</v>
      </c>
      <c r="L197">
        <v>5</v>
      </c>
      <c r="M197" t="s">
        <v>798</v>
      </c>
      <c r="N197" t="s">
        <v>46</v>
      </c>
      <c r="O197" t="s">
        <v>47</v>
      </c>
      <c r="P197" t="s">
        <v>47</v>
      </c>
      <c r="Y197" t="s">
        <v>799</v>
      </c>
      <c r="AG197" t="s">
        <v>48</v>
      </c>
    </row>
    <row r="198" spans="1:33">
      <c r="A198" t="s">
        <v>800</v>
      </c>
      <c r="B198" t="s">
        <v>801</v>
      </c>
      <c r="D198" t="s">
        <v>40</v>
      </c>
      <c r="E198" t="s">
        <v>41</v>
      </c>
      <c r="J198" t="s">
        <v>290</v>
      </c>
      <c r="K198" t="s">
        <v>291</v>
      </c>
      <c r="L198">
        <v>5</v>
      </c>
      <c r="M198" t="s">
        <v>802</v>
      </c>
      <c r="N198" t="s">
        <v>59</v>
      </c>
      <c r="O198" t="s">
        <v>47</v>
      </c>
      <c r="P198" t="s">
        <v>47</v>
      </c>
      <c r="Y198" t="s">
        <v>803</v>
      </c>
      <c r="AG198" t="s">
        <v>48</v>
      </c>
    </row>
    <row r="199" spans="1:33">
      <c r="A199" t="s">
        <v>804</v>
      </c>
      <c r="B199" t="s">
        <v>805</v>
      </c>
      <c r="D199" t="s">
        <v>40</v>
      </c>
      <c r="E199" t="s">
        <v>41</v>
      </c>
      <c r="J199" t="s">
        <v>290</v>
      </c>
      <c r="K199" t="s">
        <v>291</v>
      </c>
      <c r="L199">
        <v>5</v>
      </c>
      <c r="M199" t="s">
        <v>802</v>
      </c>
      <c r="N199" t="s">
        <v>59</v>
      </c>
      <c r="O199" t="s">
        <v>47</v>
      </c>
      <c r="P199" t="s">
        <v>47</v>
      </c>
      <c r="Y199" t="s">
        <v>806</v>
      </c>
      <c r="AG199" t="s">
        <v>48</v>
      </c>
    </row>
    <row r="200" spans="1:33">
      <c r="A200" t="s">
        <v>807</v>
      </c>
      <c r="B200" t="s">
        <v>808</v>
      </c>
      <c r="D200" t="s">
        <v>40</v>
      </c>
      <c r="E200" t="s">
        <v>41</v>
      </c>
      <c r="J200" t="s">
        <v>270</v>
      </c>
      <c r="K200" t="s">
        <v>271</v>
      </c>
      <c r="L200">
        <v>5</v>
      </c>
      <c r="M200" t="s">
        <v>802</v>
      </c>
      <c r="N200" t="s">
        <v>59</v>
      </c>
      <c r="O200" t="s">
        <v>47</v>
      </c>
      <c r="P200" t="s">
        <v>47</v>
      </c>
      <c r="Y200" t="s">
        <v>809</v>
      </c>
      <c r="AG200" t="s">
        <v>48</v>
      </c>
    </row>
    <row r="201" spans="1:33">
      <c r="A201" t="s">
        <v>810</v>
      </c>
      <c r="B201" t="s">
        <v>811</v>
      </c>
      <c r="D201" t="s">
        <v>40</v>
      </c>
      <c r="E201" t="s">
        <v>41</v>
      </c>
      <c r="H201" t="s">
        <v>812</v>
      </c>
      <c r="J201" t="s">
        <v>63</v>
      </c>
      <c r="K201" t="s">
        <v>64</v>
      </c>
      <c r="L201">
        <v>5</v>
      </c>
      <c r="M201" t="s">
        <v>813</v>
      </c>
      <c r="N201" t="s">
        <v>59</v>
      </c>
      <c r="O201" t="s">
        <v>47</v>
      </c>
      <c r="P201" t="s">
        <v>47</v>
      </c>
      <c r="Y201" t="s">
        <v>812</v>
      </c>
      <c r="AG201" t="s">
        <v>48</v>
      </c>
    </row>
    <row r="202" spans="1:33">
      <c r="A202" t="s">
        <v>814</v>
      </c>
      <c r="B202" t="s">
        <v>815</v>
      </c>
      <c r="D202" t="s">
        <v>40</v>
      </c>
      <c r="E202" t="s">
        <v>41</v>
      </c>
      <c r="J202" t="s">
        <v>290</v>
      </c>
      <c r="K202" t="s">
        <v>291</v>
      </c>
      <c r="L202">
        <v>5</v>
      </c>
      <c r="M202" t="s">
        <v>816</v>
      </c>
      <c r="N202" t="s">
        <v>59</v>
      </c>
      <c r="O202" t="s">
        <v>47</v>
      </c>
      <c r="P202" t="s">
        <v>47</v>
      </c>
      <c r="Y202" t="s">
        <v>817</v>
      </c>
      <c r="AG202" t="s">
        <v>48</v>
      </c>
    </row>
    <row r="203" spans="1:33">
      <c r="A203" t="s">
        <v>818</v>
      </c>
      <c r="B203" t="s">
        <v>819</v>
      </c>
      <c r="D203" t="s">
        <v>40</v>
      </c>
      <c r="E203" t="s">
        <v>41</v>
      </c>
      <c r="H203" t="s">
        <v>820</v>
      </c>
      <c r="J203" t="s">
        <v>290</v>
      </c>
      <c r="K203" t="s">
        <v>291</v>
      </c>
      <c r="L203">
        <v>5</v>
      </c>
      <c r="M203" t="s">
        <v>816</v>
      </c>
      <c r="N203" t="s">
        <v>59</v>
      </c>
      <c r="O203" t="s">
        <v>47</v>
      </c>
      <c r="P203" t="s">
        <v>47</v>
      </c>
      <c r="Y203" t="s">
        <v>820</v>
      </c>
      <c r="AG203" t="s">
        <v>48</v>
      </c>
    </row>
    <row r="204" spans="1:33">
      <c r="A204" t="s">
        <v>821</v>
      </c>
      <c r="B204" t="s">
        <v>822</v>
      </c>
      <c r="D204" t="s">
        <v>40</v>
      </c>
      <c r="E204" t="s">
        <v>41</v>
      </c>
      <c r="J204" t="s">
        <v>162</v>
      </c>
      <c r="K204" t="s">
        <v>163</v>
      </c>
      <c r="L204">
        <v>5</v>
      </c>
      <c r="M204" t="s">
        <v>816</v>
      </c>
      <c r="N204" t="s">
        <v>59</v>
      </c>
      <c r="O204" t="s">
        <v>47</v>
      </c>
      <c r="P204" t="s">
        <v>47</v>
      </c>
      <c r="Y204" t="s">
        <v>823</v>
      </c>
      <c r="AG204" t="s">
        <v>48</v>
      </c>
    </row>
    <row r="205" spans="1:33">
      <c r="A205" t="s">
        <v>824</v>
      </c>
      <c r="B205" t="s">
        <v>825</v>
      </c>
      <c r="D205" t="s">
        <v>40</v>
      </c>
      <c r="E205" t="s">
        <v>41</v>
      </c>
      <c r="J205" t="s">
        <v>162</v>
      </c>
      <c r="K205" t="s">
        <v>163</v>
      </c>
      <c r="L205">
        <v>5</v>
      </c>
      <c r="M205" t="s">
        <v>816</v>
      </c>
      <c r="N205" t="s">
        <v>59</v>
      </c>
      <c r="O205" t="s">
        <v>47</v>
      </c>
      <c r="P205" t="s">
        <v>47</v>
      </c>
      <c r="Y205" t="s">
        <v>826</v>
      </c>
      <c r="AG205" t="s">
        <v>48</v>
      </c>
    </row>
    <row r="206" spans="1:33">
      <c r="A206" t="s">
        <v>827</v>
      </c>
      <c r="B206" t="s">
        <v>828</v>
      </c>
      <c r="D206" t="s">
        <v>40</v>
      </c>
      <c r="E206" t="s">
        <v>41</v>
      </c>
      <c r="H206" t="s">
        <v>829</v>
      </c>
      <c r="J206" t="s">
        <v>129</v>
      </c>
      <c r="K206" t="s">
        <v>130</v>
      </c>
      <c r="L206">
        <v>5</v>
      </c>
      <c r="M206" t="s">
        <v>830</v>
      </c>
      <c r="N206" t="s">
        <v>46</v>
      </c>
      <c r="O206" t="s">
        <v>47</v>
      </c>
      <c r="P206" t="s">
        <v>47</v>
      </c>
      <c r="Y206" t="s">
        <v>829</v>
      </c>
      <c r="AG206" t="s">
        <v>48</v>
      </c>
    </row>
    <row r="207" spans="1:33">
      <c r="A207" t="s">
        <v>831</v>
      </c>
      <c r="B207" t="s">
        <v>832</v>
      </c>
      <c r="D207" t="s">
        <v>40</v>
      </c>
      <c r="E207" t="s">
        <v>41</v>
      </c>
      <c r="H207" t="s">
        <v>833</v>
      </c>
      <c r="J207" t="s">
        <v>69</v>
      </c>
      <c r="K207" t="s">
        <v>70</v>
      </c>
      <c r="L207">
        <v>5</v>
      </c>
      <c r="M207" t="s">
        <v>834</v>
      </c>
      <c r="N207" t="s">
        <v>46</v>
      </c>
      <c r="O207" t="s">
        <v>47</v>
      </c>
      <c r="P207" t="s">
        <v>47</v>
      </c>
      <c r="Y207" t="s">
        <v>833</v>
      </c>
      <c r="AG207" t="s">
        <v>48</v>
      </c>
    </row>
    <row r="208" spans="1:33">
      <c r="A208" t="s">
        <v>835</v>
      </c>
      <c r="B208" t="s">
        <v>836</v>
      </c>
      <c r="D208" t="s">
        <v>40</v>
      </c>
      <c r="E208" t="s">
        <v>41</v>
      </c>
      <c r="J208" t="s">
        <v>129</v>
      </c>
      <c r="K208" t="s">
        <v>130</v>
      </c>
      <c r="L208">
        <v>5</v>
      </c>
      <c r="M208" t="s">
        <v>837</v>
      </c>
      <c r="N208" t="s">
        <v>218</v>
      </c>
      <c r="O208" t="s">
        <v>47</v>
      </c>
      <c r="P208" t="s">
        <v>47</v>
      </c>
      <c r="Y208" t="s">
        <v>838</v>
      </c>
      <c r="AG208" t="s">
        <v>48</v>
      </c>
    </row>
    <row r="209" spans="1:33">
      <c r="A209" t="s">
        <v>839</v>
      </c>
      <c r="B209" t="s">
        <v>840</v>
      </c>
      <c r="D209" t="s">
        <v>40</v>
      </c>
      <c r="E209" t="s">
        <v>41</v>
      </c>
      <c r="J209" t="s">
        <v>290</v>
      </c>
      <c r="K209" t="s">
        <v>291</v>
      </c>
      <c r="L209">
        <v>5</v>
      </c>
      <c r="M209" t="s">
        <v>841</v>
      </c>
      <c r="N209" t="s">
        <v>59</v>
      </c>
      <c r="O209" t="s">
        <v>47</v>
      </c>
      <c r="P209" t="s">
        <v>47</v>
      </c>
      <c r="Y209" t="s">
        <v>842</v>
      </c>
      <c r="AG209" t="s">
        <v>48</v>
      </c>
    </row>
    <row r="210" spans="1:33">
      <c r="A210" t="s">
        <v>843</v>
      </c>
      <c r="B210" t="s">
        <v>844</v>
      </c>
      <c r="D210" t="s">
        <v>40</v>
      </c>
      <c r="E210" t="s">
        <v>41</v>
      </c>
      <c r="J210" t="s">
        <v>162</v>
      </c>
      <c r="K210" t="s">
        <v>163</v>
      </c>
      <c r="L210">
        <v>5</v>
      </c>
      <c r="M210" t="s">
        <v>841</v>
      </c>
      <c r="N210" t="s">
        <v>59</v>
      </c>
      <c r="O210" t="s">
        <v>47</v>
      </c>
      <c r="P210" t="s">
        <v>47</v>
      </c>
      <c r="Y210" t="s">
        <v>845</v>
      </c>
      <c r="AG210" t="s">
        <v>48</v>
      </c>
    </row>
    <row r="211" spans="1:33">
      <c r="A211" t="s">
        <v>846</v>
      </c>
      <c r="B211" t="s">
        <v>847</v>
      </c>
      <c r="D211" t="s">
        <v>40</v>
      </c>
      <c r="E211" t="s">
        <v>41</v>
      </c>
      <c r="J211" t="s">
        <v>290</v>
      </c>
      <c r="K211" t="s">
        <v>291</v>
      </c>
      <c r="L211">
        <v>5</v>
      </c>
      <c r="M211" t="s">
        <v>848</v>
      </c>
      <c r="N211" t="s">
        <v>59</v>
      </c>
      <c r="O211" t="s">
        <v>47</v>
      </c>
      <c r="P211" t="s">
        <v>47</v>
      </c>
      <c r="Y211" t="s">
        <v>849</v>
      </c>
      <c r="AG211" t="s">
        <v>48</v>
      </c>
    </row>
    <row r="212" spans="1:33">
      <c r="A212" t="s">
        <v>850</v>
      </c>
      <c r="B212" t="s">
        <v>851</v>
      </c>
      <c r="D212" t="s">
        <v>40</v>
      </c>
      <c r="E212" t="s">
        <v>41</v>
      </c>
      <c r="J212" t="s">
        <v>108</v>
      </c>
      <c r="K212" t="s">
        <v>109</v>
      </c>
      <c r="L212">
        <v>5</v>
      </c>
      <c r="M212" t="s">
        <v>852</v>
      </c>
      <c r="N212" t="s">
        <v>59</v>
      </c>
      <c r="O212" t="s">
        <v>47</v>
      </c>
      <c r="P212" t="s">
        <v>47</v>
      </c>
      <c r="Y212" t="s">
        <v>853</v>
      </c>
      <c r="AG212" t="s">
        <v>48</v>
      </c>
    </row>
    <row r="213" spans="1:33">
      <c r="A213" t="s">
        <v>854</v>
      </c>
      <c r="B213" t="s">
        <v>855</v>
      </c>
      <c r="D213" t="s">
        <v>40</v>
      </c>
      <c r="E213" t="s">
        <v>41</v>
      </c>
      <c r="J213" t="s">
        <v>108</v>
      </c>
      <c r="K213" t="s">
        <v>109</v>
      </c>
      <c r="L213">
        <v>5</v>
      </c>
      <c r="M213" t="s">
        <v>856</v>
      </c>
      <c r="N213" t="s">
        <v>59</v>
      </c>
      <c r="O213" t="s">
        <v>47</v>
      </c>
      <c r="P213" t="s">
        <v>47</v>
      </c>
      <c r="Y213" t="s">
        <v>857</v>
      </c>
      <c r="AG213" t="s">
        <v>48</v>
      </c>
    </row>
    <row r="214" spans="1:33">
      <c r="A214" t="s">
        <v>858</v>
      </c>
      <c r="B214" t="s">
        <v>859</v>
      </c>
      <c r="D214" t="s">
        <v>40</v>
      </c>
      <c r="E214" t="s">
        <v>41</v>
      </c>
      <c r="J214" t="s">
        <v>270</v>
      </c>
      <c r="K214" t="s">
        <v>271</v>
      </c>
      <c r="L214">
        <v>5</v>
      </c>
      <c r="M214" t="s">
        <v>856</v>
      </c>
      <c r="N214" t="s">
        <v>59</v>
      </c>
      <c r="O214" t="s">
        <v>47</v>
      </c>
      <c r="P214" t="s">
        <v>47</v>
      </c>
      <c r="Y214" t="s">
        <v>860</v>
      </c>
      <c r="AG214" t="s">
        <v>48</v>
      </c>
    </row>
    <row r="215" spans="1:33">
      <c r="A215" t="s">
        <v>861</v>
      </c>
      <c r="B215" t="s">
        <v>862</v>
      </c>
      <c r="D215" t="s">
        <v>40</v>
      </c>
      <c r="E215" t="s">
        <v>41</v>
      </c>
      <c r="J215" t="s">
        <v>123</v>
      </c>
      <c r="K215" t="s">
        <v>124</v>
      </c>
      <c r="L215">
        <v>5</v>
      </c>
      <c r="M215" t="s">
        <v>863</v>
      </c>
      <c r="N215" t="s">
        <v>218</v>
      </c>
      <c r="O215" t="s">
        <v>47</v>
      </c>
      <c r="P215" t="s">
        <v>47</v>
      </c>
      <c r="Y215" t="s">
        <v>864</v>
      </c>
      <c r="AG215" t="s">
        <v>48</v>
      </c>
    </row>
    <row r="216" spans="1:33">
      <c r="A216" t="s">
        <v>865</v>
      </c>
      <c r="B216" t="s">
        <v>866</v>
      </c>
      <c r="D216" t="s">
        <v>40</v>
      </c>
      <c r="E216" t="s">
        <v>41</v>
      </c>
      <c r="J216" t="s">
        <v>270</v>
      </c>
      <c r="K216" t="s">
        <v>271</v>
      </c>
      <c r="L216">
        <v>5</v>
      </c>
      <c r="M216" t="s">
        <v>863</v>
      </c>
      <c r="N216" t="s">
        <v>59</v>
      </c>
      <c r="O216" t="s">
        <v>47</v>
      </c>
      <c r="P216" t="s">
        <v>47</v>
      </c>
      <c r="Y216" t="s">
        <v>867</v>
      </c>
      <c r="AG216" t="s">
        <v>48</v>
      </c>
    </row>
    <row r="217" spans="1:33">
      <c r="A217" t="s">
        <v>868</v>
      </c>
      <c r="B217" t="s">
        <v>869</v>
      </c>
      <c r="D217" t="s">
        <v>40</v>
      </c>
      <c r="E217" t="s">
        <v>41</v>
      </c>
      <c r="J217" t="s">
        <v>270</v>
      </c>
      <c r="K217" t="s">
        <v>271</v>
      </c>
      <c r="L217">
        <v>5</v>
      </c>
      <c r="M217" t="s">
        <v>870</v>
      </c>
      <c r="N217" t="s">
        <v>59</v>
      </c>
      <c r="O217" t="s">
        <v>47</v>
      </c>
      <c r="P217" t="s">
        <v>47</v>
      </c>
      <c r="Y217" t="s">
        <v>871</v>
      </c>
      <c r="AG217" t="s">
        <v>48</v>
      </c>
    </row>
    <row r="218" spans="1:33">
      <c r="A218" t="s">
        <v>872</v>
      </c>
      <c r="B218" t="s">
        <v>873</v>
      </c>
      <c r="D218" t="s">
        <v>40</v>
      </c>
      <c r="E218" t="s">
        <v>41</v>
      </c>
      <c r="J218" t="s">
        <v>290</v>
      </c>
      <c r="K218" t="s">
        <v>291</v>
      </c>
      <c r="L218">
        <v>5</v>
      </c>
      <c r="M218" t="s">
        <v>870</v>
      </c>
      <c r="N218" t="s">
        <v>59</v>
      </c>
      <c r="O218" t="s">
        <v>47</v>
      </c>
      <c r="P218" t="s">
        <v>47</v>
      </c>
      <c r="Y218" t="s">
        <v>874</v>
      </c>
      <c r="AG218" t="s">
        <v>48</v>
      </c>
    </row>
    <row r="219" spans="1:33">
      <c r="A219" t="s">
        <v>875</v>
      </c>
      <c r="B219" t="s">
        <v>876</v>
      </c>
      <c r="D219" t="s">
        <v>40</v>
      </c>
      <c r="E219" t="s">
        <v>41</v>
      </c>
      <c r="J219" t="s">
        <v>108</v>
      </c>
      <c r="K219" t="s">
        <v>109</v>
      </c>
      <c r="L219">
        <v>5</v>
      </c>
      <c r="M219" t="s">
        <v>877</v>
      </c>
      <c r="N219" t="s">
        <v>59</v>
      </c>
      <c r="O219" t="s">
        <v>47</v>
      </c>
      <c r="P219" t="s">
        <v>47</v>
      </c>
      <c r="Y219" t="s">
        <v>878</v>
      </c>
      <c r="AG219" t="s">
        <v>48</v>
      </c>
    </row>
    <row r="220" spans="1:33">
      <c r="A220" t="s">
        <v>879</v>
      </c>
      <c r="B220" t="s">
        <v>880</v>
      </c>
      <c r="D220" t="s">
        <v>40</v>
      </c>
      <c r="E220" t="s">
        <v>41</v>
      </c>
      <c r="J220" t="s">
        <v>270</v>
      </c>
      <c r="K220" t="s">
        <v>271</v>
      </c>
      <c r="L220">
        <v>5</v>
      </c>
      <c r="M220" t="s">
        <v>881</v>
      </c>
      <c r="N220" t="s">
        <v>59</v>
      </c>
      <c r="O220" t="s">
        <v>47</v>
      </c>
      <c r="P220" t="s">
        <v>47</v>
      </c>
      <c r="Y220" t="s">
        <v>882</v>
      </c>
      <c r="AG220" t="s">
        <v>48</v>
      </c>
    </row>
    <row r="221" spans="1:33">
      <c r="A221" t="s">
        <v>883</v>
      </c>
      <c r="B221" t="s">
        <v>884</v>
      </c>
      <c r="D221" t="s">
        <v>40</v>
      </c>
      <c r="E221" t="s">
        <v>41</v>
      </c>
      <c r="J221" t="s">
        <v>129</v>
      </c>
      <c r="K221" t="s">
        <v>130</v>
      </c>
      <c r="L221">
        <v>5</v>
      </c>
      <c r="M221" t="s">
        <v>881</v>
      </c>
      <c r="N221" t="s">
        <v>192</v>
      </c>
      <c r="O221" t="s">
        <v>47</v>
      </c>
      <c r="P221" t="s">
        <v>47</v>
      </c>
      <c r="Y221" t="s">
        <v>885</v>
      </c>
      <c r="AG221" t="s">
        <v>48</v>
      </c>
    </row>
    <row r="222" spans="1:33">
      <c r="A222" t="s">
        <v>886</v>
      </c>
      <c r="B222" t="s">
        <v>887</v>
      </c>
      <c r="D222" t="s">
        <v>40</v>
      </c>
      <c r="E222" t="s">
        <v>41</v>
      </c>
      <c r="J222" t="s">
        <v>290</v>
      </c>
      <c r="K222" t="s">
        <v>291</v>
      </c>
      <c r="L222">
        <v>5</v>
      </c>
      <c r="M222" t="s">
        <v>881</v>
      </c>
      <c r="N222" t="s">
        <v>59</v>
      </c>
      <c r="O222" t="s">
        <v>47</v>
      </c>
      <c r="P222" t="s">
        <v>47</v>
      </c>
      <c r="Y222" t="s">
        <v>888</v>
      </c>
      <c r="AG222" t="s">
        <v>48</v>
      </c>
    </row>
    <row r="223" spans="1:33">
      <c r="A223" t="s">
        <v>889</v>
      </c>
      <c r="B223" t="s">
        <v>890</v>
      </c>
      <c r="D223" t="s">
        <v>40</v>
      </c>
      <c r="E223" t="s">
        <v>41</v>
      </c>
      <c r="H223" t="s">
        <v>891</v>
      </c>
      <c r="J223" t="s">
        <v>63</v>
      </c>
      <c r="K223" t="s">
        <v>64</v>
      </c>
      <c r="L223">
        <v>5</v>
      </c>
      <c r="M223" t="s">
        <v>892</v>
      </c>
      <c r="N223" t="s">
        <v>59</v>
      </c>
      <c r="O223" t="s">
        <v>47</v>
      </c>
      <c r="P223" t="s">
        <v>47</v>
      </c>
      <c r="Y223" t="s">
        <v>891</v>
      </c>
      <c r="AG223" t="s">
        <v>48</v>
      </c>
    </row>
    <row r="224" spans="1:33">
      <c r="A224" t="s">
        <v>893</v>
      </c>
      <c r="B224" t="s">
        <v>894</v>
      </c>
      <c r="D224" t="s">
        <v>40</v>
      </c>
      <c r="E224" t="s">
        <v>41</v>
      </c>
      <c r="H224" t="s">
        <v>895</v>
      </c>
      <c r="J224" t="s">
        <v>63</v>
      </c>
      <c r="K224" t="s">
        <v>64</v>
      </c>
      <c r="L224">
        <v>5</v>
      </c>
      <c r="M224" t="s">
        <v>896</v>
      </c>
      <c r="N224" t="s">
        <v>59</v>
      </c>
      <c r="O224" t="s">
        <v>47</v>
      </c>
      <c r="P224" t="s">
        <v>47</v>
      </c>
      <c r="Y224" t="s">
        <v>895</v>
      </c>
      <c r="AG224" t="s">
        <v>48</v>
      </c>
    </row>
    <row r="225" spans="1:33">
      <c r="A225" t="s">
        <v>897</v>
      </c>
      <c r="B225" t="s">
        <v>898</v>
      </c>
      <c r="D225" t="s">
        <v>40</v>
      </c>
      <c r="E225" t="s">
        <v>41</v>
      </c>
      <c r="J225" t="s">
        <v>270</v>
      </c>
      <c r="K225" t="s">
        <v>271</v>
      </c>
      <c r="L225">
        <v>5</v>
      </c>
      <c r="M225" t="s">
        <v>899</v>
      </c>
      <c r="N225" t="s">
        <v>59</v>
      </c>
      <c r="O225" t="s">
        <v>47</v>
      </c>
      <c r="P225" t="s">
        <v>47</v>
      </c>
      <c r="Y225" t="s">
        <v>900</v>
      </c>
      <c r="AG225" t="s">
        <v>48</v>
      </c>
    </row>
    <row r="226" spans="1:33">
      <c r="A226" t="s">
        <v>901</v>
      </c>
      <c r="B226" t="s">
        <v>902</v>
      </c>
      <c r="D226" t="s">
        <v>40</v>
      </c>
      <c r="E226" t="s">
        <v>41</v>
      </c>
      <c r="J226" t="s">
        <v>123</v>
      </c>
      <c r="K226" t="s">
        <v>124</v>
      </c>
      <c r="L226">
        <v>5</v>
      </c>
      <c r="M226" t="s">
        <v>903</v>
      </c>
      <c r="N226" t="s">
        <v>218</v>
      </c>
      <c r="O226" t="s">
        <v>47</v>
      </c>
      <c r="P226" t="s">
        <v>47</v>
      </c>
      <c r="Y226" t="s">
        <v>904</v>
      </c>
      <c r="AG226" t="s">
        <v>48</v>
      </c>
    </row>
    <row r="227" spans="1:33">
      <c r="A227" t="s">
        <v>905</v>
      </c>
      <c r="B227" t="s">
        <v>906</v>
      </c>
      <c r="D227" t="s">
        <v>40</v>
      </c>
      <c r="E227" t="s">
        <v>41</v>
      </c>
      <c r="J227" t="s">
        <v>108</v>
      </c>
      <c r="K227" t="s">
        <v>109</v>
      </c>
      <c r="L227">
        <v>5</v>
      </c>
      <c r="M227" t="s">
        <v>907</v>
      </c>
      <c r="N227" t="s">
        <v>59</v>
      </c>
      <c r="O227" t="s">
        <v>47</v>
      </c>
      <c r="P227" t="s">
        <v>47</v>
      </c>
      <c r="Y227" t="s">
        <v>908</v>
      </c>
      <c r="AG227" t="s">
        <v>48</v>
      </c>
    </row>
    <row r="228" spans="1:33">
      <c r="A228" t="s">
        <v>909</v>
      </c>
      <c r="B228" t="s">
        <v>910</v>
      </c>
      <c r="D228" t="s">
        <v>40</v>
      </c>
      <c r="E228" t="s">
        <v>41</v>
      </c>
      <c r="J228" t="s">
        <v>114</v>
      </c>
      <c r="K228" t="s">
        <v>115</v>
      </c>
      <c r="L228">
        <v>5</v>
      </c>
      <c r="M228" t="s">
        <v>911</v>
      </c>
      <c r="N228" t="s">
        <v>59</v>
      </c>
      <c r="O228" t="s">
        <v>47</v>
      </c>
      <c r="P228" t="s">
        <v>47</v>
      </c>
      <c r="Y228" t="s">
        <v>912</v>
      </c>
      <c r="AG228" t="s">
        <v>48</v>
      </c>
    </row>
    <row r="229" spans="1:33">
      <c r="A229" t="s">
        <v>913</v>
      </c>
      <c r="B229" t="s">
        <v>914</v>
      </c>
      <c r="D229" t="s">
        <v>40</v>
      </c>
      <c r="E229" t="s">
        <v>41</v>
      </c>
      <c r="J229" t="s">
        <v>290</v>
      </c>
      <c r="K229" t="s">
        <v>291</v>
      </c>
      <c r="L229">
        <v>5</v>
      </c>
      <c r="M229" t="s">
        <v>915</v>
      </c>
      <c r="N229" t="s">
        <v>59</v>
      </c>
      <c r="O229" t="s">
        <v>47</v>
      </c>
      <c r="P229" t="s">
        <v>47</v>
      </c>
      <c r="Y229" t="s">
        <v>916</v>
      </c>
      <c r="AG229" t="s">
        <v>48</v>
      </c>
    </row>
    <row r="230" spans="1:33">
      <c r="A230" t="s">
        <v>917</v>
      </c>
      <c r="B230" t="s">
        <v>918</v>
      </c>
      <c r="D230" t="s">
        <v>40</v>
      </c>
      <c r="E230" t="s">
        <v>41</v>
      </c>
      <c r="J230" t="s">
        <v>290</v>
      </c>
      <c r="K230" t="s">
        <v>291</v>
      </c>
      <c r="L230">
        <v>5</v>
      </c>
      <c r="M230" t="s">
        <v>919</v>
      </c>
      <c r="N230" t="s">
        <v>59</v>
      </c>
      <c r="O230" t="s">
        <v>47</v>
      </c>
      <c r="P230" t="s">
        <v>47</v>
      </c>
      <c r="Y230" t="s">
        <v>920</v>
      </c>
      <c r="AG230" t="s">
        <v>48</v>
      </c>
    </row>
    <row r="231" spans="1:33">
      <c r="A231" t="s">
        <v>921</v>
      </c>
      <c r="B231" t="s">
        <v>922</v>
      </c>
      <c r="D231" t="s">
        <v>40</v>
      </c>
      <c r="E231" t="s">
        <v>41</v>
      </c>
      <c r="J231" t="s">
        <v>290</v>
      </c>
      <c r="K231" t="s">
        <v>291</v>
      </c>
      <c r="L231">
        <v>5</v>
      </c>
      <c r="M231" t="s">
        <v>919</v>
      </c>
      <c r="N231" t="s">
        <v>59</v>
      </c>
      <c r="O231" t="s">
        <v>47</v>
      </c>
      <c r="P231" t="s">
        <v>47</v>
      </c>
      <c r="Y231" t="s">
        <v>923</v>
      </c>
      <c r="AG231" t="s">
        <v>48</v>
      </c>
    </row>
    <row r="232" spans="1:33">
      <c r="A232" t="s">
        <v>924</v>
      </c>
      <c r="B232" t="s">
        <v>925</v>
      </c>
      <c r="D232" t="s">
        <v>40</v>
      </c>
      <c r="E232" t="s">
        <v>41</v>
      </c>
      <c r="J232" t="s">
        <v>290</v>
      </c>
      <c r="K232" t="s">
        <v>291</v>
      </c>
      <c r="L232">
        <v>5</v>
      </c>
      <c r="M232" t="s">
        <v>919</v>
      </c>
      <c r="N232" t="s">
        <v>59</v>
      </c>
      <c r="O232" t="s">
        <v>47</v>
      </c>
      <c r="P232" t="s">
        <v>47</v>
      </c>
      <c r="Y232" t="s">
        <v>926</v>
      </c>
      <c r="AG232" t="s">
        <v>48</v>
      </c>
    </row>
    <row r="233" spans="1:33">
      <c r="A233" t="s">
        <v>927</v>
      </c>
      <c r="B233" t="s">
        <v>928</v>
      </c>
      <c r="D233" t="s">
        <v>40</v>
      </c>
      <c r="E233" t="s">
        <v>41</v>
      </c>
      <c r="J233" t="s">
        <v>290</v>
      </c>
      <c r="K233" t="s">
        <v>291</v>
      </c>
      <c r="L233">
        <v>5</v>
      </c>
      <c r="M233" t="s">
        <v>929</v>
      </c>
      <c r="N233" t="s">
        <v>59</v>
      </c>
      <c r="O233" t="s">
        <v>47</v>
      </c>
      <c r="P233" t="s">
        <v>47</v>
      </c>
      <c r="Y233" t="s">
        <v>930</v>
      </c>
      <c r="AG233" t="s">
        <v>48</v>
      </c>
    </row>
    <row r="234" spans="1:33">
      <c r="A234" t="s">
        <v>931</v>
      </c>
      <c r="B234" t="s">
        <v>932</v>
      </c>
      <c r="D234" t="s">
        <v>40</v>
      </c>
      <c r="E234" t="s">
        <v>41</v>
      </c>
      <c r="J234" t="s">
        <v>290</v>
      </c>
      <c r="K234" t="s">
        <v>291</v>
      </c>
      <c r="L234">
        <v>5</v>
      </c>
      <c r="M234" t="s">
        <v>933</v>
      </c>
      <c r="N234" t="s">
        <v>59</v>
      </c>
      <c r="O234" t="s">
        <v>47</v>
      </c>
      <c r="P234" t="s">
        <v>47</v>
      </c>
      <c r="Y234" t="s">
        <v>934</v>
      </c>
      <c r="AG234" t="s">
        <v>48</v>
      </c>
    </row>
    <row r="235" spans="1:33">
      <c r="A235" t="s">
        <v>935</v>
      </c>
      <c r="B235" t="s">
        <v>936</v>
      </c>
      <c r="D235" t="s">
        <v>40</v>
      </c>
      <c r="E235" t="s">
        <v>41</v>
      </c>
      <c r="J235" t="s">
        <v>108</v>
      </c>
      <c r="K235" t="s">
        <v>109</v>
      </c>
      <c r="L235">
        <v>5</v>
      </c>
      <c r="M235" t="s">
        <v>933</v>
      </c>
      <c r="N235" t="s">
        <v>59</v>
      </c>
      <c r="O235" t="s">
        <v>47</v>
      </c>
      <c r="P235" t="s">
        <v>47</v>
      </c>
      <c r="Y235" t="s">
        <v>937</v>
      </c>
      <c r="AG235" t="s">
        <v>48</v>
      </c>
    </row>
    <row r="236" spans="1:33">
      <c r="A236" t="s">
        <v>938</v>
      </c>
      <c r="B236" t="s">
        <v>939</v>
      </c>
      <c r="D236" t="s">
        <v>40</v>
      </c>
      <c r="E236" t="s">
        <v>41</v>
      </c>
      <c r="J236" t="s">
        <v>129</v>
      </c>
      <c r="K236" t="s">
        <v>130</v>
      </c>
      <c r="L236">
        <v>5</v>
      </c>
      <c r="M236" t="s">
        <v>933</v>
      </c>
      <c r="N236" t="s">
        <v>46</v>
      </c>
      <c r="O236" t="s">
        <v>47</v>
      </c>
      <c r="P236" t="s">
        <v>47</v>
      </c>
      <c r="Y236" t="s">
        <v>940</v>
      </c>
      <c r="AG236" t="s">
        <v>48</v>
      </c>
    </row>
    <row r="237" spans="1:33">
      <c r="A237" t="s">
        <v>941</v>
      </c>
      <c r="B237" t="s">
        <v>942</v>
      </c>
      <c r="D237" t="s">
        <v>40</v>
      </c>
      <c r="E237" t="s">
        <v>41</v>
      </c>
      <c r="H237" t="s">
        <v>943</v>
      </c>
      <c r="J237" t="s">
        <v>63</v>
      </c>
      <c r="K237" t="s">
        <v>64</v>
      </c>
      <c r="L237">
        <v>5</v>
      </c>
      <c r="M237" t="s">
        <v>944</v>
      </c>
      <c r="N237" t="s">
        <v>59</v>
      </c>
      <c r="O237" t="s">
        <v>47</v>
      </c>
      <c r="P237" t="s">
        <v>47</v>
      </c>
      <c r="Y237" t="s">
        <v>943</v>
      </c>
      <c r="AG237" t="s">
        <v>48</v>
      </c>
    </row>
    <row r="238" spans="1:33">
      <c r="A238" t="s">
        <v>945</v>
      </c>
      <c r="B238" t="s">
        <v>946</v>
      </c>
      <c r="D238" t="s">
        <v>40</v>
      </c>
      <c r="E238" t="s">
        <v>41</v>
      </c>
      <c r="J238" t="s">
        <v>162</v>
      </c>
      <c r="K238" t="s">
        <v>163</v>
      </c>
      <c r="L238">
        <v>5</v>
      </c>
      <c r="M238" t="s">
        <v>947</v>
      </c>
      <c r="N238" t="s">
        <v>59</v>
      </c>
      <c r="O238" t="s">
        <v>47</v>
      </c>
      <c r="P238" t="s">
        <v>47</v>
      </c>
      <c r="Y238" t="s">
        <v>948</v>
      </c>
      <c r="AG238" t="s">
        <v>48</v>
      </c>
    </row>
    <row r="239" spans="1:33">
      <c r="A239" t="s">
        <v>117</v>
      </c>
      <c r="B239" t="s">
        <v>949</v>
      </c>
      <c r="D239" t="s">
        <v>40</v>
      </c>
      <c r="E239" t="s">
        <v>41</v>
      </c>
      <c r="J239" t="s">
        <v>270</v>
      </c>
      <c r="K239" t="s">
        <v>271</v>
      </c>
      <c r="L239">
        <v>5</v>
      </c>
      <c r="M239" t="s">
        <v>947</v>
      </c>
      <c r="N239" t="s">
        <v>59</v>
      </c>
      <c r="O239" t="s">
        <v>47</v>
      </c>
      <c r="P239" t="s">
        <v>47</v>
      </c>
      <c r="Y239" t="s">
        <v>950</v>
      </c>
      <c r="AG239" t="s">
        <v>48</v>
      </c>
    </row>
    <row r="240" spans="1:33">
      <c r="A240" t="s">
        <v>951</v>
      </c>
      <c r="B240" t="s">
        <v>952</v>
      </c>
      <c r="D240" t="s">
        <v>40</v>
      </c>
      <c r="E240" t="s">
        <v>41</v>
      </c>
      <c r="J240" t="s">
        <v>270</v>
      </c>
      <c r="K240" t="s">
        <v>271</v>
      </c>
      <c r="L240">
        <v>5</v>
      </c>
      <c r="M240" t="s">
        <v>953</v>
      </c>
      <c r="N240" t="s">
        <v>59</v>
      </c>
      <c r="O240" t="s">
        <v>47</v>
      </c>
      <c r="P240" t="s">
        <v>47</v>
      </c>
      <c r="Y240" t="s">
        <v>954</v>
      </c>
      <c r="AG240" t="s">
        <v>48</v>
      </c>
    </row>
    <row r="241" spans="1:33">
      <c r="A241" t="s">
        <v>955</v>
      </c>
      <c r="B241" t="s">
        <v>956</v>
      </c>
      <c r="D241" t="s">
        <v>40</v>
      </c>
      <c r="E241" t="s">
        <v>41</v>
      </c>
      <c r="H241" t="s">
        <v>957</v>
      </c>
      <c r="J241" t="s">
        <v>290</v>
      </c>
      <c r="K241" t="s">
        <v>291</v>
      </c>
      <c r="L241">
        <v>5</v>
      </c>
      <c r="M241" t="s">
        <v>953</v>
      </c>
      <c r="N241" t="s">
        <v>59</v>
      </c>
      <c r="O241" t="s">
        <v>47</v>
      </c>
      <c r="P241" t="s">
        <v>47</v>
      </c>
      <c r="Y241" t="s">
        <v>957</v>
      </c>
      <c r="AG241" t="s">
        <v>48</v>
      </c>
    </row>
    <row r="242" spans="1:33">
      <c r="A242" t="s">
        <v>958</v>
      </c>
      <c r="B242" t="s">
        <v>959</v>
      </c>
      <c r="D242" t="s">
        <v>40</v>
      </c>
      <c r="E242" t="s">
        <v>41</v>
      </c>
      <c r="J242" t="s">
        <v>270</v>
      </c>
      <c r="K242" t="s">
        <v>271</v>
      </c>
      <c r="L242">
        <v>5</v>
      </c>
      <c r="M242" t="s">
        <v>960</v>
      </c>
      <c r="N242" t="s">
        <v>59</v>
      </c>
      <c r="O242" t="s">
        <v>47</v>
      </c>
      <c r="P242" t="s">
        <v>47</v>
      </c>
      <c r="Y242" t="s">
        <v>961</v>
      </c>
      <c r="AG242" t="s">
        <v>48</v>
      </c>
    </row>
    <row r="243" spans="1:33">
      <c r="A243" t="s">
        <v>962</v>
      </c>
      <c r="B243" t="s">
        <v>963</v>
      </c>
      <c r="D243" t="s">
        <v>40</v>
      </c>
      <c r="E243" t="s">
        <v>41</v>
      </c>
      <c r="J243" t="s">
        <v>290</v>
      </c>
      <c r="K243" t="s">
        <v>291</v>
      </c>
      <c r="L243">
        <v>5</v>
      </c>
      <c r="M243" t="s">
        <v>960</v>
      </c>
      <c r="N243" t="s">
        <v>59</v>
      </c>
      <c r="O243" t="s">
        <v>47</v>
      </c>
      <c r="P243" t="s">
        <v>47</v>
      </c>
      <c r="Y243" t="s">
        <v>964</v>
      </c>
      <c r="AG243" t="s">
        <v>48</v>
      </c>
    </row>
    <row r="244" spans="1:33">
      <c r="A244" t="s">
        <v>965</v>
      </c>
      <c r="B244" t="s">
        <v>966</v>
      </c>
      <c r="D244" t="s">
        <v>40</v>
      </c>
      <c r="E244" t="s">
        <v>41</v>
      </c>
      <c r="J244" t="s">
        <v>290</v>
      </c>
      <c r="K244" t="s">
        <v>291</v>
      </c>
      <c r="L244">
        <v>5</v>
      </c>
      <c r="M244" t="s">
        <v>960</v>
      </c>
      <c r="N244" t="s">
        <v>59</v>
      </c>
      <c r="O244" t="s">
        <v>47</v>
      </c>
      <c r="P244" t="s">
        <v>47</v>
      </c>
      <c r="Y244" t="s">
        <v>967</v>
      </c>
      <c r="AG244" t="s">
        <v>48</v>
      </c>
    </row>
    <row r="245" spans="1:33">
      <c r="A245" t="s">
        <v>968</v>
      </c>
      <c r="B245" t="s">
        <v>969</v>
      </c>
      <c r="D245" t="s">
        <v>40</v>
      </c>
      <c r="E245" t="s">
        <v>41</v>
      </c>
      <c r="J245" t="s">
        <v>129</v>
      </c>
      <c r="K245" t="s">
        <v>130</v>
      </c>
      <c r="L245">
        <v>5</v>
      </c>
      <c r="M245" t="s">
        <v>970</v>
      </c>
      <c r="N245" t="s">
        <v>46</v>
      </c>
      <c r="O245" t="s">
        <v>47</v>
      </c>
      <c r="P245" t="s">
        <v>47</v>
      </c>
      <c r="Y245" t="s">
        <v>971</v>
      </c>
      <c r="AG245" t="s">
        <v>48</v>
      </c>
    </row>
    <row r="246" spans="1:33">
      <c r="A246" t="s">
        <v>972</v>
      </c>
      <c r="B246" t="s">
        <v>973</v>
      </c>
      <c r="D246" t="s">
        <v>40</v>
      </c>
      <c r="E246" t="s">
        <v>41</v>
      </c>
      <c r="H246" t="s">
        <v>974</v>
      </c>
      <c r="J246" t="s">
        <v>290</v>
      </c>
      <c r="K246" t="s">
        <v>291</v>
      </c>
      <c r="L246">
        <v>5</v>
      </c>
      <c r="M246" t="s">
        <v>975</v>
      </c>
      <c r="N246" t="s">
        <v>59</v>
      </c>
      <c r="O246" t="s">
        <v>47</v>
      </c>
      <c r="P246" t="s">
        <v>47</v>
      </c>
      <c r="Y246" t="s">
        <v>974</v>
      </c>
      <c r="AG246" t="s">
        <v>48</v>
      </c>
    </row>
    <row r="247" spans="1:33">
      <c r="A247" t="s">
        <v>976</v>
      </c>
      <c r="B247" t="s">
        <v>977</v>
      </c>
      <c r="D247" t="s">
        <v>40</v>
      </c>
      <c r="E247" t="s">
        <v>41</v>
      </c>
      <c r="J247" t="s">
        <v>129</v>
      </c>
      <c r="K247" t="s">
        <v>130</v>
      </c>
      <c r="L247">
        <v>5</v>
      </c>
      <c r="M247" t="s">
        <v>975</v>
      </c>
      <c r="N247" t="s">
        <v>218</v>
      </c>
      <c r="O247" t="s">
        <v>47</v>
      </c>
      <c r="P247" t="s">
        <v>47</v>
      </c>
      <c r="Y247" t="s">
        <v>978</v>
      </c>
      <c r="AG247" t="s">
        <v>48</v>
      </c>
    </row>
    <row r="248" spans="1:33">
      <c r="A248" t="s">
        <v>979</v>
      </c>
      <c r="B248" t="s">
        <v>980</v>
      </c>
      <c r="D248" t="s">
        <v>40</v>
      </c>
      <c r="E248" t="s">
        <v>41</v>
      </c>
      <c r="J248" t="s">
        <v>981</v>
      </c>
      <c r="K248" t="s">
        <v>982</v>
      </c>
      <c r="L248">
        <v>9</v>
      </c>
      <c r="M248" t="s">
        <v>983</v>
      </c>
      <c r="N248" t="s">
        <v>192</v>
      </c>
      <c r="O248" t="s">
        <v>47</v>
      </c>
      <c r="P248" t="s">
        <v>47</v>
      </c>
      <c r="Y248" t="s">
        <v>984</v>
      </c>
      <c r="AG248" t="s">
        <v>48</v>
      </c>
    </row>
    <row r="249" spans="1:33">
      <c r="A249" t="s">
        <v>985</v>
      </c>
      <c r="B249" t="s">
        <v>986</v>
      </c>
      <c r="D249" t="s">
        <v>40</v>
      </c>
      <c r="E249" t="s">
        <v>41</v>
      </c>
      <c r="J249" t="s">
        <v>270</v>
      </c>
      <c r="K249" t="s">
        <v>271</v>
      </c>
      <c r="L249">
        <v>5</v>
      </c>
      <c r="M249" t="s">
        <v>987</v>
      </c>
      <c r="N249" t="s">
        <v>59</v>
      </c>
      <c r="O249" t="s">
        <v>47</v>
      </c>
      <c r="P249" t="s">
        <v>47</v>
      </c>
      <c r="Y249" t="s">
        <v>988</v>
      </c>
      <c r="AG249" t="s">
        <v>48</v>
      </c>
    </row>
    <row r="250" spans="1:33">
      <c r="A250" t="s">
        <v>989</v>
      </c>
      <c r="B250" t="s">
        <v>990</v>
      </c>
      <c r="D250" t="s">
        <v>40</v>
      </c>
      <c r="E250" t="s">
        <v>41</v>
      </c>
      <c r="J250" t="s">
        <v>270</v>
      </c>
      <c r="K250" t="s">
        <v>271</v>
      </c>
      <c r="L250">
        <v>5</v>
      </c>
      <c r="M250" t="s">
        <v>987</v>
      </c>
      <c r="N250" t="s">
        <v>59</v>
      </c>
      <c r="O250" t="s">
        <v>47</v>
      </c>
      <c r="P250" t="s">
        <v>47</v>
      </c>
      <c r="Y250" t="s">
        <v>991</v>
      </c>
      <c r="AG250" t="s">
        <v>48</v>
      </c>
    </row>
    <row r="251" spans="1:33">
      <c r="A251" t="s">
        <v>992</v>
      </c>
      <c r="B251" t="s">
        <v>993</v>
      </c>
      <c r="D251" t="s">
        <v>40</v>
      </c>
      <c r="E251" t="s">
        <v>41</v>
      </c>
      <c r="J251" t="s">
        <v>270</v>
      </c>
      <c r="K251" t="s">
        <v>271</v>
      </c>
      <c r="L251">
        <v>5</v>
      </c>
      <c r="M251" t="s">
        <v>994</v>
      </c>
      <c r="N251" t="s">
        <v>59</v>
      </c>
      <c r="O251" t="s">
        <v>47</v>
      </c>
      <c r="P251" t="s">
        <v>47</v>
      </c>
      <c r="Y251" t="s">
        <v>995</v>
      </c>
      <c r="AG251" t="s">
        <v>48</v>
      </c>
    </row>
    <row r="252" spans="1:33">
      <c r="A252" t="s">
        <v>996</v>
      </c>
      <c r="B252" t="s">
        <v>997</v>
      </c>
      <c r="D252" t="s">
        <v>40</v>
      </c>
      <c r="E252" t="s">
        <v>41</v>
      </c>
      <c r="J252" t="s">
        <v>270</v>
      </c>
      <c r="K252" t="s">
        <v>271</v>
      </c>
      <c r="L252">
        <v>5</v>
      </c>
      <c r="M252" t="s">
        <v>998</v>
      </c>
      <c r="N252" t="s">
        <v>59</v>
      </c>
      <c r="O252" t="s">
        <v>47</v>
      </c>
      <c r="P252" t="s">
        <v>47</v>
      </c>
      <c r="Y252" t="s">
        <v>999</v>
      </c>
      <c r="AG252" t="s">
        <v>48</v>
      </c>
    </row>
    <row r="253" spans="1:33">
      <c r="A253" t="s">
        <v>1000</v>
      </c>
      <c r="B253" t="s">
        <v>1001</v>
      </c>
      <c r="D253" t="s">
        <v>40</v>
      </c>
      <c r="E253" t="s">
        <v>41</v>
      </c>
      <c r="J253" t="s">
        <v>162</v>
      </c>
      <c r="K253" t="s">
        <v>163</v>
      </c>
      <c r="L253">
        <v>5</v>
      </c>
      <c r="M253" t="s">
        <v>998</v>
      </c>
      <c r="N253" t="s">
        <v>59</v>
      </c>
      <c r="O253" t="s">
        <v>47</v>
      </c>
      <c r="P253" t="s">
        <v>47</v>
      </c>
      <c r="Y253" t="s">
        <v>1002</v>
      </c>
      <c r="AG253" t="s">
        <v>48</v>
      </c>
    </row>
    <row r="254" spans="1:33">
      <c r="A254" t="s">
        <v>1003</v>
      </c>
      <c r="B254" t="s">
        <v>1004</v>
      </c>
      <c r="D254" t="s">
        <v>40</v>
      </c>
      <c r="E254" t="s">
        <v>41</v>
      </c>
      <c r="J254" t="s">
        <v>129</v>
      </c>
      <c r="K254" t="s">
        <v>130</v>
      </c>
      <c r="L254">
        <v>5</v>
      </c>
      <c r="M254" t="s">
        <v>998</v>
      </c>
      <c r="N254" t="s">
        <v>192</v>
      </c>
      <c r="O254" t="s">
        <v>47</v>
      </c>
      <c r="P254" t="s">
        <v>47</v>
      </c>
      <c r="Y254" t="s">
        <v>1005</v>
      </c>
      <c r="AG254" t="s">
        <v>48</v>
      </c>
    </row>
    <row r="255" spans="1:33">
      <c r="A255" t="s">
        <v>1006</v>
      </c>
      <c r="B255" t="s">
        <v>1007</v>
      </c>
      <c r="D255" t="s">
        <v>40</v>
      </c>
      <c r="E255" t="s">
        <v>41</v>
      </c>
      <c r="H255" t="s">
        <v>1008</v>
      </c>
      <c r="J255" t="s">
        <v>129</v>
      </c>
      <c r="K255" t="s">
        <v>130</v>
      </c>
      <c r="L255">
        <v>5</v>
      </c>
      <c r="M255" t="s">
        <v>1009</v>
      </c>
      <c r="N255" t="s">
        <v>218</v>
      </c>
      <c r="O255" t="s">
        <v>47</v>
      </c>
      <c r="P255" t="s">
        <v>47</v>
      </c>
      <c r="Y255" t="s">
        <v>1008</v>
      </c>
      <c r="AG255" t="s">
        <v>48</v>
      </c>
    </row>
    <row r="256" spans="1:33">
      <c r="A256" t="s">
        <v>1010</v>
      </c>
      <c r="B256" t="s">
        <v>1011</v>
      </c>
      <c r="D256" t="s">
        <v>40</v>
      </c>
      <c r="E256" t="s">
        <v>41</v>
      </c>
      <c r="J256" t="s">
        <v>108</v>
      </c>
      <c r="K256" t="s">
        <v>109</v>
      </c>
      <c r="L256">
        <v>5</v>
      </c>
      <c r="M256" t="s">
        <v>1012</v>
      </c>
      <c r="N256" t="s">
        <v>59</v>
      </c>
      <c r="O256" t="s">
        <v>47</v>
      </c>
      <c r="P256" t="s">
        <v>47</v>
      </c>
      <c r="Y256" t="s">
        <v>1013</v>
      </c>
      <c r="AG256" t="s">
        <v>48</v>
      </c>
    </row>
    <row r="257" spans="1:33">
      <c r="A257" t="s">
        <v>1014</v>
      </c>
      <c r="B257" t="s">
        <v>1015</v>
      </c>
      <c r="D257" t="s">
        <v>40</v>
      </c>
      <c r="E257" t="s">
        <v>41</v>
      </c>
      <c r="J257" t="s">
        <v>162</v>
      </c>
      <c r="K257" t="s">
        <v>163</v>
      </c>
      <c r="L257">
        <v>5</v>
      </c>
      <c r="M257" t="s">
        <v>1016</v>
      </c>
      <c r="N257" t="s">
        <v>59</v>
      </c>
      <c r="O257" t="s">
        <v>47</v>
      </c>
      <c r="P257" t="s">
        <v>47</v>
      </c>
      <c r="Y257" t="s">
        <v>1017</v>
      </c>
      <c r="AG257" t="s">
        <v>48</v>
      </c>
    </row>
    <row r="258" spans="1:33">
      <c r="A258" t="s">
        <v>1018</v>
      </c>
      <c r="B258" t="s">
        <v>1019</v>
      </c>
      <c r="D258" t="s">
        <v>40</v>
      </c>
      <c r="E258" t="s">
        <v>41</v>
      </c>
      <c r="J258" t="s">
        <v>270</v>
      </c>
      <c r="K258" t="s">
        <v>271</v>
      </c>
      <c r="L258">
        <v>5</v>
      </c>
      <c r="M258" t="s">
        <v>1016</v>
      </c>
      <c r="N258" t="s">
        <v>59</v>
      </c>
      <c r="O258" t="s">
        <v>47</v>
      </c>
      <c r="P258" t="s">
        <v>47</v>
      </c>
      <c r="Y258" t="s">
        <v>1020</v>
      </c>
      <c r="AG258" t="s">
        <v>48</v>
      </c>
    </row>
    <row r="259" spans="1:33">
      <c r="A259" t="s">
        <v>117</v>
      </c>
      <c r="B259" t="s">
        <v>1021</v>
      </c>
      <c r="D259" t="s">
        <v>40</v>
      </c>
      <c r="E259" t="s">
        <v>41</v>
      </c>
      <c r="J259" t="s">
        <v>290</v>
      </c>
      <c r="K259" t="s">
        <v>291</v>
      </c>
      <c r="L259">
        <v>5</v>
      </c>
      <c r="M259" t="s">
        <v>1016</v>
      </c>
      <c r="N259" t="s">
        <v>59</v>
      </c>
      <c r="O259" t="s">
        <v>47</v>
      </c>
      <c r="P259" t="s">
        <v>47</v>
      </c>
      <c r="Y259" t="s">
        <v>1022</v>
      </c>
      <c r="AG259" t="s">
        <v>48</v>
      </c>
    </row>
    <row r="260" spans="1:33">
      <c r="A260" t="s">
        <v>1023</v>
      </c>
      <c r="B260" t="s">
        <v>1024</v>
      </c>
      <c r="D260" t="s">
        <v>40</v>
      </c>
      <c r="E260" t="s">
        <v>41</v>
      </c>
      <c r="J260" t="s">
        <v>270</v>
      </c>
      <c r="K260" t="s">
        <v>271</v>
      </c>
      <c r="L260">
        <v>5</v>
      </c>
      <c r="M260" t="s">
        <v>1025</v>
      </c>
      <c r="N260" t="s">
        <v>59</v>
      </c>
      <c r="O260" t="s">
        <v>47</v>
      </c>
      <c r="P260" t="s">
        <v>47</v>
      </c>
      <c r="Y260" t="s">
        <v>1026</v>
      </c>
      <c r="AG260" t="s">
        <v>48</v>
      </c>
    </row>
    <row r="261" spans="1:33">
      <c r="A261" t="s">
        <v>1027</v>
      </c>
      <c r="B261" t="s">
        <v>1028</v>
      </c>
      <c r="D261" t="s">
        <v>40</v>
      </c>
      <c r="E261" t="s">
        <v>41</v>
      </c>
      <c r="J261" t="s">
        <v>162</v>
      </c>
      <c r="K261" t="s">
        <v>163</v>
      </c>
      <c r="L261">
        <v>5</v>
      </c>
      <c r="M261" t="s">
        <v>1029</v>
      </c>
      <c r="N261" t="s">
        <v>59</v>
      </c>
      <c r="O261" t="s">
        <v>47</v>
      </c>
      <c r="P261" t="s">
        <v>47</v>
      </c>
      <c r="Y261" t="s">
        <v>1030</v>
      </c>
      <c r="AG261" t="s">
        <v>48</v>
      </c>
    </row>
    <row r="262" spans="1:33">
      <c r="A262" t="s">
        <v>1031</v>
      </c>
      <c r="B262" t="s">
        <v>1032</v>
      </c>
      <c r="D262" t="s">
        <v>40</v>
      </c>
      <c r="E262" t="s">
        <v>41</v>
      </c>
      <c r="J262" t="s">
        <v>270</v>
      </c>
      <c r="K262" t="s">
        <v>271</v>
      </c>
      <c r="L262">
        <v>5</v>
      </c>
      <c r="M262" t="s">
        <v>1033</v>
      </c>
      <c r="N262" t="s">
        <v>59</v>
      </c>
      <c r="O262" t="s">
        <v>47</v>
      </c>
      <c r="P262" t="s">
        <v>47</v>
      </c>
      <c r="Y262" t="s">
        <v>1034</v>
      </c>
      <c r="AG262" t="s">
        <v>48</v>
      </c>
    </row>
    <row r="263" spans="1:33">
      <c r="A263" t="s">
        <v>1035</v>
      </c>
      <c r="B263" t="s">
        <v>1036</v>
      </c>
      <c r="D263" t="s">
        <v>40</v>
      </c>
      <c r="E263" t="s">
        <v>41</v>
      </c>
      <c r="H263" t="s">
        <v>1037</v>
      </c>
      <c r="J263" t="s">
        <v>129</v>
      </c>
      <c r="K263" t="s">
        <v>130</v>
      </c>
      <c r="L263">
        <v>5</v>
      </c>
      <c r="M263" t="s">
        <v>1033</v>
      </c>
      <c r="N263" t="s">
        <v>46</v>
      </c>
      <c r="O263" t="s">
        <v>47</v>
      </c>
      <c r="P263" t="s">
        <v>47</v>
      </c>
      <c r="Y263" t="s">
        <v>1037</v>
      </c>
      <c r="AG263" t="s">
        <v>48</v>
      </c>
    </row>
    <row r="264" spans="1:33">
      <c r="A264" t="s">
        <v>1038</v>
      </c>
      <c r="B264" t="s">
        <v>1039</v>
      </c>
      <c r="D264" t="s">
        <v>40</v>
      </c>
      <c r="E264" t="s">
        <v>41</v>
      </c>
      <c r="J264" t="s">
        <v>290</v>
      </c>
      <c r="K264" t="s">
        <v>291</v>
      </c>
      <c r="L264">
        <v>5</v>
      </c>
      <c r="M264" t="s">
        <v>1033</v>
      </c>
      <c r="N264" t="s">
        <v>59</v>
      </c>
      <c r="O264" t="s">
        <v>47</v>
      </c>
      <c r="P264" t="s">
        <v>47</v>
      </c>
      <c r="Y264" t="s">
        <v>1040</v>
      </c>
      <c r="AG264" t="s">
        <v>48</v>
      </c>
    </row>
    <row r="265" spans="1:33">
      <c r="A265" t="s">
        <v>1041</v>
      </c>
      <c r="B265" t="s">
        <v>1042</v>
      </c>
      <c r="D265" t="s">
        <v>40</v>
      </c>
      <c r="E265" t="s">
        <v>41</v>
      </c>
      <c r="J265" t="s">
        <v>290</v>
      </c>
      <c r="K265" t="s">
        <v>291</v>
      </c>
      <c r="L265">
        <v>5</v>
      </c>
      <c r="M265" t="s">
        <v>1033</v>
      </c>
      <c r="N265" t="s">
        <v>59</v>
      </c>
      <c r="O265" t="s">
        <v>47</v>
      </c>
      <c r="P265" t="s">
        <v>47</v>
      </c>
      <c r="Y265" t="s">
        <v>1043</v>
      </c>
      <c r="AG265" t="s">
        <v>48</v>
      </c>
    </row>
    <row r="266" spans="1:33">
      <c r="A266" t="s">
        <v>1044</v>
      </c>
      <c r="B266" t="s">
        <v>1045</v>
      </c>
      <c r="D266" t="s">
        <v>40</v>
      </c>
      <c r="E266" t="s">
        <v>41</v>
      </c>
      <c r="J266" t="s">
        <v>1046</v>
      </c>
      <c r="K266" t="s">
        <v>1047</v>
      </c>
      <c r="L266">
        <v>5</v>
      </c>
      <c r="M266" t="s">
        <v>1048</v>
      </c>
      <c r="N266" t="s">
        <v>218</v>
      </c>
      <c r="O266" t="s">
        <v>47</v>
      </c>
      <c r="P266" t="s">
        <v>47</v>
      </c>
      <c r="Y266" t="s">
        <v>1049</v>
      </c>
      <c r="AG266" t="s">
        <v>48</v>
      </c>
    </row>
    <row r="267" spans="1:33">
      <c r="A267" t="s">
        <v>1050</v>
      </c>
      <c r="B267" t="s">
        <v>1051</v>
      </c>
      <c r="D267" t="s">
        <v>40</v>
      </c>
      <c r="E267" t="s">
        <v>41</v>
      </c>
      <c r="J267" t="s">
        <v>1052</v>
      </c>
      <c r="K267" t="s">
        <v>1053</v>
      </c>
      <c r="L267">
        <v>5</v>
      </c>
      <c r="M267" t="s">
        <v>1054</v>
      </c>
      <c r="N267" t="s">
        <v>192</v>
      </c>
      <c r="O267" t="s">
        <v>47</v>
      </c>
      <c r="P267" t="s">
        <v>47</v>
      </c>
      <c r="Y267" t="s">
        <v>1055</v>
      </c>
      <c r="AG267" t="s">
        <v>48</v>
      </c>
    </row>
    <row r="268" spans="1:33">
      <c r="A268" t="s">
        <v>1056</v>
      </c>
      <c r="B268" t="s">
        <v>1057</v>
      </c>
      <c r="D268" t="s">
        <v>40</v>
      </c>
      <c r="E268" t="s">
        <v>41</v>
      </c>
      <c r="J268" t="s">
        <v>162</v>
      </c>
      <c r="K268" t="s">
        <v>163</v>
      </c>
      <c r="L268">
        <v>5</v>
      </c>
      <c r="M268" t="s">
        <v>1054</v>
      </c>
      <c r="N268" t="s">
        <v>59</v>
      </c>
      <c r="O268" t="s">
        <v>47</v>
      </c>
      <c r="P268" t="s">
        <v>47</v>
      </c>
      <c r="Y268" t="s">
        <v>1058</v>
      </c>
      <c r="AG268" t="s">
        <v>48</v>
      </c>
    </row>
    <row r="269" spans="1:33">
      <c r="A269" t="s">
        <v>1059</v>
      </c>
      <c r="B269" t="s">
        <v>1060</v>
      </c>
      <c r="D269" t="s">
        <v>40</v>
      </c>
      <c r="E269" t="s">
        <v>41</v>
      </c>
      <c r="J269" t="s">
        <v>290</v>
      </c>
      <c r="K269" t="s">
        <v>291</v>
      </c>
      <c r="L269">
        <v>5</v>
      </c>
      <c r="M269" t="s">
        <v>1054</v>
      </c>
      <c r="N269" t="s">
        <v>59</v>
      </c>
      <c r="O269" t="s">
        <v>47</v>
      </c>
      <c r="P269" t="s">
        <v>47</v>
      </c>
      <c r="Y269" t="s">
        <v>1061</v>
      </c>
      <c r="AG269" t="s">
        <v>48</v>
      </c>
    </row>
    <row r="270" spans="1:33">
      <c r="A270" t="s">
        <v>1062</v>
      </c>
      <c r="B270" t="s">
        <v>1063</v>
      </c>
      <c r="D270" t="s">
        <v>40</v>
      </c>
      <c r="E270" t="s">
        <v>41</v>
      </c>
      <c r="H270" t="s">
        <v>1064</v>
      </c>
      <c r="J270" t="s">
        <v>129</v>
      </c>
      <c r="K270" t="s">
        <v>130</v>
      </c>
      <c r="L270">
        <v>5</v>
      </c>
      <c r="M270" t="s">
        <v>1065</v>
      </c>
      <c r="N270" t="s">
        <v>192</v>
      </c>
      <c r="O270" t="s">
        <v>47</v>
      </c>
      <c r="P270" t="s">
        <v>47</v>
      </c>
      <c r="Y270" t="s">
        <v>1064</v>
      </c>
      <c r="AG270" t="s">
        <v>48</v>
      </c>
    </row>
    <row r="271" spans="1:33">
      <c r="A271" t="s">
        <v>1066</v>
      </c>
      <c r="B271" t="s">
        <v>1067</v>
      </c>
      <c r="D271" t="s">
        <v>40</v>
      </c>
      <c r="E271" t="s">
        <v>41</v>
      </c>
      <c r="J271" t="s">
        <v>162</v>
      </c>
      <c r="K271" t="s">
        <v>163</v>
      </c>
      <c r="L271">
        <v>5</v>
      </c>
      <c r="M271" t="s">
        <v>1068</v>
      </c>
      <c r="N271" t="s">
        <v>59</v>
      </c>
      <c r="O271" t="s">
        <v>47</v>
      </c>
      <c r="P271" t="s">
        <v>47</v>
      </c>
      <c r="Y271" t="s">
        <v>1069</v>
      </c>
      <c r="AG271" t="s">
        <v>48</v>
      </c>
    </row>
    <row r="272" spans="1:33">
      <c r="A272" t="s">
        <v>1070</v>
      </c>
      <c r="B272" t="s">
        <v>1071</v>
      </c>
      <c r="D272" t="s">
        <v>40</v>
      </c>
      <c r="E272" t="s">
        <v>41</v>
      </c>
      <c r="H272" t="s">
        <v>1072</v>
      </c>
      <c r="J272" t="s">
        <v>162</v>
      </c>
      <c r="K272" t="s">
        <v>163</v>
      </c>
      <c r="L272">
        <v>5</v>
      </c>
      <c r="M272" t="s">
        <v>1073</v>
      </c>
      <c r="N272" t="s">
        <v>59</v>
      </c>
      <c r="O272" t="s">
        <v>47</v>
      </c>
      <c r="P272" t="s">
        <v>47</v>
      </c>
      <c r="Y272" t="s">
        <v>1072</v>
      </c>
      <c r="AG272" t="s">
        <v>48</v>
      </c>
    </row>
    <row r="273" spans="1:33">
      <c r="A273" t="s">
        <v>1074</v>
      </c>
      <c r="B273" t="s">
        <v>1075</v>
      </c>
      <c r="D273" t="s">
        <v>40</v>
      </c>
      <c r="E273" t="s">
        <v>41</v>
      </c>
      <c r="J273" t="s">
        <v>162</v>
      </c>
      <c r="K273" t="s">
        <v>163</v>
      </c>
      <c r="L273">
        <v>5</v>
      </c>
      <c r="M273" t="s">
        <v>1076</v>
      </c>
      <c r="N273" t="s">
        <v>59</v>
      </c>
      <c r="O273" t="s">
        <v>47</v>
      </c>
      <c r="P273" t="s">
        <v>47</v>
      </c>
      <c r="Y273" t="s">
        <v>1077</v>
      </c>
      <c r="AG273" t="s">
        <v>48</v>
      </c>
    </row>
    <row r="274" spans="1:33">
      <c r="A274" t="s">
        <v>1078</v>
      </c>
      <c r="B274" t="s">
        <v>1079</v>
      </c>
      <c r="D274" t="s">
        <v>40</v>
      </c>
      <c r="E274" t="s">
        <v>41</v>
      </c>
      <c r="J274" t="s">
        <v>108</v>
      </c>
      <c r="K274" t="s">
        <v>109</v>
      </c>
      <c r="L274">
        <v>5</v>
      </c>
      <c r="M274" t="s">
        <v>1080</v>
      </c>
      <c r="N274" t="s">
        <v>59</v>
      </c>
      <c r="O274" t="s">
        <v>47</v>
      </c>
      <c r="P274" t="s">
        <v>47</v>
      </c>
      <c r="Y274" t="s">
        <v>1081</v>
      </c>
      <c r="AG274" t="s">
        <v>48</v>
      </c>
    </row>
    <row r="275" spans="1:33">
      <c r="A275" t="s">
        <v>1082</v>
      </c>
      <c r="B275" t="s">
        <v>1083</v>
      </c>
      <c r="D275" t="s">
        <v>40</v>
      </c>
      <c r="E275" t="s">
        <v>41</v>
      </c>
      <c r="J275" t="s">
        <v>162</v>
      </c>
      <c r="K275" t="s">
        <v>163</v>
      </c>
      <c r="L275">
        <v>5</v>
      </c>
      <c r="M275" t="s">
        <v>1084</v>
      </c>
      <c r="N275" t="s">
        <v>59</v>
      </c>
      <c r="O275" t="s">
        <v>47</v>
      </c>
      <c r="P275" t="s">
        <v>47</v>
      </c>
      <c r="Y275" t="s">
        <v>1085</v>
      </c>
      <c r="AG275" t="s">
        <v>48</v>
      </c>
    </row>
    <row r="276" spans="1:33">
      <c r="A276" t="s">
        <v>1086</v>
      </c>
      <c r="B276" t="s">
        <v>1087</v>
      </c>
      <c r="D276" t="s">
        <v>40</v>
      </c>
      <c r="E276" t="s">
        <v>41</v>
      </c>
      <c r="J276" t="s">
        <v>270</v>
      </c>
      <c r="K276" t="s">
        <v>271</v>
      </c>
      <c r="L276">
        <v>5</v>
      </c>
      <c r="M276" t="s">
        <v>1084</v>
      </c>
      <c r="N276" t="s">
        <v>59</v>
      </c>
      <c r="O276" t="s">
        <v>47</v>
      </c>
      <c r="P276" t="s">
        <v>47</v>
      </c>
      <c r="Y276" t="s">
        <v>1088</v>
      </c>
      <c r="AG276" t="s">
        <v>48</v>
      </c>
    </row>
    <row r="277" spans="1:33">
      <c r="A277" t="s">
        <v>1089</v>
      </c>
      <c r="B277" t="s">
        <v>1090</v>
      </c>
      <c r="D277" t="s">
        <v>40</v>
      </c>
      <c r="E277" t="s">
        <v>41</v>
      </c>
      <c r="J277" t="s">
        <v>123</v>
      </c>
      <c r="K277" t="s">
        <v>124</v>
      </c>
      <c r="L277">
        <v>7</v>
      </c>
      <c r="M277" t="s">
        <v>1091</v>
      </c>
      <c r="N277" t="s">
        <v>192</v>
      </c>
      <c r="O277" t="s">
        <v>47</v>
      </c>
      <c r="P277" t="s">
        <v>47</v>
      </c>
      <c r="Y277" t="s">
        <v>1092</v>
      </c>
      <c r="AG277" t="s">
        <v>48</v>
      </c>
    </row>
    <row r="278" spans="1:33">
      <c r="A278" t="s">
        <v>1093</v>
      </c>
      <c r="B278" t="s">
        <v>1094</v>
      </c>
      <c r="D278" t="s">
        <v>40</v>
      </c>
      <c r="E278" t="s">
        <v>41</v>
      </c>
      <c r="J278" t="s">
        <v>108</v>
      </c>
      <c r="K278" t="s">
        <v>109</v>
      </c>
      <c r="L278">
        <v>5</v>
      </c>
      <c r="M278" t="s">
        <v>1095</v>
      </c>
      <c r="N278" t="s">
        <v>59</v>
      </c>
      <c r="O278" t="s">
        <v>47</v>
      </c>
      <c r="P278" t="s">
        <v>47</v>
      </c>
      <c r="Y278" t="s">
        <v>1096</v>
      </c>
      <c r="AG278" t="s">
        <v>48</v>
      </c>
    </row>
    <row r="279" spans="1:33">
      <c r="A279" t="s">
        <v>1097</v>
      </c>
      <c r="B279" t="s">
        <v>1098</v>
      </c>
      <c r="D279" t="s">
        <v>40</v>
      </c>
      <c r="E279" t="s">
        <v>41</v>
      </c>
      <c r="J279" t="s">
        <v>290</v>
      </c>
      <c r="K279" t="s">
        <v>291</v>
      </c>
      <c r="L279">
        <v>5</v>
      </c>
      <c r="M279" t="s">
        <v>1099</v>
      </c>
      <c r="N279" t="s">
        <v>59</v>
      </c>
      <c r="O279" t="s">
        <v>47</v>
      </c>
      <c r="P279" t="s">
        <v>47</v>
      </c>
      <c r="Y279" t="s">
        <v>1100</v>
      </c>
      <c r="AG279" t="s">
        <v>48</v>
      </c>
    </row>
    <row r="280" spans="1:33">
      <c r="A280" t="s">
        <v>1101</v>
      </c>
      <c r="B280" t="s">
        <v>1102</v>
      </c>
      <c r="D280" t="s">
        <v>40</v>
      </c>
      <c r="E280" t="s">
        <v>41</v>
      </c>
      <c r="J280" t="s">
        <v>270</v>
      </c>
      <c r="K280" t="s">
        <v>271</v>
      </c>
      <c r="L280">
        <v>5</v>
      </c>
      <c r="M280" t="s">
        <v>1099</v>
      </c>
      <c r="N280" t="s">
        <v>59</v>
      </c>
      <c r="O280" t="s">
        <v>47</v>
      </c>
      <c r="P280" t="s">
        <v>47</v>
      </c>
      <c r="Y280" t="s">
        <v>1103</v>
      </c>
      <c r="AG280" t="s">
        <v>48</v>
      </c>
    </row>
    <row r="281" spans="1:33">
      <c r="A281" t="s">
        <v>1104</v>
      </c>
      <c r="B281" t="s">
        <v>1105</v>
      </c>
      <c r="D281" t="s">
        <v>40</v>
      </c>
      <c r="E281" t="s">
        <v>41</v>
      </c>
      <c r="J281" t="s">
        <v>290</v>
      </c>
      <c r="K281" t="s">
        <v>291</v>
      </c>
      <c r="L281">
        <v>5</v>
      </c>
      <c r="M281" t="s">
        <v>1099</v>
      </c>
      <c r="N281" t="s">
        <v>59</v>
      </c>
      <c r="O281" t="s">
        <v>47</v>
      </c>
      <c r="P281" t="s">
        <v>47</v>
      </c>
      <c r="Y281" t="s">
        <v>1106</v>
      </c>
      <c r="AG281" t="s">
        <v>48</v>
      </c>
    </row>
    <row r="282" spans="1:33">
      <c r="A282" t="s">
        <v>1107</v>
      </c>
      <c r="B282" t="s">
        <v>1108</v>
      </c>
      <c r="D282" t="s">
        <v>40</v>
      </c>
      <c r="E282" t="s">
        <v>41</v>
      </c>
      <c r="J282" t="s">
        <v>147</v>
      </c>
      <c r="K282" t="s">
        <v>148</v>
      </c>
      <c r="L282">
        <v>6</v>
      </c>
      <c r="M282" t="s">
        <v>1109</v>
      </c>
      <c r="N282" t="s">
        <v>192</v>
      </c>
      <c r="O282" t="s">
        <v>47</v>
      </c>
      <c r="P282" t="s">
        <v>47</v>
      </c>
      <c r="Y282" t="s">
        <v>1110</v>
      </c>
      <c r="AG282" t="s">
        <v>48</v>
      </c>
    </row>
    <row r="283" spans="1:33">
      <c r="A283" t="s">
        <v>1111</v>
      </c>
      <c r="B283" t="s">
        <v>1112</v>
      </c>
      <c r="D283" t="s">
        <v>40</v>
      </c>
      <c r="E283" t="s">
        <v>41</v>
      </c>
      <c r="J283" t="s">
        <v>290</v>
      </c>
      <c r="K283" t="s">
        <v>291</v>
      </c>
      <c r="L283">
        <v>5</v>
      </c>
      <c r="M283" t="s">
        <v>1113</v>
      </c>
      <c r="N283" t="s">
        <v>59</v>
      </c>
      <c r="O283" t="s">
        <v>47</v>
      </c>
      <c r="P283" t="s">
        <v>47</v>
      </c>
      <c r="Y283" t="s">
        <v>1114</v>
      </c>
      <c r="AG283" t="s">
        <v>48</v>
      </c>
    </row>
    <row r="284" spans="1:33">
      <c r="A284" t="s">
        <v>1115</v>
      </c>
      <c r="B284" t="s">
        <v>1116</v>
      </c>
      <c r="D284" t="s">
        <v>40</v>
      </c>
      <c r="E284" t="s">
        <v>41</v>
      </c>
      <c r="J284" t="s">
        <v>162</v>
      </c>
      <c r="K284" t="s">
        <v>163</v>
      </c>
      <c r="L284">
        <v>5</v>
      </c>
      <c r="M284" t="s">
        <v>1113</v>
      </c>
      <c r="N284" t="s">
        <v>59</v>
      </c>
      <c r="O284" t="s">
        <v>47</v>
      </c>
      <c r="P284" t="s">
        <v>47</v>
      </c>
      <c r="Y284" t="s">
        <v>1117</v>
      </c>
      <c r="AG284" t="s">
        <v>48</v>
      </c>
    </row>
    <row r="285" spans="1:33">
      <c r="A285" t="s">
        <v>1118</v>
      </c>
      <c r="B285" t="s">
        <v>1119</v>
      </c>
      <c r="D285" t="s">
        <v>40</v>
      </c>
      <c r="E285" t="s">
        <v>41</v>
      </c>
      <c r="J285" t="s">
        <v>290</v>
      </c>
      <c r="K285" t="s">
        <v>291</v>
      </c>
      <c r="L285">
        <v>5</v>
      </c>
      <c r="M285" t="s">
        <v>1120</v>
      </c>
      <c r="N285" t="s">
        <v>59</v>
      </c>
      <c r="O285" t="s">
        <v>47</v>
      </c>
      <c r="P285" t="s">
        <v>47</v>
      </c>
      <c r="Y285" t="s">
        <v>1121</v>
      </c>
      <c r="AG285" t="s">
        <v>48</v>
      </c>
    </row>
    <row r="286" spans="1:33">
      <c r="A286" t="s">
        <v>1122</v>
      </c>
      <c r="B286" t="s">
        <v>1123</v>
      </c>
      <c r="D286" t="s">
        <v>40</v>
      </c>
      <c r="E286" t="s">
        <v>41</v>
      </c>
      <c r="J286" t="s">
        <v>69</v>
      </c>
      <c r="K286" t="s">
        <v>70</v>
      </c>
      <c r="L286">
        <v>5</v>
      </c>
      <c r="M286" t="s">
        <v>1124</v>
      </c>
      <c r="N286" t="s">
        <v>192</v>
      </c>
      <c r="O286" t="s">
        <v>47</v>
      </c>
      <c r="P286" t="s">
        <v>47</v>
      </c>
      <c r="Y286" t="s">
        <v>1125</v>
      </c>
      <c r="AG286" t="s">
        <v>48</v>
      </c>
    </row>
    <row r="287" spans="1:33">
      <c r="A287" t="s">
        <v>1126</v>
      </c>
      <c r="B287" t="s">
        <v>1127</v>
      </c>
      <c r="D287" t="s">
        <v>40</v>
      </c>
      <c r="E287" t="s">
        <v>41</v>
      </c>
      <c r="J287" t="s">
        <v>162</v>
      </c>
      <c r="K287" t="s">
        <v>163</v>
      </c>
      <c r="L287">
        <v>5</v>
      </c>
      <c r="M287" t="s">
        <v>1128</v>
      </c>
      <c r="N287" t="s">
        <v>59</v>
      </c>
      <c r="O287" t="s">
        <v>47</v>
      </c>
      <c r="P287" t="s">
        <v>47</v>
      </c>
      <c r="Y287" t="s">
        <v>1129</v>
      </c>
      <c r="AG287" t="s">
        <v>48</v>
      </c>
    </row>
    <row r="288" spans="1:33">
      <c r="A288" t="s">
        <v>1130</v>
      </c>
      <c r="B288" t="s">
        <v>1131</v>
      </c>
      <c r="D288" t="s">
        <v>40</v>
      </c>
      <c r="E288" t="s">
        <v>41</v>
      </c>
      <c r="J288" t="s">
        <v>108</v>
      </c>
      <c r="K288" t="s">
        <v>109</v>
      </c>
      <c r="L288">
        <v>5</v>
      </c>
      <c r="M288" t="s">
        <v>1132</v>
      </c>
      <c r="N288" t="s">
        <v>59</v>
      </c>
      <c r="O288" t="s">
        <v>47</v>
      </c>
      <c r="P288" t="s">
        <v>47</v>
      </c>
      <c r="Y288" t="s">
        <v>1133</v>
      </c>
      <c r="AG288" t="s">
        <v>48</v>
      </c>
    </row>
    <row r="289" spans="1:33">
      <c r="A289" t="s">
        <v>1134</v>
      </c>
      <c r="B289" t="s">
        <v>1135</v>
      </c>
      <c r="D289" t="s">
        <v>40</v>
      </c>
      <c r="E289" t="s">
        <v>41</v>
      </c>
      <c r="J289" t="s">
        <v>108</v>
      </c>
      <c r="K289" t="s">
        <v>109</v>
      </c>
      <c r="L289">
        <v>5</v>
      </c>
      <c r="M289" t="s">
        <v>1136</v>
      </c>
      <c r="N289" t="s">
        <v>59</v>
      </c>
      <c r="O289" t="s">
        <v>47</v>
      </c>
      <c r="P289" t="s">
        <v>47</v>
      </c>
      <c r="Y289" t="s">
        <v>1137</v>
      </c>
      <c r="AG289" t="s">
        <v>48</v>
      </c>
    </row>
    <row r="290" spans="1:33">
      <c r="A290" t="s">
        <v>1138</v>
      </c>
      <c r="B290" t="s">
        <v>1139</v>
      </c>
      <c r="D290" t="s">
        <v>40</v>
      </c>
      <c r="E290" t="s">
        <v>41</v>
      </c>
      <c r="J290" t="s">
        <v>43</v>
      </c>
      <c r="K290" t="s">
        <v>44</v>
      </c>
      <c r="L290">
        <v>5</v>
      </c>
      <c r="M290" t="s">
        <v>1136</v>
      </c>
      <c r="N290" t="s">
        <v>192</v>
      </c>
      <c r="O290" t="s">
        <v>47</v>
      </c>
      <c r="P290" t="s">
        <v>47</v>
      </c>
      <c r="Y290" t="s">
        <v>1140</v>
      </c>
      <c r="AG290" t="s">
        <v>48</v>
      </c>
    </row>
    <row r="291" spans="1:33">
      <c r="A291" t="s">
        <v>1141</v>
      </c>
      <c r="B291" t="s">
        <v>1142</v>
      </c>
      <c r="D291" t="s">
        <v>40</v>
      </c>
      <c r="E291" t="s">
        <v>41</v>
      </c>
      <c r="J291" t="s">
        <v>270</v>
      </c>
      <c r="K291" t="s">
        <v>271</v>
      </c>
      <c r="L291">
        <v>5</v>
      </c>
      <c r="M291" t="s">
        <v>1136</v>
      </c>
      <c r="N291" t="s">
        <v>59</v>
      </c>
      <c r="O291" t="s">
        <v>47</v>
      </c>
      <c r="P291" t="s">
        <v>47</v>
      </c>
      <c r="Y291" t="s">
        <v>1143</v>
      </c>
      <c r="AG291" t="s">
        <v>48</v>
      </c>
    </row>
    <row r="292" spans="1:33">
      <c r="A292" t="s">
        <v>1144</v>
      </c>
      <c r="B292" t="s">
        <v>1145</v>
      </c>
      <c r="D292" t="s">
        <v>40</v>
      </c>
      <c r="E292" t="s">
        <v>41</v>
      </c>
      <c r="J292" t="s">
        <v>108</v>
      </c>
      <c r="K292" t="s">
        <v>109</v>
      </c>
      <c r="L292">
        <v>5</v>
      </c>
      <c r="M292" t="s">
        <v>1136</v>
      </c>
      <c r="N292" t="s">
        <v>59</v>
      </c>
      <c r="O292" t="s">
        <v>47</v>
      </c>
      <c r="P292" t="s">
        <v>47</v>
      </c>
      <c r="Y292" t="s">
        <v>1146</v>
      </c>
      <c r="AG292" t="s">
        <v>48</v>
      </c>
    </row>
    <row r="293" spans="1:33">
      <c r="A293" t="s">
        <v>1147</v>
      </c>
      <c r="B293" t="s">
        <v>1148</v>
      </c>
      <c r="D293" t="s">
        <v>40</v>
      </c>
      <c r="E293" t="s">
        <v>41</v>
      </c>
      <c r="H293" t="s">
        <v>1149</v>
      </c>
      <c r="J293" t="s">
        <v>63</v>
      </c>
      <c r="K293" t="s">
        <v>64</v>
      </c>
      <c r="L293">
        <v>5</v>
      </c>
      <c r="M293" t="s">
        <v>1150</v>
      </c>
      <c r="N293" t="s">
        <v>59</v>
      </c>
      <c r="O293" t="s">
        <v>47</v>
      </c>
      <c r="P293" t="s">
        <v>47</v>
      </c>
      <c r="Y293" t="s">
        <v>1149</v>
      </c>
      <c r="AG293" t="s">
        <v>48</v>
      </c>
    </row>
    <row r="294" spans="1:33">
      <c r="A294" t="s">
        <v>1151</v>
      </c>
      <c r="B294" t="s">
        <v>1152</v>
      </c>
      <c r="D294" t="s">
        <v>40</v>
      </c>
      <c r="E294" t="s">
        <v>41</v>
      </c>
      <c r="H294" t="s">
        <v>1153</v>
      </c>
      <c r="J294" t="s">
        <v>63</v>
      </c>
      <c r="K294" t="s">
        <v>64</v>
      </c>
      <c r="L294">
        <v>5</v>
      </c>
      <c r="M294" t="s">
        <v>1154</v>
      </c>
      <c r="N294" t="s">
        <v>59</v>
      </c>
      <c r="O294" t="s">
        <v>47</v>
      </c>
      <c r="P294" t="s">
        <v>47</v>
      </c>
      <c r="Y294" t="s">
        <v>1153</v>
      </c>
      <c r="AG294" t="s">
        <v>48</v>
      </c>
    </row>
    <row r="295" spans="1:33">
      <c r="A295" t="s">
        <v>1155</v>
      </c>
      <c r="B295" t="s">
        <v>1156</v>
      </c>
      <c r="D295" t="s">
        <v>40</v>
      </c>
      <c r="E295" t="s">
        <v>41</v>
      </c>
      <c r="H295" t="s">
        <v>1157</v>
      </c>
      <c r="J295" t="s">
        <v>63</v>
      </c>
      <c r="K295" t="s">
        <v>64</v>
      </c>
      <c r="L295">
        <v>5</v>
      </c>
      <c r="M295" t="s">
        <v>1158</v>
      </c>
      <c r="N295" t="s">
        <v>59</v>
      </c>
      <c r="O295" t="s">
        <v>47</v>
      </c>
      <c r="P295" t="s">
        <v>47</v>
      </c>
      <c r="Y295" t="s">
        <v>1157</v>
      </c>
      <c r="AG295" t="s">
        <v>48</v>
      </c>
    </row>
    <row r="296" spans="1:33">
      <c r="A296" t="s">
        <v>1159</v>
      </c>
      <c r="B296" t="s">
        <v>1160</v>
      </c>
      <c r="D296" t="s">
        <v>40</v>
      </c>
      <c r="E296" t="s">
        <v>41</v>
      </c>
      <c r="H296" t="s">
        <v>1161</v>
      </c>
      <c r="J296" t="s">
        <v>63</v>
      </c>
      <c r="K296" t="s">
        <v>64</v>
      </c>
      <c r="L296">
        <v>5</v>
      </c>
      <c r="M296" t="s">
        <v>1162</v>
      </c>
      <c r="N296" t="s">
        <v>59</v>
      </c>
      <c r="O296" t="s">
        <v>47</v>
      </c>
      <c r="P296" t="s">
        <v>47</v>
      </c>
      <c r="Y296" t="s">
        <v>1161</v>
      </c>
      <c r="AG296" t="s">
        <v>48</v>
      </c>
    </row>
    <row r="297" spans="1:33">
      <c r="A297" t="s">
        <v>1163</v>
      </c>
      <c r="B297" t="s">
        <v>1164</v>
      </c>
      <c r="D297" t="s">
        <v>40</v>
      </c>
      <c r="E297" t="s">
        <v>41</v>
      </c>
      <c r="H297" t="s">
        <v>1165</v>
      </c>
      <c r="J297" t="s">
        <v>63</v>
      </c>
      <c r="K297" t="s">
        <v>64</v>
      </c>
      <c r="L297">
        <v>5</v>
      </c>
      <c r="M297" t="s">
        <v>1166</v>
      </c>
      <c r="N297" t="s">
        <v>59</v>
      </c>
      <c r="O297" t="s">
        <v>47</v>
      </c>
      <c r="P297" t="s">
        <v>47</v>
      </c>
      <c r="Y297" t="s">
        <v>1165</v>
      </c>
      <c r="AG297" t="s">
        <v>48</v>
      </c>
    </row>
    <row r="298" spans="1:33">
      <c r="A298" t="s">
        <v>1167</v>
      </c>
      <c r="B298" t="s">
        <v>1168</v>
      </c>
      <c r="D298" t="s">
        <v>40</v>
      </c>
      <c r="E298" t="s">
        <v>41</v>
      </c>
      <c r="H298" t="s">
        <v>1169</v>
      </c>
      <c r="J298" t="s">
        <v>63</v>
      </c>
      <c r="K298" t="s">
        <v>64</v>
      </c>
      <c r="L298">
        <v>5</v>
      </c>
      <c r="M298" t="s">
        <v>1170</v>
      </c>
      <c r="N298" t="s">
        <v>59</v>
      </c>
      <c r="O298" t="s">
        <v>47</v>
      </c>
      <c r="P298" t="s">
        <v>47</v>
      </c>
      <c r="Y298" t="s">
        <v>1169</v>
      </c>
      <c r="AG298" t="s">
        <v>48</v>
      </c>
    </row>
    <row r="299" spans="1:33">
      <c r="A299" t="s">
        <v>1171</v>
      </c>
      <c r="B299" t="s">
        <v>1172</v>
      </c>
      <c r="D299" t="s">
        <v>40</v>
      </c>
      <c r="E299" t="s">
        <v>41</v>
      </c>
      <c r="H299" t="s">
        <v>1173</v>
      </c>
      <c r="J299" t="s">
        <v>63</v>
      </c>
      <c r="K299" t="s">
        <v>64</v>
      </c>
      <c r="L299">
        <v>5</v>
      </c>
      <c r="M299" t="s">
        <v>1174</v>
      </c>
      <c r="N299" t="s">
        <v>59</v>
      </c>
      <c r="O299" t="s">
        <v>47</v>
      </c>
      <c r="P299" t="s">
        <v>47</v>
      </c>
      <c r="Y299" t="s">
        <v>1173</v>
      </c>
      <c r="AG299" t="s">
        <v>48</v>
      </c>
    </row>
    <row r="300" spans="1:33">
      <c r="A300" t="s">
        <v>1175</v>
      </c>
      <c r="B300" t="s">
        <v>1176</v>
      </c>
      <c r="D300" t="s">
        <v>40</v>
      </c>
      <c r="E300" t="s">
        <v>41</v>
      </c>
      <c r="J300" t="s">
        <v>270</v>
      </c>
      <c r="K300" t="s">
        <v>271</v>
      </c>
      <c r="L300">
        <v>5</v>
      </c>
      <c r="M300" t="s">
        <v>1177</v>
      </c>
      <c r="N300" t="s">
        <v>59</v>
      </c>
      <c r="O300" t="s">
        <v>47</v>
      </c>
      <c r="P300" t="s">
        <v>47</v>
      </c>
      <c r="Y300" t="s">
        <v>1178</v>
      </c>
      <c r="AG300" t="s">
        <v>48</v>
      </c>
    </row>
    <row r="301" spans="1:33">
      <c r="A301" t="s">
        <v>1179</v>
      </c>
      <c r="B301" t="s">
        <v>1180</v>
      </c>
      <c r="D301" t="s">
        <v>40</v>
      </c>
      <c r="E301" t="s">
        <v>41</v>
      </c>
      <c r="J301" t="s">
        <v>108</v>
      </c>
      <c r="K301" t="s">
        <v>109</v>
      </c>
      <c r="L301">
        <v>5</v>
      </c>
      <c r="M301" t="s">
        <v>1177</v>
      </c>
      <c r="N301" t="s">
        <v>59</v>
      </c>
      <c r="O301" t="s">
        <v>47</v>
      </c>
      <c r="P301" t="s">
        <v>47</v>
      </c>
      <c r="Y301" t="s">
        <v>1181</v>
      </c>
      <c r="AG301" t="s">
        <v>48</v>
      </c>
    </row>
    <row r="302" spans="1:33">
      <c r="A302" t="s">
        <v>1182</v>
      </c>
      <c r="B302" t="s">
        <v>1183</v>
      </c>
      <c r="D302" t="s">
        <v>40</v>
      </c>
      <c r="E302" t="s">
        <v>41</v>
      </c>
      <c r="J302" t="s">
        <v>290</v>
      </c>
      <c r="K302" t="s">
        <v>291</v>
      </c>
      <c r="L302">
        <v>5</v>
      </c>
      <c r="M302" t="s">
        <v>1184</v>
      </c>
      <c r="N302" t="s">
        <v>59</v>
      </c>
      <c r="O302" t="s">
        <v>47</v>
      </c>
      <c r="P302" t="s">
        <v>47</v>
      </c>
      <c r="Y302" t="s">
        <v>1185</v>
      </c>
      <c r="AG302" t="s">
        <v>48</v>
      </c>
    </row>
    <row r="303" spans="1:33">
      <c r="A303" t="s">
        <v>1186</v>
      </c>
      <c r="B303" t="s">
        <v>1187</v>
      </c>
      <c r="D303" t="s">
        <v>40</v>
      </c>
      <c r="E303" t="s">
        <v>41</v>
      </c>
      <c r="J303" t="s">
        <v>290</v>
      </c>
      <c r="K303" t="s">
        <v>291</v>
      </c>
      <c r="L303">
        <v>5</v>
      </c>
      <c r="M303" t="s">
        <v>1184</v>
      </c>
      <c r="N303" t="s">
        <v>59</v>
      </c>
      <c r="O303" t="s">
        <v>47</v>
      </c>
      <c r="P303" t="s">
        <v>47</v>
      </c>
      <c r="Y303" t="s">
        <v>1188</v>
      </c>
      <c r="AG303" t="s">
        <v>48</v>
      </c>
    </row>
    <row r="304" spans="1:33">
      <c r="A304" t="s">
        <v>1189</v>
      </c>
      <c r="B304" t="s">
        <v>1190</v>
      </c>
      <c r="D304" t="s">
        <v>40</v>
      </c>
      <c r="E304" t="s">
        <v>41</v>
      </c>
      <c r="J304" t="s">
        <v>162</v>
      </c>
      <c r="K304" t="s">
        <v>163</v>
      </c>
      <c r="L304">
        <v>5</v>
      </c>
      <c r="M304" t="s">
        <v>1191</v>
      </c>
      <c r="N304" t="s">
        <v>59</v>
      </c>
      <c r="O304" t="s">
        <v>47</v>
      </c>
      <c r="P304" t="s">
        <v>47</v>
      </c>
      <c r="Y304" t="s">
        <v>1192</v>
      </c>
      <c r="AG304" t="s">
        <v>48</v>
      </c>
    </row>
    <row r="305" spans="1:33">
      <c r="A305" t="s">
        <v>1193</v>
      </c>
      <c r="B305" t="s">
        <v>1194</v>
      </c>
      <c r="D305" t="s">
        <v>40</v>
      </c>
      <c r="E305" t="s">
        <v>41</v>
      </c>
      <c r="J305" t="s">
        <v>290</v>
      </c>
      <c r="K305" t="s">
        <v>291</v>
      </c>
      <c r="L305">
        <v>5</v>
      </c>
      <c r="M305" t="s">
        <v>1195</v>
      </c>
      <c r="N305" t="s">
        <v>59</v>
      </c>
      <c r="O305" t="s">
        <v>47</v>
      </c>
      <c r="P305" t="s">
        <v>47</v>
      </c>
      <c r="Y305" t="s">
        <v>1196</v>
      </c>
      <c r="AG305" t="s">
        <v>48</v>
      </c>
    </row>
    <row r="306" spans="1:33">
      <c r="A306" t="s">
        <v>1197</v>
      </c>
      <c r="B306" t="s">
        <v>1198</v>
      </c>
      <c r="D306" t="s">
        <v>40</v>
      </c>
      <c r="E306" t="s">
        <v>41</v>
      </c>
      <c r="J306" t="s">
        <v>290</v>
      </c>
      <c r="K306" t="s">
        <v>291</v>
      </c>
      <c r="L306">
        <v>5</v>
      </c>
      <c r="M306" t="s">
        <v>1195</v>
      </c>
      <c r="N306" t="s">
        <v>59</v>
      </c>
      <c r="O306" t="s">
        <v>47</v>
      </c>
      <c r="P306" t="s">
        <v>47</v>
      </c>
      <c r="Y306" t="s">
        <v>1199</v>
      </c>
      <c r="AG306" t="s">
        <v>48</v>
      </c>
    </row>
    <row r="307" spans="1:33">
      <c r="A307" t="s">
        <v>1200</v>
      </c>
      <c r="B307" t="s">
        <v>1201</v>
      </c>
      <c r="D307" t="s">
        <v>40</v>
      </c>
      <c r="E307" t="s">
        <v>41</v>
      </c>
      <c r="H307" t="s">
        <v>1202</v>
      </c>
      <c r="J307" t="s">
        <v>43</v>
      </c>
      <c r="K307" t="s">
        <v>44</v>
      </c>
      <c r="L307">
        <v>6</v>
      </c>
      <c r="M307" t="s">
        <v>1203</v>
      </c>
      <c r="N307" t="s">
        <v>218</v>
      </c>
      <c r="O307" t="s">
        <v>47</v>
      </c>
      <c r="P307" t="s">
        <v>47</v>
      </c>
      <c r="Y307" t="s">
        <v>1202</v>
      </c>
      <c r="AG307" t="s">
        <v>48</v>
      </c>
    </row>
    <row r="308" spans="1:33">
      <c r="A308" t="s">
        <v>1204</v>
      </c>
      <c r="B308" t="s">
        <v>1205</v>
      </c>
      <c r="D308" t="s">
        <v>40</v>
      </c>
      <c r="E308" t="s">
        <v>41</v>
      </c>
      <c r="H308" t="s">
        <v>1206</v>
      </c>
      <c r="J308" t="s">
        <v>108</v>
      </c>
      <c r="K308" t="s">
        <v>109</v>
      </c>
      <c r="L308">
        <v>5</v>
      </c>
      <c r="M308" t="s">
        <v>1207</v>
      </c>
      <c r="N308" t="s">
        <v>59</v>
      </c>
      <c r="O308" t="s">
        <v>47</v>
      </c>
      <c r="P308" t="s">
        <v>47</v>
      </c>
      <c r="Y308" t="s">
        <v>1206</v>
      </c>
      <c r="AG308" t="s">
        <v>48</v>
      </c>
    </row>
    <row r="309" spans="1:33">
      <c r="A309" t="s">
        <v>1208</v>
      </c>
      <c r="B309" t="s">
        <v>1209</v>
      </c>
      <c r="D309" t="s">
        <v>40</v>
      </c>
      <c r="E309" t="s">
        <v>41</v>
      </c>
      <c r="J309" t="s">
        <v>290</v>
      </c>
      <c r="K309" t="s">
        <v>291</v>
      </c>
      <c r="L309">
        <v>5</v>
      </c>
      <c r="M309" t="s">
        <v>1207</v>
      </c>
      <c r="N309" t="s">
        <v>59</v>
      </c>
      <c r="O309" t="s">
        <v>47</v>
      </c>
      <c r="P309" t="s">
        <v>47</v>
      </c>
      <c r="Y309" t="s">
        <v>1210</v>
      </c>
      <c r="AG309" t="s">
        <v>48</v>
      </c>
    </row>
    <row r="310" spans="1:33">
      <c r="A310" t="s">
        <v>1211</v>
      </c>
      <c r="B310" t="s">
        <v>1212</v>
      </c>
      <c r="D310" t="s">
        <v>40</v>
      </c>
      <c r="E310" t="s">
        <v>41</v>
      </c>
      <c r="J310" t="s">
        <v>129</v>
      </c>
      <c r="K310" t="s">
        <v>130</v>
      </c>
      <c r="L310">
        <v>5</v>
      </c>
      <c r="M310" t="s">
        <v>1213</v>
      </c>
      <c r="N310" t="s">
        <v>192</v>
      </c>
      <c r="O310" t="s">
        <v>47</v>
      </c>
      <c r="P310" t="s">
        <v>47</v>
      </c>
      <c r="Y310" t="s">
        <v>1214</v>
      </c>
      <c r="AG310" t="s">
        <v>48</v>
      </c>
    </row>
    <row r="311" spans="1:33">
      <c r="A311" t="s">
        <v>1215</v>
      </c>
      <c r="B311" t="s">
        <v>1216</v>
      </c>
      <c r="D311" t="s">
        <v>40</v>
      </c>
      <c r="E311" t="s">
        <v>41</v>
      </c>
      <c r="J311" t="s">
        <v>162</v>
      </c>
      <c r="K311" t="s">
        <v>163</v>
      </c>
      <c r="L311">
        <v>5</v>
      </c>
      <c r="M311" t="s">
        <v>1217</v>
      </c>
      <c r="N311" t="s">
        <v>59</v>
      </c>
      <c r="O311" t="s">
        <v>47</v>
      </c>
      <c r="P311" t="s">
        <v>47</v>
      </c>
      <c r="Y311" t="s">
        <v>1218</v>
      </c>
      <c r="AG311" t="s">
        <v>48</v>
      </c>
    </row>
    <row r="312" spans="1:33">
      <c r="A312" t="s">
        <v>1219</v>
      </c>
      <c r="B312" t="s">
        <v>1220</v>
      </c>
      <c r="D312" t="s">
        <v>40</v>
      </c>
      <c r="E312" t="s">
        <v>41</v>
      </c>
      <c r="J312" t="s">
        <v>290</v>
      </c>
      <c r="K312" t="s">
        <v>291</v>
      </c>
      <c r="L312">
        <v>5</v>
      </c>
      <c r="M312" t="s">
        <v>1221</v>
      </c>
      <c r="N312" t="s">
        <v>59</v>
      </c>
      <c r="O312" t="s">
        <v>47</v>
      </c>
      <c r="P312" t="s">
        <v>47</v>
      </c>
      <c r="Y312" t="s">
        <v>1222</v>
      </c>
      <c r="AG312" t="s">
        <v>48</v>
      </c>
    </row>
    <row r="313" spans="1:33">
      <c r="A313" t="s">
        <v>1223</v>
      </c>
      <c r="B313" t="s">
        <v>1224</v>
      </c>
      <c r="D313" t="s">
        <v>40</v>
      </c>
      <c r="E313" t="s">
        <v>41</v>
      </c>
      <c r="J313" t="s">
        <v>162</v>
      </c>
      <c r="K313" t="s">
        <v>163</v>
      </c>
      <c r="L313">
        <v>5</v>
      </c>
      <c r="M313" t="s">
        <v>1221</v>
      </c>
      <c r="N313" t="s">
        <v>59</v>
      </c>
      <c r="O313" t="s">
        <v>47</v>
      </c>
      <c r="P313" t="s">
        <v>47</v>
      </c>
      <c r="Y313" t="s">
        <v>1225</v>
      </c>
      <c r="AG313" t="s">
        <v>48</v>
      </c>
    </row>
    <row r="314" spans="1:33">
      <c r="A314" t="s">
        <v>1226</v>
      </c>
      <c r="B314" t="s">
        <v>1227</v>
      </c>
      <c r="D314" t="s">
        <v>40</v>
      </c>
      <c r="E314" t="s">
        <v>41</v>
      </c>
      <c r="J314" t="s">
        <v>108</v>
      </c>
      <c r="K314" t="s">
        <v>109</v>
      </c>
      <c r="L314">
        <v>5</v>
      </c>
      <c r="M314" t="s">
        <v>1228</v>
      </c>
      <c r="N314" t="s">
        <v>59</v>
      </c>
      <c r="O314" t="s">
        <v>47</v>
      </c>
      <c r="P314" t="s">
        <v>47</v>
      </c>
      <c r="Y314" t="s">
        <v>1229</v>
      </c>
      <c r="AG314" t="s">
        <v>48</v>
      </c>
    </row>
    <row r="315" spans="1:33">
      <c r="A315" t="s">
        <v>1230</v>
      </c>
      <c r="B315" t="s">
        <v>1231</v>
      </c>
      <c r="D315" t="s">
        <v>40</v>
      </c>
      <c r="E315" t="s">
        <v>41</v>
      </c>
      <c r="J315" t="s">
        <v>290</v>
      </c>
      <c r="K315" t="s">
        <v>291</v>
      </c>
      <c r="L315">
        <v>5</v>
      </c>
      <c r="M315" t="s">
        <v>1232</v>
      </c>
      <c r="N315" t="s">
        <v>59</v>
      </c>
      <c r="O315" t="s">
        <v>47</v>
      </c>
      <c r="P315" t="s">
        <v>47</v>
      </c>
      <c r="Y315" t="s">
        <v>1233</v>
      </c>
      <c r="AG315" t="s">
        <v>48</v>
      </c>
    </row>
    <row r="316" spans="1:33">
      <c r="A316" t="s">
        <v>1234</v>
      </c>
      <c r="B316" t="s">
        <v>1235</v>
      </c>
      <c r="D316" t="s">
        <v>40</v>
      </c>
      <c r="E316" t="s">
        <v>41</v>
      </c>
      <c r="J316" t="s">
        <v>108</v>
      </c>
      <c r="K316" t="s">
        <v>109</v>
      </c>
      <c r="L316">
        <v>5</v>
      </c>
      <c r="M316" t="s">
        <v>1236</v>
      </c>
      <c r="N316" t="s">
        <v>59</v>
      </c>
      <c r="O316" t="s">
        <v>47</v>
      </c>
      <c r="P316" t="s">
        <v>47</v>
      </c>
      <c r="Y316" t="s">
        <v>1237</v>
      </c>
      <c r="AG316" t="s">
        <v>48</v>
      </c>
    </row>
    <row r="317" spans="1:33">
      <c r="A317" t="s">
        <v>1238</v>
      </c>
      <c r="B317" t="s">
        <v>1239</v>
      </c>
      <c r="D317" t="s">
        <v>40</v>
      </c>
      <c r="E317" t="s">
        <v>41</v>
      </c>
      <c r="J317" t="s">
        <v>290</v>
      </c>
      <c r="K317" t="s">
        <v>291</v>
      </c>
      <c r="L317">
        <v>5</v>
      </c>
      <c r="M317" t="s">
        <v>1240</v>
      </c>
      <c r="N317" t="s">
        <v>59</v>
      </c>
      <c r="O317" t="s">
        <v>47</v>
      </c>
      <c r="P317" t="s">
        <v>47</v>
      </c>
      <c r="Y317" t="s">
        <v>1241</v>
      </c>
      <c r="AG317" t="s">
        <v>48</v>
      </c>
    </row>
    <row r="318" spans="1:33">
      <c r="A318" t="s">
        <v>1242</v>
      </c>
      <c r="B318" t="s">
        <v>1243</v>
      </c>
      <c r="D318" t="s">
        <v>40</v>
      </c>
      <c r="E318" t="s">
        <v>41</v>
      </c>
      <c r="J318" t="s">
        <v>114</v>
      </c>
      <c r="K318" t="s">
        <v>115</v>
      </c>
      <c r="L318">
        <v>5</v>
      </c>
      <c r="M318" t="s">
        <v>1240</v>
      </c>
      <c r="N318" t="s">
        <v>59</v>
      </c>
      <c r="O318" t="s">
        <v>47</v>
      </c>
      <c r="P318" t="s">
        <v>47</v>
      </c>
      <c r="Y318" t="s">
        <v>1244</v>
      </c>
      <c r="AG318" t="s">
        <v>48</v>
      </c>
    </row>
    <row r="319" spans="1:33">
      <c r="A319" t="s">
        <v>1245</v>
      </c>
      <c r="B319" t="s">
        <v>1246</v>
      </c>
      <c r="D319" t="s">
        <v>40</v>
      </c>
      <c r="E319" t="s">
        <v>41</v>
      </c>
      <c r="J319" t="s">
        <v>290</v>
      </c>
      <c r="K319" t="s">
        <v>291</v>
      </c>
      <c r="L319">
        <v>5</v>
      </c>
      <c r="M319" t="s">
        <v>1240</v>
      </c>
      <c r="N319" t="s">
        <v>59</v>
      </c>
      <c r="O319" t="s">
        <v>47</v>
      </c>
      <c r="P319" t="s">
        <v>47</v>
      </c>
      <c r="Y319" t="s">
        <v>1247</v>
      </c>
      <c r="AG319" t="s">
        <v>48</v>
      </c>
    </row>
    <row r="320" spans="1:33">
      <c r="A320" t="s">
        <v>1248</v>
      </c>
      <c r="B320" t="s">
        <v>1249</v>
      </c>
      <c r="D320" t="s">
        <v>40</v>
      </c>
      <c r="E320" t="s">
        <v>41</v>
      </c>
      <c r="J320" t="s">
        <v>123</v>
      </c>
      <c r="K320" t="s">
        <v>124</v>
      </c>
      <c r="L320">
        <v>5</v>
      </c>
      <c r="M320" t="s">
        <v>1240</v>
      </c>
      <c r="N320" t="s">
        <v>192</v>
      </c>
      <c r="O320" t="s">
        <v>47</v>
      </c>
      <c r="P320" t="s">
        <v>47</v>
      </c>
      <c r="Y320" t="s">
        <v>1250</v>
      </c>
      <c r="AG320" t="s">
        <v>48</v>
      </c>
    </row>
    <row r="321" spans="1:33">
      <c r="A321" t="s">
        <v>1251</v>
      </c>
      <c r="B321" t="s">
        <v>1252</v>
      </c>
      <c r="D321" t="s">
        <v>40</v>
      </c>
      <c r="E321" t="s">
        <v>41</v>
      </c>
      <c r="H321" t="s">
        <v>1253</v>
      </c>
      <c r="J321" t="s">
        <v>63</v>
      </c>
      <c r="K321" t="s">
        <v>64</v>
      </c>
      <c r="L321">
        <v>5</v>
      </c>
      <c r="M321" t="s">
        <v>1254</v>
      </c>
      <c r="N321" t="s">
        <v>59</v>
      </c>
      <c r="O321" t="s">
        <v>47</v>
      </c>
      <c r="P321" t="s">
        <v>47</v>
      </c>
      <c r="Y321" t="s">
        <v>1253</v>
      </c>
      <c r="AG321" t="s">
        <v>48</v>
      </c>
    </row>
    <row r="322" spans="1:33">
      <c r="A322" t="s">
        <v>117</v>
      </c>
      <c r="B322" t="s">
        <v>1255</v>
      </c>
      <c r="D322" t="s">
        <v>40</v>
      </c>
      <c r="E322" t="s">
        <v>41</v>
      </c>
      <c r="J322" t="s">
        <v>108</v>
      </c>
      <c r="K322" t="s">
        <v>109</v>
      </c>
      <c r="L322">
        <v>5</v>
      </c>
      <c r="M322" t="s">
        <v>1256</v>
      </c>
      <c r="N322" t="s">
        <v>59</v>
      </c>
      <c r="O322" t="s">
        <v>47</v>
      </c>
      <c r="P322" t="s">
        <v>47</v>
      </c>
      <c r="Y322" t="s">
        <v>1257</v>
      </c>
      <c r="AG322" t="s">
        <v>48</v>
      </c>
    </row>
    <row r="323" spans="1:33">
      <c r="A323" t="s">
        <v>1258</v>
      </c>
      <c r="B323" t="s">
        <v>1259</v>
      </c>
      <c r="D323" t="s">
        <v>40</v>
      </c>
      <c r="E323" t="s">
        <v>41</v>
      </c>
      <c r="J323" t="s">
        <v>162</v>
      </c>
      <c r="K323" t="s">
        <v>163</v>
      </c>
      <c r="L323">
        <v>5</v>
      </c>
      <c r="M323" t="s">
        <v>1256</v>
      </c>
      <c r="N323" t="s">
        <v>59</v>
      </c>
      <c r="O323" t="s">
        <v>47</v>
      </c>
      <c r="P323" t="s">
        <v>47</v>
      </c>
      <c r="Y323" t="s">
        <v>1260</v>
      </c>
      <c r="AG323" t="s">
        <v>48</v>
      </c>
    </row>
    <row r="324" spans="1:33">
      <c r="A324" t="s">
        <v>117</v>
      </c>
      <c r="B324" t="s">
        <v>1261</v>
      </c>
      <c r="D324" t="s">
        <v>40</v>
      </c>
      <c r="E324" t="s">
        <v>41</v>
      </c>
      <c r="J324" t="s">
        <v>108</v>
      </c>
      <c r="K324" t="s">
        <v>109</v>
      </c>
      <c r="L324">
        <v>5</v>
      </c>
      <c r="M324" t="s">
        <v>1262</v>
      </c>
      <c r="N324" t="s">
        <v>59</v>
      </c>
      <c r="O324" t="s">
        <v>47</v>
      </c>
      <c r="P324" t="s">
        <v>47</v>
      </c>
      <c r="Y324" t="s">
        <v>1263</v>
      </c>
      <c r="AG324" t="s">
        <v>48</v>
      </c>
    </row>
    <row r="325" spans="1:33">
      <c r="A325" t="s">
        <v>1264</v>
      </c>
      <c r="B325" t="s">
        <v>1265</v>
      </c>
      <c r="D325" t="s">
        <v>40</v>
      </c>
      <c r="E325" t="s">
        <v>41</v>
      </c>
      <c r="H325" t="s">
        <v>1266</v>
      </c>
      <c r="J325" t="s">
        <v>290</v>
      </c>
      <c r="K325" t="s">
        <v>291</v>
      </c>
      <c r="L325">
        <v>5</v>
      </c>
      <c r="M325" t="s">
        <v>1262</v>
      </c>
      <c r="N325" t="s">
        <v>59</v>
      </c>
      <c r="O325" t="s">
        <v>47</v>
      </c>
      <c r="P325" t="s">
        <v>47</v>
      </c>
      <c r="Y325" t="s">
        <v>1266</v>
      </c>
      <c r="AG325" t="s">
        <v>48</v>
      </c>
    </row>
    <row r="326" spans="1:33">
      <c r="A326" t="s">
        <v>1267</v>
      </c>
      <c r="B326" t="s">
        <v>1268</v>
      </c>
      <c r="D326" t="s">
        <v>40</v>
      </c>
      <c r="E326" t="s">
        <v>41</v>
      </c>
      <c r="J326" t="s">
        <v>114</v>
      </c>
      <c r="K326" t="s">
        <v>115</v>
      </c>
      <c r="L326">
        <v>5</v>
      </c>
      <c r="M326" t="s">
        <v>1269</v>
      </c>
      <c r="N326" t="s">
        <v>59</v>
      </c>
      <c r="O326" t="s">
        <v>47</v>
      </c>
      <c r="P326" t="s">
        <v>47</v>
      </c>
      <c r="Y326" t="s">
        <v>1270</v>
      </c>
      <c r="AG326" t="s">
        <v>48</v>
      </c>
    </row>
    <row r="327" spans="1:33">
      <c r="A327" t="s">
        <v>1271</v>
      </c>
      <c r="B327" t="s">
        <v>1272</v>
      </c>
      <c r="D327" t="s">
        <v>40</v>
      </c>
      <c r="E327" t="s">
        <v>41</v>
      </c>
      <c r="H327" t="s">
        <v>1273</v>
      </c>
      <c r="J327" t="s">
        <v>114</v>
      </c>
      <c r="K327" t="s">
        <v>115</v>
      </c>
      <c r="L327">
        <v>5</v>
      </c>
      <c r="M327" t="s">
        <v>1274</v>
      </c>
      <c r="N327" t="s">
        <v>59</v>
      </c>
      <c r="O327" t="s">
        <v>47</v>
      </c>
      <c r="P327" t="s">
        <v>47</v>
      </c>
      <c r="Y327" t="s">
        <v>1273</v>
      </c>
      <c r="AG327" t="s">
        <v>48</v>
      </c>
    </row>
    <row r="328" spans="1:33">
      <c r="A328" t="s">
        <v>1275</v>
      </c>
      <c r="B328" t="s">
        <v>1276</v>
      </c>
      <c r="D328" t="s">
        <v>40</v>
      </c>
      <c r="E328" t="s">
        <v>41</v>
      </c>
      <c r="J328" t="s">
        <v>108</v>
      </c>
      <c r="K328" t="s">
        <v>109</v>
      </c>
      <c r="L328">
        <v>5</v>
      </c>
      <c r="M328" t="s">
        <v>1274</v>
      </c>
      <c r="N328" t="s">
        <v>59</v>
      </c>
      <c r="O328" t="s">
        <v>47</v>
      </c>
      <c r="P328" t="s">
        <v>47</v>
      </c>
      <c r="Y328" t="s">
        <v>1277</v>
      </c>
      <c r="AG328" t="s">
        <v>48</v>
      </c>
    </row>
    <row r="329" spans="1:33">
      <c r="A329" t="s">
        <v>1278</v>
      </c>
      <c r="B329" t="s">
        <v>1279</v>
      </c>
      <c r="D329" t="s">
        <v>40</v>
      </c>
      <c r="E329" t="s">
        <v>41</v>
      </c>
      <c r="H329" t="s">
        <v>1280</v>
      </c>
      <c r="J329" t="s">
        <v>63</v>
      </c>
      <c r="K329" t="s">
        <v>64</v>
      </c>
      <c r="L329">
        <v>5</v>
      </c>
      <c r="M329" t="s">
        <v>1281</v>
      </c>
      <c r="N329" t="s">
        <v>59</v>
      </c>
      <c r="O329" t="s">
        <v>47</v>
      </c>
      <c r="P329" t="s">
        <v>47</v>
      </c>
      <c r="Y329" t="s">
        <v>1280</v>
      </c>
      <c r="AG329" t="s">
        <v>48</v>
      </c>
    </row>
    <row r="330" spans="1:33">
      <c r="A330" t="s">
        <v>1282</v>
      </c>
      <c r="B330" t="s">
        <v>1283</v>
      </c>
      <c r="D330" t="s">
        <v>40</v>
      </c>
      <c r="E330" t="s">
        <v>41</v>
      </c>
      <c r="J330" t="s">
        <v>290</v>
      </c>
      <c r="K330" t="s">
        <v>291</v>
      </c>
      <c r="L330">
        <v>5</v>
      </c>
      <c r="M330" t="s">
        <v>1284</v>
      </c>
      <c r="N330" t="s">
        <v>59</v>
      </c>
      <c r="O330" t="s">
        <v>47</v>
      </c>
      <c r="P330" t="s">
        <v>47</v>
      </c>
      <c r="Y330" t="s">
        <v>1285</v>
      </c>
      <c r="AG330" t="s">
        <v>48</v>
      </c>
    </row>
    <row r="331" spans="1:33">
      <c r="A331" t="s">
        <v>1286</v>
      </c>
      <c r="B331" t="s">
        <v>1287</v>
      </c>
      <c r="D331" t="s">
        <v>40</v>
      </c>
      <c r="E331" t="s">
        <v>41</v>
      </c>
      <c r="J331" t="s">
        <v>290</v>
      </c>
      <c r="K331" t="s">
        <v>291</v>
      </c>
      <c r="L331">
        <v>5</v>
      </c>
      <c r="M331" t="s">
        <v>1288</v>
      </c>
      <c r="N331" t="s">
        <v>59</v>
      </c>
      <c r="O331" t="s">
        <v>47</v>
      </c>
      <c r="P331" t="s">
        <v>47</v>
      </c>
      <c r="Y331" t="s">
        <v>1289</v>
      </c>
      <c r="AG331" t="s">
        <v>48</v>
      </c>
    </row>
    <row r="332" spans="1:33">
      <c r="A332" t="s">
        <v>1290</v>
      </c>
      <c r="B332" t="s">
        <v>1291</v>
      </c>
      <c r="D332" t="s">
        <v>40</v>
      </c>
      <c r="E332" t="s">
        <v>41</v>
      </c>
      <c r="J332" t="s">
        <v>270</v>
      </c>
      <c r="K332" t="s">
        <v>271</v>
      </c>
      <c r="L332">
        <v>5</v>
      </c>
      <c r="M332" t="s">
        <v>1288</v>
      </c>
      <c r="N332" t="s">
        <v>59</v>
      </c>
      <c r="O332" t="s">
        <v>47</v>
      </c>
      <c r="P332" t="s">
        <v>47</v>
      </c>
      <c r="Y332" t="s">
        <v>1292</v>
      </c>
      <c r="AG332" t="s">
        <v>48</v>
      </c>
    </row>
    <row r="333" spans="1:33">
      <c r="A333" t="s">
        <v>1293</v>
      </c>
      <c r="B333" t="s">
        <v>1294</v>
      </c>
      <c r="D333" t="s">
        <v>40</v>
      </c>
      <c r="E333" t="s">
        <v>41</v>
      </c>
      <c r="J333" t="s">
        <v>290</v>
      </c>
      <c r="K333" t="s">
        <v>291</v>
      </c>
      <c r="L333">
        <v>5</v>
      </c>
      <c r="M333" t="s">
        <v>1295</v>
      </c>
      <c r="N333" t="s">
        <v>59</v>
      </c>
      <c r="O333" t="s">
        <v>47</v>
      </c>
      <c r="P333" t="s">
        <v>47</v>
      </c>
      <c r="Y333" t="s">
        <v>1296</v>
      </c>
      <c r="AG333" t="s">
        <v>48</v>
      </c>
    </row>
    <row r="334" spans="1:33">
      <c r="A334" t="s">
        <v>1297</v>
      </c>
      <c r="B334" t="s">
        <v>1298</v>
      </c>
      <c r="D334" t="s">
        <v>40</v>
      </c>
      <c r="E334" t="s">
        <v>41</v>
      </c>
      <c r="J334" t="s">
        <v>108</v>
      </c>
      <c r="K334" t="s">
        <v>109</v>
      </c>
      <c r="L334">
        <v>5</v>
      </c>
      <c r="M334" t="s">
        <v>1299</v>
      </c>
      <c r="N334" t="s">
        <v>59</v>
      </c>
      <c r="O334" t="s">
        <v>47</v>
      </c>
      <c r="P334" t="s">
        <v>47</v>
      </c>
      <c r="Y334" t="s">
        <v>1300</v>
      </c>
      <c r="AG334" t="s">
        <v>48</v>
      </c>
    </row>
    <row r="335" spans="1:33">
      <c r="A335" t="s">
        <v>1301</v>
      </c>
      <c r="B335" t="s">
        <v>1302</v>
      </c>
      <c r="D335" t="s">
        <v>40</v>
      </c>
      <c r="E335" t="s">
        <v>41</v>
      </c>
      <c r="J335" t="s">
        <v>129</v>
      </c>
      <c r="K335" t="s">
        <v>130</v>
      </c>
      <c r="L335">
        <v>5</v>
      </c>
      <c r="M335" t="s">
        <v>1299</v>
      </c>
      <c r="N335" t="s">
        <v>218</v>
      </c>
      <c r="O335" t="s">
        <v>47</v>
      </c>
      <c r="P335" t="s">
        <v>47</v>
      </c>
      <c r="Y335" t="s">
        <v>1303</v>
      </c>
      <c r="AG335" t="s">
        <v>48</v>
      </c>
    </row>
    <row r="336" spans="1:33">
      <c r="A336" t="s">
        <v>1304</v>
      </c>
      <c r="B336" t="s">
        <v>1305</v>
      </c>
      <c r="D336" t="s">
        <v>40</v>
      </c>
      <c r="E336" t="s">
        <v>41</v>
      </c>
      <c r="J336" t="s">
        <v>290</v>
      </c>
      <c r="K336" t="s">
        <v>291</v>
      </c>
      <c r="L336">
        <v>5</v>
      </c>
      <c r="M336" t="s">
        <v>1299</v>
      </c>
      <c r="N336" t="s">
        <v>59</v>
      </c>
      <c r="O336" t="s">
        <v>47</v>
      </c>
      <c r="P336" t="s">
        <v>47</v>
      </c>
      <c r="Y336" t="s">
        <v>1306</v>
      </c>
      <c r="AG336" t="s">
        <v>48</v>
      </c>
    </row>
    <row r="337" spans="1:33">
      <c r="A337" t="s">
        <v>1307</v>
      </c>
      <c r="B337" t="s">
        <v>1308</v>
      </c>
      <c r="D337" t="s">
        <v>40</v>
      </c>
      <c r="E337" t="s">
        <v>41</v>
      </c>
      <c r="J337" t="s">
        <v>290</v>
      </c>
      <c r="K337" t="s">
        <v>291</v>
      </c>
      <c r="L337">
        <v>5</v>
      </c>
      <c r="M337" t="s">
        <v>1309</v>
      </c>
      <c r="N337" t="s">
        <v>59</v>
      </c>
      <c r="O337" t="s">
        <v>47</v>
      </c>
      <c r="P337" t="s">
        <v>47</v>
      </c>
      <c r="Y337" t="s">
        <v>1310</v>
      </c>
      <c r="AG337" t="s">
        <v>48</v>
      </c>
    </row>
    <row r="338" spans="1:33">
      <c r="A338" t="s">
        <v>1311</v>
      </c>
      <c r="B338" t="s">
        <v>1312</v>
      </c>
      <c r="D338" t="s">
        <v>40</v>
      </c>
      <c r="E338" t="s">
        <v>41</v>
      </c>
      <c r="J338" t="s">
        <v>290</v>
      </c>
      <c r="K338" t="s">
        <v>291</v>
      </c>
      <c r="L338">
        <v>5</v>
      </c>
      <c r="M338" t="s">
        <v>1313</v>
      </c>
      <c r="N338" t="s">
        <v>59</v>
      </c>
      <c r="O338" t="s">
        <v>47</v>
      </c>
      <c r="P338" t="s">
        <v>47</v>
      </c>
      <c r="Y338" t="s">
        <v>1314</v>
      </c>
      <c r="AG338" t="s">
        <v>48</v>
      </c>
    </row>
    <row r="339" spans="1:33">
      <c r="A339" t="s">
        <v>1315</v>
      </c>
      <c r="B339" t="s">
        <v>1316</v>
      </c>
      <c r="D339" t="s">
        <v>40</v>
      </c>
      <c r="E339" t="s">
        <v>41</v>
      </c>
      <c r="J339" t="s">
        <v>290</v>
      </c>
      <c r="K339" t="s">
        <v>291</v>
      </c>
      <c r="L339">
        <v>5</v>
      </c>
      <c r="M339" t="s">
        <v>1317</v>
      </c>
      <c r="N339" t="s">
        <v>59</v>
      </c>
      <c r="O339" t="s">
        <v>47</v>
      </c>
      <c r="P339" t="s">
        <v>47</v>
      </c>
      <c r="Y339" t="s">
        <v>1318</v>
      </c>
      <c r="AG339" t="s">
        <v>48</v>
      </c>
    </row>
    <row r="340" spans="1:33">
      <c r="A340" t="s">
        <v>1319</v>
      </c>
      <c r="B340" t="s">
        <v>1320</v>
      </c>
      <c r="D340" t="s">
        <v>40</v>
      </c>
      <c r="E340" t="s">
        <v>41</v>
      </c>
      <c r="J340" t="s">
        <v>162</v>
      </c>
      <c r="K340" t="s">
        <v>163</v>
      </c>
      <c r="L340">
        <v>5</v>
      </c>
      <c r="M340" t="s">
        <v>1317</v>
      </c>
      <c r="N340" t="s">
        <v>59</v>
      </c>
      <c r="O340" t="s">
        <v>47</v>
      </c>
      <c r="P340" t="s">
        <v>47</v>
      </c>
      <c r="Y340" t="s">
        <v>1321</v>
      </c>
      <c r="AG340" t="s">
        <v>48</v>
      </c>
    </row>
    <row r="341" spans="1:33">
      <c r="A341" t="s">
        <v>1322</v>
      </c>
      <c r="B341" t="s">
        <v>1323</v>
      </c>
      <c r="D341" t="s">
        <v>40</v>
      </c>
      <c r="E341" t="s">
        <v>41</v>
      </c>
      <c r="J341" t="s">
        <v>290</v>
      </c>
      <c r="K341" t="s">
        <v>291</v>
      </c>
      <c r="L341">
        <v>5</v>
      </c>
      <c r="M341" t="s">
        <v>1324</v>
      </c>
      <c r="N341" t="s">
        <v>59</v>
      </c>
      <c r="O341" t="s">
        <v>47</v>
      </c>
      <c r="P341" t="s">
        <v>47</v>
      </c>
      <c r="Y341" t="s">
        <v>1325</v>
      </c>
      <c r="AG341" t="s">
        <v>48</v>
      </c>
    </row>
    <row r="342" spans="1:33">
      <c r="A342" t="s">
        <v>1326</v>
      </c>
      <c r="B342" t="s">
        <v>1327</v>
      </c>
      <c r="D342" t="s">
        <v>40</v>
      </c>
      <c r="E342" t="s">
        <v>41</v>
      </c>
      <c r="H342" t="s">
        <v>1328</v>
      </c>
      <c r="J342" t="s">
        <v>290</v>
      </c>
      <c r="K342" t="s">
        <v>291</v>
      </c>
      <c r="L342">
        <v>5</v>
      </c>
      <c r="M342" t="s">
        <v>1324</v>
      </c>
      <c r="N342" t="s">
        <v>59</v>
      </c>
      <c r="O342" t="s">
        <v>47</v>
      </c>
      <c r="P342" t="s">
        <v>47</v>
      </c>
      <c r="Y342" t="s">
        <v>1328</v>
      </c>
      <c r="AG342" t="s">
        <v>48</v>
      </c>
    </row>
    <row r="343" spans="1:33">
      <c r="A343" t="s">
        <v>1329</v>
      </c>
      <c r="B343" t="s">
        <v>1330</v>
      </c>
      <c r="D343" t="s">
        <v>40</v>
      </c>
      <c r="E343" t="s">
        <v>41</v>
      </c>
      <c r="J343" t="s">
        <v>290</v>
      </c>
      <c r="K343" t="s">
        <v>291</v>
      </c>
      <c r="L343">
        <v>5</v>
      </c>
      <c r="M343" t="s">
        <v>1324</v>
      </c>
      <c r="N343" t="s">
        <v>59</v>
      </c>
      <c r="O343" t="s">
        <v>47</v>
      </c>
      <c r="P343" t="s">
        <v>47</v>
      </c>
      <c r="Y343" t="s">
        <v>1331</v>
      </c>
      <c r="AG343" t="s">
        <v>48</v>
      </c>
    </row>
    <row r="344" spans="1:33">
      <c r="A344" t="s">
        <v>1332</v>
      </c>
      <c r="B344" t="s">
        <v>1333</v>
      </c>
      <c r="D344" t="s">
        <v>40</v>
      </c>
      <c r="E344" t="s">
        <v>41</v>
      </c>
      <c r="J344" t="s">
        <v>290</v>
      </c>
      <c r="K344" t="s">
        <v>291</v>
      </c>
      <c r="L344">
        <v>5</v>
      </c>
      <c r="M344" t="s">
        <v>1324</v>
      </c>
      <c r="N344" t="s">
        <v>59</v>
      </c>
      <c r="O344" t="s">
        <v>47</v>
      </c>
      <c r="P344" t="s">
        <v>47</v>
      </c>
      <c r="Y344" t="s">
        <v>1334</v>
      </c>
      <c r="AG344" t="s">
        <v>48</v>
      </c>
    </row>
    <row r="345" spans="1:33">
      <c r="A345" t="s">
        <v>1335</v>
      </c>
      <c r="B345" t="s">
        <v>1336</v>
      </c>
      <c r="D345" t="s">
        <v>40</v>
      </c>
      <c r="E345" t="s">
        <v>41</v>
      </c>
      <c r="J345" t="s">
        <v>129</v>
      </c>
      <c r="K345" t="s">
        <v>130</v>
      </c>
      <c r="L345">
        <v>6</v>
      </c>
      <c r="M345" t="s">
        <v>1337</v>
      </c>
      <c r="N345" t="s">
        <v>218</v>
      </c>
      <c r="O345" t="s">
        <v>47</v>
      </c>
      <c r="P345" t="s">
        <v>47</v>
      </c>
      <c r="Y345" t="s">
        <v>1338</v>
      </c>
      <c r="AG345" t="s">
        <v>48</v>
      </c>
    </row>
    <row r="346" spans="1:33">
      <c r="A346" t="s">
        <v>1339</v>
      </c>
      <c r="B346" t="s">
        <v>1340</v>
      </c>
      <c r="D346" t="s">
        <v>40</v>
      </c>
      <c r="E346" t="s">
        <v>41</v>
      </c>
      <c r="J346" t="s">
        <v>290</v>
      </c>
      <c r="K346" t="s">
        <v>291</v>
      </c>
      <c r="L346">
        <v>5</v>
      </c>
      <c r="M346" t="s">
        <v>1341</v>
      </c>
      <c r="N346" t="s">
        <v>59</v>
      </c>
      <c r="O346" t="s">
        <v>47</v>
      </c>
      <c r="P346" t="s">
        <v>47</v>
      </c>
      <c r="Y346" t="s">
        <v>1342</v>
      </c>
      <c r="AG346" t="s">
        <v>48</v>
      </c>
    </row>
    <row r="347" spans="1:33">
      <c r="A347" t="s">
        <v>1343</v>
      </c>
      <c r="B347" t="s">
        <v>1344</v>
      </c>
      <c r="D347" t="s">
        <v>40</v>
      </c>
      <c r="E347" t="s">
        <v>41</v>
      </c>
      <c r="J347" t="s">
        <v>270</v>
      </c>
      <c r="K347" t="s">
        <v>271</v>
      </c>
      <c r="L347">
        <v>5</v>
      </c>
      <c r="M347" t="s">
        <v>1341</v>
      </c>
      <c r="N347" t="s">
        <v>59</v>
      </c>
      <c r="O347" t="s">
        <v>47</v>
      </c>
      <c r="P347" t="s">
        <v>47</v>
      </c>
      <c r="Y347" t="s">
        <v>1345</v>
      </c>
      <c r="AG347" t="s">
        <v>48</v>
      </c>
    </row>
    <row r="348" spans="1:33">
      <c r="A348" t="s">
        <v>1346</v>
      </c>
      <c r="B348" t="s">
        <v>1347</v>
      </c>
      <c r="D348" t="s">
        <v>40</v>
      </c>
      <c r="E348" t="s">
        <v>41</v>
      </c>
      <c r="J348" t="s">
        <v>290</v>
      </c>
      <c r="K348" t="s">
        <v>291</v>
      </c>
      <c r="L348">
        <v>5</v>
      </c>
      <c r="M348" t="s">
        <v>1341</v>
      </c>
      <c r="N348" t="s">
        <v>59</v>
      </c>
      <c r="O348" t="s">
        <v>47</v>
      </c>
      <c r="P348" t="s">
        <v>47</v>
      </c>
      <c r="Y348" t="s">
        <v>1348</v>
      </c>
      <c r="AG348" t="s">
        <v>48</v>
      </c>
    </row>
    <row r="349" spans="1:33">
      <c r="A349" t="s">
        <v>1349</v>
      </c>
      <c r="B349" t="s">
        <v>1350</v>
      </c>
      <c r="D349" t="s">
        <v>40</v>
      </c>
      <c r="E349" t="s">
        <v>41</v>
      </c>
      <c r="J349" t="s">
        <v>290</v>
      </c>
      <c r="K349" t="s">
        <v>291</v>
      </c>
      <c r="L349">
        <v>5</v>
      </c>
      <c r="M349" t="s">
        <v>1351</v>
      </c>
      <c r="N349" t="s">
        <v>59</v>
      </c>
      <c r="O349" t="s">
        <v>47</v>
      </c>
      <c r="P349" t="s">
        <v>47</v>
      </c>
      <c r="Y349" t="s">
        <v>1352</v>
      </c>
      <c r="AG349" t="s">
        <v>48</v>
      </c>
    </row>
    <row r="350" spans="1:33">
      <c r="A350" t="s">
        <v>1353</v>
      </c>
      <c r="B350" t="s">
        <v>1354</v>
      </c>
      <c r="D350" t="s">
        <v>40</v>
      </c>
      <c r="E350" t="s">
        <v>41</v>
      </c>
      <c r="J350" t="s">
        <v>108</v>
      </c>
      <c r="K350" t="s">
        <v>109</v>
      </c>
      <c r="L350">
        <v>5</v>
      </c>
      <c r="M350" t="s">
        <v>1351</v>
      </c>
      <c r="N350" t="s">
        <v>59</v>
      </c>
      <c r="O350" t="s">
        <v>47</v>
      </c>
      <c r="P350" t="s">
        <v>47</v>
      </c>
      <c r="Y350" t="s">
        <v>1355</v>
      </c>
      <c r="AG350" t="s">
        <v>48</v>
      </c>
    </row>
    <row r="351" spans="1:33">
      <c r="A351" t="s">
        <v>1356</v>
      </c>
      <c r="B351" t="s">
        <v>1357</v>
      </c>
      <c r="D351" t="s">
        <v>40</v>
      </c>
      <c r="E351" t="s">
        <v>41</v>
      </c>
      <c r="J351" t="s">
        <v>290</v>
      </c>
      <c r="K351" t="s">
        <v>291</v>
      </c>
      <c r="L351">
        <v>5</v>
      </c>
      <c r="M351" t="s">
        <v>1358</v>
      </c>
      <c r="N351" t="s">
        <v>59</v>
      </c>
      <c r="O351" t="s">
        <v>47</v>
      </c>
      <c r="P351" t="s">
        <v>47</v>
      </c>
      <c r="Y351" t="s">
        <v>1359</v>
      </c>
      <c r="AG351" t="s">
        <v>48</v>
      </c>
    </row>
    <row r="352" spans="1:33">
      <c r="A352" t="s">
        <v>1360</v>
      </c>
      <c r="B352" t="s">
        <v>1361</v>
      </c>
      <c r="D352" t="s">
        <v>40</v>
      </c>
      <c r="E352" t="s">
        <v>41</v>
      </c>
      <c r="J352" t="s">
        <v>108</v>
      </c>
      <c r="K352" t="s">
        <v>109</v>
      </c>
      <c r="L352">
        <v>5</v>
      </c>
      <c r="M352" t="s">
        <v>1358</v>
      </c>
      <c r="N352" t="s">
        <v>59</v>
      </c>
      <c r="O352" t="s">
        <v>47</v>
      </c>
      <c r="P352" t="s">
        <v>47</v>
      </c>
      <c r="Y352" t="s">
        <v>1362</v>
      </c>
      <c r="AG352" t="s">
        <v>48</v>
      </c>
    </row>
    <row r="353" spans="1:33">
      <c r="A353" t="s">
        <v>1363</v>
      </c>
      <c r="B353" t="s">
        <v>1364</v>
      </c>
      <c r="D353" t="s">
        <v>40</v>
      </c>
      <c r="E353" t="s">
        <v>41</v>
      </c>
      <c r="J353" t="s">
        <v>290</v>
      </c>
      <c r="K353" t="s">
        <v>291</v>
      </c>
      <c r="L353">
        <v>5</v>
      </c>
      <c r="M353" t="s">
        <v>1358</v>
      </c>
      <c r="N353" t="s">
        <v>59</v>
      </c>
      <c r="O353" t="s">
        <v>47</v>
      </c>
      <c r="P353" t="s">
        <v>47</v>
      </c>
      <c r="Y353" t="s">
        <v>1365</v>
      </c>
      <c r="AG353" t="s">
        <v>48</v>
      </c>
    </row>
    <row r="354" spans="1:33">
      <c r="A354" t="s">
        <v>117</v>
      </c>
      <c r="B354" t="s">
        <v>1366</v>
      </c>
      <c r="D354" t="s">
        <v>40</v>
      </c>
      <c r="E354" t="s">
        <v>41</v>
      </c>
      <c r="H354" t="s">
        <v>1367</v>
      </c>
      <c r="J354" t="s">
        <v>129</v>
      </c>
      <c r="K354" t="s">
        <v>130</v>
      </c>
      <c r="L354">
        <v>5</v>
      </c>
      <c r="M354" t="s">
        <v>1368</v>
      </c>
      <c r="N354" t="s">
        <v>192</v>
      </c>
      <c r="O354" t="s">
        <v>47</v>
      </c>
      <c r="P354" t="s">
        <v>47</v>
      </c>
      <c r="Y354" t="s">
        <v>1367</v>
      </c>
      <c r="AG354" t="s">
        <v>48</v>
      </c>
    </row>
    <row r="355" spans="1:33">
      <c r="A355" t="s">
        <v>1369</v>
      </c>
      <c r="B355" t="s">
        <v>1370</v>
      </c>
      <c r="D355" t="s">
        <v>40</v>
      </c>
      <c r="E355" t="s">
        <v>41</v>
      </c>
      <c r="H355" t="s">
        <v>1371</v>
      </c>
      <c r="J355" t="s">
        <v>63</v>
      </c>
      <c r="K355" t="s">
        <v>64</v>
      </c>
      <c r="L355">
        <v>5</v>
      </c>
      <c r="M355" t="s">
        <v>1372</v>
      </c>
      <c r="N355" t="s">
        <v>59</v>
      </c>
      <c r="O355" t="s">
        <v>47</v>
      </c>
      <c r="P355" t="s">
        <v>47</v>
      </c>
      <c r="Y355" t="s">
        <v>1371</v>
      </c>
      <c r="AG355" t="s">
        <v>48</v>
      </c>
    </row>
    <row r="356" spans="1:33">
      <c r="A356" t="s">
        <v>1373</v>
      </c>
      <c r="B356" t="s">
        <v>1374</v>
      </c>
      <c r="D356" t="s">
        <v>40</v>
      </c>
      <c r="E356" t="s">
        <v>41</v>
      </c>
      <c r="J356" t="s">
        <v>270</v>
      </c>
      <c r="K356" t="s">
        <v>271</v>
      </c>
      <c r="L356">
        <v>5</v>
      </c>
      <c r="M356" t="s">
        <v>1375</v>
      </c>
      <c r="N356" t="s">
        <v>59</v>
      </c>
      <c r="O356" t="s">
        <v>47</v>
      </c>
      <c r="P356" t="s">
        <v>47</v>
      </c>
      <c r="Y356" t="s">
        <v>1376</v>
      </c>
      <c r="AG356" t="s">
        <v>48</v>
      </c>
    </row>
    <row r="357" spans="1:33">
      <c r="A357" t="s">
        <v>1377</v>
      </c>
      <c r="B357" t="s">
        <v>1378</v>
      </c>
      <c r="D357" t="s">
        <v>40</v>
      </c>
      <c r="E357" t="s">
        <v>41</v>
      </c>
      <c r="J357" t="s">
        <v>162</v>
      </c>
      <c r="K357" t="s">
        <v>163</v>
      </c>
      <c r="L357">
        <v>5</v>
      </c>
      <c r="M357" t="s">
        <v>1379</v>
      </c>
      <c r="N357" t="s">
        <v>59</v>
      </c>
      <c r="O357" t="s">
        <v>47</v>
      </c>
      <c r="P357" t="s">
        <v>47</v>
      </c>
      <c r="Y357" t="s">
        <v>1380</v>
      </c>
      <c r="AG357" t="s">
        <v>48</v>
      </c>
    </row>
    <row r="358" spans="1:33">
      <c r="A358" t="s">
        <v>1381</v>
      </c>
      <c r="B358" t="s">
        <v>1382</v>
      </c>
      <c r="D358" t="s">
        <v>40</v>
      </c>
      <c r="E358" t="s">
        <v>41</v>
      </c>
      <c r="J358" t="s">
        <v>162</v>
      </c>
      <c r="K358" t="s">
        <v>163</v>
      </c>
      <c r="L358">
        <v>5</v>
      </c>
      <c r="M358" t="s">
        <v>1379</v>
      </c>
      <c r="N358" t="s">
        <v>59</v>
      </c>
      <c r="O358" t="s">
        <v>47</v>
      </c>
      <c r="P358" t="s">
        <v>47</v>
      </c>
      <c r="Y358" t="s">
        <v>1383</v>
      </c>
      <c r="AG358" t="s">
        <v>48</v>
      </c>
    </row>
    <row r="359" spans="1:33">
      <c r="A359" t="s">
        <v>1384</v>
      </c>
      <c r="B359" t="s">
        <v>1385</v>
      </c>
      <c r="D359" t="s">
        <v>40</v>
      </c>
      <c r="E359" t="s">
        <v>41</v>
      </c>
      <c r="J359" t="s">
        <v>270</v>
      </c>
      <c r="K359" t="s">
        <v>271</v>
      </c>
      <c r="L359">
        <v>5</v>
      </c>
      <c r="M359" t="s">
        <v>1379</v>
      </c>
      <c r="N359" t="s">
        <v>59</v>
      </c>
      <c r="O359" t="s">
        <v>47</v>
      </c>
      <c r="P359" t="s">
        <v>47</v>
      </c>
      <c r="Y359" t="s">
        <v>1386</v>
      </c>
      <c r="AG359" t="s">
        <v>48</v>
      </c>
    </row>
    <row r="360" spans="1:33">
      <c r="A360" t="s">
        <v>1387</v>
      </c>
      <c r="B360" t="s">
        <v>1388</v>
      </c>
      <c r="D360" t="s">
        <v>40</v>
      </c>
      <c r="E360" t="s">
        <v>41</v>
      </c>
      <c r="J360" t="s">
        <v>270</v>
      </c>
      <c r="K360" t="s">
        <v>271</v>
      </c>
      <c r="L360">
        <v>5</v>
      </c>
      <c r="M360" t="s">
        <v>1389</v>
      </c>
      <c r="N360" t="s">
        <v>59</v>
      </c>
      <c r="O360" t="s">
        <v>47</v>
      </c>
      <c r="P360" t="s">
        <v>47</v>
      </c>
      <c r="Y360" t="s">
        <v>1390</v>
      </c>
      <c r="AG360" t="s">
        <v>48</v>
      </c>
    </row>
    <row r="361" spans="1:33">
      <c r="A361" t="s">
        <v>1391</v>
      </c>
      <c r="B361" t="s">
        <v>1392</v>
      </c>
      <c r="D361" t="s">
        <v>40</v>
      </c>
      <c r="E361" t="s">
        <v>41</v>
      </c>
      <c r="J361" t="s">
        <v>86</v>
      </c>
      <c r="K361" t="s">
        <v>87</v>
      </c>
      <c r="L361">
        <v>5</v>
      </c>
      <c r="M361" t="s">
        <v>1389</v>
      </c>
      <c r="N361" t="s">
        <v>192</v>
      </c>
      <c r="O361" t="s">
        <v>47</v>
      </c>
      <c r="P361" t="s">
        <v>47</v>
      </c>
      <c r="Y361" t="s">
        <v>1393</v>
      </c>
      <c r="AG361" t="s">
        <v>48</v>
      </c>
    </row>
    <row r="362" spans="1:33">
      <c r="A362" t="s">
        <v>1394</v>
      </c>
      <c r="B362" t="s">
        <v>1395</v>
      </c>
      <c r="D362" t="s">
        <v>40</v>
      </c>
      <c r="E362" t="s">
        <v>41</v>
      </c>
      <c r="J362" t="s">
        <v>290</v>
      </c>
      <c r="K362" t="s">
        <v>291</v>
      </c>
      <c r="L362">
        <v>5</v>
      </c>
      <c r="M362" t="s">
        <v>1396</v>
      </c>
      <c r="N362" t="s">
        <v>59</v>
      </c>
      <c r="O362" t="s">
        <v>47</v>
      </c>
      <c r="P362" t="s">
        <v>47</v>
      </c>
      <c r="Y362" t="s">
        <v>1397</v>
      </c>
      <c r="AG362" t="s">
        <v>48</v>
      </c>
    </row>
    <row r="363" spans="1:33">
      <c r="A363" t="s">
        <v>1398</v>
      </c>
      <c r="B363" t="s">
        <v>1399</v>
      </c>
      <c r="D363" t="s">
        <v>40</v>
      </c>
      <c r="E363" t="s">
        <v>41</v>
      </c>
      <c r="J363" t="s">
        <v>270</v>
      </c>
      <c r="K363" t="s">
        <v>271</v>
      </c>
      <c r="L363">
        <v>5</v>
      </c>
      <c r="M363" t="s">
        <v>1396</v>
      </c>
      <c r="N363" t="s">
        <v>59</v>
      </c>
      <c r="O363" t="s">
        <v>47</v>
      </c>
      <c r="P363" t="s">
        <v>47</v>
      </c>
      <c r="Y363" t="s">
        <v>1400</v>
      </c>
      <c r="AG363" t="s">
        <v>48</v>
      </c>
    </row>
    <row r="364" spans="1:33">
      <c r="A364" t="s">
        <v>1401</v>
      </c>
      <c r="B364" t="s">
        <v>1402</v>
      </c>
      <c r="D364" t="s">
        <v>40</v>
      </c>
      <c r="E364" t="s">
        <v>41</v>
      </c>
      <c r="J364" t="s">
        <v>114</v>
      </c>
      <c r="K364" t="s">
        <v>115</v>
      </c>
      <c r="L364">
        <v>5</v>
      </c>
      <c r="M364" t="s">
        <v>1403</v>
      </c>
      <c r="N364" t="s">
        <v>59</v>
      </c>
      <c r="O364" t="s">
        <v>47</v>
      </c>
      <c r="P364" t="s">
        <v>47</v>
      </c>
      <c r="Y364" t="s">
        <v>1404</v>
      </c>
      <c r="AG364" t="s">
        <v>48</v>
      </c>
    </row>
    <row r="365" spans="1:33">
      <c r="A365" t="s">
        <v>1405</v>
      </c>
      <c r="B365" t="s">
        <v>1406</v>
      </c>
      <c r="D365" t="s">
        <v>40</v>
      </c>
      <c r="E365" t="s">
        <v>41</v>
      </c>
      <c r="J365" t="s">
        <v>114</v>
      </c>
      <c r="K365" t="s">
        <v>115</v>
      </c>
      <c r="L365">
        <v>5</v>
      </c>
      <c r="M365" t="s">
        <v>1407</v>
      </c>
      <c r="N365" t="s">
        <v>59</v>
      </c>
      <c r="O365" t="s">
        <v>47</v>
      </c>
      <c r="P365" t="s">
        <v>47</v>
      </c>
      <c r="Y365" t="s">
        <v>1408</v>
      </c>
      <c r="AG365" t="s">
        <v>48</v>
      </c>
    </row>
    <row r="366" spans="1:33">
      <c r="A366" t="s">
        <v>1409</v>
      </c>
      <c r="B366" t="s">
        <v>1410</v>
      </c>
      <c r="D366" t="s">
        <v>40</v>
      </c>
      <c r="E366" t="s">
        <v>41</v>
      </c>
      <c r="J366" t="s">
        <v>108</v>
      </c>
      <c r="K366" t="s">
        <v>109</v>
      </c>
      <c r="L366">
        <v>5</v>
      </c>
      <c r="M366" t="s">
        <v>1411</v>
      </c>
      <c r="N366" t="s">
        <v>59</v>
      </c>
      <c r="O366" t="s">
        <v>47</v>
      </c>
      <c r="P366" t="s">
        <v>47</v>
      </c>
      <c r="Y366" t="s">
        <v>1412</v>
      </c>
      <c r="AG366" t="s">
        <v>48</v>
      </c>
    </row>
    <row r="367" spans="1:33">
      <c r="A367" t="s">
        <v>1413</v>
      </c>
      <c r="B367" t="s">
        <v>1414</v>
      </c>
      <c r="D367" t="s">
        <v>40</v>
      </c>
      <c r="E367" t="s">
        <v>41</v>
      </c>
      <c r="J367" t="s">
        <v>290</v>
      </c>
      <c r="K367" t="s">
        <v>291</v>
      </c>
      <c r="L367">
        <v>5</v>
      </c>
      <c r="M367" t="s">
        <v>1411</v>
      </c>
      <c r="N367" t="s">
        <v>59</v>
      </c>
      <c r="O367" t="s">
        <v>47</v>
      </c>
      <c r="P367" t="s">
        <v>47</v>
      </c>
      <c r="Y367" t="s">
        <v>1415</v>
      </c>
      <c r="AG367" t="s">
        <v>48</v>
      </c>
    </row>
    <row r="368" spans="1:33">
      <c r="A368" t="s">
        <v>1416</v>
      </c>
      <c r="B368" t="s">
        <v>1417</v>
      </c>
      <c r="D368" t="s">
        <v>40</v>
      </c>
      <c r="E368" t="s">
        <v>41</v>
      </c>
      <c r="J368" t="s">
        <v>1418</v>
      </c>
      <c r="K368" t="s">
        <v>1419</v>
      </c>
      <c r="L368">
        <v>5</v>
      </c>
      <c r="M368" t="s">
        <v>1411</v>
      </c>
      <c r="N368" t="s">
        <v>192</v>
      </c>
      <c r="O368" t="s">
        <v>47</v>
      </c>
      <c r="P368" t="s">
        <v>47</v>
      </c>
      <c r="Y368" t="s">
        <v>1420</v>
      </c>
      <c r="AG368" t="s">
        <v>48</v>
      </c>
    </row>
    <row r="369" spans="1:33">
      <c r="A369" t="s">
        <v>1421</v>
      </c>
      <c r="B369" t="s">
        <v>1422</v>
      </c>
      <c r="D369" t="s">
        <v>40</v>
      </c>
      <c r="E369" t="s">
        <v>41</v>
      </c>
      <c r="H369" t="s">
        <v>1423</v>
      </c>
      <c r="J369" t="s">
        <v>63</v>
      </c>
      <c r="K369" t="s">
        <v>64</v>
      </c>
      <c r="L369">
        <v>5</v>
      </c>
      <c r="M369" t="s">
        <v>1424</v>
      </c>
      <c r="N369" t="s">
        <v>59</v>
      </c>
      <c r="O369" t="s">
        <v>47</v>
      </c>
      <c r="P369" t="s">
        <v>47</v>
      </c>
      <c r="Y369" t="s">
        <v>1423</v>
      </c>
      <c r="AG369" t="s">
        <v>48</v>
      </c>
    </row>
    <row r="370" spans="1:33">
      <c r="A370" t="s">
        <v>117</v>
      </c>
      <c r="B370" t="s">
        <v>1425</v>
      </c>
      <c r="D370" t="s">
        <v>40</v>
      </c>
      <c r="E370" t="s">
        <v>41</v>
      </c>
      <c r="J370" t="s">
        <v>162</v>
      </c>
      <c r="K370" t="s">
        <v>163</v>
      </c>
      <c r="L370">
        <v>5</v>
      </c>
      <c r="M370" t="s">
        <v>1426</v>
      </c>
      <c r="N370" t="s">
        <v>59</v>
      </c>
      <c r="O370" t="s">
        <v>47</v>
      </c>
      <c r="P370" t="s">
        <v>47</v>
      </c>
      <c r="Y370" t="s">
        <v>1427</v>
      </c>
      <c r="AG370" t="s">
        <v>48</v>
      </c>
    </row>
    <row r="371" spans="1:33">
      <c r="A371" t="s">
        <v>1428</v>
      </c>
      <c r="B371" t="s">
        <v>1429</v>
      </c>
      <c r="D371" t="s">
        <v>40</v>
      </c>
      <c r="E371" t="s">
        <v>41</v>
      </c>
      <c r="J371" t="s">
        <v>270</v>
      </c>
      <c r="K371" t="s">
        <v>271</v>
      </c>
      <c r="L371">
        <v>5</v>
      </c>
      <c r="M371" t="s">
        <v>1430</v>
      </c>
      <c r="N371" t="s">
        <v>59</v>
      </c>
      <c r="O371" t="s">
        <v>47</v>
      </c>
      <c r="P371" t="s">
        <v>47</v>
      </c>
      <c r="Y371" t="s">
        <v>1431</v>
      </c>
      <c r="AG371" t="s">
        <v>48</v>
      </c>
    </row>
    <row r="372" spans="1:33">
      <c r="A372" t="s">
        <v>1432</v>
      </c>
      <c r="B372" t="s">
        <v>1433</v>
      </c>
      <c r="D372" t="s">
        <v>40</v>
      </c>
      <c r="E372" t="s">
        <v>41</v>
      </c>
      <c r="J372" t="s">
        <v>270</v>
      </c>
      <c r="K372" t="s">
        <v>271</v>
      </c>
      <c r="L372">
        <v>5</v>
      </c>
      <c r="M372" t="s">
        <v>1434</v>
      </c>
      <c r="N372" t="s">
        <v>59</v>
      </c>
      <c r="O372" t="s">
        <v>47</v>
      </c>
      <c r="P372" t="s">
        <v>47</v>
      </c>
      <c r="Y372" t="s">
        <v>1435</v>
      </c>
      <c r="AG372" t="s">
        <v>48</v>
      </c>
    </row>
    <row r="373" spans="1:33">
      <c r="A373" t="s">
        <v>1436</v>
      </c>
      <c r="B373" t="s">
        <v>1437</v>
      </c>
      <c r="D373" t="s">
        <v>40</v>
      </c>
      <c r="E373" t="s">
        <v>41</v>
      </c>
      <c r="J373" t="s">
        <v>43</v>
      </c>
      <c r="K373" t="s">
        <v>44</v>
      </c>
      <c r="L373">
        <v>5</v>
      </c>
      <c r="M373" t="s">
        <v>1438</v>
      </c>
      <c r="N373" t="s">
        <v>218</v>
      </c>
      <c r="O373" t="s">
        <v>47</v>
      </c>
      <c r="P373" t="s">
        <v>47</v>
      </c>
      <c r="Y373" t="s">
        <v>1439</v>
      </c>
      <c r="AG373" t="s">
        <v>48</v>
      </c>
    </row>
    <row r="374" spans="1:33">
      <c r="A374" t="s">
        <v>1440</v>
      </c>
      <c r="B374" t="s">
        <v>1441</v>
      </c>
      <c r="D374" t="s">
        <v>40</v>
      </c>
      <c r="E374" t="s">
        <v>41</v>
      </c>
      <c r="J374" t="s">
        <v>129</v>
      </c>
      <c r="K374" t="s">
        <v>130</v>
      </c>
      <c r="L374">
        <v>5</v>
      </c>
      <c r="M374" t="s">
        <v>1438</v>
      </c>
      <c r="N374" t="s">
        <v>192</v>
      </c>
      <c r="O374" t="s">
        <v>47</v>
      </c>
      <c r="P374" t="s">
        <v>47</v>
      </c>
      <c r="Y374" t="s">
        <v>1442</v>
      </c>
      <c r="AG374" t="s">
        <v>48</v>
      </c>
    </row>
    <row r="375" spans="1:33">
      <c r="A375" t="s">
        <v>1443</v>
      </c>
      <c r="B375" t="s">
        <v>1444</v>
      </c>
      <c r="D375" t="s">
        <v>40</v>
      </c>
      <c r="E375" t="s">
        <v>41</v>
      </c>
      <c r="J375" t="s">
        <v>290</v>
      </c>
      <c r="K375" t="s">
        <v>291</v>
      </c>
      <c r="L375">
        <v>5</v>
      </c>
      <c r="M375" t="s">
        <v>1438</v>
      </c>
      <c r="N375" t="s">
        <v>59</v>
      </c>
      <c r="O375" t="s">
        <v>47</v>
      </c>
      <c r="P375" t="s">
        <v>47</v>
      </c>
      <c r="Y375" t="s">
        <v>1445</v>
      </c>
      <c r="AG375" t="s">
        <v>48</v>
      </c>
    </row>
    <row r="376" spans="1:33">
      <c r="A376" t="s">
        <v>1446</v>
      </c>
      <c r="B376" t="s">
        <v>1447</v>
      </c>
      <c r="D376" t="s">
        <v>40</v>
      </c>
      <c r="E376" t="s">
        <v>41</v>
      </c>
      <c r="J376" t="s">
        <v>162</v>
      </c>
      <c r="K376" t="s">
        <v>163</v>
      </c>
      <c r="L376">
        <v>5</v>
      </c>
      <c r="M376" t="s">
        <v>1438</v>
      </c>
      <c r="N376" t="s">
        <v>59</v>
      </c>
      <c r="O376" t="s">
        <v>47</v>
      </c>
      <c r="P376" t="s">
        <v>47</v>
      </c>
      <c r="Y376" t="s">
        <v>1448</v>
      </c>
      <c r="AG376" t="s">
        <v>48</v>
      </c>
    </row>
    <row r="377" spans="1:33">
      <c r="A377" t="s">
        <v>1449</v>
      </c>
      <c r="B377" t="s">
        <v>1450</v>
      </c>
      <c r="D377" t="s">
        <v>40</v>
      </c>
      <c r="E377" t="s">
        <v>41</v>
      </c>
      <c r="J377" t="s">
        <v>114</v>
      </c>
      <c r="K377" t="s">
        <v>115</v>
      </c>
      <c r="L377">
        <v>5</v>
      </c>
      <c r="M377" t="s">
        <v>1451</v>
      </c>
      <c r="N377" t="s">
        <v>59</v>
      </c>
      <c r="O377" t="s">
        <v>47</v>
      </c>
      <c r="P377" t="s">
        <v>47</v>
      </c>
      <c r="Y377" t="s">
        <v>1452</v>
      </c>
      <c r="AG377" t="s">
        <v>48</v>
      </c>
    </row>
    <row r="378" spans="1:33">
      <c r="A378" t="s">
        <v>1453</v>
      </c>
      <c r="B378" t="s">
        <v>1454</v>
      </c>
      <c r="D378" t="s">
        <v>40</v>
      </c>
      <c r="E378" t="s">
        <v>41</v>
      </c>
      <c r="J378" t="s">
        <v>290</v>
      </c>
      <c r="K378" t="s">
        <v>291</v>
      </c>
      <c r="L378">
        <v>5</v>
      </c>
      <c r="M378" t="s">
        <v>1455</v>
      </c>
      <c r="N378" t="s">
        <v>59</v>
      </c>
      <c r="O378" t="s">
        <v>47</v>
      </c>
      <c r="P378" t="s">
        <v>47</v>
      </c>
      <c r="Y378" t="s">
        <v>1456</v>
      </c>
      <c r="AG378" t="s">
        <v>48</v>
      </c>
    </row>
    <row r="379" spans="1:33">
      <c r="A379" t="s">
        <v>1457</v>
      </c>
      <c r="B379" t="s">
        <v>1458</v>
      </c>
      <c r="D379" t="s">
        <v>40</v>
      </c>
      <c r="E379" t="s">
        <v>41</v>
      </c>
      <c r="J379" t="s">
        <v>290</v>
      </c>
      <c r="K379" t="s">
        <v>291</v>
      </c>
      <c r="L379">
        <v>5</v>
      </c>
      <c r="M379" t="s">
        <v>1455</v>
      </c>
      <c r="N379" t="s">
        <v>59</v>
      </c>
      <c r="O379" t="s">
        <v>47</v>
      </c>
      <c r="P379" t="s">
        <v>47</v>
      </c>
      <c r="Y379" t="s">
        <v>1459</v>
      </c>
      <c r="AG379" t="s">
        <v>48</v>
      </c>
    </row>
    <row r="380" spans="1:33">
      <c r="A380" t="s">
        <v>1460</v>
      </c>
      <c r="B380" t="s">
        <v>1461</v>
      </c>
      <c r="D380" t="s">
        <v>40</v>
      </c>
      <c r="E380" t="s">
        <v>41</v>
      </c>
      <c r="J380" t="s">
        <v>270</v>
      </c>
      <c r="K380" t="s">
        <v>271</v>
      </c>
      <c r="L380">
        <v>5</v>
      </c>
      <c r="M380" t="s">
        <v>1455</v>
      </c>
      <c r="N380" t="s">
        <v>59</v>
      </c>
      <c r="O380" t="s">
        <v>47</v>
      </c>
      <c r="P380" t="s">
        <v>47</v>
      </c>
      <c r="Y380" t="s">
        <v>1462</v>
      </c>
      <c r="AG380" t="s">
        <v>48</v>
      </c>
    </row>
    <row r="381" spans="1:33">
      <c r="A381" t="s">
        <v>1463</v>
      </c>
      <c r="B381" t="s">
        <v>1464</v>
      </c>
      <c r="D381" t="s">
        <v>40</v>
      </c>
      <c r="E381" t="s">
        <v>41</v>
      </c>
      <c r="J381" t="s">
        <v>129</v>
      </c>
      <c r="K381" t="s">
        <v>130</v>
      </c>
      <c r="L381">
        <v>5</v>
      </c>
      <c r="M381" t="s">
        <v>1465</v>
      </c>
      <c r="N381" t="s">
        <v>192</v>
      </c>
      <c r="O381" t="s">
        <v>47</v>
      </c>
      <c r="P381" t="s">
        <v>47</v>
      </c>
      <c r="Y381" t="s">
        <v>1466</v>
      </c>
      <c r="AG381" t="s">
        <v>48</v>
      </c>
    </row>
    <row r="382" spans="1:33">
      <c r="A382" t="s">
        <v>1467</v>
      </c>
      <c r="B382" t="s">
        <v>1468</v>
      </c>
      <c r="D382" t="s">
        <v>40</v>
      </c>
      <c r="E382" t="s">
        <v>41</v>
      </c>
      <c r="J382" t="s">
        <v>290</v>
      </c>
      <c r="K382" t="s">
        <v>291</v>
      </c>
      <c r="L382">
        <v>5</v>
      </c>
      <c r="M382" t="s">
        <v>1465</v>
      </c>
      <c r="N382" t="s">
        <v>59</v>
      </c>
      <c r="O382" t="s">
        <v>47</v>
      </c>
      <c r="P382" t="s">
        <v>47</v>
      </c>
      <c r="Y382" t="s">
        <v>1469</v>
      </c>
      <c r="AG382" t="s">
        <v>48</v>
      </c>
    </row>
    <row r="383" spans="1:33">
      <c r="A383" t="s">
        <v>1470</v>
      </c>
      <c r="B383" t="s">
        <v>1471</v>
      </c>
      <c r="D383" t="s">
        <v>40</v>
      </c>
      <c r="E383" t="s">
        <v>41</v>
      </c>
      <c r="J383" t="s">
        <v>114</v>
      </c>
      <c r="K383" t="s">
        <v>115</v>
      </c>
      <c r="L383">
        <v>5</v>
      </c>
      <c r="M383" t="s">
        <v>1465</v>
      </c>
      <c r="N383" t="s">
        <v>59</v>
      </c>
      <c r="O383" t="s">
        <v>47</v>
      </c>
      <c r="P383" t="s">
        <v>47</v>
      </c>
      <c r="Y383" t="s">
        <v>1472</v>
      </c>
      <c r="AG383" t="s">
        <v>48</v>
      </c>
    </row>
    <row r="384" spans="1:33">
      <c r="A384" t="s">
        <v>1473</v>
      </c>
      <c r="B384" t="s">
        <v>1474</v>
      </c>
      <c r="D384" t="s">
        <v>40</v>
      </c>
      <c r="E384" t="s">
        <v>41</v>
      </c>
      <c r="H384" t="s">
        <v>1475</v>
      </c>
      <c r="J384" t="s">
        <v>114</v>
      </c>
      <c r="K384" t="s">
        <v>115</v>
      </c>
      <c r="L384">
        <v>5</v>
      </c>
      <c r="M384" t="s">
        <v>1465</v>
      </c>
      <c r="N384" t="s">
        <v>59</v>
      </c>
      <c r="O384" t="s">
        <v>47</v>
      </c>
      <c r="P384" t="s">
        <v>47</v>
      </c>
      <c r="Y384" t="s">
        <v>1475</v>
      </c>
      <c r="AG384" t="s">
        <v>48</v>
      </c>
    </row>
    <row r="385" spans="1:33">
      <c r="A385" t="s">
        <v>1476</v>
      </c>
      <c r="B385" t="s">
        <v>1477</v>
      </c>
      <c r="D385" t="s">
        <v>40</v>
      </c>
      <c r="E385" t="s">
        <v>41</v>
      </c>
      <c r="H385" t="s">
        <v>1478</v>
      </c>
      <c r="J385" t="s">
        <v>129</v>
      </c>
      <c r="K385" t="s">
        <v>130</v>
      </c>
      <c r="L385">
        <v>5</v>
      </c>
      <c r="M385" t="s">
        <v>1479</v>
      </c>
      <c r="N385" t="s">
        <v>192</v>
      </c>
      <c r="O385" t="s">
        <v>47</v>
      </c>
      <c r="P385" t="s">
        <v>47</v>
      </c>
      <c r="Y385" t="s">
        <v>1478</v>
      </c>
      <c r="AG385" t="s">
        <v>48</v>
      </c>
    </row>
    <row r="386" spans="1:33">
      <c r="A386" t="s">
        <v>1480</v>
      </c>
      <c r="B386" t="s">
        <v>1481</v>
      </c>
      <c r="D386" t="s">
        <v>40</v>
      </c>
      <c r="E386" t="s">
        <v>41</v>
      </c>
      <c r="J386" t="s">
        <v>43</v>
      </c>
      <c r="K386" t="s">
        <v>44</v>
      </c>
      <c r="L386">
        <v>5</v>
      </c>
      <c r="M386" t="s">
        <v>1482</v>
      </c>
      <c r="N386" t="s">
        <v>192</v>
      </c>
      <c r="O386" t="s">
        <v>47</v>
      </c>
      <c r="P386" t="s">
        <v>47</v>
      </c>
      <c r="Y386" t="s">
        <v>1483</v>
      </c>
      <c r="AG386" t="s">
        <v>48</v>
      </c>
    </row>
    <row r="387" spans="1:33">
      <c r="A387" t="s">
        <v>1484</v>
      </c>
      <c r="B387" t="s">
        <v>1485</v>
      </c>
      <c r="D387" t="s">
        <v>40</v>
      </c>
      <c r="E387" t="s">
        <v>41</v>
      </c>
      <c r="H387" t="s">
        <v>1486</v>
      </c>
      <c r="J387" t="s">
        <v>108</v>
      </c>
      <c r="K387" t="s">
        <v>109</v>
      </c>
      <c r="L387">
        <v>5</v>
      </c>
      <c r="M387" t="s">
        <v>1487</v>
      </c>
      <c r="N387" t="s">
        <v>59</v>
      </c>
      <c r="O387" t="s">
        <v>47</v>
      </c>
      <c r="P387" t="s">
        <v>47</v>
      </c>
      <c r="Y387" t="s">
        <v>1486</v>
      </c>
      <c r="AG387" t="s">
        <v>48</v>
      </c>
    </row>
    <row r="388" spans="1:33">
      <c r="A388" t="s">
        <v>1488</v>
      </c>
      <c r="B388" t="s">
        <v>1489</v>
      </c>
      <c r="D388" t="s">
        <v>40</v>
      </c>
      <c r="E388" t="s">
        <v>41</v>
      </c>
      <c r="J388" t="s">
        <v>108</v>
      </c>
      <c r="K388" t="s">
        <v>109</v>
      </c>
      <c r="L388">
        <v>5</v>
      </c>
      <c r="M388" t="s">
        <v>1490</v>
      </c>
      <c r="N388" t="s">
        <v>59</v>
      </c>
      <c r="O388" t="s">
        <v>47</v>
      </c>
      <c r="P388" t="s">
        <v>47</v>
      </c>
      <c r="Y388" t="s">
        <v>1491</v>
      </c>
      <c r="AG388" t="s">
        <v>48</v>
      </c>
    </row>
    <row r="389" spans="1:33">
      <c r="A389" t="s">
        <v>1492</v>
      </c>
      <c r="B389" t="s">
        <v>1493</v>
      </c>
      <c r="D389" t="s">
        <v>40</v>
      </c>
      <c r="E389" t="s">
        <v>41</v>
      </c>
      <c r="J389" t="s">
        <v>162</v>
      </c>
      <c r="K389" t="s">
        <v>163</v>
      </c>
      <c r="L389">
        <v>5</v>
      </c>
      <c r="M389" t="s">
        <v>1490</v>
      </c>
      <c r="N389" t="s">
        <v>59</v>
      </c>
      <c r="O389" t="s">
        <v>47</v>
      </c>
      <c r="P389" t="s">
        <v>47</v>
      </c>
      <c r="Y389" t="s">
        <v>1494</v>
      </c>
      <c r="AG389" t="s">
        <v>48</v>
      </c>
    </row>
    <row r="390" spans="1:33">
      <c r="A390" t="s">
        <v>1495</v>
      </c>
      <c r="B390" t="s">
        <v>1496</v>
      </c>
      <c r="D390" t="s">
        <v>40</v>
      </c>
      <c r="E390" t="s">
        <v>41</v>
      </c>
      <c r="J390" t="s">
        <v>108</v>
      </c>
      <c r="K390" t="s">
        <v>109</v>
      </c>
      <c r="L390">
        <v>5</v>
      </c>
      <c r="M390" t="s">
        <v>1490</v>
      </c>
      <c r="N390" t="s">
        <v>59</v>
      </c>
      <c r="O390" t="s">
        <v>47</v>
      </c>
      <c r="P390" t="s">
        <v>47</v>
      </c>
      <c r="Y390" t="s">
        <v>1497</v>
      </c>
      <c r="AG390" t="s">
        <v>48</v>
      </c>
    </row>
    <row r="391" spans="1:33">
      <c r="A391" t="s">
        <v>117</v>
      </c>
      <c r="B391" t="s">
        <v>1498</v>
      </c>
      <c r="D391" t="s">
        <v>40</v>
      </c>
      <c r="E391" t="s">
        <v>41</v>
      </c>
      <c r="J391" t="s">
        <v>290</v>
      </c>
      <c r="K391" t="s">
        <v>291</v>
      </c>
      <c r="L391">
        <v>5</v>
      </c>
      <c r="M391" t="s">
        <v>1499</v>
      </c>
      <c r="N391" t="s">
        <v>59</v>
      </c>
      <c r="O391" t="s">
        <v>47</v>
      </c>
      <c r="P391" t="s">
        <v>47</v>
      </c>
      <c r="Y391" t="s">
        <v>1500</v>
      </c>
      <c r="AG391" t="s">
        <v>48</v>
      </c>
    </row>
    <row r="392" spans="1:33">
      <c r="A392" t="s">
        <v>1501</v>
      </c>
      <c r="B392" t="s">
        <v>1502</v>
      </c>
      <c r="D392" t="s">
        <v>40</v>
      </c>
      <c r="E392" t="s">
        <v>41</v>
      </c>
      <c r="J392" t="s">
        <v>270</v>
      </c>
      <c r="K392" t="s">
        <v>271</v>
      </c>
      <c r="L392">
        <v>5</v>
      </c>
      <c r="M392" t="s">
        <v>1499</v>
      </c>
      <c r="N392" t="s">
        <v>59</v>
      </c>
      <c r="O392" t="s">
        <v>47</v>
      </c>
      <c r="P392" t="s">
        <v>47</v>
      </c>
      <c r="Y392" t="s">
        <v>1503</v>
      </c>
      <c r="AG392" t="s">
        <v>48</v>
      </c>
    </row>
    <row r="393" spans="1:33">
      <c r="A393" t="s">
        <v>1504</v>
      </c>
      <c r="B393" t="s">
        <v>1505</v>
      </c>
      <c r="D393" t="s">
        <v>40</v>
      </c>
      <c r="E393" t="s">
        <v>41</v>
      </c>
      <c r="J393" t="s">
        <v>270</v>
      </c>
      <c r="K393" t="s">
        <v>271</v>
      </c>
      <c r="L393">
        <v>5</v>
      </c>
      <c r="M393" t="s">
        <v>1506</v>
      </c>
      <c r="N393" t="s">
        <v>59</v>
      </c>
      <c r="O393" t="s">
        <v>47</v>
      </c>
      <c r="P393" t="s">
        <v>47</v>
      </c>
      <c r="Y393" t="s">
        <v>1507</v>
      </c>
      <c r="AG393" t="s">
        <v>48</v>
      </c>
    </row>
    <row r="394" spans="1:33">
      <c r="A394" t="s">
        <v>1508</v>
      </c>
      <c r="B394" t="s">
        <v>1509</v>
      </c>
      <c r="D394" t="s">
        <v>40</v>
      </c>
      <c r="E394" t="s">
        <v>41</v>
      </c>
      <c r="J394" t="s">
        <v>108</v>
      </c>
      <c r="K394" t="s">
        <v>109</v>
      </c>
      <c r="L394">
        <v>5</v>
      </c>
      <c r="M394" t="s">
        <v>1506</v>
      </c>
      <c r="N394" t="s">
        <v>59</v>
      </c>
      <c r="O394" t="s">
        <v>47</v>
      </c>
      <c r="P394" t="s">
        <v>47</v>
      </c>
      <c r="Y394" t="s">
        <v>1510</v>
      </c>
      <c r="AG394" t="s">
        <v>48</v>
      </c>
    </row>
    <row r="395" spans="1:33">
      <c r="A395" t="s">
        <v>1511</v>
      </c>
      <c r="B395" t="s">
        <v>1512</v>
      </c>
      <c r="D395" t="s">
        <v>40</v>
      </c>
      <c r="E395" t="s">
        <v>41</v>
      </c>
      <c r="H395" t="s">
        <v>1513</v>
      </c>
      <c r="J395" t="s">
        <v>129</v>
      </c>
      <c r="K395" t="s">
        <v>130</v>
      </c>
      <c r="L395">
        <v>5</v>
      </c>
      <c r="M395" t="s">
        <v>1514</v>
      </c>
      <c r="N395" t="s">
        <v>218</v>
      </c>
      <c r="O395" t="s">
        <v>47</v>
      </c>
      <c r="P395" t="s">
        <v>47</v>
      </c>
      <c r="Y395" t="s">
        <v>1513</v>
      </c>
      <c r="AG395" t="s">
        <v>48</v>
      </c>
    </row>
    <row r="396" spans="1:33">
      <c r="A396" t="s">
        <v>1515</v>
      </c>
      <c r="B396" t="s">
        <v>1516</v>
      </c>
      <c r="D396" t="s">
        <v>40</v>
      </c>
      <c r="E396" t="s">
        <v>41</v>
      </c>
      <c r="J396" t="s">
        <v>290</v>
      </c>
      <c r="K396" t="s">
        <v>291</v>
      </c>
      <c r="L396">
        <v>5</v>
      </c>
      <c r="M396" t="s">
        <v>1517</v>
      </c>
      <c r="N396" t="s">
        <v>59</v>
      </c>
      <c r="O396" t="s">
        <v>47</v>
      </c>
      <c r="P396" t="s">
        <v>47</v>
      </c>
      <c r="Y396" t="s">
        <v>1518</v>
      </c>
      <c r="AG396" t="s">
        <v>48</v>
      </c>
    </row>
    <row r="397" spans="1:33">
      <c r="A397" t="s">
        <v>1519</v>
      </c>
      <c r="B397" t="s">
        <v>1520</v>
      </c>
      <c r="D397" t="s">
        <v>40</v>
      </c>
      <c r="E397" t="s">
        <v>41</v>
      </c>
      <c r="J397" t="s">
        <v>270</v>
      </c>
      <c r="K397" t="s">
        <v>271</v>
      </c>
      <c r="L397">
        <v>5</v>
      </c>
      <c r="M397" t="s">
        <v>1521</v>
      </c>
      <c r="N397" t="s">
        <v>59</v>
      </c>
      <c r="O397" t="s">
        <v>47</v>
      </c>
      <c r="P397" t="s">
        <v>47</v>
      </c>
      <c r="Y397" t="s">
        <v>1522</v>
      </c>
      <c r="AG397" t="s">
        <v>48</v>
      </c>
    </row>
    <row r="398" spans="1:33">
      <c r="A398" t="s">
        <v>1523</v>
      </c>
      <c r="B398" t="s">
        <v>1524</v>
      </c>
      <c r="D398" t="s">
        <v>40</v>
      </c>
      <c r="E398" t="s">
        <v>41</v>
      </c>
      <c r="J398" t="s">
        <v>129</v>
      </c>
      <c r="K398" t="s">
        <v>130</v>
      </c>
      <c r="L398">
        <v>5</v>
      </c>
      <c r="M398" t="s">
        <v>1525</v>
      </c>
      <c r="N398" t="s">
        <v>218</v>
      </c>
      <c r="O398" t="s">
        <v>47</v>
      </c>
      <c r="P398" t="s">
        <v>47</v>
      </c>
      <c r="Y398" t="s">
        <v>1526</v>
      </c>
      <c r="AG398" t="s">
        <v>48</v>
      </c>
    </row>
    <row r="399" spans="1:33">
      <c r="A399" t="s">
        <v>1527</v>
      </c>
      <c r="B399" t="s">
        <v>1528</v>
      </c>
      <c r="D399" t="s">
        <v>40</v>
      </c>
      <c r="E399" t="s">
        <v>41</v>
      </c>
      <c r="J399" t="s">
        <v>290</v>
      </c>
      <c r="K399" t="s">
        <v>291</v>
      </c>
      <c r="L399">
        <v>5</v>
      </c>
      <c r="M399" t="s">
        <v>1529</v>
      </c>
      <c r="N399" t="s">
        <v>59</v>
      </c>
      <c r="O399" t="s">
        <v>47</v>
      </c>
      <c r="P399" t="s">
        <v>47</v>
      </c>
      <c r="Y399" t="s">
        <v>1530</v>
      </c>
      <c r="AG399" t="s">
        <v>48</v>
      </c>
    </row>
    <row r="400" spans="1:33">
      <c r="A400" t="s">
        <v>1531</v>
      </c>
      <c r="B400" t="s">
        <v>1532</v>
      </c>
      <c r="D400" t="s">
        <v>40</v>
      </c>
      <c r="E400" t="s">
        <v>41</v>
      </c>
      <c r="J400" t="s">
        <v>290</v>
      </c>
      <c r="K400" t="s">
        <v>291</v>
      </c>
      <c r="L400">
        <v>5</v>
      </c>
      <c r="M400" t="s">
        <v>1533</v>
      </c>
      <c r="N400" t="s">
        <v>59</v>
      </c>
      <c r="O400" t="s">
        <v>47</v>
      </c>
      <c r="P400" t="s">
        <v>47</v>
      </c>
      <c r="Y400" t="s">
        <v>1534</v>
      </c>
      <c r="AG400" t="s">
        <v>48</v>
      </c>
    </row>
    <row r="401" spans="1:33">
      <c r="A401" t="s">
        <v>1535</v>
      </c>
      <c r="B401" t="s">
        <v>1536</v>
      </c>
      <c r="D401" t="s">
        <v>40</v>
      </c>
      <c r="E401" t="s">
        <v>41</v>
      </c>
      <c r="J401" t="s">
        <v>290</v>
      </c>
      <c r="K401" t="s">
        <v>291</v>
      </c>
      <c r="L401">
        <v>5</v>
      </c>
      <c r="M401" t="s">
        <v>1533</v>
      </c>
      <c r="N401" t="s">
        <v>59</v>
      </c>
      <c r="O401" t="s">
        <v>47</v>
      </c>
      <c r="P401" t="s">
        <v>47</v>
      </c>
      <c r="Y401" t="s">
        <v>1537</v>
      </c>
      <c r="AG401" t="s">
        <v>48</v>
      </c>
    </row>
    <row r="402" spans="1:33">
      <c r="A402" t="s">
        <v>1538</v>
      </c>
      <c r="B402" t="s">
        <v>1539</v>
      </c>
      <c r="D402" t="s">
        <v>40</v>
      </c>
      <c r="E402" t="s">
        <v>41</v>
      </c>
      <c r="J402" t="s">
        <v>290</v>
      </c>
      <c r="K402" t="s">
        <v>291</v>
      </c>
      <c r="L402">
        <v>5</v>
      </c>
      <c r="M402" t="s">
        <v>1540</v>
      </c>
      <c r="N402" t="s">
        <v>59</v>
      </c>
      <c r="O402" t="s">
        <v>47</v>
      </c>
      <c r="P402" t="s">
        <v>47</v>
      </c>
      <c r="Y402" t="s">
        <v>1541</v>
      </c>
      <c r="AG402" t="s">
        <v>48</v>
      </c>
    </row>
    <row r="403" spans="1:33">
      <c r="A403" t="s">
        <v>1542</v>
      </c>
      <c r="B403" t="s">
        <v>1543</v>
      </c>
      <c r="D403" t="s">
        <v>40</v>
      </c>
      <c r="E403" t="s">
        <v>41</v>
      </c>
      <c r="J403" t="s">
        <v>108</v>
      </c>
      <c r="K403" t="s">
        <v>109</v>
      </c>
      <c r="L403">
        <v>5</v>
      </c>
      <c r="M403" t="s">
        <v>1544</v>
      </c>
      <c r="N403" t="s">
        <v>59</v>
      </c>
      <c r="O403" t="s">
        <v>47</v>
      </c>
      <c r="P403" t="s">
        <v>47</v>
      </c>
      <c r="Y403" t="s">
        <v>1545</v>
      </c>
      <c r="AG403" t="s">
        <v>48</v>
      </c>
    </row>
    <row r="404" spans="1:33">
      <c r="A404" t="s">
        <v>1546</v>
      </c>
      <c r="B404" t="s">
        <v>1547</v>
      </c>
      <c r="D404" t="s">
        <v>40</v>
      </c>
      <c r="E404" t="s">
        <v>41</v>
      </c>
      <c r="J404" t="s">
        <v>290</v>
      </c>
      <c r="K404" t="s">
        <v>291</v>
      </c>
      <c r="L404">
        <v>5</v>
      </c>
      <c r="M404" t="s">
        <v>1548</v>
      </c>
      <c r="N404" t="s">
        <v>59</v>
      </c>
      <c r="O404" t="s">
        <v>47</v>
      </c>
      <c r="P404" t="s">
        <v>47</v>
      </c>
      <c r="Y404" t="s">
        <v>1549</v>
      </c>
      <c r="AG404" t="s">
        <v>48</v>
      </c>
    </row>
    <row r="405" spans="1:33">
      <c r="A405" t="s">
        <v>1550</v>
      </c>
      <c r="B405" t="s">
        <v>1551</v>
      </c>
      <c r="D405" t="s">
        <v>40</v>
      </c>
      <c r="E405" t="s">
        <v>41</v>
      </c>
      <c r="J405" t="s">
        <v>129</v>
      </c>
      <c r="K405" t="s">
        <v>130</v>
      </c>
      <c r="L405">
        <v>5</v>
      </c>
      <c r="M405" t="s">
        <v>1548</v>
      </c>
      <c r="N405" t="s">
        <v>218</v>
      </c>
      <c r="O405" t="s">
        <v>47</v>
      </c>
      <c r="P405" t="s">
        <v>47</v>
      </c>
      <c r="Y405" t="s">
        <v>1552</v>
      </c>
      <c r="AG405" t="s">
        <v>48</v>
      </c>
    </row>
    <row r="406" spans="1:33">
      <c r="A406" t="s">
        <v>1553</v>
      </c>
      <c r="B406" t="s">
        <v>1554</v>
      </c>
      <c r="D406" t="s">
        <v>40</v>
      </c>
      <c r="E406" t="s">
        <v>41</v>
      </c>
      <c r="J406" t="s">
        <v>162</v>
      </c>
      <c r="K406" t="s">
        <v>163</v>
      </c>
      <c r="L406">
        <v>5</v>
      </c>
      <c r="M406" t="s">
        <v>1548</v>
      </c>
      <c r="N406" t="s">
        <v>59</v>
      </c>
      <c r="O406" t="s">
        <v>47</v>
      </c>
      <c r="P406" t="s">
        <v>47</v>
      </c>
      <c r="Y406" t="s">
        <v>1555</v>
      </c>
      <c r="AG406" t="s">
        <v>48</v>
      </c>
    </row>
    <row r="407" spans="1:33">
      <c r="A407" t="s">
        <v>1556</v>
      </c>
      <c r="B407" t="s">
        <v>1557</v>
      </c>
      <c r="D407" t="s">
        <v>40</v>
      </c>
      <c r="E407" t="s">
        <v>41</v>
      </c>
      <c r="H407" t="s">
        <v>1558</v>
      </c>
      <c r="J407" t="s">
        <v>129</v>
      </c>
      <c r="K407" t="s">
        <v>130</v>
      </c>
      <c r="L407">
        <v>5</v>
      </c>
      <c r="M407" t="s">
        <v>1559</v>
      </c>
      <c r="N407" t="s">
        <v>192</v>
      </c>
      <c r="O407" t="s">
        <v>47</v>
      </c>
      <c r="P407" t="s">
        <v>47</v>
      </c>
      <c r="Y407" t="s">
        <v>1558</v>
      </c>
      <c r="AG407" t="s">
        <v>48</v>
      </c>
    </row>
    <row r="408" spans="1:33">
      <c r="A408" t="s">
        <v>1560</v>
      </c>
      <c r="B408" t="s">
        <v>1561</v>
      </c>
      <c r="D408" t="s">
        <v>40</v>
      </c>
      <c r="E408" t="s">
        <v>41</v>
      </c>
      <c r="J408" t="s">
        <v>108</v>
      </c>
      <c r="K408" t="s">
        <v>109</v>
      </c>
      <c r="L408">
        <v>5</v>
      </c>
      <c r="M408" t="s">
        <v>1562</v>
      </c>
      <c r="N408" t="s">
        <v>59</v>
      </c>
      <c r="O408" t="s">
        <v>47</v>
      </c>
      <c r="P408" t="s">
        <v>47</v>
      </c>
      <c r="Y408" t="s">
        <v>1563</v>
      </c>
      <c r="AG408" t="s">
        <v>48</v>
      </c>
    </row>
    <row r="409" spans="1:33">
      <c r="A409" t="s">
        <v>1564</v>
      </c>
      <c r="B409" t="s">
        <v>1565</v>
      </c>
      <c r="D409" t="s">
        <v>40</v>
      </c>
      <c r="E409" t="s">
        <v>41</v>
      </c>
      <c r="J409" t="s">
        <v>1566</v>
      </c>
      <c r="K409" t="s">
        <v>1567</v>
      </c>
      <c r="L409">
        <v>5</v>
      </c>
      <c r="M409" t="s">
        <v>1568</v>
      </c>
      <c r="N409" t="s">
        <v>192</v>
      </c>
      <c r="O409" t="s">
        <v>47</v>
      </c>
      <c r="P409" t="s">
        <v>47</v>
      </c>
      <c r="Y409" t="s">
        <v>1569</v>
      </c>
      <c r="AG409" t="s">
        <v>48</v>
      </c>
    </row>
    <row r="410" spans="1:33">
      <c r="A410" t="s">
        <v>1570</v>
      </c>
      <c r="B410" t="s">
        <v>1571</v>
      </c>
      <c r="D410" t="s">
        <v>40</v>
      </c>
      <c r="E410" t="s">
        <v>41</v>
      </c>
      <c r="J410" t="s">
        <v>290</v>
      </c>
      <c r="K410" t="s">
        <v>291</v>
      </c>
      <c r="L410">
        <v>5</v>
      </c>
      <c r="M410" t="s">
        <v>1572</v>
      </c>
      <c r="N410" t="s">
        <v>59</v>
      </c>
      <c r="O410" t="s">
        <v>47</v>
      </c>
      <c r="P410" t="s">
        <v>47</v>
      </c>
      <c r="Y410" t="s">
        <v>1573</v>
      </c>
      <c r="AG410" t="s">
        <v>48</v>
      </c>
    </row>
    <row r="411" spans="1:33">
      <c r="A411" t="s">
        <v>1574</v>
      </c>
      <c r="B411" t="s">
        <v>1575</v>
      </c>
      <c r="D411" t="s">
        <v>40</v>
      </c>
      <c r="E411" t="s">
        <v>41</v>
      </c>
      <c r="J411" t="s">
        <v>290</v>
      </c>
      <c r="K411" t="s">
        <v>291</v>
      </c>
      <c r="L411">
        <v>5</v>
      </c>
      <c r="M411" t="s">
        <v>1576</v>
      </c>
      <c r="N411" t="s">
        <v>59</v>
      </c>
      <c r="O411" t="s">
        <v>47</v>
      </c>
      <c r="P411" t="s">
        <v>47</v>
      </c>
      <c r="Y411" t="s">
        <v>1577</v>
      </c>
      <c r="AG411" t="s">
        <v>48</v>
      </c>
    </row>
    <row r="412" spans="1:33">
      <c r="A412" t="s">
        <v>1578</v>
      </c>
      <c r="B412" t="s">
        <v>1579</v>
      </c>
      <c r="D412" t="s">
        <v>40</v>
      </c>
      <c r="E412" t="s">
        <v>41</v>
      </c>
      <c r="J412" t="s">
        <v>114</v>
      </c>
      <c r="K412" t="s">
        <v>115</v>
      </c>
      <c r="L412">
        <v>5</v>
      </c>
      <c r="M412" t="s">
        <v>1580</v>
      </c>
      <c r="N412" t="s">
        <v>59</v>
      </c>
      <c r="O412" t="s">
        <v>47</v>
      </c>
      <c r="P412" t="s">
        <v>47</v>
      </c>
      <c r="Y412" t="s">
        <v>1581</v>
      </c>
      <c r="AG412" t="s">
        <v>48</v>
      </c>
    </row>
    <row r="413" spans="1:33">
      <c r="A413" t="s">
        <v>1582</v>
      </c>
      <c r="B413" t="s">
        <v>1583</v>
      </c>
      <c r="D413" t="s">
        <v>40</v>
      </c>
      <c r="E413" t="s">
        <v>41</v>
      </c>
      <c r="J413" t="s">
        <v>270</v>
      </c>
      <c r="K413" t="s">
        <v>271</v>
      </c>
      <c r="L413">
        <v>5</v>
      </c>
      <c r="M413" t="s">
        <v>1584</v>
      </c>
      <c r="N413" t="s">
        <v>59</v>
      </c>
      <c r="O413" t="s">
        <v>47</v>
      </c>
      <c r="P413" t="s">
        <v>47</v>
      </c>
      <c r="Y413" t="s">
        <v>1585</v>
      </c>
      <c r="AG413" t="s">
        <v>48</v>
      </c>
    </row>
    <row r="414" spans="1:33">
      <c r="A414" t="s">
        <v>1586</v>
      </c>
      <c r="B414" t="s">
        <v>1587</v>
      </c>
      <c r="D414" t="s">
        <v>40</v>
      </c>
      <c r="E414" t="s">
        <v>41</v>
      </c>
      <c r="J414" t="s">
        <v>290</v>
      </c>
      <c r="K414" t="s">
        <v>291</v>
      </c>
      <c r="L414">
        <v>5</v>
      </c>
      <c r="M414" t="s">
        <v>1588</v>
      </c>
      <c r="N414" t="s">
        <v>59</v>
      </c>
      <c r="O414" t="s">
        <v>47</v>
      </c>
      <c r="P414" t="s">
        <v>47</v>
      </c>
      <c r="Y414" t="s">
        <v>1589</v>
      </c>
      <c r="AG414" t="s">
        <v>48</v>
      </c>
    </row>
    <row r="415" spans="1:33">
      <c r="A415" t="s">
        <v>1590</v>
      </c>
      <c r="B415" t="s">
        <v>1591</v>
      </c>
      <c r="D415" t="s">
        <v>40</v>
      </c>
      <c r="E415" t="s">
        <v>41</v>
      </c>
      <c r="J415" t="s">
        <v>108</v>
      </c>
      <c r="K415" t="s">
        <v>109</v>
      </c>
      <c r="L415">
        <v>5</v>
      </c>
      <c r="M415" t="s">
        <v>1592</v>
      </c>
      <c r="N415" t="s">
        <v>59</v>
      </c>
      <c r="O415" t="s">
        <v>47</v>
      </c>
      <c r="P415" t="s">
        <v>47</v>
      </c>
      <c r="Y415" t="s">
        <v>1593</v>
      </c>
      <c r="AG415" t="s">
        <v>48</v>
      </c>
    </row>
    <row r="416" spans="1:33">
      <c r="A416" t="s">
        <v>1594</v>
      </c>
      <c r="B416" t="s">
        <v>1595</v>
      </c>
      <c r="D416" t="s">
        <v>40</v>
      </c>
      <c r="E416" t="s">
        <v>41</v>
      </c>
      <c r="J416" t="s">
        <v>108</v>
      </c>
      <c r="K416" t="s">
        <v>109</v>
      </c>
      <c r="L416">
        <v>5</v>
      </c>
      <c r="M416" t="s">
        <v>1596</v>
      </c>
      <c r="N416" t="s">
        <v>59</v>
      </c>
      <c r="O416" t="s">
        <v>47</v>
      </c>
      <c r="P416" t="s">
        <v>47</v>
      </c>
      <c r="Y416" t="s">
        <v>1597</v>
      </c>
      <c r="AG416" t="s">
        <v>48</v>
      </c>
    </row>
    <row r="417" spans="1:33">
      <c r="A417" t="s">
        <v>1598</v>
      </c>
      <c r="B417" t="s">
        <v>1599</v>
      </c>
      <c r="D417" t="s">
        <v>40</v>
      </c>
      <c r="E417" t="s">
        <v>41</v>
      </c>
      <c r="J417" t="s">
        <v>129</v>
      </c>
      <c r="K417" t="s">
        <v>130</v>
      </c>
      <c r="L417">
        <v>5</v>
      </c>
      <c r="M417" t="s">
        <v>1596</v>
      </c>
      <c r="N417" t="s">
        <v>192</v>
      </c>
      <c r="O417" t="s">
        <v>47</v>
      </c>
      <c r="P417" t="s">
        <v>47</v>
      </c>
      <c r="Y417" t="s">
        <v>1600</v>
      </c>
      <c r="AG417" t="s">
        <v>48</v>
      </c>
    </row>
    <row r="418" spans="1:33">
      <c r="A418" t="s">
        <v>117</v>
      </c>
      <c r="B418" t="s">
        <v>1601</v>
      </c>
      <c r="D418" t="s">
        <v>40</v>
      </c>
      <c r="E418" t="s">
        <v>41</v>
      </c>
      <c r="J418" t="s">
        <v>43</v>
      </c>
      <c r="K418" t="s">
        <v>44</v>
      </c>
      <c r="L418">
        <v>5</v>
      </c>
      <c r="M418" t="s">
        <v>1596</v>
      </c>
      <c r="N418" t="s">
        <v>218</v>
      </c>
      <c r="O418" t="s">
        <v>47</v>
      </c>
      <c r="P418" t="s">
        <v>47</v>
      </c>
      <c r="Y418" t="s">
        <v>1602</v>
      </c>
      <c r="AG418" t="s">
        <v>48</v>
      </c>
    </row>
    <row r="419" spans="1:33">
      <c r="A419" t="s">
        <v>1603</v>
      </c>
      <c r="B419" t="s">
        <v>1604</v>
      </c>
      <c r="D419" t="s">
        <v>40</v>
      </c>
      <c r="E419" t="s">
        <v>41</v>
      </c>
      <c r="H419" t="s">
        <v>1605</v>
      </c>
      <c r="J419" t="s">
        <v>129</v>
      </c>
      <c r="K419" t="s">
        <v>130</v>
      </c>
      <c r="L419">
        <v>5</v>
      </c>
      <c r="M419" t="s">
        <v>1606</v>
      </c>
      <c r="N419" t="s">
        <v>192</v>
      </c>
      <c r="O419" t="s">
        <v>47</v>
      </c>
      <c r="P419" t="s">
        <v>47</v>
      </c>
      <c r="Y419" t="s">
        <v>1605</v>
      </c>
      <c r="AG419" t="s">
        <v>48</v>
      </c>
    </row>
    <row r="420" spans="1:33">
      <c r="A420" t="s">
        <v>1607</v>
      </c>
      <c r="B420" t="s">
        <v>1608</v>
      </c>
      <c r="D420" t="s">
        <v>40</v>
      </c>
      <c r="E420" t="s">
        <v>41</v>
      </c>
      <c r="H420" t="s">
        <v>1609</v>
      </c>
      <c r="J420" t="s">
        <v>63</v>
      </c>
      <c r="K420" t="s">
        <v>64</v>
      </c>
      <c r="L420">
        <v>5</v>
      </c>
      <c r="M420" t="s">
        <v>1610</v>
      </c>
      <c r="N420" t="s">
        <v>59</v>
      </c>
      <c r="O420" t="s">
        <v>47</v>
      </c>
      <c r="P420" t="s">
        <v>47</v>
      </c>
      <c r="Y420" t="s">
        <v>1609</v>
      </c>
      <c r="AG420" t="s">
        <v>48</v>
      </c>
    </row>
    <row r="421" spans="1:33">
      <c r="A421" t="s">
        <v>1611</v>
      </c>
      <c r="B421" t="s">
        <v>1612</v>
      </c>
      <c r="D421" t="s">
        <v>40</v>
      </c>
      <c r="E421" t="s">
        <v>41</v>
      </c>
      <c r="H421" t="s">
        <v>1613</v>
      </c>
      <c r="J421" t="s">
        <v>63</v>
      </c>
      <c r="K421" t="s">
        <v>64</v>
      </c>
      <c r="L421">
        <v>5</v>
      </c>
      <c r="M421" t="s">
        <v>1614</v>
      </c>
      <c r="N421" t="s">
        <v>59</v>
      </c>
      <c r="O421" t="s">
        <v>47</v>
      </c>
      <c r="P421" t="s">
        <v>47</v>
      </c>
      <c r="Y421" t="s">
        <v>1613</v>
      </c>
      <c r="AG421" t="s">
        <v>48</v>
      </c>
    </row>
    <row r="422" spans="1:33">
      <c r="A422" t="s">
        <v>1615</v>
      </c>
      <c r="B422" t="s">
        <v>1616</v>
      </c>
      <c r="D422" t="s">
        <v>40</v>
      </c>
      <c r="E422" t="s">
        <v>41</v>
      </c>
      <c r="J422" t="s">
        <v>114</v>
      </c>
      <c r="K422" t="s">
        <v>115</v>
      </c>
      <c r="L422">
        <v>5</v>
      </c>
      <c r="M422" t="s">
        <v>1617</v>
      </c>
      <c r="N422" t="s">
        <v>59</v>
      </c>
      <c r="O422" t="s">
        <v>47</v>
      </c>
      <c r="P422" t="s">
        <v>47</v>
      </c>
      <c r="Y422" t="s">
        <v>1618</v>
      </c>
      <c r="AG422" t="s">
        <v>48</v>
      </c>
    </row>
    <row r="423" spans="1:33">
      <c r="A423" t="s">
        <v>1619</v>
      </c>
      <c r="B423" t="s">
        <v>1620</v>
      </c>
      <c r="D423" t="s">
        <v>40</v>
      </c>
      <c r="E423" t="s">
        <v>41</v>
      </c>
      <c r="J423" t="s">
        <v>270</v>
      </c>
      <c r="K423" t="s">
        <v>271</v>
      </c>
      <c r="L423">
        <v>5</v>
      </c>
      <c r="M423" t="s">
        <v>1617</v>
      </c>
      <c r="N423" t="s">
        <v>59</v>
      </c>
      <c r="O423" t="s">
        <v>47</v>
      </c>
      <c r="P423" t="s">
        <v>47</v>
      </c>
      <c r="Y423" t="s">
        <v>1621</v>
      </c>
      <c r="AG423" t="s">
        <v>48</v>
      </c>
    </row>
    <row r="424" spans="1:33">
      <c r="A424" t="s">
        <v>1622</v>
      </c>
      <c r="B424" t="s">
        <v>1623</v>
      </c>
      <c r="D424" t="s">
        <v>40</v>
      </c>
      <c r="E424" t="s">
        <v>41</v>
      </c>
      <c r="J424" t="s">
        <v>162</v>
      </c>
      <c r="K424" t="s">
        <v>163</v>
      </c>
      <c r="L424">
        <v>5</v>
      </c>
      <c r="M424" t="s">
        <v>1624</v>
      </c>
      <c r="N424" t="s">
        <v>59</v>
      </c>
      <c r="O424" t="s">
        <v>47</v>
      </c>
      <c r="P424" t="s">
        <v>47</v>
      </c>
      <c r="Y424" t="s">
        <v>1625</v>
      </c>
      <c r="AG424" t="s">
        <v>48</v>
      </c>
    </row>
    <row r="425" spans="1:33">
      <c r="A425" t="s">
        <v>1626</v>
      </c>
      <c r="B425" t="s">
        <v>1627</v>
      </c>
      <c r="D425" t="s">
        <v>40</v>
      </c>
      <c r="E425" t="s">
        <v>41</v>
      </c>
      <c r="H425" t="s">
        <v>1628</v>
      </c>
      <c r="J425" t="s">
        <v>63</v>
      </c>
      <c r="K425" t="s">
        <v>64</v>
      </c>
      <c r="L425">
        <v>5</v>
      </c>
      <c r="M425" t="s">
        <v>1629</v>
      </c>
      <c r="N425" t="s">
        <v>59</v>
      </c>
      <c r="O425" t="s">
        <v>47</v>
      </c>
      <c r="P425" t="s">
        <v>47</v>
      </c>
      <c r="Y425" t="s">
        <v>1628</v>
      </c>
      <c r="AG425" t="s">
        <v>48</v>
      </c>
    </row>
    <row r="426" spans="1:33">
      <c r="A426" t="s">
        <v>1630</v>
      </c>
      <c r="B426" t="s">
        <v>1631</v>
      </c>
      <c r="D426" t="s">
        <v>40</v>
      </c>
      <c r="E426" t="s">
        <v>41</v>
      </c>
      <c r="J426" t="s">
        <v>162</v>
      </c>
      <c r="K426" t="s">
        <v>163</v>
      </c>
      <c r="L426">
        <v>5</v>
      </c>
      <c r="M426" t="s">
        <v>1632</v>
      </c>
      <c r="N426" t="s">
        <v>59</v>
      </c>
      <c r="O426" t="s">
        <v>47</v>
      </c>
      <c r="P426" t="s">
        <v>47</v>
      </c>
      <c r="Y426" t="s">
        <v>1633</v>
      </c>
      <c r="AG426" t="s">
        <v>48</v>
      </c>
    </row>
    <row r="427" spans="1:33">
      <c r="A427" t="s">
        <v>1634</v>
      </c>
      <c r="B427" t="s">
        <v>1635</v>
      </c>
      <c r="D427" t="s">
        <v>40</v>
      </c>
      <c r="E427" t="s">
        <v>41</v>
      </c>
      <c r="J427" t="s">
        <v>108</v>
      </c>
      <c r="K427" t="s">
        <v>109</v>
      </c>
      <c r="L427">
        <v>5</v>
      </c>
      <c r="M427" t="s">
        <v>1632</v>
      </c>
      <c r="N427" t="s">
        <v>59</v>
      </c>
      <c r="O427" t="s">
        <v>47</v>
      </c>
      <c r="P427" t="s">
        <v>47</v>
      </c>
      <c r="Y427" t="s">
        <v>1636</v>
      </c>
      <c r="AG427" t="s">
        <v>48</v>
      </c>
    </row>
    <row r="428" spans="1:33">
      <c r="A428" t="s">
        <v>1637</v>
      </c>
      <c r="B428" t="s">
        <v>1638</v>
      </c>
      <c r="D428" t="s">
        <v>40</v>
      </c>
      <c r="E428" t="s">
        <v>41</v>
      </c>
      <c r="H428" t="s">
        <v>1639</v>
      </c>
      <c r="J428" t="s">
        <v>290</v>
      </c>
      <c r="K428" t="s">
        <v>291</v>
      </c>
      <c r="L428">
        <v>5</v>
      </c>
      <c r="M428" t="s">
        <v>1640</v>
      </c>
      <c r="N428" t="s">
        <v>59</v>
      </c>
      <c r="O428" t="s">
        <v>47</v>
      </c>
      <c r="P428" t="s">
        <v>47</v>
      </c>
      <c r="Y428" t="s">
        <v>1639</v>
      </c>
      <c r="AG428" t="s">
        <v>48</v>
      </c>
    </row>
    <row r="429" spans="1:33">
      <c r="A429" t="s">
        <v>1641</v>
      </c>
      <c r="B429" t="s">
        <v>1642</v>
      </c>
      <c r="D429" t="s">
        <v>40</v>
      </c>
      <c r="E429" t="s">
        <v>41</v>
      </c>
      <c r="J429" t="s">
        <v>270</v>
      </c>
      <c r="K429" t="s">
        <v>271</v>
      </c>
      <c r="L429">
        <v>5</v>
      </c>
      <c r="M429" t="s">
        <v>1640</v>
      </c>
      <c r="N429" t="s">
        <v>59</v>
      </c>
      <c r="O429" t="s">
        <v>47</v>
      </c>
      <c r="P429" t="s">
        <v>47</v>
      </c>
      <c r="Y429" t="s">
        <v>1643</v>
      </c>
      <c r="AG429" t="s">
        <v>48</v>
      </c>
    </row>
    <row r="430" spans="1:33">
      <c r="A430" t="s">
        <v>1644</v>
      </c>
      <c r="B430" t="s">
        <v>1645</v>
      </c>
      <c r="D430" t="s">
        <v>40</v>
      </c>
      <c r="E430" t="s">
        <v>41</v>
      </c>
      <c r="H430" t="s">
        <v>1646</v>
      </c>
      <c r="J430" t="s">
        <v>43</v>
      </c>
      <c r="K430" t="s">
        <v>44</v>
      </c>
      <c r="L430">
        <v>6</v>
      </c>
      <c r="M430" t="s">
        <v>1647</v>
      </c>
      <c r="N430" t="s">
        <v>192</v>
      </c>
      <c r="O430" t="s">
        <v>47</v>
      </c>
      <c r="P430" t="s">
        <v>47</v>
      </c>
      <c r="Y430" t="s">
        <v>1646</v>
      </c>
      <c r="AG430" t="s">
        <v>48</v>
      </c>
    </row>
    <row r="431" spans="1:33">
      <c r="A431" t="s">
        <v>1648</v>
      </c>
      <c r="B431" t="s">
        <v>1649</v>
      </c>
      <c r="D431" t="s">
        <v>40</v>
      </c>
      <c r="E431" t="s">
        <v>41</v>
      </c>
      <c r="J431" t="s">
        <v>290</v>
      </c>
      <c r="K431" t="s">
        <v>291</v>
      </c>
      <c r="L431">
        <v>5</v>
      </c>
      <c r="M431" t="s">
        <v>1650</v>
      </c>
      <c r="N431" t="s">
        <v>59</v>
      </c>
      <c r="O431" t="s">
        <v>47</v>
      </c>
      <c r="P431" t="s">
        <v>47</v>
      </c>
      <c r="Y431" t="s">
        <v>1651</v>
      </c>
      <c r="AG431" t="s">
        <v>48</v>
      </c>
    </row>
    <row r="432" spans="1:33">
      <c r="A432" t="s">
        <v>1652</v>
      </c>
      <c r="B432" t="s">
        <v>1653</v>
      </c>
      <c r="D432" t="s">
        <v>40</v>
      </c>
      <c r="E432" t="s">
        <v>41</v>
      </c>
      <c r="J432" t="s">
        <v>270</v>
      </c>
      <c r="K432" t="s">
        <v>271</v>
      </c>
      <c r="L432">
        <v>5</v>
      </c>
      <c r="M432" t="s">
        <v>1654</v>
      </c>
      <c r="N432" t="s">
        <v>59</v>
      </c>
      <c r="O432" t="s">
        <v>47</v>
      </c>
      <c r="P432" t="s">
        <v>47</v>
      </c>
      <c r="Y432" t="s">
        <v>1655</v>
      </c>
      <c r="AG432" t="s">
        <v>48</v>
      </c>
    </row>
    <row r="433" spans="1:33">
      <c r="A433" t="s">
        <v>1656</v>
      </c>
      <c r="B433" t="s">
        <v>1657</v>
      </c>
      <c r="D433" t="s">
        <v>40</v>
      </c>
      <c r="E433" t="s">
        <v>41</v>
      </c>
      <c r="J433" t="s">
        <v>270</v>
      </c>
      <c r="K433" t="s">
        <v>271</v>
      </c>
      <c r="L433">
        <v>5</v>
      </c>
      <c r="M433" t="s">
        <v>1654</v>
      </c>
      <c r="N433" t="s">
        <v>59</v>
      </c>
      <c r="O433" t="s">
        <v>47</v>
      </c>
      <c r="P433" t="s">
        <v>47</v>
      </c>
      <c r="Y433" t="s">
        <v>1658</v>
      </c>
      <c r="AG433" t="s">
        <v>48</v>
      </c>
    </row>
    <row r="434" spans="1:33">
      <c r="A434" t="s">
        <v>1659</v>
      </c>
      <c r="B434" t="s">
        <v>1660</v>
      </c>
      <c r="D434" t="s">
        <v>40</v>
      </c>
      <c r="E434" t="s">
        <v>41</v>
      </c>
      <c r="J434" t="s">
        <v>129</v>
      </c>
      <c r="K434" t="s">
        <v>130</v>
      </c>
      <c r="L434">
        <v>6</v>
      </c>
      <c r="M434" t="s">
        <v>1661</v>
      </c>
      <c r="N434" t="s">
        <v>218</v>
      </c>
      <c r="O434" t="s">
        <v>47</v>
      </c>
      <c r="P434" t="s">
        <v>47</v>
      </c>
      <c r="Y434" t="s">
        <v>1662</v>
      </c>
      <c r="AG434" t="s">
        <v>48</v>
      </c>
    </row>
    <row r="435" spans="1:33">
      <c r="A435" t="s">
        <v>1663</v>
      </c>
      <c r="B435" t="s">
        <v>1664</v>
      </c>
      <c r="D435" t="s">
        <v>40</v>
      </c>
      <c r="E435" t="s">
        <v>41</v>
      </c>
      <c r="H435" t="s">
        <v>1665</v>
      </c>
      <c r="J435" t="s">
        <v>63</v>
      </c>
      <c r="K435" t="s">
        <v>64</v>
      </c>
      <c r="L435">
        <v>5</v>
      </c>
      <c r="M435" t="s">
        <v>1666</v>
      </c>
      <c r="N435" t="s">
        <v>59</v>
      </c>
      <c r="O435" t="s">
        <v>47</v>
      </c>
      <c r="P435" t="s">
        <v>47</v>
      </c>
      <c r="Y435" t="s">
        <v>1665</v>
      </c>
      <c r="AG435" t="s">
        <v>48</v>
      </c>
    </row>
    <row r="436" spans="1:33">
      <c r="A436" t="s">
        <v>1667</v>
      </c>
      <c r="B436" t="s">
        <v>1668</v>
      </c>
      <c r="D436" t="s">
        <v>40</v>
      </c>
      <c r="E436" t="s">
        <v>41</v>
      </c>
      <c r="J436" t="s">
        <v>290</v>
      </c>
      <c r="K436" t="s">
        <v>291</v>
      </c>
      <c r="L436">
        <v>5</v>
      </c>
      <c r="M436" t="s">
        <v>1669</v>
      </c>
      <c r="N436" t="s">
        <v>59</v>
      </c>
      <c r="O436" t="s">
        <v>47</v>
      </c>
      <c r="P436" t="s">
        <v>47</v>
      </c>
      <c r="Y436" t="s">
        <v>1670</v>
      </c>
      <c r="AG436" t="s">
        <v>48</v>
      </c>
    </row>
    <row r="437" spans="1:33">
      <c r="A437" t="s">
        <v>1671</v>
      </c>
      <c r="B437" t="s">
        <v>1672</v>
      </c>
      <c r="D437" t="s">
        <v>40</v>
      </c>
      <c r="E437" t="s">
        <v>41</v>
      </c>
      <c r="J437" t="s">
        <v>270</v>
      </c>
      <c r="K437" t="s">
        <v>271</v>
      </c>
      <c r="L437">
        <v>5</v>
      </c>
      <c r="M437" t="s">
        <v>1673</v>
      </c>
      <c r="N437" t="s">
        <v>59</v>
      </c>
      <c r="O437" t="s">
        <v>47</v>
      </c>
      <c r="P437" t="s">
        <v>47</v>
      </c>
      <c r="Y437" t="s">
        <v>1674</v>
      </c>
      <c r="AG437" t="s">
        <v>48</v>
      </c>
    </row>
    <row r="438" spans="1:33">
      <c r="A438" t="s">
        <v>1675</v>
      </c>
      <c r="B438" t="s">
        <v>1676</v>
      </c>
      <c r="D438" t="s">
        <v>40</v>
      </c>
      <c r="E438" t="s">
        <v>41</v>
      </c>
      <c r="J438" t="s">
        <v>162</v>
      </c>
      <c r="K438" t="s">
        <v>163</v>
      </c>
      <c r="L438">
        <v>5</v>
      </c>
      <c r="M438" t="s">
        <v>1677</v>
      </c>
      <c r="N438" t="s">
        <v>59</v>
      </c>
      <c r="O438" t="s">
        <v>47</v>
      </c>
      <c r="P438" t="s">
        <v>47</v>
      </c>
      <c r="Y438" t="s">
        <v>1678</v>
      </c>
      <c r="AG438" t="s">
        <v>48</v>
      </c>
    </row>
    <row r="439" spans="1:33">
      <c r="A439" t="s">
        <v>1679</v>
      </c>
      <c r="B439" t="s">
        <v>1680</v>
      </c>
      <c r="D439" t="s">
        <v>40</v>
      </c>
      <c r="E439" t="s">
        <v>41</v>
      </c>
      <c r="J439" t="s">
        <v>108</v>
      </c>
      <c r="K439" t="s">
        <v>109</v>
      </c>
      <c r="L439">
        <v>5</v>
      </c>
      <c r="M439" t="s">
        <v>1677</v>
      </c>
      <c r="N439" t="s">
        <v>59</v>
      </c>
      <c r="O439" t="s">
        <v>47</v>
      </c>
      <c r="P439" t="s">
        <v>47</v>
      </c>
      <c r="Y439" t="s">
        <v>1681</v>
      </c>
      <c r="AG439" t="s">
        <v>48</v>
      </c>
    </row>
    <row r="440" spans="1:33">
      <c r="A440" t="s">
        <v>1682</v>
      </c>
      <c r="B440" t="s">
        <v>1683</v>
      </c>
      <c r="D440" t="s">
        <v>40</v>
      </c>
      <c r="E440" t="s">
        <v>41</v>
      </c>
      <c r="J440" t="s">
        <v>290</v>
      </c>
      <c r="K440" t="s">
        <v>291</v>
      </c>
      <c r="L440">
        <v>5</v>
      </c>
      <c r="M440" t="s">
        <v>1677</v>
      </c>
      <c r="N440" t="s">
        <v>59</v>
      </c>
      <c r="O440" t="s">
        <v>47</v>
      </c>
      <c r="P440" t="s">
        <v>47</v>
      </c>
      <c r="Y440" t="s">
        <v>1684</v>
      </c>
      <c r="AG440" t="s">
        <v>48</v>
      </c>
    </row>
    <row r="441" spans="1:33">
      <c r="A441" t="s">
        <v>1685</v>
      </c>
      <c r="B441" t="s">
        <v>1686</v>
      </c>
      <c r="D441" t="s">
        <v>40</v>
      </c>
      <c r="E441" t="s">
        <v>41</v>
      </c>
      <c r="J441" t="s">
        <v>270</v>
      </c>
      <c r="K441" t="s">
        <v>271</v>
      </c>
      <c r="L441">
        <v>5</v>
      </c>
      <c r="M441" t="s">
        <v>1687</v>
      </c>
      <c r="N441" t="s">
        <v>59</v>
      </c>
      <c r="O441" t="s">
        <v>47</v>
      </c>
      <c r="P441" t="s">
        <v>47</v>
      </c>
      <c r="Y441" t="s">
        <v>1688</v>
      </c>
      <c r="AG441" t="s">
        <v>48</v>
      </c>
    </row>
    <row r="442" spans="1:33">
      <c r="A442" t="s">
        <v>1689</v>
      </c>
      <c r="B442" t="s">
        <v>1690</v>
      </c>
      <c r="D442" t="s">
        <v>40</v>
      </c>
      <c r="E442" t="s">
        <v>41</v>
      </c>
      <c r="J442" t="s">
        <v>270</v>
      </c>
      <c r="K442" t="s">
        <v>271</v>
      </c>
      <c r="L442">
        <v>5</v>
      </c>
      <c r="M442" t="s">
        <v>1687</v>
      </c>
      <c r="N442" t="s">
        <v>59</v>
      </c>
      <c r="O442" t="s">
        <v>47</v>
      </c>
      <c r="P442" t="s">
        <v>47</v>
      </c>
      <c r="Y442" t="s">
        <v>1691</v>
      </c>
      <c r="AG442" t="s">
        <v>48</v>
      </c>
    </row>
    <row r="443" spans="1:33">
      <c r="A443" t="s">
        <v>1692</v>
      </c>
      <c r="B443" t="s">
        <v>1693</v>
      </c>
      <c r="D443" t="s">
        <v>40</v>
      </c>
      <c r="E443" t="s">
        <v>41</v>
      </c>
      <c r="J443" t="s">
        <v>270</v>
      </c>
      <c r="K443" t="s">
        <v>271</v>
      </c>
      <c r="L443">
        <v>5</v>
      </c>
      <c r="M443" t="s">
        <v>1694</v>
      </c>
      <c r="N443" t="s">
        <v>59</v>
      </c>
      <c r="O443" t="s">
        <v>47</v>
      </c>
      <c r="P443" t="s">
        <v>47</v>
      </c>
      <c r="Y443" t="s">
        <v>1695</v>
      </c>
      <c r="AG443" t="s">
        <v>48</v>
      </c>
    </row>
    <row r="444" spans="1:33">
      <c r="A444" t="s">
        <v>1696</v>
      </c>
      <c r="B444" t="s">
        <v>1697</v>
      </c>
      <c r="D444" t="s">
        <v>40</v>
      </c>
      <c r="E444" t="s">
        <v>41</v>
      </c>
      <c r="J444" t="s">
        <v>290</v>
      </c>
      <c r="K444" t="s">
        <v>291</v>
      </c>
      <c r="L444">
        <v>5</v>
      </c>
      <c r="M444" t="s">
        <v>1698</v>
      </c>
      <c r="N444" t="s">
        <v>59</v>
      </c>
      <c r="O444" t="s">
        <v>47</v>
      </c>
      <c r="P444" t="s">
        <v>47</v>
      </c>
      <c r="Y444" t="s">
        <v>1699</v>
      </c>
      <c r="AG444" t="s">
        <v>48</v>
      </c>
    </row>
    <row r="445" spans="1:33">
      <c r="A445" t="s">
        <v>1700</v>
      </c>
      <c r="B445" t="s">
        <v>1701</v>
      </c>
      <c r="D445" t="s">
        <v>40</v>
      </c>
      <c r="E445" t="s">
        <v>41</v>
      </c>
      <c r="J445" t="s">
        <v>290</v>
      </c>
      <c r="K445" t="s">
        <v>291</v>
      </c>
      <c r="L445">
        <v>5</v>
      </c>
      <c r="M445" t="s">
        <v>1702</v>
      </c>
      <c r="N445" t="s">
        <v>59</v>
      </c>
      <c r="O445" t="s">
        <v>47</v>
      </c>
      <c r="P445" t="s">
        <v>47</v>
      </c>
      <c r="Y445" t="s">
        <v>1703</v>
      </c>
      <c r="AG445" t="s">
        <v>48</v>
      </c>
    </row>
    <row r="446" spans="1:33">
      <c r="A446" t="s">
        <v>1704</v>
      </c>
      <c r="B446" t="s">
        <v>1705</v>
      </c>
      <c r="D446" t="s">
        <v>40</v>
      </c>
      <c r="E446" t="s">
        <v>41</v>
      </c>
      <c r="J446" t="s">
        <v>290</v>
      </c>
      <c r="K446" t="s">
        <v>291</v>
      </c>
      <c r="L446">
        <v>5</v>
      </c>
      <c r="M446" t="s">
        <v>1706</v>
      </c>
      <c r="N446" t="s">
        <v>59</v>
      </c>
      <c r="O446" t="s">
        <v>47</v>
      </c>
      <c r="P446" t="s">
        <v>47</v>
      </c>
      <c r="Y446" t="s">
        <v>1707</v>
      </c>
      <c r="AG446" t="s">
        <v>48</v>
      </c>
    </row>
    <row r="447" spans="1:33">
      <c r="A447" t="s">
        <v>1708</v>
      </c>
      <c r="B447" t="s">
        <v>1709</v>
      </c>
      <c r="D447" t="s">
        <v>40</v>
      </c>
      <c r="E447" t="s">
        <v>41</v>
      </c>
      <c r="J447" t="s">
        <v>114</v>
      </c>
      <c r="K447" t="s">
        <v>115</v>
      </c>
      <c r="L447">
        <v>5</v>
      </c>
      <c r="M447" t="s">
        <v>1710</v>
      </c>
      <c r="N447" t="s">
        <v>59</v>
      </c>
      <c r="O447" t="s">
        <v>47</v>
      </c>
      <c r="P447" t="s">
        <v>47</v>
      </c>
      <c r="Y447" t="s">
        <v>1711</v>
      </c>
      <c r="AG447" t="s">
        <v>48</v>
      </c>
    </row>
    <row r="448" spans="1:33">
      <c r="A448" t="s">
        <v>1712</v>
      </c>
      <c r="B448" t="s">
        <v>1713</v>
      </c>
      <c r="D448" t="s">
        <v>40</v>
      </c>
      <c r="E448" t="s">
        <v>41</v>
      </c>
      <c r="J448" t="s">
        <v>290</v>
      </c>
      <c r="K448" t="s">
        <v>291</v>
      </c>
      <c r="L448">
        <v>5</v>
      </c>
      <c r="M448" t="s">
        <v>1714</v>
      </c>
      <c r="N448" t="s">
        <v>59</v>
      </c>
      <c r="O448" t="s">
        <v>47</v>
      </c>
      <c r="P448" t="s">
        <v>47</v>
      </c>
      <c r="Y448" t="s">
        <v>1715</v>
      </c>
      <c r="AG448" t="s">
        <v>48</v>
      </c>
    </row>
    <row r="449" spans="1:33">
      <c r="A449" t="s">
        <v>1716</v>
      </c>
      <c r="B449" t="s">
        <v>1717</v>
      </c>
      <c r="D449" t="s">
        <v>40</v>
      </c>
      <c r="E449" t="s">
        <v>41</v>
      </c>
      <c r="J449" t="s">
        <v>290</v>
      </c>
      <c r="K449" t="s">
        <v>291</v>
      </c>
      <c r="L449">
        <v>5</v>
      </c>
      <c r="M449" t="s">
        <v>1718</v>
      </c>
      <c r="N449" t="s">
        <v>59</v>
      </c>
      <c r="O449" t="s">
        <v>47</v>
      </c>
      <c r="P449" t="s">
        <v>47</v>
      </c>
      <c r="Y449" t="s">
        <v>1719</v>
      </c>
      <c r="AG449" t="s">
        <v>48</v>
      </c>
    </row>
    <row r="450" spans="1:33">
      <c r="A450" t="s">
        <v>1720</v>
      </c>
      <c r="B450" t="s">
        <v>1721</v>
      </c>
      <c r="D450" t="s">
        <v>40</v>
      </c>
      <c r="E450" t="s">
        <v>41</v>
      </c>
      <c r="J450" t="s">
        <v>290</v>
      </c>
      <c r="K450" t="s">
        <v>291</v>
      </c>
      <c r="L450">
        <v>5</v>
      </c>
      <c r="M450" t="s">
        <v>1722</v>
      </c>
      <c r="N450" t="s">
        <v>59</v>
      </c>
      <c r="O450" t="s">
        <v>47</v>
      </c>
      <c r="P450" t="s">
        <v>47</v>
      </c>
      <c r="Y450" t="s">
        <v>1723</v>
      </c>
      <c r="AG450" t="s">
        <v>48</v>
      </c>
    </row>
    <row r="451" spans="1:33">
      <c r="A451" t="s">
        <v>1724</v>
      </c>
      <c r="B451" t="s">
        <v>1725</v>
      </c>
      <c r="D451" t="s">
        <v>40</v>
      </c>
      <c r="E451" t="s">
        <v>41</v>
      </c>
      <c r="J451" t="s">
        <v>270</v>
      </c>
      <c r="K451" t="s">
        <v>271</v>
      </c>
      <c r="L451">
        <v>5</v>
      </c>
      <c r="M451" t="s">
        <v>1726</v>
      </c>
      <c r="N451" t="s">
        <v>59</v>
      </c>
      <c r="O451" t="s">
        <v>47</v>
      </c>
      <c r="P451" t="s">
        <v>47</v>
      </c>
      <c r="Y451" t="s">
        <v>1727</v>
      </c>
      <c r="AG451" t="s">
        <v>48</v>
      </c>
    </row>
    <row r="452" spans="1:33">
      <c r="A452" t="s">
        <v>1728</v>
      </c>
      <c r="B452" t="s">
        <v>1729</v>
      </c>
      <c r="D452" t="s">
        <v>40</v>
      </c>
      <c r="E452" t="s">
        <v>41</v>
      </c>
      <c r="J452" t="s">
        <v>290</v>
      </c>
      <c r="K452" t="s">
        <v>291</v>
      </c>
      <c r="L452">
        <v>5</v>
      </c>
      <c r="M452" t="s">
        <v>1730</v>
      </c>
      <c r="N452" t="s">
        <v>59</v>
      </c>
      <c r="O452" t="s">
        <v>47</v>
      </c>
      <c r="P452" t="s">
        <v>47</v>
      </c>
      <c r="Y452" t="s">
        <v>1731</v>
      </c>
      <c r="AG452" t="s">
        <v>48</v>
      </c>
    </row>
    <row r="453" spans="1:33">
      <c r="A453" t="s">
        <v>1732</v>
      </c>
      <c r="B453" t="s">
        <v>1733</v>
      </c>
      <c r="D453" t="s">
        <v>40</v>
      </c>
      <c r="E453" t="s">
        <v>41</v>
      </c>
      <c r="J453" t="s">
        <v>114</v>
      </c>
      <c r="K453" t="s">
        <v>115</v>
      </c>
      <c r="L453">
        <v>5</v>
      </c>
      <c r="M453" t="s">
        <v>1734</v>
      </c>
      <c r="N453" t="s">
        <v>59</v>
      </c>
      <c r="O453" t="s">
        <v>47</v>
      </c>
      <c r="P453" t="s">
        <v>47</v>
      </c>
      <c r="Y453" t="s">
        <v>1735</v>
      </c>
      <c r="AG453" t="s">
        <v>48</v>
      </c>
    </row>
    <row r="454" spans="1:33">
      <c r="A454" t="s">
        <v>1736</v>
      </c>
      <c r="B454" t="s">
        <v>1737</v>
      </c>
      <c r="D454" t="s">
        <v>40</v>
      </c>
      <c r="E454" t="s">
        <v>41</v>
      </c>
      <c r="J454" t="s">
        <v>290</v>
      </c>
      <c r="K454" t="s">
        <v>291</v>
      </c>
      <c r="L454">
        <v>5</v>
      </c>
      <c r="M454" t="s">
        <v>1738</v>
      </c>
      <c r="N454" t="s">
        <v>59</v>
      </c>
      <c r="O454" t="s">
        <v>47</v>
      </c>
      <c r="P454" t="s">
        <v>47</v>
      </c>
      <c r="Y454" t="s">
        <v>1739</v>
      </c>
      <c r="AG454" t="s">
        <v>48</v>
      </c>
    </row>
    <row r="455" spans="1:33">
      <c r="A455" t="s">
        <v>1740</v>
      </c>
      <c r="B455" t="s">
        <v>1741</v>
      </c>
      <c r="D455" t="s">
        <v>40</v>
      </c>
      <c r="E455" t="s">
        <v>41</v>
      </c>
      <c r="J455" t="s">
        <v>290</v>
      </c>
      <c r="K455" t="s">
        <v>291</v>
      </c>
      <c r="L455">
        <v>5</v>
      </c>
      <c r="M455" t="s">
        <v>1742</v>
      </c>
      <c r="N455" t="s">
        <v>59</v>
      </c>
      <c r="O455" t="s">
        <v>47</v>
      </c>
      <c r="P455" t="s">
        <v>47</v>
      </c>
      <c r="Y455" t="s">
        <v>1743</v>
      </c>
      <c r="AG455" t="s">
        <v>48</v>
      </c>
    </row>
    <row r="456" spans="1:33">
      <c r="A456" t="s">
        <v>1744</v>
      </c>
      <c r="B456" t="s">
        <v>1745</v>
      </c>
      <c r="D456" t="s">
        <v>40</v>
      </c>
      <c r="E456" t="s">
        <v>41</v>
      </c>
      <c r="J456" t="s">
        <v>290</v>
      </c>
      <c r="K456" t="s">
        <v>291</v>
      </c>
      <c r="L456">
        <v>5</v>
      </c>
      <c r="M456" t="s">
        <v>1746</v>
      </c>
      <c r="N456" t="s">
        <v>59</v>
      </c>
      <c r="O456" t="s">
        <v>47</v>
      </c>
      <c r="P456" t="s">
        <v>47</v>
      </c>
      <c r="Y456" t="s">
        <v>1747</v>
      </c>
      <c r="AG456" t="s">
        <v>48</v>
      </c>
    </row>
    <row r="457" spans="1:33">
      <c r="A457" t="s">
        <v>1748</v>
      </c>
      <c r="B457" t="s">
        <v>1749</v>
      </c>
      <c r="D457" t="s">
        <v>40</v>
      </c>
      <c r="E457" t="s">
        <v>41</v>
      </c>
      <c r="J457" t="s">
        <v>290</v>
      </c>
      <c r="K457" t="s">
        <v>291</v>
      </c>
      <c r="L457">
        <v>5</v>
      </c>
      <c r="M457" t="s">
        <v>1750</v>
      </c>
      <c r="N457" t="s">
        <v>59</v>
      </c>
      <c r="O457" t="s">
        <v>47</v>
      </c>
      <c r="P457" t="s">
        <v>47</v>
      </c>
      <c r="Y457" t="s">
        <v>1751</v>
      </c>
      <c r="AG457" t="s">
        <v>48</v>
      </c>
    </row>
    <row r="458" spans="1:33">
      <c r="A458" t="s">
        <v>1752</v>
      </c>
      <c r="B458" t="s">
        <v>1753</v>
      </c>
      <c r="D458" t="s">
        <v>40</v>
      </c>
      <c r="E458" t="s">
        <v>41</v>
      </c>
      <c r="J458" t="s">
        <v>290</v>
      </c>
      <c r="K458" t="s">
        <v>291</v>
      </c>
      <c r="L458">
        <v>5</v>
      </c>
      <c r="M458" t="s">
        <v>1750</v>
      </c>
      <c r="N458" t="s">
        <v>59</v>
      </c>
      <c r="O458" t="s">
        <v>47</v>
      </c>
      <c r="P458" t="s">
        <v>47</v>
      </c>
      <c r="Y458" t="s">
        <v>1754</v>
      </c>
      <c r="AG458" t="s">
        <v>48</v>
      </c>
    </row>
    <row r="459" spans="1:33">
      <c r="A459" t="s">
        <v>1755</v>
      </c>
      <c r="B459" t="s">
        <v>1756</v>
      </c>
      <c r="D459" t="s">
        <v>40</v>
      </c>
      <c r="E459" t="s">
        <v>41</v>
      </c>
      <c r="J459" t="s">
        <v>162</v>
      </c>
      <c r="K459" t="s">
        <v>163</v>
      </c>
      <c r="L459">
        <v>5</v>
      </c>
      <c r="M459" t="s">
        <v>1750</v>
      </c>
      <c r="N459" t="s">
        <v>59</v>
      </c>
      <c r="O459" t="s">
        <v>47</v>
      </c>
      <c r="P459" t="s">
        <v>47</v>
      </c>
      <c r="Y459" t="s">
        <v>1757</v>
      </c>
      <c r="AG459" t="s">
        <v>48</v>
      </c>
    </row>
    <row r="460" spans="1:33">
      <c r="A460" t="s">
        <v>1758</v>
      </c>
      <c r="B460" t="s">
        <v>1759</v>
      </c>
      <c r="D460" t="s">
        <v>40</v>
      </c>
      <c r="E460" t="s">
        <v>41</v>
      </c>
      <c r="H460" t="s">
        <v>1760</v>
      </c>
      <c r="J460" t="s">
        <v>43</v>
      </c>
      <c r="K460" t="s">
        <v>44</v>
      </c>
      <c r="L460">
        <v>5</v>
      </c>
      <c r="M460" t="s">
        <v>1761</v>
      </c>
      <c r="N460" t="s">
        <v>192</v>
      </c>
      <c r="O460" t="s">
        <v>47</v>
      </c>
      <c r="P460" t="s">
        <v>47</v>
      </c>
      <c r="Y460" t="s">
        <v>1760</v>
      </c>
      <c r="AG460" t="s">
        <v>48</v>
      </c>
    </row>
    <row r="461" spans="1:33">
      <c r="A461" t="s">
        <v>1762</v>
      </c>
      <c r="B461" t="s">
        <v>1763</v>
      </c>
      <c r="D461" t="s">
        <v>40</v>
      </c>
      <c r="E461" t="s">
        <v>41</v>
      </c>
      <c r="J461" t="s">
        <v>290</v>
      </c>
      <c r="K461" t="s">
        <v>291</v>
      </c>
      <c r="L461">
        <v>5</v>
      </c>
      <c r="M461" t="s">
        <v>1764</v>
      </c>
      <c r="N461" t="s">
        <v>59</v>
      </c>
      <c r="O461" t="s">
        <v>47</v>
      </c>
      <c r="P461" t="s">
        <v>47</v>
      </c>
      <c r="Y461" t="s">
        <v>1765</v>
      </c>
      <c r="AG461" t="s">
        <v>48</v>
      </c>
    </row>
    <row r="462" spans="1:33">
      <c r="A462" t="s">
        <v>1766</v>
      </c>
      <c r="B462" t="s">
        <v>1767</v>
      </c>
      <c r="D462" t="s">
        <v>40</v>
      </c>
      <c r="E462" t="s">
        <v>41</v>
      </c>
      <c r="J462" t="s">
        <v>108</v>
      </c>
      <c r="K462" t="s">
        <v>109</v>
      </c>
      <c r="L462">
        <v>5</v>
      </c>
      <c r="M462" t="s">
        <v>1768</v>
      </c>
      <c r="N462" t="s">
        <v>59</v>
      </c>
      <c r="O462" t="s">
        <v>47</v>
      </c>
      <c r="P462" t="s">
        <v>47</v>
      </c>
      <c r="Y462" t="s">
        <v>1769</v>
      </c>
      <c r="AG462" t="s">
        <v>48</v>
      </c>
    </row>
    <row r="463" spans="1:33">
      <c r="A463" t="s">
        <v>1770</v>
      </c>
      <c r="B463" t="s">
        <v>1771</v>
      </c>
      <c r="D463" t="s">
        <v>40</v>
      </c>
      <c r="E463" t="s">
        <v>41</v>
      </c>
      <c r="J463" t="s">
        <v>162</v>
      </c>
      <c r="K463" t="s">
        <v>163</v>
      </c>
      <c r="L463">
        <v>5</v>
      </c>
      <c r="M463" t="s">
        <v>1772</v>
      </c>
      <c r="N463" t="s">
        <v>59</v>
      </c>
      <c r="O463" t="s">
        <v>47</v>
      </c>
      <c r="P463" t="s">
        <v>47</v>
      </c>
      <c r="Y463" t="s">
        <v>1773</v>
      </c>
      <c r="AG463" t="s">
        <v>48</v>
      </c>
    </row>
    <row r="464" spans="1:33">
      <c r="A464" t="s">
        <v>1774</v>
      </c>
      <c r="B464" t="s">
        <v>1775</v>
      </c>
      <c r="D464" t="s">
        <v>40</v>
      </c>
      <c r="E464" t="s">
        <v>41</v>
      </c>
      <c r="J464" t="s">
        <v>270</v>
      </c>
      <c r="K464" t="s">
        <v>271</v>
      </c>
      <c r="L464">
        <v>5</v>
      </c>
      <c r="M464" t="s">
        <v>1772</v>
      </c>
      <c r="N464" t="s">
        <v>59</v>
      </c>
      <c r="O464" t="s">
        <v>47</v>
      </c>
      <c r="P464" t="s">
        <v>47</v>
      </c>
      <c r="Y464" t="s">
        <v>1776</v>
      </c>
      <c r="AG464" t="s">
        <v>48</v>
      </c>
    </row>
    <row r="465" spans="1:33">
      <c r="A465" t="s">
        <v>1777</v>
      </c>
      <c r="B465" t="s">
        <v>1778</v>
      </c>
      <c r="D465" t="s">
        <v>40</v>
      </c>
      <c r="E465" t="s">
        <v>41</v>
      </c>
      <c r="J465" t="s">
        <v>290</v>
      </c>
      <c r="K465" t="s">
        <v>291</v>
      </c>
      <c r="L465">
        <v>5</v>
      </c>
      <c r="M465" t="s">
        <v>1779</v>
      </c>
      <c r="N465" t="s">
        <v>59</v>
      </c>
      <c r="O465" t="s">
        <v>47</v>
      </c>
      <c r="P465" t="s">
        <v>47</v>
      </c>
      <c r="Y465" t="s">
        <v>1780</v>
      </c>
      <c r="AG465" t="s">
        <v>48</v>
      </c>
    </row>
    <row r="466" spans="1:33">
      <c r="A466" t="s">
        <v>1781</v>
      </c>
      <c r="B466" t="s">
        <v>1782</v>
      </c>
      <c r="D466" t="s">
        <v>40</v>
      </c>
      <c r="E466" t="s">
        <v>41</v>
      </c>
      <c r="J466" t="s">
        <v>270</v>
      </c>
      <c r="K466" t="s">
        <v>271</v>
      </c>
      <c r="L466">
        <v>5</v>
      </c>
      <c r="M466" t="s">
        <v>1783</v>
      </c>
      <c r="N466" t="s">
        <v>59</v>
      </c>
      <c r="O466" t="s">
        <v>47</v>
      </c>
      <c r="P466" t="s">
        <v>47</v>
      </c>
      <c r="Y466" t="s">
        <v>1784</v>
      </c>
      <c r="AG466" t="s">
        <v>48</v>
      </c>
    </row>
    <row r="467" spans="1:33">
      <c r="A467" t="s">
        <v>1785</v>
      </c>
      <c r="B467" t="s">
        <v>1786</v>
      </c>
      <c r="D467" t="s">
        <v>40</v>
      </c>
      <c r="E467" t="s">
        <v>41</v>
      </c>
      <c r="J467" t="s">
        <v>162</v>
      </c>
      <c r="K467" t="s">
        <v>163</v>
      </c>
      <c r="L467">
        <v>5</v>
      </c>
      <c r="M467" t="s">
        <v>1787</v>
      </c>
      <c r="N467" t="s">
        <v>59</v>
      </c>
      <c r="O467" t="s">
        <v>47</v>
      </c>
      <c r="P467" t="s">
        <v>47</v>
      </c>
      <c r="Y467" t="s">
        <v>1788</v>
      </c>
      <c r="AG467" t="s">
        <v>48</v>
      </c>
    </row>
    <row r="468" spans="1:33">
      <c r="A468" t="s">
        <v>1789</v>
      </c>
      <c r="B468" t="s">
        <v>1790</v>
      </c>
      <c r="D468" t="s">
        <v>40</v>
      </c>
      <c r="E468" t="s">
        <v>41</v>
      </c>
      <c r="J468" t="s">
        <v>290</v>
      </c>
      <c r="K468" t="s">
        <v>291</v>
      </c>
      <c r="L468">
        <v>5</v>
      </c>
      <c r="M468" t="s">
        <v>1787</v>
      </c>
      <c r="N468" t="s">
        <v>59</v>
      </c>
      <c r="O468" t="s">
        <v>47</v>
      </c>
      <c r="P468" t="s">
        <v>47</v>
      </c>
      <c r="Y468" t="s">
        <v>1791</v>
      </c>
      <c r="AG468" t="s">
        <v>48</v>
      </c>
    </row>
    <row r="469" spans="1:33">
      <c r="A469" t="s">
        <v>1792</v>
      </c>
      <c r="B469" t="s">
        <v>1793</v>
      </c>
      <c r="D469" t="s">
        <v>40</v>
      </c>
      <c r="E469" t="s">
        <v>41</v>
      </c>
      <c r="J469" t="s">
        <v>162</v>
      </c>
      <c r="K469" t="s">
        <v>163</v>
      </c>
      <c r="L469">
        <v>5</v>
      </c>
      <c r="M469" t="s">
        <v>1794</v>
      </c>
      <c r="N469" t="s">
        <v>59</v>
      </c>
      <c r="O469" t="s">
        <v>47</v>
      </c>
      <c r="P469" t="s">
        <v>47</v>
      </c>
      <c r="Y469" t="s">
        <v>1795</v>
      </c>
      <c r="AG469" t="s">
        <v>48</v>
      </c>
    </row>
    <row r="470" spans="1:33">
      <c r="A470" t="s">
        <v>1796</v>
      </c>
      <c r="B470" t="s">
        <v>1797</v>
      </c>
      <c r="D470" t="s">
        <v>40</v>
      </c>
      <c r="E470" t="s">
        <v>41</v>
      </c>
      <c r="J470" t="s">
        <v>129</v>
      </c>
      <c r="K470" t="s">
        <v>130</v>
      </c>
      <c r="L470">
        <v>9</v>
      </c>
      <c r="M470" t="s">
        <v>1798</v>
      </c>
      <c r="N470" t="s">
        <v>46</v>
      </c>
      <c r="O470" t="s">
        <v>47</v>
      </c>
      <c r="P470" t="s">
        <v>47</v>
      </c>
      <c r="Y470" t="s">
        <v>1799</v>
      </c>
      <c r="AG470" t="s">
        <v>48</v>
      </c>
    </row>
    <row r="471" spans="1:33">
      <c r="A471" t="s">
        <v>1800</v>
      </c>
      <c r="B471" t="s">
        <v>1801</v>
      </c>
      <c r="D471" t="s">
        <v>40</v>
      </c>
      <c r="E471" t="s">
        <v>41</v>
      </c>
      <c r="H471" t="s">
        <v>1802</v>
      </c>
      <c r="J471" t="s">
        <v>69</v>
      </c>
      <c r="K471" t="s">
        <v>70</v>
      </c>
      <c r="L471">
        <v>5</v>
      </c>
      <c r="M471" t="s">
        <v>1803</v>
      </c>
      <c r="N471" t="s">
        <v>192</v>
      </c>
      <c r="O471" t="s">
        <v>47</v>
      </c>
      <c r="P471" t="s">
        <v>47</v>
      </c>
      <c r="Y471" t="s">
        <v>1802</v>
      </c>
      <c r="AG471" t="s">
        <v>48</v>
      </c>
    </row>
    <row r="472" spans="1:33">
      <c r="A472" t="s">
        <v>1804</v>
      </c>
      <c r="B472" t="s">
        <v>1805</v>
      </c>
      <c r="D472" t="s">
        <v>40</v>
      </c>
      <c r="E472" t="s">
        <v>41</v>
      </c>
      <c r="J472" t="s">
        <v>129</v>
      </c>
      <c r="K472" t="s">
        <v>130</v>
      </c>
      <c r="L472">
        <v>5</v>
      </c>
      <c r="M472" t="s">
        <v>1806</v>
      </c>
      <c r="N472" t="s">
        <v>192</v>
      </c>
      <c r="O472" t="s">
        <v>47</v>
      </c>
      <c r="P472" t="s">
        <v>47</v>
      </c>
      <c r="Y472" t="s">
        <v>1807</v>
      </c>
      <c r="AG472" t="s">
        <v>48</v>
      </c>
    </row>
    <row r="473" spans="1:33">
      <c r="A473" t="s">
        <v>1808</v>
      </c>
      <c r="B473" t="s">
        <v>1809</v>
      </c>
      <c r="D473" t="s">
        <v>40</v>
      </c>
      <c r="E473" t="s">
        <v>41</v>
      </c>
      <c r="J473" t="s">
        <v>162</v>
      </c>
      <c r="K473" t="s">
        <v>163</v>
      </c>
      <c r="L473">
        <v>5</v>
      </c>
      <c r="M473" t="s">
        <v>1810</v>
      </c>
      <c r="N473" t="s">
        <v>59</v>
      </c>
      <c r="O473" t="s">
        <v>47</v>
      </c>
      <c r="P473" t="s">
        <v>47</v>
      </c>
      <c r="Y473" t="s">
        <v>1811</v>
      </c>
      <c r="AG473" t="s">
        <v>48</v>
      </c>
    </row>
    <row r="474" spans="1:33">
      <c r="A474" t="s">
        <v>1812</v>
      </c>
      <c r="B474" t="s">
        <v>1813</v>
      </c>
      <c r="D474" t="s">
        <v>40</v>
      </c>
      <c r="E474" t="s">
        <v>41</v>
      </c>
      <c r="J474" t="s">
        <v>162</v>
      </c>
      <c r="K474" t="s">
        <v>163</v>
      </c>
      <c r="L474">
        <v>5</v>
      </c>
      <c r="M474" t="s">
        <v>1810</v>
      </c>
      <c r="N474" t="s">
        <v>59</v>
      </c>
      <c r="O474" t="s">
        <v>47</v>
      </c>
      <c r="P474" t="s">
        <v>47</v>
      </c>
      <c r="Y474" t="s">
        <v>1814</v>
      </c>
      <c r="AG474" t="s">
        <v>48</v>
      </c>
    </row>
    <row r="475" spans="1:33">
      <c r="A475" t="s">
        <v>1815</v>
      </c>
      <c r="B475" t="s">
        <v>1816</v>
      </c>
      <c r="D475" t="s">
        <v>40</v>
      </c>
      <c r="E475" t="s">
        <v>41</v>
      </c>
      <c r="J475" t="s">
        <v>162</v>
      </c>
      <c r="K475" t="s">
        <v>163</v>
      </c>
      <c r="L475">
        <v>5</v>
      </c>
      <c r="M475" t="s">
        <v>1810</v>
      </c>
      <c r="N475" t="s">
        <v>59</v>
      </c>
      <c r="O475" t="s">
        <v>47</v>
      </c>
      <c r="P475" t="s">
        <v>47</v>
      </c>
      <c r="Y475" t="s">
        <v>1817</v>
      </c>
      <c r="AG475" t="s">
        <v>48</v>
      </c>
    </row>
    <row r="476" spans="1:33">
      <c r="A476" t="s">
        <v>1818</v>
      </c>
      <c r="B476" t="s">
        <v>1819</v>
      </c>
      <c r="D476" t="s">
        <v>40</v>
      </c>
      <c r="E476" t="s">
        <v>41</v>
      </c>
      <c r="J476" t="s">
        <v>290</v>
      </c>
      <c r="K476" t="s">
        <v>291</v>
      </c>
      <c r="L476">
        <v>5</v>
      </c>
      <c r="M476" t="s">
        <v>1810</v>
      </c>
      <c r="N476" t="s">
        <v>59</v>
      </c>
      <c r="O476" t="s">
        <v>47</v>
      </c>
      <c r="P476" t="s">
        <v>47</v>
      </c>
      <c r="Y476" t="s">
        <v>1820</v>
      </c>
      <c r="AG476" t="s">
        <v>48</v>
      </c>
    </row>
    <row r="477" spans="1:33">
      <c r="A477" t="s">
        <v>1821</v>
      </c>
      <c r="B477" t="s">
        <v>1822</v>
      </c>
      <c r="D477" t="s">
        <v>40</v>
      </c>
      <c r="E477" t="s">
        <v>41</v>
      </c>
      <c r="J477" t="s">
        <v>108</v>
      </c>
      <c r="K477" t="s">
        <v>109</v>
      </c>
      <c r="L477">
        <v>5</v>
      </c>
      <c r="M477" t="s">
        <v>1810</v>
      </c>
      <c r="N477" t="s">
        <v>59</v>
      </c>
      <c r="O477" t="s">
        <v>47</v>
      </c>
      <c r="P477" t="s">
        <v>47</v>
      </c>
      <c r="Y477" t="s">
        <v>1823</v>
      </c>
      <c r="AG477" t="s">
        <v>48</v>
      </c>
    </row>
    <row r="478" spans="1:33">
      <c r="A478" t="s">
        <v>1824</v>
      </c>
      <c r="B478" t="s">
        <v>1825</v>
      </c>
      <c r="D478" t="s">
        <v>40</v>
      </c>
      <c r="E478" t="s">
        <v>41</v>
      </c>
      <c r="J478" t="s">
        <v>290</v>
      </c>
      <c r="K478" t="s">
        <v>291</v>
      </c>
      <c r="L478">
        <v>5</v>
      </c>
      <c r="M478" t="s">
        <v>1826</v>
      </c>
      <c r="N478" t="s">
        <v>59</v>
      </c>
      <c r="O478" t="s">
        <v>47</v>
      </c>
      <c r="P478" t="s">
        <v>47</v>
      </c>
      <c r="Y478" t="s">
        <v>1827</v>
      </c>
      <c r="AG478" t="s">
        <v>48</v>
      </c>
    </row>
    <row r="479" spans="1:33">
      <c r="A479" t="s">
        <v>1828</v>
      </c>
      <c r="B479" t="s">
        <v>1829</v>
      </c>
      <c r="D479" t="s">
        <v>40</v>
      </c>
      <c r="E479" t="s">
        <v>41</v>
      </c>
      <c r="J479" t="s">
        <v>1418</v>
      </c>
      <c r="K479" t="s">
        <v>1419</v>
      </c>
      <c r="L479">
        <v>5</v>
      </c>
      <c r="M479" t="s">
        <v>1826</v>
      </c>
      <c r="N479" t="s">
        <v>218</v>
      </c>
      <c r="O479" t="s">
        <v>47</v>
      </c>
      <c r="P479" t="s">
        <v>47</v>
      </c>
      <c r="Y479" t="s">
        <v>1830</v>
      </c>
      <c r="AG479" t="s">
        <v>48</v>
      </c>
    </row>
    <row r="480" spans="1:33">
      <c r="A480" t="s">
        <v>1831</v>
      </c>
      <c r="B480" t="s">
        <v>1832</v>
      </c>
      <c r="D480" t="s">
        <v>40</v>
      </c>
      <c r="E480" t="s">
        <v>41</v>
      </c>
      <c r="J480" t="s">
        <v>290</v>
      </c>
      <c r="K480" t="s">
        <v>291</v>
      </c>
      <c r="L480">
        <v>5</v>
      </c>
      <c r="M480" t="s">
        <v>1826</v>
      </c>
      <c r="N480" t="s">
        <v>59</v>
      </c>
      <c r="O480" t="s">
        <v>47</v>
      </c>
      <c r="P480" t="s">
        <v>47</v>
      </c>
      <c r="Y480" t="s">
        <v>1833</v>
      </c>
      <c r="AG480" t="s">
        <v>48</v>
      </c>
    </row>
    <row r="481" spans="1:33">
      <c r="A481" t="s">
        <v>1834</v>
      </c>
      <c r="B481" t="s">
        <v>1835</v>
      </c>
      <c r="D481" t="s">
        <v>40</v>
      </c>
      <c r="E481" t="s">
        <v>41</v>
      </c>
      <c r="J481" t="s">
        <v>108</v>
      </c>
      <c r="K481" t="s">
        <v>109</v>
      </c>
      <c r="L481">
        <v>5</v>
      </c>
      <c r="M481" t="s">
        <v>1826</v>
      </c>
      <c r="N481" t="s">
        <v>59</v>
      </c>
      <c r="O481" t="s">
        <v>47</v>
      </c>
      <c r="P481" t="s">
        <v>47</v>
      </c>
      <c r="Y481" t="s">
        <v>1836</v>
      </c>
      <c r="AG481" t="s">
        <v>48</v>
      </c>
    </row>
    <row r="482" spans="1:33">
      <c r="A482" t="s">
        <v>1837</v>
      </c>
      <c r="B482" t="s">
        <v>1838</v>
      </c>
      <c r="D482" t="s">
        <v>40</v>
      </c>
      <c r="E482" t="s">
        <v>41</v>
      </c>
      <c r="J482" t="s">
        <v>270</v>
      </c>
      <c r="K482" t="s">
        <v>271</v>
      </c>
      <c r="L482">
        <v>5</v>
      </c>
      <c r="M482" t="s">
        <v>1839</v>
      </c>
      <c r="N482" t="s">
        <v>59</v>
      </c>
      <c r="O482" t="s">
        <v>47</v>
      </c>
      <c r="P482" t="s">
        <v>47</v>
      </c>
      <c r="Y482" t="s">
        <v>1840</v>
      </c>
      <c r="AG482" t="s">
        <v>48</v>
      </c>
    </row>
    <row r="483" spans="1:33">
      <c r="A483" t="s">
        <v>1841</v>
      </c>
      <c r="B483" t="s">
        <v>1842</v>
      </c>
      <c r="D483" t="s">
        <v>40</v>
      </c>
      <c r="E483" t="s">
        <v>41</v>
      </c>
      <c r="J483" t="s">
        <v>270</v>
      </c>
      <c r="K483" t="s">
        <v>271</v>
      </c>
      <c r="L483">
        <v>5</v>
      </c>
      <c r="M483" t="s">
        <v>1843</v>
      </c>
      <c r="N483" t="s">
        <v>59</v>
      </c>
      <c r="O483" t="s">
        <v>47</v>
      </c>
      <c r="P483" t="s">
        <v>47</v>
      </c>
      <c r="Y483" t="s">
        <v>1844</v>
      </c>
      <c r="AG483" t="s">
        <v>48</v>
      </c>
    </row>
    <row r="484" spans="1:33">
      <c r="A484" t="s">
        <v>117</v>
      </c>
      <c r="B484" t="s">
        <v>1845</v>
      </c>
      <c r="D484" t="s">
        <v>40</v>
      </c>
      <c r="E484" t="s">
        <v>41</v>
      </c>
      <c r="J484" t="s">
        <v>270</v>
      </c>
      <c r="K484" t="s">
        <v>271</v>
      </c>
      <c r="L484">
        <v>5</v>
      </c>
      <c r="M484" t="s">
        <v>1846</v>
      </c>
      <c r="N484" t="s">
        <v>59</v>
      </c>
      <c r="O484" t="s">
        <v>47</v>
      </c>
      <c r="P484" t="s">
        <v>47</v>
      </c>
      <c r="Y484" t="s">
        <v>1847</v>
      </c>
      <c r="AG484" t="s">
        <v>48</v>
      </c>
    </row>
    <row r="485" spans="1:33">
      <c r="A485" t="s">
        <v>1848</v>
      </c>
      <c r="B485" t="s">
        <v>1849</v>
      </c>
      <c r="D485" t="s">
        <v>40</v>
      </c>
      <c r="E485" t="s">
        <v>41</v>
      </c>
      <c r="J485" t="s">
        <v>162</v>
      </c>
      <c r="K485" t="s">
        <v>163</v>
      </c>
      <c r="L485">
        <v>5</v>
      </c>
      <c r="M485" t="s">
        <v>1850</v>
      </c>
      <c r="N485" t="s">
        <v>59</v>
      </c>
      <c r="O485" t="s">
        <v>47</v>
      </c>
      <c r="P485" t="s">
        <v>47</v>
      </c>
      <c r="Y485" t="s">
        <v>1851</v>
      </c>
      <c r="AG485" t="s">
        <v>48</v>
      </c>
    </row>
    <row r="486" spans="1:33">
      <c r="A486" t="s">
        <v>1852</v>
      </c>
      <c r="B486" t="s">
        <v>1853</v>
      </c>
      <c r="D486" t="s">
        <v>40</v>
      </c>
      <c r="E486" t="s">
        <v>41</v>
      </c>
      <c r="H486" t="s">
        <v>1854</v>
      </c>
      <c r="J486" t="s">
        <v>162</v>
      </c>
      <c r="K486" t="s">
        <v>163</v>
      </c>
      <c r="L486">
        <v>5</v>
      </c>
      <c r="M486" t="s">
        <v>1850</v>
      </c>
      <c r="N486" t="s">
        <v>59</v>
      </c>
      <c r="O486" t="s">
        <v>47</v>
      </c>
      <c r="P486" t="s">
        <v>47</v>
      </c>
      <c r="Y486" t="s">
        <v>1854</v>
      </c>
      <c r="AG486" t="s">
        <v>48</v>
      </c>
    </row>
    <row r="487" spans="1:33">
      <c r="A487" t="s">
        <v>1855</v>
      </c>
      <c r="B487" t="s">
        <v>1856</v>
      </c>
      <c r="D487" t="s">
        <v>40</v>
      </c>
      <c r="E487" t="s">
        <v>41</v>
      </c>
      <c r="J487" t="s">
        <v>129</v>
      </c>
      <c r="K487" t="s">
        <v>130</v>
      </c>
      <c r="L487">
        <v>5</v>
      </c>
      <c r="M487" t="s">
        <v>1850</v>
      </c>
      <c r="N487" t="s">
        <v>46</v>
      </c>
      <c r="O487" t="s">
        <v>47</v>
      </c>
      <c r="P487" t="s">
        <v>47</v>
      </c>
      <c r="Y487" t="s">
        <v>1857</v>
      </c>
      <c r="AG487" t="s">
        <v>48</v>
      </c>
    </row>
    <row r="488" spans="1:33">
      <c r="A488" t="s">
        <v>1858</v>
      </c>
      <c r="B488" t="s">
        <v>1859</v>
      </c>
      <c r="D488" t="s">
        <v>40</v>
      </c>
      <c r="E488" t="s">
        <v>41</v>
      </c>
      <c r="J488" t="s">
        <v>114</v>
      </c>
      <c r="K488" t="s">
        <v>115</v>
      </c>
      <c r="L488">
        <v>5</v>
      </c>
      <c r="M488" t="s">
        <v>1850</v>
      </c>
      <c r="N488" t="s">
        <v>59</v>
      </c>
      <c r="O488" t="s">
        <v>47</v>
      </c>
      <c r="P488" t="s">
        <v>47</v>
      </c>
      <c r="Y488" t="s">
        <v>1860</v>
      </c>
      <c r="AG488" t="s">
        <v>48</v>
      </c>
    </row>
    <row r="489" spans="1:33">
      <c r="A489" t="s">
        <v>1861</v>
      </c>
      <c r="B489" t="s">
        <v>1862</v>
      </c>
      <c r="D489" t="s">
        <v>40</v>
      </c>
      <c r="E489" t="s">
        <v>41</v>
      </c>
      <c r="J489" t="s">
        <v>270</v>
      </c>
      <c r="K489" t="s">
        <v>271</v>
      </c>
      <c r="L489">
        <v>5</v>
      </c>
      <c r="M489" t="s">
        <v>1863</v>
      </c>
      <c r="N489" t="s">
        <v>59</v>
      </c>
      <c r="O489" t="s">
        <v>47</v>
      </c>
      <c r="P489" t="s">
        <v>47</v>
      </c>
      <c r="Y489" t="s">
        <v>1864</v>
      </c>
      <c r="AG489" t="s">
        <v>48</v>
      </c>
    </row>
    <row r="490" spans="1:33">
      <c r="A490" t="s">
        <v>1865</v>
      </c>
      <c r="B490" t="s">
        <v>1866</v>
      </c>
      <c r="D490" t="s">
        <v>40</v>
      </c>
      <c r="E490" t="s">
        <v>41</v>
      </c>
      <c r="J490" t="s">
        <v>129</v>
      </c>
      <c r="K490" t="s">
        <v>130</v>
      </c>
      <c r="L490">
        <v>5</v>
      </c>
      <c r="M490" t="s">
        <v>1867</v>
      </c>
      <c r="N490" t="s">
        <v>218</v>
      </c>
      <c r="O490" t="s">
        <v>47</v>
      </c>
      <c r="P490" t="s">
        <v>47</v>
      </c>
      <c r="Y490" t="s">
        <v>1868</v>
      </c>
      <c r="AG490" t="s">
        <v>48</v>
      </c>
    </row>
    <row r="491" spans="1:33">
      <c r="A491" t="s">
        <v>1869</v>
      </c>
      <c r="B491" t="s">
        <v>1870</v>
      </c>
      <c r="D491" t="s">
        <v>40</v>
      </c>
      <c r="E491" t="s">
        <v>41</v>
      </c>
      <c r="J491" t="s">
        <v>162</v>
      </c>
      <c r="K491" t="s">
        <v>163</v>
      </c>
      <c r="L491">
        <v>5</v>
      </c>
      <c r="M491" t="s">
        <v>1871</v>
      </c>
      <c r="N491" t="s">
        <v>59</v>
      </c>
      <c r="O491" t="s">
        <v>47</v>
      </c>
      <c r="P491" t="s">
        <v>47</v>
      </c>
      <c r="Y491" t="s">
        <v>1872</v>
      </c>
      <c r="AG491" t="s">
        <v>48</v>
      </c>
    </row>
    <row r="492" spans="1:33">
      <c r="A492" t="s">
        <v>1873</v>
      </c>
      <c r="B492" t="s">
        <v>1874</v>
      </c>
      <c r="D492" t="s">
        <v>40</v>
      </c>
      <c r="E492" t="s">
        <v>41</v>
      </c>
      <c r="J492" t="s">
        <v>290</v>
      </c>
      <c r="K492" t="s">
        <v>291</v>
      </c>
      <c r="L492">
        <v>5</v>
      </c>
      <c r="M492" t="s">
        <v>1871</v>
      </c>
      <c r="N492" t="s">
        <v>59</v>
      </c>
      <c r="O492" t="s">
        <v>47</v>
      </c>
      <c r="P492" t="s">
        <v>47</v>
      </c>
      <c r="Y492" t="s">
        <v>1875</v>
      </c>
      <c r="AG492" t="s">
        <v>48</v>
      </c>
    </row>
    <row r="493" spans="1:33">
      <c r="A493" t="s">
        <v>1876</v>
      </c>
      <c r="B493" t="s">
        <v>1877</v>
      </c>
      <c r="D493" t="s">
        <v>40</v>
      </c>
      <c r="E493" t="s">
        <v>41</v>
      </c>
      <c r="J493" t="s">
        <v>290</v>
      </c>
      <c r="K493" t="s">
        <v>291</v>
      </c>
      <c r="L493">
        <v>5</v>
      </c>
      <c r="M493" t="s">
        <v>1871</v>
      </c>
      <c r="N493" t="s">
        <v>59</v>
      </c>
      <c r="O493" t="s">
        <v>47</v>
      </c>
      <c r="P493" t="s">
        <v>47</v>
      </c>
      <c r="Y493" t="s">
        <v>1878</v>
      </c>
      <c r="AG493" t="s">
        <v>48</v>
      </c>
    </row>
    <row r="494" spans="1:33">
      <c r="A494" t="s">
        <v>1879</v>
      </c>
      <c r="B494" t="s">
        <v>1880</v>
      </c>
      <c r="D494" t="s">
        <v>40</v>
      </c>
      <c r="E494" t="s">
        <v>41</v>
      </c>
      <c r="J494" t="s">
        <v>290</v>
      </c>
      <c r="K494" t="s">
        <v>291</v>
      </c>
      <c r="L494">
        <v>5</v>
      </c>
      <c r="M494" t="s">
        <v>1881</v>
      </c>
      <c r="N494" t="s">
        <v>59</v>
      </c>
      <c r="O494" t="s">
        <v>47</v>
      </c>
      <c r="P494" t="s">
        <v>47</v>
      </c>
      <c r="Y494" t="s">
        <v>1882</v>
      </c>
      <c r="AG494" t="s">
        <v>48</v>
      </c>
    </row>
    <row r="495" spans="1:33">
      <c r="A495" t="s">
        <v>1883</v>
      </c>
      <c r="B495" t="s">
        <v>1884</v>
      </c>
      <c r="D495" t="s">
        <v>40</v>
      </c>
      <c r="E495" t="s">
        <v>41</v>
      </c>
      <c r="J495" t="s">
        <v>290</v>
      </c>
      <c r="K495" t="s">
        <v>291</v>
      </c>
      <c r="L495">
        <v>5</v>
      </c>
      <c r="M495" t="s">
        <v>1881</v>
      </c>
      <c r="N495" t="s">
        <v>59</v>
      </c>
      <c r="O495" t="s">
        <v>47</v>
      </c>
      <c r="P495" t="s">
        <v>47</v>
      </c>
      <c r="Y495" t="s">
        <v>1885</v>
      </c>
      <c r="AG495" t="s">
        <v>48</v>
      </c>
    </row>
    <row r="496" spans="1:33">
      <c r="A496" t="s">
        <v>1886</v>
      </c>
      <c r="B496" t="s">
        <v>1887</v>
      </c>
      <c r="D496" t="s">
        <v>40</v>
      </c>
      <c r="E496" t="s">
        <v>41</v>
      </c>
      <c r="J496" t="s">
        <v>108</v>
      </c>
      <c r="K496" t="s">
        <v>109</v>
      </c>
      <c r="L496">
        <v>5</v>
      </c>
      <c r="M496" t="s">
        <v>1888</v>
      </c>
      <c r="N496" t="s">
        <v>59</v>
      </c>
      <c r="O496" t="s">
        <v>47</v>
      </c>
      <c r="P496" t="s">
        <v>47</v>
      </c>
      <c r="Y496" t="s">
        <v>1889</v>
      </c>
      <c r="AG496" t="s">
        <v>48</v>
      </c>
    </row>
    <row r="497" spans="1:33">
      <c r="A497" t="s">
        <v>1890</v>
      </c>
      <c r="B497" t="s">
        <v>1891</v>
      </c>
      <c r="D497" t="s">
        <v>40</v>
      </c>
      <c r="E497" t="s">
        <v>41</v>
      </c>
      <c r="J497" t="s">
        <v>129</v>
      </c>
      <c r="K497" t="s">
        <v>130</v>
      </c>
      <c r="L497">
        <v>5</v>
      </c>
      <c r="M497" t="s">
        <v>1892</v>
      </c>
      <c r="N497" t="s">
        <v>192</v>
      </c>
      <c r="O497" t="s">
        <v>47</v>
      </c>
      <c r="P497" t="s">
        <v>47</v>
      </c>
      <c r="Y497" t="s">
        <v>1893</v>
      </c>
      <c r="AG497" t="s">
        <v>48</v>
      </c>
    </row>
    <row r="498" spans="1:33">
      <c r="A498" t="s">
        <v>1894</v>
      </c>
      <c r="B498" t="s">
        <v>1895</v>
      </c>
      <c r="D498" t="s">
        <v>40</v>
      </c>
      <c r="E498" t="s">
        <v>41</v>
      </c>
      <c r="J498" t="s">
        <v>108</v>
      </c>
      <c r="K498" t="s">
        <v>109</v>
      </c>
      <c r="L498">
        <v>5</v>
      </c>
      <c r="M498" t="s">
        <v>1892</v>
      </c>
      <c r="N498" t="s">
        <v>59</v>
      </c>
      <c r="O498" t="s">
        <v>47</v>
      </c>
      <c r="P498" t="s">
        <v>47</v>
      </c>
      <c r="Y498" t="s">
        <v>1896</v>
      </c>
      <c r="AG498" t="s">
        <v>48</v>
      </c>
    </row>
    <row r="499" spans="1:33">
      <c r="A499" t="s">
        <v>1897</v>
      </c>
      <c r="B499" t="s">
        <v>1898</v>
      </c>
      <c r="D499" t="s">
        <v>40</v>
      </c>
      <c r="E499" t="s">
        <v>41</v>
      </c>
      <c r="J499" t="s">
        <v>129</v>
      </c>
      <c r="K499" t="s">
        <v>130</v>
      </c>
      <c r="L499">
        <v>5</v>
      </c>
      <c r="M499" t="s">
        <v>1892</v>
      </c>
      <c r="N499" t="s">
        <v>218</v>
      </c>
      <c r="O499" t="s">
        <v>47</v>
      </c>
      <c r="P499" t="s">
        <v>47</v>
      </c>
      <c r="Y499" t="s">
        <v>1899</v>
      </c>
      <c r="AG499" t="s">
        <v>48</v>
      </c>
    </row>
    <row r="500" spans="1:33">
      <c r="A500" t="s">
        <v>1900</v>
      </c>
      <c r="B500" t="s">
        <v>1901</v>
      </c>
      <c r="D500" t="s">
        <v>40</v>
      </c>
      <c r="E500" t="s">
        <v>41</v>
      </c>
      <c r="H500" t="s">
        <v>1902</v>
      </c>
      <c r="J500" t="s">
        <v>63</v>
      </c>
      <c r="K500" t="s">
        <v>64</v>
      </c>
      <c r="L500">
        <v>5</v>
      </c>
      <c r="M500" t="s">
        <v>1903</v>
      </c>
      <c r="N500" t="s">
        <v>59</v>
      </c>
      <c r="O500" t="s">
        <v>47</v>
      </c>
      <c r="P500" t="s">
        <v>47</v>
      </c>
      <c r="Y500" t="s">
        <v>1902</v>
      </c>
      <c r="AG500" t="s">
        <v>48</v>
      </c>
    </row>
    <row r="501" spans="1:33">
      <c r="A501" t="s">
        <v>1904</v>
      </c>
      <c r="B501" t="s">
        <v>1905</v>
      </c>
      <c r="D501" t="s">
        <v>40</v>
      </c>
      <c r="E501" t="s">
        <v>41</v>
      </c>
      <c r="J501" t="s">
        <v>270</v>
      </c>
      <c r="K501" t="s">
        <v>271</v>
      </c>
      <c r="L501">
        <v>5</v>
      </c>
      <c r="M501" t="s">
        <v>1906</v>
      </c>
      <c r="N501" t="s">
        <v>59</v>
      </c>
      <c r="O501" t="s">
        <v>47</v>
      </c>
      <c r="P501" t="s">
        <v>47</v>
      </c>
      <c r="Y501" t="s">
        <v>1907</v>
      </c>
      <c r="AG501" t="s">
        <v>48</v>
      </c>
    </row>
    <row r="502" spans="1:33">
      <c r="A502" t="s">
        <v>1908</v>
      </c>
      <c r="B502" t="s">
        <v>1909</v>
      </c>
      <c r="D502" t="s">
        <v>40</v>
      </c>
      <c r="E502" t="s">
        <v>41</v>
      </c>
      <c r="H502" t="s">
        <v>1910</v>
      </c>
      <c r="J502" t="s">
        <v>129</v>
      </c>
      <c r="K502" t="s">
        <v>130</v>
      </c>
      <c r="L502">
        <v>5</v>
      </c>
      <c r="M502" t="s">
        <v>1906</v>
      </c>
      <c r="N502" t="s">
        <v>218</v>
      </c>
      <c r="O502" t="s">
        <v>47</v>
      </c>
      <c r="P502" t="s">
        <v>47</v>
      </c>
      <c r="Y502" t="s">
        <v>1910</v>
      </c>
      <c r="AG502" t="s">
        <v>48</v>
      </c>
    </row>
    <row r="503" spans="1:33">
      <c r="A503" t="s">
        <v>1911</v>
      </c>
      <c r="B503" t="s">
        <v>1912</v>
      </c>
      <c r="D503" t="s">
        <v>40</v>
      </c>
      <c r="E503" t="s">
        <v>41</v>
      </c>
      <c r="H503" t="s">
        <v>1913</v>
      </c>
      <c r="J503" t="s">
        <v>108</v>
      </c>
      <c r="K503" t="s">
        <v>109</v>
      </c>
      <c r="L503">
        <v>5</v>
      </c>
      <c r="M503" t="s">
        <v>1914</v>
      </c>
      <c r="N503" t="s">
        <v>59</v>
      </c>
      <c r="O503" t="s">
        <v>47</v>
      </c>
      <c r="P503" t="s">
        <v>47</v>
      </c>
      <c r="Y503" t="s">
        <v>1913</v>
      </c>
      <c r="AG503" t="s">
        <v>48</v>
      </c>
    </row>
    <row r="504" spans="1:33">
      <c r="A504" t="s">
        <v>1915</v>
      </c>
      <c r="B504" t="s">
        <v>1916</v>
      </c>
      <c r="D504" t="s">
        <v>40</v>
      </c>
      <c r="E504" t="s">
        <v>41</v>
      </c>
      <c r="J504" t="s">
        <v>162</v>
      </c>
      <c r="K504" t="s">
        <v>163</v>
      </c>
      <c r="L504">
        <v>5</v>
      </c>
      <c r="M504" t="s">
        <v>1914</v>
      </c>
      <c r="N504" t="s">
        <v>59</v>
      </c>
      <c r="O504" t="s">
        <v>47</v>
      </c>
      <c r="P504" t="s">
        <v>47</v>
      </c>
      <c r="Y504" t="s">
        <v>1917</v>
      </c>
      <c r="AG504" t="s">
        <v>48</v>
      </c>
    </row>
    <row r="505" spans="1:33">
      <c r="A505" t="s">
        <v>1918</v>
      </c>
      <c r="B505" t="s">
        <v>1919</v>
      </c>
      <c r="D505" t="s">
        <v>40</v>
      </c>
      <c r="E505" t="s">
        <v>41</v>
      </c>
      <c r="J505" t="s">
        <v>290</v>
      </c>
      <c r="K505" t="s">
        <v>291</v>
      </c>
      <c r="L505">
        <v>5</v>
      </c>
      <c r="M505" t="s">
        <v>1920</v>
      </c>
      <c r="N505" t="s">
        <v>59</v>
      </c>
      <c r="O505" t="s">
        <v>47</v>
      </c>
      <c r="P505" t="s">
        <v>47</v>
      </c>
      <c r="Y505" t="s">
        <v>1921</v>
      </c>
      <c r="AG505" t="s">
        <v>48</v>
      </c>
    </row>
    <row r="506" spans="1:33">
      <c r="A506" t="s">
        <v>1922</v>
      </c>
      <c r="B506" t="s">
        <v>1923</v>
      </c>
      <c r="D506" t="s">
        <v>40</v>
      </c>
      <c r="E506" t="s">
        <v>41</v>
      </c>
      <c r="H506" t="s">
        <v>1924</v>
      </c>
      <c r="J506" t="s">
        <v>123</v>
      </c>
      <c r="K506" t="s">
        <v>124</v>
      </c>
      <c r="L506">
        <v>5</v>
      </c>
      <c r="M506" t="s">
        <v>1925</v>
      </c>
      <c r="N506" t="s">
        <v>218</v>
      </c>
      <c r="O506" t="s">
        <v>47</v>
      </c>
      <c r="P506" t="s">
        <v>47</v>
      </c>
      <c r="Y506" t="s">
        <v>1924</v>
      </c>
      <c r="AG506" t="s">
        <v>48</v>
      </c>
    </row>
    <row r="507" spans="1:33">
      <c r="A507" t="s">
        <v>1926</v>
      </c>
      <c r="B507" t="s">
        <v>1927</v>
      </c>
      <c r="D507" t="s">
        <v>40</v>
      </c>
      <c r="E507" t="s">
        <v>41</v>
      </c>
      <c r="H507" t="s">
        <v>1928</v>
      </c>
      <c r="J507" t="s">
        <v>290</v>
      </c>
      <c r="K507" t="s">
        <v>291</v>
      </c>
      <c r="L507">
        <v>5</v>
      </c>
      <c r="M507" t="s">
        <v>1925</v>
      </c>
      <c r="N507" t="s">
        <v>59</v>
      </c>
      <c r="O507" t="s">
        <v>47</v>
      </c>
      <c r="P507" t="s">
        <v>47</v>
      </c>
      <c r="Y507" t="s">
        <v>1928</v>
      </c>
      <c r="AG507" t="s">
        <v>48</v>
      </c>
    </row>
    <row r="508" spans="1:33">
      <c r="A508" t="s">
        <v>1929</v>
      </c>
      <c r="B508" t="s">
        <v>1930</v>
      </c>
      <c r="D508" t="s">
        <v>40</v>
      </c>
      <c r="E508" t="s">
        <v>41</v>
      </c>
      <c r="J508" t="s">
        <v>43</v>
      </c>
      <c r="K508" t="s">
        <v>44</v>
      </c>
      <c r="L508">
        <v>5</v>
      </c>
      <c r="M508" t="s">
        <v>1931</v>
      </c>
      <c r="N508" t="s">
        <v>46</v>
      </c>
      <c r="O508" t="s">
        <v>47</v>
      </c>
      <c r="P508" t="s">
        <v>47</v>
      </c>
      <c r="Y508" t="s">
        <v>1932</v>
      </c>
      <c r="AG508" t="s">
        <v>48</v>
      </c>
    </row>
    <row r="509" spans="1:33">
      <c r="A509" t="s">
        <v>1933</v>
      </c>
      <c r="B509" t="s">
        <v>1934</v>
      </c>
      <c r="D509" t="s">
        <v>40</v>
      </c>
      <c r="E509" t="s">
        <v>41</v>
      </c>
      <c r="J509" t="s">
        <v>290</v>
      </c>
      <c r="K509" t="s">
        <v>291</v>
      </c>
      <c r="L509">
        <v>5</v>
      </c>
      <c r="M509" t="s">
        <v>1935</v>
      </c>
      <c r="N509" t="s">
        <v>59</v>
      </c>
      <c r="O509" t="s">
        <v>47</v>
      </c>
      <c r="P509" t="s">
        <v>47</v>
      </c>
      <c r="Y509" t="s">
        <v>1936</v>
      </c>
      <c r="AG509" t="s">
        <v>48</v>
      </c>
    </row>
    <row r="510" spans="1:33">
      <c r="A510" t="s">
        <v>1937</v>
      </c>
      <c r="B510" t="s">
        <v>1938</v>
      </c>
      <c r="D510" t="s">
        <v>40</v>
      </c>
      <c r="E510" t="s">
        <v>41</v>
      </c>
      <c r="J510" t="s">
        <v>290</v>
      </c>
      <c r="K510" t="s">
        <v>291</v>
      </c>
      <c r="L510">
        <v>5</v>
      </c>
      <c r="M510" t="s">
        <v>1935</v>
      </c>
      <c r="N510" t="s">
        <v>59</v>
      </c>
      <c r="O510" t="s">
        <v>47</v>
      </c>
      <c r="P510" t="s">
        <v>47</v>
      </c>
      <c r="Y510" t="s">
        <v>1939</v>
      </c>
      <c r="AG510" t="s">
        <v>48</v>
      </c>
    </row>
    <row r="511" spans="1:33">
      <c r="A511" t="s">
        <v>1940</v>
      </c>
      <c r="B511" t="s">
        <v>1941</v>
      </c>
      <c r="D511" t="s">
        <v>40</v>
      </c>
      <c r="E511" t="s">
        <v>41</v>
      </c>
      <c r="J511" t="s">
        <v>290</v>
      </c>
      <c r="K511" t="s">
        <v>291</v>
      </c>
      <c r="L511">
        <v>5</v>
      </c>
      <c r="M511" t="s">
        <v>1942</v>
      </c>
      <c r="N511" t="s">
        <v>59</v>
      </c>
      <c r="O511" t="s">
        <v>47</v>
      </c>
      <c r="P511" t="s">
        <v>47</v>
      </c>
      <c r="Y511" t="s">
        <v>1943</v>
      </c>
      <c r="AG511" t="s">
        <v>48</v>
      </c>
    </row>
    <row r="512" spans="1:33">
      <c r="A512" t="s">
        <v>1944</v>
      </c>
      <c r="B512" t="s">
        <v>1945</v>
      </c>
      <c r="D512" t="s">
        <v>40</v>
      </c>
      <c r="E512" t="s">
        <v>41</v>
      </c>
      <c r="J512" t="s">
        <v>290</v>
      </c>
      <c r="K512" t="s">
        <v>291</v>
      </c>
      <c r="L512">
        <v>5</v>
      </c>
      <c r="M512" t="s">
        <v>1942</v>
      </c>
      <c r="N512" t="s">
        <v>59</v>
      </c>
      <c r="O512" t="s">
        <v>47</v>
      </c>
      <c r="P512" t="s">
        <v>47</v>
      </c>
      <c r="Y512" t="s">
        <v>1946</v>
      </c>
      <c r="AG512" t="s">
        <v>48</v>
      </c>
    </row>
    <row r="513" spans="1:33">
      <c r="A513" t="s">
        <v>1947</v>
      </c>
      <c r="B513" t="s">
        <v>1948</v>
      </c>
      <c r="D513" t="s">
        <v>40</v>
      </c>
      <c r="E513" t="s">
        <v>41</v>
      </c>
      <c r="J513" t="s">
        <v>290</v>
      </c>
      <c r="K513" t="s">
        <v>291</v>
      </c>
      <c r="L513">
        <v>5</v>
      </c>
      <c r="M513" t="s">
        <v>1942</v>
      </c>
      <c r="N513" t="s">
        <v>59</v>
      </c>
      <c r="O513" t="s">
        <v>47</v>
      </c>
      <c r="P513" t="s">
        <v>47</v>
      </c>
      <c r="Y513" t="s">
        <v>1949</v>
      </c>
      <c r="AG513" t="s">
        <v>48</v>
      </c>
    </row>
    <row r="514" spans="1:33">
      <c r="A514" t="s">
        <v>1950</v>
      </c>
      <c r="B514" t="s">
        <v>1951</v>
      </c>
      <c r="D514" t="s">
        <v>40</v>
      </c>
      <c r="E514" t="s">
        <v>41</v>
      </c>
      <c r="J514" t="s">
        <v>108</v>
      </c>
      <c r="K514" t="s">
        <v>109</v>
      </c>
      <c r="L514">
        <v>5</v>
      </c>
      <c r="M514" t="s">
        <v>1952</v>
      </c>
      <c r="N514" t="s">
        <v>59</v>
      </c>
      <c r="O514" t="s">
        <v>47</v>
      </c>
      <c r="P514" t="s">
        <v>47</v>
      </c>
      <c r="Y514" t="s">
        <v>1953</v>
      </c>
      <c r="AG514" t="s">
        <v>48</v>
      </c>
    </row>
    <row r="515" spans="1:33">
      <c r="A515" t="s">
        <v>1954</v>
      </c>
      <c r="B515" t="s">
        <v>1955</v>
      </c>
      <c r="D515" t="s">
        <v>40</v>
      </c>
      <c r="E515" t="s">
        <v>41</v>
      </c>
      <c r="J515" t="s">
        <v>290</v>
      </c>
      <c r="K515" t="s">
        <v>291</v>
      </c>
      <c r="L515">
        <v>5</v>
      </c>
      <c r="M515" t="s">
        <v>1952</v>
      </c>
      <c r="N515" t="s">
        <v>59</v>
      </c>
      <c r="O515" t="s">
        <v>47</v>
      </c>
      <c r="P515" t="s">
        <v>47</v>
      </c>
      <c r="Y515" t="s">
        <v>1956</v>
      </c>
      <c r="AG515" t="s">
        <v>48</v>
      </c>
    </row>
    <row r="516" spans="1:33">
      <c r="A516" t="s">
        <v>1957</v>
      </c>
      <c r="B516" t="s">
        <v>1958</v>
      </c>
      <c r="D516" t="s">
        <v>40</v>
      </c>
      <c r="E516" t="s">
        <v>41</v>
      </c>
      <c r="J516" t="s">
        <v>290</v>
      </c>
      <c r="K516" t="s">
        <v>291</v>
      </c>
      <c r="L516">
        <v>5</v>
      </c>
      <c r="M516" t="s">
        <v>1952</v>
      </c>
      <c r="N516" t="s">
        <v>59</v>
      </c>
      <c r="O516" t="s">
        <v>47</v>
      </c>
      <c r="P516" t="s">
        <v>47</v>
      </c>
      <c r="Y516" t="s">
        <v>1959</v>
      </c>
      <c r="AG516" t="s">
        <v>48</v>
      </c>
    </row>
    <row r="517" spans="1:33">
      <c r="A517" t="s">
        <v>1960</v>
      </c>
      <c r="B517" t="s">
        <v>1961</v>
      </c>
      <c r="D517" t="s">
        <v>40</v>
      </c>
      <c r="E517" t="s">
        <v>41</v>
      </c>
      <c r="J517" t="s">
        <v>290</v>
      </c>
      <c r="K517" t="s">
        <v>291</v>
      </c>
      <c r="L517">
        <v>5</v>
      </c>
      <c r="M517" t="s">
        <v>1962</v>
      </c>
      <c r="N517" t="s">
        <v>59</v>
      </c>
      <c r="O517" t="s">
        <v>47</v>
      </c>
      <c r="P517" t="s">
        <v>47</v>
      </c>
      <c r="Y517" t="s">
        <v>1963</v>
      </c>
      <c r="AG517" t="s">
        <v>48</v>
      </c>
    </row>
    <row r="518" spans="1:33">
      <c r="A518" t="s">
        <v>1964</v>
      </c>
      <c r="B518" t="s">
        <v>1965</v>
      </c>
      <c r="D518" t="s">
        <v>40</v>
      </c>
      <c r="E518" t="s">
        <v>41</v>
      </c>
      <c r="J518" t="s">
        <v>108</v>
      </c>
      <c r="K518" t="s">
        <v>109</v>
      </c>
      <c r="L518">
        <v>5</v>
      </c>
      <c r="M518" t="s">
        <v>1962</v>
      </c>
      <c r="N518" t="s">
        <v>59</v>
      </c>
      <c r="O518" t="s">
        <v>47</v>
      </c>
      <c r="P518" t="s">
        <v>47</v>
      </c>
      <c r="Y518" t="s">
        <v>1966</v>
      </c>
      <c r="AG518" t="s">
        <v>48</v>
      </c>
    </row>
    <row r="519" spans="1:33">
      <c r="A519" t="s">
        <v>1967</v>
      </c>
      <c r="B519" t="s">
        <v>1968</v>
      </c>
      <c r="D519" t="s">
        <v>40</v>
      </c>
      <c r="E519" t="s">
        <v>41</v>
      </c>
      <c r="J519" t="s">
        <v>69</v>
      </c>
      <c r="K519" t="s">
        <v>70</v>
      </c>
      <c r="L519">
        <v>5</v>
      </c>
      <c r="M519" t="s">
        <v>1962</v>
      </c>
      <c r="N519" t="s">
        <v>192</v>
      </c>
      <c r="O519" t="s">
        <v>47</v>
      </c>
      <c r="P519" t="s">
        <v>47</v>
      </c>
      <c r="Y519" t="s">
        <v>1969</v>
      </c>
      <c r="AG519" t="s">
        <v>48</v>
      </c>
    </row>
    <row r="520" spans="1:33">
      <c r="A520" t="s">
        <v>1970</v>
      </c>
      <c r="B520" t="s">
        <v>1971</v>
      </c>
      <c r="D520" t="s">
        <v>40</v>
      </c>
      <c r="E520" t="s">
        <v>41</v>
      </c>
      <c r="J520" t="s">
        <v>290</v>
      </c>
      <c r="K520" t="s">
        <v>291</v>
      </c>
      <c r="L520">
        <v>5</v>
      </c>
      <c r="M520" t="s">
        <v>1972</v>
      </c>
      <c r="N520" t="s">
        <v>59</v>
      </c>
      <c r="O520" t="s">
        <v>47</v>
      </c>
      <c r="P520" t="s">
        <v>47</v>
      </c>
      <c r="Y520" t="s">
        <v>1973</v>
      </c>
      <c r="AG520" t="s">
        <v>48</v>
      </c>
    </row>
    <row r="521" spans="1:33">
      <c r="A521" t="s">
        <v>117</v>
      </c>
      <c r="B521" t="s">
        <v>1974</v>
      </c>
      <c r="D521" t="s">
        <v>40</v>
      </c>
      <c r="E521" t="s">
        <v>41</v>
      </c>
      <c r="J521" t="s">
        <v>162</v>
      </c>
      <c r="K521" t="s">
        <v>163</v>
      </c>
      <c r="L521">
        <v>5</v>
      </c>
      <c r="M521" t="s">
        <v>1975</v>
      </c>
      <c r="N521" t="s">
        <v>59</v>
      </c>
      <c r="O521" t="s">
        <v>47</v>
      </c>
      <c r="P521" t="s">
        <v>47</v>
      </c>
      <c r="Y521" t="s">
        <v>1976</v>
      </c>
      <c r="AG521" t="s">
        <v>48</v>
      </c>
    </row>
    <row r="522" spans="1:33">
      <c r="A522" t="s">
        <v>1977</v>
      </c>
      <c r="B522" t="s">
        <v>1978</v>
      </c>
      <c r="D522" t="s">
        <v>40</v>
      </c>
      <c r="E522" t="s">
        <v>41</v>
      </c>
      <c r="J522" t="s">
        <v>129</v>
      </c>
      <c r="K522" t="s">
        <v>130</v>
      </c>
      <c r="L522">
        <v>5</v>
      </c>
      <c r="M522" t="s">
        <v>1979</v>
      </c>
      <c r="N522" t="s">
        <v>46</v>
      </c>
      <c r="O522" t="s">
        <v>47</v>
      </c>
      <c r="P522" t="s">
        <v>47</v>
      </c>
      <c r="Y522" t="s">
        <v>1980</v>
      </c>
      <c r="AG522" t="s">
        <v>48</v>
      </c>
    </row>
    <row r="523" spans="1:33">
      <c r="A523" t="s">
        <v>1981</v>
      </c>
      <c r="B523" t="s">
        <v>1982</v>
      </c>
      <c r="D523" t="s">
        <v>40</v>
      </c>
      <c r="E523" t="s">
        <v>41</v>
      </c>
      <c r="J523" t="s">
        <v>162</v>
      </c>
      <c r="K523" t="s">
        <v>163</v>
      </c>
      <c r="L523">
        <v>5</v>
      </c>
      <c r="M523" t="s">
        <v>1979</v>
      </c>
      <c r="N523" t="s">
        <v>59</v>
      </c>
      <c r="O523" t="s">
        <v>47</v>
      </c>
      <c r="P523" t="s">
        <v>47</v>
      </c>
      <c r="Y523" t="s">
        <v>1983</v>
      </c>
      <c r="AG523" t="s">
        <v>48</v>
      </c>
    </row>
    <row r="524" spans="1:33">
      <c r="A524" t="s">
        <v>1984</v>
      </c>
      <c r="B524" t="s">
        <v>1985</v>
      </c>
      <c r="D524" t="s">
        <v>40</v>
      </c>
      <c r="E524" t="s">
        <v>41</v>
      </c>
      <c r="J524" t="s">
        <v>290</v>
      </c>
      <c r="K524" t="s">
        <v>291</v>
      </c>
      <c r="L524">
        <v>5</v>
      </c>
      <c r="M524" t="s">
        <v>1979</v>
      </c>
      <c r="N524" t="s">
        <v>59</v>
      </c>
      <c r="O524" t="s">
        <v>47</v>
      </c>
      <c r="P524" t="s">
        <v>47</v>
      </c>
      <c r="Y524" t="s">
        <v>1986</v>
      </c>
      <c r="AG524" t="s">
        <v>48</v>
      </c>
    </row>
    <row r="525" spans="1:33">
      <c r="A525" t="s">
        <v>1987</v>
      </c>
      <c r="B525" t="s">
        <v>1988</v>
      </c>
      <c r="D525" t="s">
        <v>40</v>
      </c>
      <c r="E525" t="s">
        <v>41</v>
      </c>
      <c r="J525" t="s">
        <v>162</v>
      </c>
      <c r="K525" t="s">
        <v>163</v>
      </c>
      <c r="L525">
        <v>5</v>
      </c>
      <c r="M525" t="s">
        <v>1979</v>
      </c>
      <c r="N525" t="s">
        <v>59</v>
      </c>
      <c r="O525" t="s">
        <v>47</v>
      </c>
      <c r="P525" t="s">
        <v>47</v>
      </c>
      <c r="Y525" t="s">
        <v>1989</v>
      </c>
      <c r="AG525" t="s">
        <v>48</v>
      </c>
    </row>
    <row r="526" spans="1:33">
      <c r="A526" t="s">
        <v>1990</v>
      </c>
      <c r="B526" t="s">
        <v>1991</v>
      </c>
      <c r="D526" t="s">
        <v>40</v>
      </c>
      <c r="E526" t="s">
        <v>41</v>
      </c>
      <c r="H526" t="s">
        <v>1992</v>
      </c>
      <c r="J526" t="s">
        <v>63</v>
      </c>
      <c r="K526" t="s">
        <v>64</v>
      </c>
      <c r="L526">
        <v>5</v>
      </c>
      <c r="M526" t="s">
        <v>1993</v>
      </c>
      <c r="N526" t="s">
        <v>59</v>
      </c>
      <c r="O526" t="s">
        <v>47</v>
      </c>
      <c r="P526" t="s">
        <v>47</v>
      </c>
      <c r="Y526" t="s">
        <v>1992</v>
      </c>
      <c r="AG526" t="s">
        <v>48</v>
      </c>
    </row>
    <row r="527" spans="1:33">
      <c r="A527" t="s">
        <v>1994</v>
      </c>
      <c r="B527" t="s">
        <v>1995</v>
      </c>
      <c r="D527" t="s">
        <v>40</v>
      </c>
      <c r="E527" t="s">
        <v>41</v>
      </c>
      <c r="H527" t="s">
        <v>1996</v>
      </c>
      <c r="J527" t="s">
        <v>86</v>
      </c>
      <c r="K527" t="s">
        <v>87</v>
      </c>
      <c r="L527">
        <v>5</v>
      </c>
      <c r="M527" t="s">
        <v>1997</v>
      </c>
      <c r="N527" t="s">
        <v>192</v>
      </c>
      <c r="O527" t="s">
        <v>47</v>
      </c>
      <c r="P527" t="s">
        <v>47</v>
      </c>
      <c r="Y527" t="s">
        <v>1996</v>
      </c>
      <c r="AG527" t="s">
        <v>48</v>
      </c>
    </row>
    <row r="528" spans="1:33">
      <c r="A528" t="s">
        <v>1998</v>
      </c>
      <c r="B528" t="s">
        <v>1999</v>
      </c>
      <c r="D528" t="s">
        <v>40</v>
      </c>
      <c r="E528" t="s">
        <v>41</v>
      </c>
      <c r="J528" t="s">
        <v>108</v>
      </c>
      <c r="K528" t="s">
        <v>109</v>
      </c>
      <c r="L528">
        <v>5</v>
      </c>
      <c r="M528" t="s">
        <v>1997</v>
      </c>
      <c r="N528" t="s">
        <v>59</v>
      </c>
      <c r="O528" t="s">
        <v>47</v>
      </c>
      <c r="P528" t="s">
        <v>47</v>
      </c>
      <c r="Y528" t="s">
        <v>2000</v>
      </c>
      <c r="AG528" t="s">
        <v>48</v>
      </c>
    </row>
    <row r="529" spans="1:33">
      <c r="A529" t="s">
        <v>2001</v>
      </c>
      <c r="B529" t="s">
        <v>2002</v>
      </c>
      <c r="D529" t="s">
        <v>40</v>
      </c>
      <c r="E529" t="s">
        <v>41</v>
      </c>
      <c r="J529" t="s">
        <v>108</v>
      </c>
      <c r="K529" t="s">
        <v>109</v>
      </c>
      <c r="L529">
        <v>5</v>
      </c>
      <c r="M529" t="s">
        <v>1997</v>
      </c>
      <c r="N529" t="s">
        <v>59</v>
      </c>
      <c r="O529" t="s">
        <v>47</v>
      </c>
      <c r="P529" t="s">
        <v>47</v>
      </c>
      <c r="Y529" t="s">
        <v>2003</v>
      </c>
      <c r="AG529" t="s">
        <v>48</v>
      </c>
    </row>
    <row r="530" spans="1:33">
      <c r="A530" t="s">
        <v>2004</v>
      </c>
      <c r="B530" t="s">
        <v>2005</v>
      </c>
      <c r="D530" t="s">
        <v>40</v>
      </c>
      <c r="E530" t="s">
        <v>41</v>
      </c>
      <c r="H530" t="s">
        <v>2006</v>
      </c>
      <c r="J530" t="s">
        <v>63</v>
      </c>
      <c r="K530" t="s">
        <v>64</v>
      </c>
      <c r="L530">
        <v>5</v>
      </c>
      <c r="M530" t="s">
        <v>2007</v>
      </c>
      <c r="N530" t="s">
        <v>59</v>
      </c>
      <c r="O530" t="s">
        <v>47</v>
      </c>
      <c r="P530" t="s">
        <v>47</v>
      </c>
      <c r="Y530" t="s">
        <v>2006</v>
      </c>
      <c r="AG530" t="s">
        <v>48</v>
      </c>
    </row>
    <row r="531" spans="1:33">
      <c r="A531" t="s">
        <v>2008</v>
      </c>
      <c r="B531" t="s">
        <v>2009</v>
      </c>
      <c r="D531" t="s">
        <v>40</v>
      </c>
      <c r="E531" t="s">
        <v>41</v>
      </c>
      <c r="J531" t="s">
        <v>270</v>
      </c>
      <c r="K531" t="s">
        <v>271</v>
      </c>
      <c r="L531">
        <v>5</v>
      </c>
      <c r="M531" t="s">
        <v>2010</v>
      </c>
      <c r="N531" t="s">
        <v>59</v>
      </c>
      <c r="O531" t="s">
        <v>47</v>
      </c>
      <c r="P531" t="s">
        <v>47</v>
      </c>
      <c r="Y531" t="s">
        <v>2011</v>
      </c>
      <c r="AG531" t="s">
        <v>48</v>
      </c>
    </row>
    <row r="532" spans="1:33">
      <c r="A532" t="s">
        <v>2012</v>
      </c>
      <c r="B532" t="s">
        <v>2013</v>
      </c>
      <c r="D532" t="s">
        <v>40</v>
      </c>
      <c r="E532" t="s">
        <v>41</v>
      </c>
      <c r="J532" t="s">
        <v>270</v>
      </c>
      <c r="K532" t="s">
        <v>271</v>
      </c>
      <c r="L532">
        <v>5</v>
      </c>
      <c r="M532" t="s">
        <v>2014</v>
      </c>
      <c r="N532" t="s">
        <v>59</v>
      </c>
      <c r="O532" t="s">
        <v>47</v>
      </c>
      <c r="P532" t="s">
        <v>47</v>
      </c>
      <c r="Y532" t="s">
        <v>2015</v>
      </c>
      <c r="AG532" t="s">
        <v>48</v>
      </c>
    </row>
    <row r="533" spans="1:33">
      <c r="A533" t="s">
        <v>2016</v>
      </c>
      <c r="B533" t="s">
        <v>2017</v>
      </c>
      <c r="D533" t="s">
        <v>40</v>
      </c>
      <c r="E533" t="s">
        <v>41</v>
      </c>
      <c r="J533" t="s">
        <v>270</v>
      </c>
      <c r="K533" t="s">
        <v>271</v>
      </c>
      <c r="L533">
        <v>5</v>
      </c>
      <c r="M533" t="s">
        <v>2018</v>
      </c>
      <c r="N533" t="s">
        <v>59</v>
      </c>
      <c r="O533" t="s">
        <v>47</v>
      </c>
      <c r="P533" t="s">
        <v>47</v>
      </c>
      <c r="Y533" t="s">
        <v>2019</v>
      </c>
      <c r="AG533" t="s">
        <v>48</v>
      </c>
    </row>
    <row r="534" spans="1:33">
      <c r="A534" t="s">
        <v>2020</v>
      </c>
      <c r="B534" t="s">
        <v>2021</v>
      </c>
      <c r="D534" t="s">
        <v>40</v>
      </c>
      <c r="E534" t="s">
        <v>41</v>
      </c>
      <c r="J534" t="s">
        <v>108</v>
      </c>
      <c r="K534" t="s">
        <v>109</v>
      </c>
      <c r="L534">
        <v>5</v>
      </c>
      <c r="M534" t="s">
        <v>2018</v>
      </c>
      <c r="N534" t="s">
        <v>59</v>
      </c>
      <c r="O534" t="s">
        <v>47</v>
      </c>
      <c r="P534" t="s">
        <v>47</v>
      </c>
      <c r="Y534" t="s">
        <v>2022</v>
      </c>
      <c r="AG534" t="s">
        <v>48</v>
      </c>
    </row>
    <row r="535" spans="1:33">
      <c r="A535" t="s">
        <v>2023</v>
      </c>
      <c r="B535" t="s">
        <v>2024</v>
      </c>
      <c r="D535" t="s">
        <v>40</v>
      </c>
      <c r="E535" t="s">
        <v>41</v>
      </c>
      <c r="J535" t="s">
        <v>270</v>
      </c>
      <c r="K535" t="s">
        <v>271</v>
      </c>
      <c r="L535">
        <v>5</v>
      </c>
      <c r="M535" t="s">
        <v>2018</v>
      </c>
      <c r="N535" t="s">
        <v>59</v>
      </c>
      <c r="O535" t="s">
        <v>47</v>
      </c>
      <c r="P535" t="s">
        <v>47</v>
      </c>
      <c r="Y535" t="s">
        <v>2025</v>
      </c>
      <c r="AG535" t="s">
        <v>48</v>
      </c>
    </row>
    <row r="536" spans="1:33">
      <c r="A536" t="s">
        <v>2026</v>
      </c>
      <c r="B536" t="s">
        <v>2027</v>
      </c>
      <c r="D536" t="s">
        <v>40</v>
      </c>
      <c r="E536" t="s">
        <v>41</v>
      </c>
      <c r="H536" t="s">
        <v>2028</v>
      </c>
      <c r="J536" t="s">
        <v>108</v>
      </c>
      <c r="K536" t="s">
        <v>109</v>
      </c>
      <c r="L536">
        <v>5</v>
      </c>
      <c r="M536" t="s">
        <v>2029</v>
      </c>
      <c r="N536" t="s">
        <v>59</v>
      </c>
      <c r="O536" t="s">
        <v>47</v>
      </c>
      <c r="P536" t="s">
        <v>47</v>
      </c>
      <c r="Y536" t="s">
        <v>2028</v>
      </c>
      <c r="AG536" t="s">
        <v>48</v>
      </c>
    </row>
    <row r="537" spans="1:33">
      <c r="A537" t="s">
        <v>2030</v>
      </c>
      <c r="B537" t="s">
        <v>2031</v>
      </c>
      <c r="D537" t="s">
        <v>40</v>
      </c>
      <c r="E537" t="s">
        <v>41</v>
      </c>
      <c r="J537" t="s">
        <v>290</v>
      </c>
      <c r="K537" t="s">
        <v>291</v>
      </c>
      <c r="L537">
        <v>5</v>
      </c>
      <c r="M537" t="s">
        <v>2032</v>
      </c>
      <c r="N537" t="s">
        <v>59</v>
      </c>
      <c r="O537" t="s">
        <v>47</v>
      </c>
      <c r="P537" t="s">
        <v>47</v>
      </c>
      <c r="Y537" t="s">
        <v>2033</v>
      </c>
      <c r="AG537" t="s">
        <v>48</v>
      </c>
    </row>
    <row r="538" spans="1:33">
      <c r="A538" t="s">
        <v>2034</v>
      </c>
      <c r="B538" t="s">
        <v>2035</v>
      </c>
      <c r="D538" t="s">
        <v>40</v>
      </c>
      <c r="E538" t="s">
        <v>41</v>
      </c>
      <c r="J538" t="s">
        <v>114</v>
      </c>
      <c r="K538" t="s">
        <v>115</v>
      </c>
      <c r="L538">
        <v>5</v>
      </c>
      <c r="M538" t="s">
        <v>2036</v>
      </c>
      <c r="N538" t="s">
        <v>59</v>
      </c>
      <c r="O538" t="s">
        <v>47</v>
      </c>
      <c r="P538" t="s">
        <v>47</v>
      </c>
      <c r="Y538" t="s">
        <v>2037</v>
      </c>
      <c r="AG538" t="s">
        <v>48</v>
      </c>
    </row>
    <row r="539" spans="1:33">
      <c r="A539" t="s">
        <v>2038</v>
      </c>
      <c r="B539" t="s">
        <v>2039</v>
      </c>
      <c r="D539" t="s">
        <v>40</v>
      </c>
      <c r="E539" t="s">
        <v>41</v>
      </c>
      <c r="J539" t="s">
        <v>290</v>
      </c>
      <c r="K539" t="s">
        <v>291</v>
      </c>
      <c r="L539">
        <v>5</v>
      </c>
      <c r="M539" t="s">
        <v>2040</v>
      </c>
      <c r="N539" t="s">
        <v>59</v>
      </c>
      <c r="O539" t="s">
        <v>47</v>
      </c>
      <c r="P539" t="s">
        <v>47</v>
      </c>
      <c r="Y539" t="s">
        <v>2041</v>
      </c>
      <c r="AG539" t="s">
        <v>48</v>
      </c>
    </row>
    <row r="540" spans="1:33">
      <c r="A540" t="s">
        <v>2042</v>
      </c>
      <c r="B540" t="s">
        <v>2043</v>
      </c>
      <c r="D540" t="s">
        <v>40</v>
      </c>
      <c r="E540" t="s">
        <v>41</v>
      </c>
      <c r="J540" t="s">
        <v>290</v>
      </c>
      <c r="K540" t="s">
        <v>291</v>
      </c>
      <c r="L540">
        <v>5</v>
      </c>
      <c r="M540" t="s">
        <v>2044</v>
      </c>
      <c r="N540" t="s">
        <v>59</v>
      </c>
      <c r="O540" t="s">
        <v>47</v>
      </c>
      <c r="P540" t="s">
        <v>47</v>
      </c>
      <c r="Y540" t="s">
        <v>2045</v>
      </c>
      <c r="AG540" t="s">
        <v>48</v>
      </c>
    </row>
    <row r="541" spans="1:33">
      <c r="A541" t="s">
        <v>2046</v>
      </c>
      <c r="B541" t="s">
        <v>2047</v>
      </c>
      <c r="D541" t="s">
        <v>40</v>
      </c>
      <c r="E541" t="s">
        <v>41</v>
      </c>
      <c r="J541" t="s">
        <v>114</v>
      </c>
      <c r="K541" t="s">
        <v>115</v>
      </c>
      <c r="L541">
        <v>5</v>
      </c>
      <c r="M541" t="s">
        <v>2048</v>
      </c>
      <c r="N541" t="s">
        <v>59</v>
      </c>
      <c r="O541" t="s">
        <v>47</v>
      </c>
      <c r="P541" t="s">
        <v>47</v>
      </c>
      <c r="Y541" t="s">
        <v>2049</v>
      </c>
      <c r="AG541" t="s">
        <v>48</v>
      </c>
    </row>
    <row r="542" spans="1:33">
      <c r="A542" t="s">
        <v>2050</v>
      </c>
      <c r="B542" t="s">
        <v>2051</v>
      </c>
      <c r="D542" t="s">
        <v>40</v>
      </c>
      <c r="E542" t="s">
        <v>41</v>
      </c>
      <c r="J542" t="s">
        <v>162</v>
      </c>
      <c r="K542" t="s">
        <v>163</v>
      </c>
      <c r="L542">
        <v>5</v>
      </c>
      <c r="M542" t="s">
        <v>2052</v>
      </c>
      <c r="N542" t="s">
        <v>59</v>
      </c>
      <c r="O542" t="s">
        <v>47</v>
      </c>
      <c r="P542" t="s">
        <v>47</v>
      </c>
      <c r="Y542" t="s">
        <v>2053</v>
      </c>
      <c r="AG542" t="s">
        <v>48</v>
      </c>
    </row>
    <row r="543" spans="1:33">
      <c r="A543" t="s">
        <v>2054</v>
      </c>
      <c r="B543" t="s">
        <v>2055</v>
      </c>
      <c r="D543" t="s">
        <v>40</v>
      </c>
      <c r="E543" t="s">
        <v>41</v>
      </c>
      <c r="J543" t="s">
        <v>162</v>
      </c>
      <c r="K543" t="s">
        <v>163</v>
      </c>
      <c r="L543">
        <v>5</v>
      </c>
      <c r="M543" t="s">
        <v>2056</v>
      </c>
      <c r="N543" t="s">
        <v>59</v>
      </c>
      <c r="O543" t="s">
        <v>47</v>
      </c>
      <c r="P543" t="s">
        <v>47</v>
      </c>
      <c r="Y543" t="s">
        <v>2057</v>
      </c>
      <c r="AG543" t="s">
        <v>48</v>
      </c>
    </row>
    <row r="544" spans="1:33">
      <c r="A544" t="s">
        <v>2058</v>
      </c>
      <c r="B544" t="s">
        <v>2059</v>
      </c>
      <c r="D544" t="s">
        <v>40</v>
      </c>
      <c r="E544" t="s">
        <v>41</v>
      </c>
      <c r="J544" t="s">
        <v>162</v>
      </c>
      <c r="K544" t="s">
        <v>163</v>
      </c>
      <c r="L544">
        <v>5</v>
      </c>
      <c r="M544" t="s">
        <v>2056</v>
      </c>
      <c r="N544" t="s">
        <v>59</v>
      </c>
      <c r="O544" t="s">
        <v>47</v>
      </c>
      <c r="P544" t="s">
        <v>47</v>
      </c>
      <c r="Y544" t="s">
        <v>2060</v>
      </c>
      <c r="AG544" t="s">
        <v>48</v>
      </c>
    </row>
    <row r="545" spans="1:33">
      <c r="A545" t="s">
        <v>2061</v>
      </c>
      <c r="B545" t="s">
        <v>2062</v>
      </c>
      <c r="D545" t="s">
        <v>40</v>
      </c>
      <c r="E545" t="s">
        <v>41</v>
      </c>
      <c r="J545" t="s">
        <v>162</v>
      </c>
      <c r="K545" t="s">
        <v>163</v>
      </c>
      <c r="L545">
        <v>5</v>
      </c>
      <c r="M545" t="s">
        <v>2063</v>
      </c>
      <c r="N545" t="s">
        <v>59</v>
      </c>
      <c r="O545" t="s">
        <v>47</v>
      </c>
      <c r="P545" t="s">
        <v>47</v>
      </c>
      <c r="Y545" t="s">
        <v>2064</v>
      </c>
      <c r="AG545" t="s">
        <v>48</v>
      </c>
    </row>
    <row r="546" spans="1:33">
      <c r="A546" t="s">
        <v>2065</v>
      </c>
      <c r="B546" t="s">
        <v>2066</v>
      </c>
      <c r="D546" t="s">
        <v>40</v>
      </c>
      <c r="E546" t="s">
        <v>41</v>
      </c>
      <c r="J546" t="s">
        <v>290</v>
      </c>
      <c r="K546" t="s">
        <v>291</v>
      </c>
      <c r="L546">
        <v>5</v>
      </c>
      <c r="M546" t="s">
        <v>2067</v>
      </c>
      <c r="N546" t="s">
        <v>59</v>
      </c>
      <c r="O546" t="s">
        <v>47</v>
      </c>
      <c r="P546" t="s">
        <v>47</v>
      </c>
      <c r="Y546" t="s">
        <v>2068</v>
      </c>
      <c r="AG546" t="s">
        <v>48</v>
      </c>
    </row>
    <row r="547" spans="1:33">
      <c r="A547" t="s">
        <v>2069</v>
      </c>
      <c r="B547" t="s">
        <v>2070</v>
      </c>
      <c r="D547" t="s">
        <v>40</v>
      </c>
      <c r="E547" t="s">
        <v>41</v>
      </c>
      <c r="J547" t="s">
        <v>290</v>
      </c>
      <c r="K547" t="s">
        <v>291</v>
      </c>
      <c r="L547">
        <v>5</v>
      </c>
      <c r="M547" t="s">
        <v>2071</v>
      </c>
      <c r="N547" t="s">
        <v>59</v>
      </c>
      <c r="O547" t="s">
        <v>47</v>
      </c>
      <c r="P547" t="s">
        <v>47</v>
      </c>
      <c r="Y547" t="s">
        <v>2072</v>
      </c>
      <c r="AG547" t="s">
        <v>48</v>
      </c>
    </row>
    <row r="548" spans="1:33">
      <c r="A548" t="s">
        <v>2073</v>
      </c>
      <c r="B548" t="s">
        <v>2074</v>
      </c>
      <c r="D548" t="s">
        <v>40</v>
      </c>
      <c r="E548" t="s">
        <v>41</v>
      </c>
      <c r="J548" t="s">
        <v>290</v>
      </c>
      <c r="K548" t="s">
        <v>291</v>
      </c>
      <c r="L548">
        <v>5</v>
      </c>
      <c r="M548" t="s">
        <v>2075</v>
      </c>
      <c r="N548" t="s">
        <v>59</v>
      </c>
      <c r="O548" t="s">
        <v>47</v>
      </c>
      <c r="P548" t="s">
        <v>47</v>
      </c>
      <c r="Y548" t="s">
        <v>2076</v>
      </c>
      <c r="AG548" t="s">
        <v>48</v>
      </c>
    </row>
    <row r="549" spans="1:33">
      <c r="A549" t="s">
        <v>2077</v>
      </c>
      <c r="B549" t="s">
        <v>2078</v>
      </c>
      <c r="D549" t="s">
        <v>40</v>
      </c>
      <c r="E549" t="s">
        <v>41</v>
      </c>
      <c r="J549" t="s">
        <v>290</v>
      </c>
      <c r="K549" t="s">
        <v>291</v>
      </c>
      <c r="L549">
        <v>5</v>
      </c>
      <c r="M549" t="s">
        <v>2075</v>
      </c>
      <c r="N549" t="s">
        <v>59</v>
      </c>
      <c r="O549" t="s">
        <v>47</v>
      </c>
      <c r="P549" t="s">
        <v>47</v>
      </c>
      <c r="Y549" t="s">
        <v>2079</v>
      </c>
      <c r="AG549" t="s">
        <v>48</v>
      </c>
    </row>
    <row r="550" spans="1:33">
      <c r="A550" t="s">
        <v>2080</v>
      </c>
      <c r="B550" t="s">
        <v>2081</v>
      </c>
      <c r="D550" t="s">
        <v>40</v>
      </c>
      <c r="E550" t="s">
        <v>41</v>
      </c>
      <c r="J550" t="s">
        <v>108</v>
      </c>
      <c r="K550" t="s">
        <v>109</v>
      </c>
      <c r="L550">
        <v>5</v>
      </c>
      <c r="M550" t="s">
        <v>2082</v>
      </c>
      <c r="N550" t="s">
        <v>59</v>
      </c>
      <c r="O550" t="s">
        <v>47</v>
      </c>
      <c r="P550" t="s">
        <v>47</v>
      </c>
      <c r="Y550" t="s">
        <v>2083</v>
      </c>
      <c r="AG550" t="s">
        <v>48</v>
      </c>
    </row>
    <row r="551" spans="1:33">
      <c r="A551" t="s">
        <v>2084</v>
      </c>
      <c r="B551" t="s">
        <v>2085</v>
      </c>
      <c r="D551" t="s">
        <v>40</v>
      </c>
      <c r="E551" t="s">
        <v>41</v>
      </c>
      <c r="H551" t="s">
        <v>2086</v>
      </c>
      <c r="J551" t="s">
        <v>108</v>
      </c>
      <c r="K551" t="s">
        <v>109</v>
      </c>
      <c r="L551">
        <v>5</v>
      </c>
      <c r="M551" t="s">
        <v>2082</v>
      </c>
      <c r="N551" t="s">
        <v>59</v>
      </c>
      <c r="O551" t="s">
        <v>47</v>
      </c>
      <c r="P551" t="s">
        <v>47</v>
      </c>
      <c r="Y551" t="s">
        <v>2086</v>
      </c>
      <c r="AG551" t="s">
        <v>48</v>
      </c>
    </row>
    <row r="552" spans="1:33">
      <c r="A552" t="s">
        <v>2087</v>
      </c>
      <c r="B552" t="s">
        <v>2088</v>
      </c>
      <c r="D552" t="s">
        <v>40</v>
      </c>
      <c r="E552" t="s">
        <v>41</v>
      </c>
      <c r="J552" t="s">
        <v>129</v>
      </c>
      <c r="K552" t="s">
        <v>130</v>
      </c>
      <c r="L552">
        <v>5</v>
      </c>
      <c r="M552" t="s">
        <v>2089</v>
      </c>
      <c r="N552" t="s">
        <v>218</v>
      </c>
      <c r="O552" t="s">
        <v>47</v>
      </c>
      <c r="P552" t="s">
        <v>47</v>
      </c>
      <c r="Y552" t="s">
        <v>2090</v>
      </c>
      <c r="AG552" t="s">
        <v>48</v>
      </c>
    </row>
    <row r="553" spans="1:33">
      <c r="A553" t="s">
        <v>2091</v>
      </c>
      <c r="B553" t="s">
        <v>2092</v>
      </c>
      <c r="D553" t="s">
        <v>40</v>
      </c>
      <c r="E553" t="s">
        <v>41</v>
      </c>
      <c r="J553" t="s">
        <v>162</v>
      </c>
      <c r="K553" t="s">
        <v>163</v>
      </c>
      <c r="L553">
        <v>5</v>
      </c>
      <c r="M553" t="s">
        <v>2089</v>
      </c>
      <c r="N553" t="s">
        <v>59</v>
      </c>
      <c r="O553" t="s">
        <v>47</v>
      </c>
      <c r="P553" t="s">
        <v>47</v>
      </c>
      <c r="Y553" t="s">
        <v>2093</v>
      </c>
      <c r="AG553" t="s">
        <v>48</v>
      </c>
    </row>
    <row r="554" spans="1:33">
      <c r="A554" t="s">
        <v>2094</v>
      </c>
      <c r="B554" t="s">
        <v>2095</v>
      </c>
      <c r="D554" t="s">
        <v>40</v>
      </c>
      <c r="E554" t="s">
        <v>41</v>
      </c>
      <c r="J554" t="s">
        <v>162</v>
      </c>
      <c r="K554" t="s">
        <v>163</v>
      </c>
      <c r="L554">
        <v>5</v>
      </c>
      <c r="M554" t="s">
        <v>2089</v>
      </c>
      <c r="N554" t="s">
        <v>59</v>
      </c>
      <c r="O554" t="s">
        <v>47</v>
      </c>
      <c r="P554" t="s">
        <v>47</v>
      </c>
      <c r="Y554" t="s">
        <v>2096</v>
      </c>
      <c r="AG554" t="s">
        <v>48</v>
      </c>
    </row>
    <row r="555" spans="1:33">
      <c r="A555" t="s">
        <v>2097</v>
      </c>
      <c r="B555" t="s">
        <v>2098</v>
      </c>
      <c r="D555" t="s">
        <v>40</v>
      </c>
      <c r="E555" t="s">
        <v>41</v>
      </c>
      <c r="J555" t="s">
        <v>270</v>
      </c>
      <c r="K555" t="s">
        <v>271</v>
      </c>
      <c r="L555">
        <v>5</v>
      </c>
      <c r="M555" t="s">
        <v>2089</v>
      </c>
      <c r="N555" t="s">
        <v>59</v>
      </c>
      <c r="O555" t="s">
        <v>47</v>
      </c>
      <c r="P555" t="s">
        <v>47</v>
      </c>
      <c r="Y555" t="s">
        <v>2099</v>
      </c>
      <c r="AG555" t="s">
        <v>48</v>
      </c>
    </row>
    <row r="556" spans="1:33">
      <c r="A556" t="s">
        <v>2100</v>
      </c>
      <c r="B556" t="s">
        <v>2101</v>
      </c>
      <c r="D556" t="s">
        <v>40</v>
      </c>
      <c r="E556" t="s">
        <v>41</v>
      </c>
      <c r="H556" t="s">
        <v>2102</v>
      </c>
      <c r="J556" t="s">
        <v>63</v>
      </c>
      <c r="K556" t="s">
        <v>64</v>
      </c>
      <c r="L556">
        <v>5</v>
      </c>
      <c r="M556" t="s">
        <v>2103</v>
      </c>
      <c r="N556" t="s">
        <v>59</v>
      </c>
      <c r="O556" t="s">
        <v>47</v>
      </c>
      <c r="P556" t="s">
        <v>47</v>
      </c>
      <c r="Y556" t="s">
        <v>2102</v>
      </c>
      <c r="AG556" t="s">
        <v>48</v>
      </c>
    </row>
    <row r="557" spans="1:33">
      <c r="A557" t="s">
        <v>2104</v>
      </c>
      <c r="B557" t="s">
        <v>2105</v>
      </c>
      <c r="D557" t="s">
        <v>40</v>
      </c>
      <c r="E557" t="s">
        <v>41</v>
      </c>
      <c r="J557" t="s">
        <v>290</v>
      </c>
      <c r="K557" t="s">
        <v>291</v>
      </c>
      <c r="L557">
        <v>5</v>
      </c>
      <c r="M557" t="s">
        <v>2106</v>
      </c>
      <c r="N557" t="s">
        <v>59</v>
      </c>
      <c r="O557" t="s">
        <v>47</v>
      </c>
      <c r="P557" t="s">
        <v>47</v>
      </c>
      <c r="Y557" t="s">
        <v>2107</v>
      </c>
      <c r="AG557" t="s">
        <v>48</v>
      </c>
    </row>
    <row r="558" spans="1:33">
      <c r="A558" t="s">
        <v>2108</v>
      </c>
      <c r="B558" t="s">
        <v>2109</v>
      </c>
      <c r="D558" t="s">
        <v>40</v>
      </c>
      <c r="E558" t="s">
        <v>41</v>
      </c>
      <c r="J558" t="s">
        <v>290</v>
      </c>
      <c r="K558" t="s">
        <v>291</v>
      </c>
      <c r="L558">
        <v>5</v>
      </c>
      <c r="M558" t="s">
        <v>2106</v>
      </c>
      <c r="N558" t="s">
        <v>59</v>
      </c>
      <c r="O558" t="s">
        <v>47</v>
      </c>
      <c r="P558" t="s">
        <v>47</v>
      </c>
      <c r="Y558" t="s">
        <v>2110</v>
      </c>
      <c r="AG558" t="s">
        <v>48</v>
      </c>
    </row>
    <row r="559" spans="1:33">
      <c r="A559" t="s">
        <v>2111</v>
      </c>
      <c r="B559" t="s">
        <v>2112</v>
      </c>
      <c r="D559" t="s">
        <v>40</v>
      </c>
      <c r="E559" t="s">
        <v>41</v>
      </c>
      <c r="J559" t="s">
        <v>270</v>
      </c>
      <c r="K559" t="s">
        <v>271</v>
      </c>
      <c r="L559">
        <v>5</v>
      </c>
      <c r="M559" t="s">
        <v>2113</v>
      </c>
      <c r="N559" t="s">
        <v>59</v>
      </c>
      <c r="O559" t="s">
        <v>47</v>
      </c>
      <c r="P559" t="s">
        <v>47</v>
      </c>
      <c r="Y559" t="s">
        <v>2114</v>
      </c>
      <c r="AG559" t="s">
        <v>48</v>
      </c>
    </row>
    <row r="560" spans="1:33">
      <c r="A560" t="s">
        <v>2115</v>
      </c>
      <c r="B560" t="s">
        <v>2116</v>
      </c>
      <c r="D560" t="s">
        <v>40</v>
      </c>
      <c r="E560" t="s">
        <v>41</v>
      </c>
      <c r="J560" t="s">
        <v>290</v>
      </c>
      <c r="K560" t="s">
        <v>291</v>
      </c>
      <c r="L560">
        <v>5</v>
      </c>
      <c r="M560" t="s">
        <v>2117</v>
      </c>
      <c r="N560" t="s">
        <v>59</v>
      </c>
      <c r="O560" t="s">
        <v>47</v>
      </c>
      <c r="P560" t="s">
        <v>47</v>
      </c>
      <c r="Y560" t="s">
        <v>2118</v>
      </c>
      <c r="AG560" t="s">
        <v>48</v>
      </c>
    </row>
    <row r="561" spans="1:33">
      <c r="A561" t="s">
        <v>2119</v>
      </c>
      <c r="B561" t="s">
        <v>2120</v>
      </c>
      <c r="D561" t="s">
        <v>40</v>
      </c>
      <c r="E561" t="s">
        <v>41</v>
      </c>
      <c r="J561" t="s">
        <v>108</v>
      </c>
      <c r="K561" t="s">
        <v>109</v>
      </c>
      <c r="L561">
        <v>5</v>
      </c>
      <c r="M561" t="s">
        <v>2117</v>
      </c>
      <c r="N561" t="s">
        <v>59</v>
      </c>
      <c r="O561" t="s">
        <v>47</v>
      </c>
      <c r="P561" t="s">
        <v>47</v>
      </c>
      <c r="Y561" t="s">
        <v>2121</v>
      </c>
      <c r="AG561" t="s">
        <v>48</v>
      </c>
    </row>
    <row r="562" spans="1:33">
      <c r="A562" t="s">
        <v>2122</v>
      </c>
      <c r="B562" t="s">
        <v>2123</v>
      </c>
      <c r="D562" t="s">
        <v>40</v>
      </c>
      <c r="E562" t="s">
        <v>41</v>
      </c>
      <c r="J562" t="s">
        <v>108</v>
      </c>
      <c r="K562" t="s">
        <v>109</v>
      </c>
      <c r="L562">
        <v>5</v>
      </c>
      <c r="M562" t="s">
        <v>2117</v>
      </c>
      <c r="N562" t="s">
        <v>59</v>
      </c>
      <c r="O562" t="s">
        <v>47</v>
      </c>
      <c r="P562" t="s">
        <v>47</v>
      </c>
      <c r="Y562" t="s">
        <v>2124</v>
      </c>
      <c r="AG562" t="s">
        <v>48</v>
      </c>
    </row>
    <row r="563" spans="1:33">
      <c r="A563" t="s">
        <v>2125</v>
      </c>
      <c r="B563" t="s">
        <v>2126</v>
      </c>
      <c r="D563" t="s">
        <v>40</v>
      </c>
      <c r="E563" t="s">
        <v>41</v>
      </c>
      <c r="J563" t="s">
        <v>114</v>
      </c>
      <c r="K563" t="s">
        <v>115</v>
      </c>
      <c r="L563">
        <v>5</v>
      </c>
      <c r="M563" t="s">
        <v>2117</v>
      </c>
      <c r="N563" t="s">
        <v>59</v>
      </c>
      <c r="O563" t="s">
        <v>47</v>
      </c>
      <c r="P563" t="s">
        <v>47</v>
      </c>
      <c r="Y563" t="s">
        <v>2127</v>
      </c>
      <c r="AG563" t="s">
        <v>48</v>
      </c>
    </row>
    <row r="564" spans="1:33">
      <c r="A564" t="s">
        <v>2128</v>
      </c>
      <c r="B564" t="s">
        <v>2129</v>
      </c>
      <c r="D564" t="s">
        <v>40</v>
      </c>
      <c r="E564" t="s">
        <v>41</v>
      </c>
      <c r="J564" t="s">
        <v>270</v>
      </c>
      <c r="K564" t="s">
        <v>271</v>
      </c>
      <c r="L564">
        <v>5</v>
      </c>
      <c r="M564" t="s">
        <v>2130</v>
      </c>
      <c r="N564" t="s">
        <v>59</v>
      </c>
      <c r="O564" t="s">
        <v>47</v>
      </c>
      <c r="P564" t="s">
        <v>47</v>
      </c>
      <c r="Y564" t="s">
        <v>2131</v>
      </c>
      <c r="AG564" t="s">
        <v>48</v>
      </c>
    </row>
    <row r="565" spans="1:33">
      <c r="A565" t="s">
        <v>2132</v>
      </c>
      <c r="B565" t="s">
        <v>2133</v>
      </c>
      <c r="D565" t="s">
        <v>40</v>
      </c>
      <c r="E565" t="s">
        <v>41</v>
      </c>
      <c r="J565" t="s">
        <v>270</v>
      </c>
      <c r="K565" t="s">
        <v>271</v>
      </c>
      <c r="L565">
        <v>5</v>
      </c>
      <c r="M565" t="s">
        <v>2130</v>
      </c>
      <c r="N565" t="s">
        <v>59</v>
      </c>
      <c r="O565" t="s">
        <v>47</v>
      </c>
      <c r="P565" t="s">
        <v>47</v>
      </c>
      <c r="Y565" t="s">
        <v>2134</v>
      </c>
      <c r="AG565" t="s">
        <v>48</v>
      </c>
    </row>
    <row r="566" spans="1:33">
      <c r="A566" t="s">
        <v>2135</v>
      </c>
      <c r="B566" t="s">
        <v>2136</v>
      </c>
      <c r="D566" t="s">
        <v>40</v>
      </c>
      <c r="E566" t="s">
        <v>41</v>
      </c>
      <c r="J566" t="s">
        <v>162</v>
      </c>
      <c r="K566" t="s">
        <v>163</v>
      </c>
      <c r="L566">
        <v>5</v>
      </c>
      <c r="M566" t="s">
        <v>2130</v>
      </c>
      <c r="N566" t="s">
        <v>59</v>
      </c>
      <c r="O566" t="s">
        <v>47</v>
      </c>
      <c r="P566" t="s">
        <v>47</v>
      </c>
      <c r="Y566" t="s">
        <v>2137</v>
      </c>
      <c r="AG566" t="s">
        <v>48</v>
      </c>
    </row>
    <row r="567" spans="1:33">
      <c r="A567" t="s">
        <v>2138</v>
      </c>
      <c r="B567" t="s">
        <v>2139</v>
      </c>
      <c r="D567" t="s">
        <v>40</v>
      </c>
      <c r="E567" t="s">
        <v>41</v>
      </c>
      <c r="H567" t="s">
        <v>2140</v>
      </c>
      <c r="J567" t="s">
        <v>123</v>
      </c>
      <c r="K567" t="s">
        <v>124</v>
      </c>
      <c r="L567">
        <v>5</v>
      </c>
      <c r="M567" t="s">
        <v>2141</v>
      </c>
      <c r="N567" t="s">
        <v>218</v>
      </c>
      <c r="O567" t="s">
        <v>47</v>
      </c>
      <c r="P567" t="s">
        <v>47</v>
      </c>
      <c r="Y567" t="s">
        <v>2140</v>
      </c>
      <c r="AG567" t="s">
        <v>48</v>
      </c>
    </row>
    <row r="568" spans="1:33">
      <c r="A568" t="s">
        <v>2142</v>
      </c>
      <c r="B568" t="s">
        <v>2143</v>
      </c>
      <c r="D568" t="s">
        <v>40</v>
      </c>
      <c r="E568" t="s">
        <v>41</v>
      </c>
      <c r="J568" t="s">
        <v>270</v>
      </c>
      <c r="K568" t="s">
        <v>271</v>
      </c>
      <c r="L568">
        <v>5</v>
      </c>
      <c r="M568" t="s">
        <v>2144</v>
      </c>
      <c r="N568" t="s">
        <v>59</v>
      </c>
      <c r="O568" t="s">
        <v>47</v>
      </c>
      <c r="P568" t="s">
        <v>47</v>
      </c>
      <c r="Y568" t="s">
        <v>2145</v>
      </c>
      <c r="AG568" t="s">
        <v>48</v>
      </c>
    </row>
    <row r="569" spans="1:33">
      <c r="A569" t="s">
        <v>2146</v>
      </c>
      <c r="B569" t="s">
        <v>2147</v>
      </c>
      <c r="D569" t="s">
        <v>40</v>
      </c>
      <c r="E569" t="s">
        <v>41</v>
      </c>
      <c r="J569" t="s">
        <v>162</v>
      </c>
      <c r="K569" t="s">
        <v>163</v>
      </c>
      <c r="L569">
        <v>5</v>
      </c>
      <c r="M569" t="s">
        <v>2144</v>
      </c>
      <c r="N569" t="s">
        <v>59</v>
      </c>
      <c r="O569" t="s">
        <v>47</v>
      </c>
      <c r="P569" t="s">
        <v>47</v>
      </c>
      <c r="Y569" t="s">
        <v>2148</v>
      </c>
      <c r="AG569" t="s">
        <v>48</v>
      </c>
    </row>
    <row r="570" spans="1:33">
      <c r="A570" t="s">
        <v>2149</v>
      </c>
      <c r="B570" t="s">
        <v>2150</v>
      </c>
      <c r="D570" t="s">
        <v>40</v>
      </c>
      <c r="E570" t="s">
        <v>41</v>
      </c>
      <c r="J570" t="s">
        <v>129</v>
      </c>
      <c r="K570" t="s">
        <v>130</v>
      </c>
      <c r="L570">
        <v>5</v>
      </c>
      <c r="M570" t="s">
        <v>2144</v>
      </c>
      <c r="N570" t="s">
        <v>218</v>
      </c>
      <c r="O570" t="s">
        <v>47</v>
      </c>
      <c r="P570" t="s">
        <v>47</v>
      </c>
      <c r="Y570" t="s">
        <v>2151</v>
      </c>
      <c r="AG570" t="s">
        <v>48</v>
      </c>
    </row>
    <row r="571" spans="1:33">
      <c r="A571" t="s">
        <v>2152</v>
      </c>
      <c r="B571" t="s">
        <v>2153</v>
      </c>
      <c r="D571" t="s">
        <v>40</v>
      </c>
      <c r="E571" t="s">
        <v>41</v>
      </c>
      <c r="J571" t="s">
        <v>290</v>
      </c>
      <c r="K571" t="s">
        <v>291</v>
      </c>
      <c r="L571">
        <v>5</v>
      </c>
      <c r="M571" t="s">
        <v>2154</v>
      </c>
      <c r="N571" t="s">
        <v>59</v>
      </c>
      <c r="O571" t="s">
        <v>47</v>
      </c>
      <c r="P571" t="s">
        <v>47</v>
      </c>
      <c r="Y571" t="s">
        <v>2155</v>
      </c>
      <c r="AG571" t="s">
        <v>48</v>
      </c>
    </row>
    <row r="572" spans="1:33">
      <c r="A572" t="s">
        <v>2156</v>
      </c>
      <c r="B572" t="s">
        <v>2157</v>
      </c>
      <c r="D572" t="s">
        <v>40</v>
      </c>
      <c r="E572" t="s">
        <v>41</v>
      </c>
      <c r="J572" t="s">
        <v>129</v>
      </c>
      <c r="K572" t="s">
        <v>130</v>
      </c>
      <c r="L572">
        <v>5</v>
      </c>
      <c r="M572" t="s">
        <v>2158</v>
      </c>
      <c r="N572" t="s">
        <v>46</v>
      </c>
      <c r="O572" t="s">
        <v>47</v>
      </c>
      <c r="P572" t="s">
        <v>47</v>
      </c>
      <c r="Y572" t="s">
        <v>2159</v>
      </c>
      <c r="AG572" t="s">
        <v>48</v>
      </c>
    </row>
    <row r="573" spans="1:33">
      <c r="A573" t="s">
        <v>2160</v>
      </c>
      <c r="B573" t="s">
        <v>2161</v>
      </c>
      <c r="D573" t="s">
        <v>40</v>
      </c>
      <c r="E573" t="s">
        <v>41</v>
      </c>
      <c r="J573" t="s">
        <v>108</v>
      </c>
      <c r="K573" t="s">
        <v>109</v>
      </c>
      <c r="L573">
        <v>5</v>
      </c>
      <c r="M573" t="s">
        <v>2158</v>
      </c>
      <c r="N573" t="s">
        <v>59</v>
      </c>
      <c r="O573" t="s">
        <v>47</v>
      </c>
      <c r="P573" t="s">
        <v>47</v>
      </c>
      <c r="Y573" t="s">
        <v>2162</v>
      </c>
      <c r="AG573" t="s">
        <v>48</v>
      </c>
    </row>
    <row r="574" spans="1:33">
      <c r="A574" t="s">
        <v>2163</v>
      </c>
      <c r="B574" t="s">
        <v>2164</v>
      </c>
      <c r="D574" t="s">
        <v>40</v>
      </c>
      <c r="E574" t="s">
        <v>41</v>
      </c>
      <c r="J574" t="s">
        <v>290</v>
      </c>
      <c r="K574" t="s">
        <v>291</v>
      </c>
      <c r="L574">
        <v>5</v>
      </c>
      <c r="M574" t="s">
        <v>2158</v>
      </c>
      <c r="N574" t="s">
        <v>59</v>
      </c>
      <c r="O574" t="s">
        <v>47</v>
      </c>
      <c r="P574" t="s">
        <v>47</v>
      </c>
      <c r="Y574" t="s">
        <v>2165</v>
      </c>
      <c r="AG574" t="s">
        <v>48</v>
      </c>
    </row>
    <row r="575" spans="1:33">
      <c r="A575" t="s">
        <v>2166</v>
      </c>
      <c r="B575" t="s">
        <v>2167</v>
      </c>
      <c r="D575" t="s">
        <v>40</v>
      </c>
      <c r="E575" t="s">
        <v>41</v>
      </c>
      <c r="J575" t="s">
        <v>290</v>
      </c>
      <c r="K575" t="s">
        <v>291</v>
      </c>
      <c r="L575">
        <v>5</v>
      </c>
      <c r="M575" t="s">
        <v>2168</v>
      </c>
      <c r="N575" t="s">
        <v>59</v>
      </c>
      <c r="O575" t="s">
        <v>47</v>
      </c>
      <c r="P575" t="s">
        <v>47</v>
      </c>
      <c r="Y575" t="s">
        <v>2169</v>
      </c>
      <c r="AG575" t="s">
        <v>48</v>
      </c>
    </row>
    <row r="576" spans="1:33">
      <c r="A576" t="s">
        <v>2170</v>
      </c>
      <c r="B576" t="s">
        <v>2171</v>
      </c>
      <c r="D576" t="s">
        <v>40</v>
      </c>
      <c r="E576" t="s">
        <v>41</v>
      </c>
      <c r="J576" t="s">
        <v>270</v>
      </c>
      <c r="K576" t="s">
        <v>271</v>
      </c>
      <c r="L576">
        <v>5</v>
      </c>
      <c r="M576" t="s">
        <v>2172</v>
      </c>
      <c r="N576" t="s">
        <v>59</v>
      </c>
      <c r="O576" t="s">
        <v>47</v>
      </c>
      <c r="P576" t="s">
        <v>47</v>
      </c>
      <c r="Y576" t="s">
        <v>2173</v>
      </c>
      <c r="AG576" t="s">
        <v>48</v>
      </c>
    </row>
    <row r="577" spans="1:33">
      <c r="A577" t="s">
        <v>2174</v>
      </c>
      <c r="B577" t="s">
        <v>2175</v>
      </c>
      <c r="D577" t="s">
        <v>40</v>
      </c>
      <c r="E577" t="s">
        <v>41</v>
      </c>
      <c r="J577" t="s">
        <v>290</v>
      </c>
      <c r="K577" t="s">
        <v>291</v>
      </c>
      <c r="L577">
        <v>5</v>
      </c>
      <c r="M577" t="s">
        <v>2176</v>
      </c>
      <c r="N577" t="s">
        <v>59</v>
      </c>
      <c r="O577" t="s">
        <v>47</v>
      </c>
      <c r="P577" t="s">
        <v>47</v>
      </c>
      <c r="Y577" t="s">
        <v>2177</v>
      </c>
      <c r="AG577" t="s">
        <v>48</v>
      </c>
    </row>
    <row r="578" spans="1:33">
      <c r="A578" t="s">
        <v>2178</v>
      </c>
      <c r="B578" t="s">
        <v>2179</v>
      </c>
      <c r="D578" t="s">
        <v>40</v>
      </c>
      <c r="E578" t="s">
        <v>41</v>
      </c>
      <c r="H578" t="s">
        <v>2180</v>
      </c>
      <c r="J578" t="s">
        <v>129</v>
      </c>
      <c r="K578" t="s">
        <v>130</v>
      </c>
      <c r="L578">
        <v>5</v>
      </c>
      <c r="M578" t="s">
        <v>2181</v>
      </c>
      <c r="N578" t="s">
        <v>192</v>
      </c>
      <c r="O578" t="s">
        <v>47</v>
      </c>
      <c r="P578" t="s">
        <v>47</v>
      </c>
      <c r="Y578" t="s">
        <v>2180</v>
      </c>
      <c r="AG578" t="s">
        <v>48</v>
      </c>
    </row>
    <row r="579" spans="1:33">
      <c r="A579" t="s">
        <v>2182</v>
      </c>
      <c r="B579" t="s">
        <v>2183</v>
      </c>
      <c r="D579" t="s">
        <v>40</v>
      </c>
      <c r="E579" t="s">
        <v>41</v>
      </c>
      <c r="J579" t="s">
        <v>290</v>
      </c>
      <c r="K579" t="s">
        <v>291</v>
      </c>
      <c r="L579">
        <v>5</v>
      </c>
      <c r="M579" t="s">
        <v>2184</v>
      </c>
      <c r="N579" t="s">
        <v>59</v>
      </c>
      <c r="O579" t="s">
        <v>47</v>
      </c>
      <c r="P579" t="s">
        <v>47</v>
      </c>
      <c r="Y579" t="s">
        <v>2185</v>
      </c>
      <c r="AG579" t="s">
        <v>48</v>
      </c>
    </row>
    <row r="580" spans="1:33">
      <c r="A580" t="s">
        <v>2186</v>
      </c>
      <c r="B580" t="s">
        <v>2187</v>
      </c>
      <c r="D580" t="s">
        <v>40</v>
      </c>
      <c r="E580" t="s">
        <v>41</v>
      </c>
      <c r="J580" t="s">
        <v>108</v>
      </c>
      <c r="K580" t="s">
        <v>109</v>
      </c>
      <c r="L580">
        <v>5</v>
      </c>
      <c r="M580" t="s">
        <v>2188</v>
      </c>
      <c r="N580" t="s">
        <v>59</v>
      </c>
      <c r="O580" t="s">
        <v>47</v>
      </c>
      <c r="P580" t="s">
        <v>47</v>
      </c>
      <c r="Y580" t="s">
        <v>2189</v>
      </c>
      <c r="AG580" t="s">
        <v>48</v>
      </c>
    </row>
    <row r="581" spans="1:33">
      <c r="A581" t="s">
        <v>2190</v>
      </c>
      <c r="B581" t="s">
        <v>2191</v>
      </c>
      <c r="D581" t="s">
        <v>40</v>
      </c>
      <c r="E581" t="s">
        <v>41</v>
      </c>
      <c r="H581" t="s">
        <v>2192</v>
      </c>
      <c r="J581" t="s">
        <v>108</v>
      </c>
      <c r="K581" t="s">
        <v>109</v>
      </c>
      <c r="L581">
        <v>5</v>
      </c>
      <c r="M581" t="s">
        <v>2193</v>
      </c>
      <c r="N581" t="s">
        <v>59</v>
      </c>
      <c r="O581" t="s">
        <v>47</v>
      </c>
      <c r="P581" t="s">
        <v>47</v>
      </c>
      <c r="Y581" t="s">
        <v>2192</v>
      </c>
      <c r="AG581" t="s">
        <v>48</v>
      </c>
    </row>
    <row r="582" spans="1:33">
      <c r="A582" t="s">
        <v>2194</v>
      </c>
      <c r="B582" t="s">
        <v>2195</v>
      </c>
      <c r="D582" t="s">
        <v>40</v>
      </c>
      <c r="E582" t="s">
        <v>41</v>
      </c>
      <c r="J582" t="s">
        <v>290</v>
      </c>
      <c r="K582" t="s">
        <v>291</v>
      </c>
      <c r="L582">
        <v>5</v>
      </c>
      <c r="M582" t="s">
        <v>2196</v>
      </c>
      <c r="N582" t="s">
        <v>59</v>
      </c>
      <c r="O582" t="s">
        <v>47</v>
      </c>
      <c r="P582" t="s">
        <v>47</v>
      </c>
      <c r="Y582" t="s">
        <v>2197</v>
      </c>
      <c r="AG582" t="s">
        <v>48</v>
      </c>
    </row>
    <row r="583" spans="1:33">
      <c r="A583" t="s">
        <v>2198</v>
      </c>
      <c r="B583" t="s">
        <v>2199</v>
      </c>
      <c r="D583" t="s">
        <v>40</v>
      </c>
      <c r="E583" t="s">
        <v>41</v>
      </c>
      <c r="J583" t="s">
        <v>129</v>
      </c>
      <c r="K583" t="s">
        <v>130</v>
      </c>
      <c r="L583">
        <v>5</v>
      </c>
      <c r="M583" t="s">
        <v>2200</v>
      </c>
      <c r="N583" t="s">
        <v>192</v>
      </c>
      <c r="O583" t="s">
        <v>47</v>
      </c>
      <c r="P583" t="s">
        <v>47</v>
      </c>
      <c r="Y583" t="s">
        <v>2201</v>
      </c>
      <c r="AG583" t="s">
        <v>48</v>
      </c>
    </row>
    <row r="584" spans="1:33">
      <c r="A584" t="s">
        <v>2202</v>
      </c>
      <c r="B584" t="s">
        <v>2203</v>
      </c>
      <c r="D584" t="s">
        <v>40</v>
      </c>
      <c r="E584" t="s">
        <v>41</v>
      </c>
      <c r="J584" t="s">
        <v>290</v>
      </c>
      <c r="K584" t="s">
        <v>291</v>
      </c>
      <c r="L584">
        <v>5</v>
      </c>
      <c r="M584" t="s">
        <v>2200</v>
      </c>
      <c r="N584" t="s">
        <v>59</v>
      </c>
      <c r="O584" t="s">
        <v>47</v>
      </c>
      <c r="P584" t="s">
        <v>47</v>
      </c>
      <c r="Y584" t="s">
        <v>2204</v>
      </c>
      <c r="AG584" t="s">
        <v>48</v>
      </c>
    </row>
    <row r="585" spans="1:33">
      <c r="A585" t="s">
        <v>2205</v>
      </c>
      <c r="B585" t="s">
        <v>2206</v>
      </c>
      <c r="D585" t="s">
        <v>40</v>
      </c>
      <c r="E585" t="s">
        <v>41</v>
      </c>
      <c r="J585" t="s">
        <v>162</v>
      </c>
      <c r="K585" t="s">
        <v>163</v>
      </c>
      <c r="L585">
        <v>5</v>
      </c>
      <c r="M585" t="s">
        <v>2207</v>
      </c>
      <c r="N585" t="s">
        <v>59</v>
      </c>
      <c r="O585" t="s">
        <v>47</v>
      </c>
      <c r="P585" t="s">
        <v>47</v>
      </c>
      <c r="Y585" t="s">
        <v>2208</v>
      </c>
      <c r="AG585" t="s">
        <v>48</v>
      </c>
    </row>
    <row r="586" spans="1:33">
      <c r="A586" t="s">
        <v>2209</v>
      </c>
      <c r="B586" t="s">
        <v>2210</v>
      </c>
      <c r="D586" t="s">
        <v>40</v>
      </c>
      <c r="E586" t="s">
        <v>41</v>
      </c>
      <c r="J586" t="s">
        <v>108</v>
      </c>
      <c r="K586" t="s">
        <v>109</v>
      </c>
      <c r="L586">
        <v>5</v>
      </c>
      <c r="M586" t="s">
        <v>2207</v>
      </c>
      <c r="N586" t="s">
        <v>59</v>
      </c>
      <c r="O586" t="s">
        <v>47</v>
      </c>
      <c r="P586" t="s">
        <v>47</v>
      </c>
      <c r="Y586" t="s">
        <v>2211</v>
      </c>
      <c r="AG586" t="s">
        <v>48</v>
      </c>
    </row>
    <row r="587" spans="1:33">
      <c r="A587" t="s">
        <v>2212</v>
      </c>
      <c r="B587" t="s">
        <v>2213</v>
      </c>
      <c r="D587" t="s">
        <v>40</v>
      </c>
      <c r="E587" t="s">
        <v>41</v>
      </c>
      <c r="J587" t="s">
        <v>270</v>
      </c>
      <c r="K587" t="s">
        <v>271</v>
      </c>
      <c r="L587">
        <v>5</v>
      </c>
      <c r="M587" t="s">
        <v>2207</v>
      </c>
      <c r="N587" t="s">
        <v>59</v>
      </c>
      <c r="O587" t="s">
        <v>47</v>
      </c>
      <c r="P587" t="s">
        <v>47</v>
      </c>
      <c r="Y587" t="s">
        <v>2214</v>
      </c>
      <c r="AG587" t="s">
        <v>48</v>
      </c>
    </row>
    <row r="588" spans="1:33">
      <c r="A588" t="s">
        <v>2215</v>
      </c>
      <c r="B588" t="s">
        <v>2216</v>
      </c>
      <c r="D588" t="s">
        <v>40</v>
      </c>
      <c r="E588" t="s">
        <v>41</v>
      </c>
      <c r="J588" t="s">
        <v>270</v>
      </c>
      <c r="K588" t="s">
        <v>271</v>
      </c>
      <c r="L588">
        <v>5</v>
      </c>
      <c r="M588" t="s">
        <v>2217</v>
      </c>
      <c r="N588" t="s">
        <v>59</v>
      </c>
      <c r="O588" t="s">
        <v>47</v>
      </c>
      <c r="P588" t="s">
        <v>47</v>
      </c>
      <c r="Y588" t="s">
        <v>2218</v>
      </c>
      <c r="AG588" t="s">
        <v>48</v>
      </c>
    </row>
    <row r="589" spans="1:33">
      <c r="A589" t="s">
        <v>2219</v>
      </c>
      <c r="B589" t="s">
        <v>2220</v>
      </c>
      <c r="D589" t="s">
        <v>40</v>
      </c>
      <c r="E589" t="s">
        <v>41</v>
      </c>
      <c r="J589" t="s">
        <v>86</v>
      </c>
      <c r="K589" t="s">
        <v>87</v>
      </c>
      <c r="L589">
        <v>5</v>
      </c>
      <c r="M589" t="s">
        <v>2221</v>
      </c>
      <c r="N589" t="s">
        <v>192</v>
      </c>
      <c r="O589" t="s">
        <v>47</v>
      </c>
      <c r="P589" t="s">
        <v>47</v>
      </c>
      <c r="Y589" t="s">
        <v>2222</v>
      </c>
      <c r="AG589" t="s">
        <v>48</v>
      </c>
    </row>
    <row r="590" spans="1:33">
      <c r="A590" t="s">
        <v>2223</v>
      </c>
      <c r="B590" t="s">
        <v>2224</v>
      </c>
      <c r="D590" t="s">
        <v>40</v>
      </c>
      <c r="E590" t="s">
        <v>41</v>
      </c>
      <c r="J590" t="s">
        <v>108</v>
      </c>
      <c r="K590" t="s">
        <v>109</v>
      </c>
      <c r="L590">
        <v>5</v>
      </c>
      <c r="M590" t="s">
        <v>2225</v>
      </c>
      <c r="N590" t="s">
        <v>59</v>
      </c>
      <c r="O590" t="s">
        <v>47</v>
      </c>
      <c r="P590" t="s">
        <v>47</v>
      </c>
      <c r="Y590" t="s">
        <v>2226</v>
      </c>
      <c r="AG590" t="s">
        <v>48</v>
      </c>
    </row>
    <row r="591" spans="1:33">
      <c r="A591" t="s">
        <v>2227</v>
      </c>
      <c r="B591" t="s">
        <v>2228</v>
      </c>
      <c r="D591" t="s">
        <v>40</v>
      </c>
      <c r="E591" t="s">
        <v>41</v>
      </c>
      <c r="H591" t="s">
        <v>2229</v>
      </c>
      <c r="J591" t="s">
        <v>114</v>
      </c>
      <c r="K591" t="s">
        <v>115</v>
      </c>
      <c r="L591">
        <v>5</v>
      </c>
      <c r="M591" t="s">
        <v>2230</v>
      </c>
      <c r="N591" t="s">
        <v>59</v>
      </c>
      <c r="O591" t="s">
        <v>47</v>
      </c>
      <c r="P591" t="s">
        <v>47</v>
      </c>
      <c r="Y591" t="s">
        <v>2229</v>
      </c>
      <c r="AG591" t="s">
        <v>48</v>
      </c>
    </row>
    <row r="592" spans="1:33">
      <c r="A592" t="s">
        <v>2231</v>
      </c>
      <c r="B592" t="s">
        <v>2232</v>
      </c>
      <c r="D592" t="s">
        <v>40</v>
      </c>
      <c r="E592" t="s">
        <v>41</v>
      </c>
      <c r="J592" t="s">
        <v>108</v>
      </c>
      <c r="K592" t="s">
        <v>109</v>
      </c>
      <c r="L592">
        <v>5</v>
      </c>
      <c r="M592" t="s">
        <v>2230</v>
      </c>
      <c r="N592" t="s">
        <v>59</v>
      </c>
      <c r="O592" t="s">
        <v>47</v>
      </c>
      <c r="P592" t="s">
        <v>47</v>
      </c>
      <c r="Y592" t="s">
        <v>2233</v>
      </c>
      <c r="AG592" t="s">
        <v>48</v>
      </c>
    </row>
    <row r="593" spans="1:33">
      <c r="A593" t="s">
        <v>2234</v>
      </c>
      <c r="B593" t="s">
        <v>2235</v>
      </c>
      <c r="D593" t="s">
        <v>40</v>
      </c>
      <c r="E593" t="s">
        <v>41</v>
      </c>
      <c r="H593" t="s">
        <v>2236</v>
      </c>
      <c r="J593" t="s">
        <v>129</v>
      </c>
      <c r="K593" t="s">
        <v>130</v>
      </c>
      <c r="L593">
        <v>5</v>
      </c>
      <c r="M593" t="s">
        <v>2237</v>
      </c>
      <c r="N593" t="s">
        <v>192</v>
      </c>
      <c r="O593" t="s">
        <v>47</v>
      </c>
      <c r="P593" t="s">
        <v>47</v>
      </c>
      <c r="Y593" t="s">
        <v>2236</v>
      </c>
      <c r="AG593" t="s">
        <v>48</v>
      </c>
    </row>
    <row r="594" spans="1:33">
      <c r="A594" t="s">
        <v>2238</v>
      </c>
      <c r="B594" t="s">
        <v>2239</v>
      </c>
      <c r="D594" t="s">
        <v>40</v>
      </c>
      <c r="E594" t="s">
        <v>41</v>
      </c>
      <c r="J594" t="s">
        <v>290</v>
      </c>
      <c r="K594" t="s">
        <v>291</v>
      </c>
      <c r="L594">
        <v>5</v>
      </c>
      <c r="M594" t="s">
        <v>2240</v>
      </c>
      <c r="N594" t="s">
        <v>59</v>
      </c>
      <c r="O594" t="s">
        <v>47</v>
      </c>
      <c r="P594" t="s">
        <v>47</v>
      </c>
      <c r="Y594" t="s">
        <v>2241</v>
      </c>
      <c r="AG594" t="s">
        <v>48</v>
      </c>
    </row>
    <row r="595" spans="1:33">
      <c r="A595" t="s">
        <v>2242</v>
      </c>
      <c r="B595" t="s">
        <v>2243</v>
      </c>
      <c r="D595" t="s">
        <v>40</v>
      </c>
      <c r="E595" t="s">
        <v>41</v>
      </c>
      <c r="H595" t="s">
        <v>2244</v>
      </c>
      <c r="J595" t="s">
        <v>290</v>
      </c>
      <c r="K595" t="s">
        <v>291</v>
      </c>
      <c r="L595">
        <v>5</v>
      </c>
      <c r="M595" t="s">
        <v>2240</v>
      </c>
      <c r="N595" t="s">
        <v>59</v>
      </c>
      <c r="O595" t="s">
        <v>47</v>
      </c>
      <c r="P595" t="s">
        <v>47</v>
      </c>
      <c r="Y595" t="s">
        <v>2244</v>
      </c>
      <c r="AG595" t="s">
        <v>48</v>
      </c>
    </row>
    <row r="596" spans="1:33">
      <c r="A596" t="s">
        <v>2245</v>
      </c>
      <c r="B596" t="s">
        <v>2246</v>
      </c>
      <c r="D596" t="s">
        <v>40</v>
      </c>
      <c r="E596" t="s">
        <v>41</v>
      </c>
      <c r="H596" t="s">
        <v>2247</v>
      </c>
      <c r="J596" t="s">
        <v>63</v>
      </c>
      <c r="K596" t="s">
        <v>64</v>
      </c>
      <c r="L596">
        <v>5</v>
      </c>
      <c r="M596" t="s">
        <v>2248</v>
      </c>
      <c r="N596" t="s">
        <v>59</v>
      </c>
      <c r="O596" t="s">
        <v>47</v>
      </c>
      <c r="P596" t="s">
        <v>47</v>
      </c>
      <c r="Y596" t="s">
        <v>2247</v>
      </c>
      <c r="AG596" t="s">
        <v>48</v>
      </c>
    </row>
    <row r="597" spans="1:33">
      <c r="A597" t="s">
        <v>2249</v>
      </c>
      <c r="B597" t="s">
        <v>2250</v>
      </c>
      <c r="D597" t="s">
        <v>40</v>
      </c>
      <c r="E597" t="s">
        <v>41</v>
      </c>
      <c r="J597" t="s">
        <v>129</v>
      </c>
      <c r="K597" t="s">
        <v>130</v>
      </c>
      <c r="L597">
        <v>5</v>
      </c>
      <c r="M597" t="s">
        <v>2251</v>
      </c>
      <c r="N597" t="s">
        <v>218</v>
      </c>
      <c r="O597" t="s">
        <v>47</v>
      </c>
      <c r="P597" t="s">
        <v>47</v>
      </c>
      <c r="Y597" t="s">
        <v>2252</v>
      </c>
      <c r="AG597" t="s">
        <v>48</v>
      </c>
    </row>
    <row r="598" spans="1:33">
      <c r="A598" t="s">
        <v>2253</v>
      </c>
      <c r="B598" t="s">
        <v>2254</v>
      </c>
      <c r="D598" t="s">
        <v>40</v>
      </c>
      <c r="E598" t="s">
        <v>41</v>
      </c>
      <c r="J598" t="s">
        <v>162</v>
      </c>
      <c r="K598" t="s">
        <v>163</v>
      </c>
      <c r="L598">
        <v>5</v>
      </c>
      <c r="M598" t="s">
        <v>2255</v>
      </c>
      <c r="N598" t="s">
        <v>59</v>
      </c>
      <c r="O598" t="s">
        <v>47</v>
      </c>
      <c r="P598" t="s">
        <v>47</v>
      </c>
      <c r="Y598" t="s">
        <v>2256</v>
      </c>
      <c r="AG598" t="s">
        <v>48</v>
      </c>
    </row>
    <row r="599" spans="1:33">
      <c r="A599" t="s">
        <v>2257</v>
      </c>
      <c r="B599" t="s">
        <v>2258</v>
      </c>
      <c r="D599" t="s">
        <v>40</v>
      </c>
      <c r="E599" t="s">
        <v>41</v>
      </c>
      <c r="J599" t="s">
        <v>43</v>
      </c>
      <c r="K599" t="s">
        <v>44</v>
      </c>
      <c r="L599">
        <v>5</v>
      </c>
      <c r="M599" t="s">
        <v>2259</v>
      </c>
      <c r="N599" t="s">
        <v>192</v>
      </c>
      <c r="O599" t="s">
        <v>47</v>
      </c>
      <c r="P599" t="s">
        <v>47</v>
      </c>
      <c r="Y599" t="s">
        <v>2260</v>
      </c>
      <c r="AG599" t="s">
        <v>48</v>
      </c>
    </row>
    <row r="600" spans="1:33">
      <c r="A600" t="s">
        <v>2261</v>
      </c>
      <c r="B600" t="s">
        <v>2262</v>
      </c>
      <c r="D600" t="s">
        <v>40</v>
      </c>
      <c r="E600" t="s">
        <v>41</v>
      </c>
      <c r="H600" t="s">
        <v>2263</v>
      </c>
      <c r="J600" t="s">
        <v>312</v>
      </c>
      <c r="K600" t="s">
        <v>313</v>
      </c>
      <c r="L600">
        <v>5</v>
      </c>
      <c r="M600" t="s">
        <v>2264</v>
      </c>
      <c r="N600" t="s">
        <v>46</v>
      </c>
      <c r="O600" t="s">
        <v>47</v>
      </c>
      <c r="P600" t="s">
        <v>47</v>
      </c>
      <c r="Y600" t="s">
        <v>2263</v>
      </c>
      <c r="AG600" t="s">
        <v>48</v>
      </c>
    </row>
    <row r="601" spans="1:33">
      <c r="A601" t="s">
        <v>2265</v>
      </c>
      <c r="B601" t="s">
        <v>2266</v>
      </c>
      <c r="D601" t="s">
        <v>40</v>
      </c>
      <c r="E601" t="s">
        <v>41</v>
      </c>
      <c r="J601" t="s">
        <v>108</v>
      </c>
      <c r="K601" t="s">
        <v>109</v>
      </c>
      <c r="L601">
        <v>5</v>
      </c>
      <c r="M601" t="s">
        <v>2264</v>
      </c>
      <c r="N601" t="s">
        <v>59</v>
      </c>
      <c r="O601" t="s">
        <v>47</v>
      </c>
      <c r="P601" t="s">
        <v>47</v>
      </c>
      <c r="Y601" t="s">
        <v>2267</v>
      </c>
      <c r="AG601" t="s">
        <v>48</v>
      </c>
    </row>
    <row r="602" spans="1:33">
      <c r="A602" t="s">
        <v>2268</v>
      </c>
      <c r="B602" t="s">
        <v>2269</v>
      </c>
      <c r="D602" t="s">
        <v>40</v>
      </c>
      <c r="E602" t="s">
        <v>41</v>
      </c>
      <c r="J602" t="s">
        <v>290</v>
      </c>
      <c r="K602" t="s">
        <v>291</v>
      </c>
      <c r="L602">
        <v>5</v>
      </c>
      <c r="M602" t="s">
        <v>2264</v>
      </c>
      <c r="N602" t="s">
        <v>59</v>
      </c>
      <c r="O602" t="s">
        <v>47</v>
      </c>
      <c r="P602" t="s">
        <v>47</v>
      </c>
      <c r="Y602" t="s">
        <v>2270</v>
      </c>
      <c r="AG602" t="s">
        <v>48</v>
      </c>
    </row>
    <row r="603" spans="1:33">
      <c r="A603" t="s">
        <v>2271</v>
      </c>
      <c r="B603" t="s">
        <v>2272</v>
      </c>
      <c r="D603" t="s">
        <v>40</v>
      </c>
      <c r="E603" t="s">
        <v>41</v>
      </c>
      <c r="H603" t="s">
        <v>2273</v>
      </c>
      <c r="J603" t="s">
        <v>162</v>
      </c>
      <c r="K603" t="s">
        <v>163</v>
      </c>
      <c r="L603">
        <v>5</v>
      </c>
      <c r="M603" t="s">
        <v>2264</v>
      </c>
      <c r="N603" t="s">
        <v>59</v>
      </c>
      <c r="O603" t="s">
        <v>47</v>
      </c>
      <c r="P603" t="s">
        <v>47</v>
      </c>
      <c r="Y603" t="s">
        <v>2273</v>
      </c>
      <c r="AG603" t="s">
        <v>48</v>
      </c>
    </row>
    <row r="604" spans="1:33">
      <c r="A604" t="s">
        <v>2274</v>
      </c>
      <c r="B604" t="s">
        <v>2275</v>
      </c>
      <c r="D604" t="s">
        <v>40</v>
      </c>
      <c r="E604" t="s">
        <v>41</v>
      </c>
      <c r="J604" t="s">
        <v>162</v>
      </c>
      <c r="K604" t="s">
        <v>163</v>
      </c>
      <c r="L604">
        <v>5</v>
      </c>
      <c r="M604" t="s">
        <v>2264</v>
      </c>
      <c r="N604" t="s">
        <v>59</v>
      </c>
      <c r="O604" t="s">
        <v>47</v>
      </c>
      <c r="P604" t="s">
        <v>47</v>
      </c>
      <c r="Y604" t="s">
        <v>2276</v>
      </c>
      <c r="AG604" t="s">
        <v>48</v>
      </c>
    </row>
    <row r="605" spans="1:33">
      <c r="A605" t="s">
        <v>2277</v>
      </c>
      <c r="B605" t="s">
        <v>2278</v>
      </c>
      <c r="D605" t="s">
        <v>40</v>
      </c>
      <c r="E605" t="s">
        <v>41</v>
      </c>
      <c r="J605" t="s">
        <v>108</v>
      </c>
      <c r="K605" t="s">
        <v>109</v>
      </c>
      <c r="L605">
        <v>5</v>
      </c>
      <c r="M605" t="s">
        <v>2279</v>
      </c>
      <c r="N605" t="s">
        <v>59</v>
      </c>
      <c r="O605" t="s">
        <v>47</v>
      </c>
      <c r="P605" t="s">
        <v>47</v>
      </c>
      <c r="Y605" t="s">
        <v>2280</v>
      </c>
      <c r="AG605" t="s">
        <v>48</v>
      </c>
    </row>
    <row r="606" spans="1:33">
      <c r="A606" t="s">
        <v>2281</v>
      </c>
      <c r="B606" t="s">
        <v>2282</v>
      </c>
      <c r="D606" t="s">
        <v>40</v>
      </c>
      <c r="E606" t="s">
        <v>41</v>
      </c>
      <c r="J606" t="s">
        <v>108</v>
      </c>
      <c r="K606" t="s">
        <v>109</v>
      </c>
      <c r="L606">
        <v>5</v>
      </c>
      <c r="M606" t="s">
        <v>2279</v>
      </c>
      <c r="N606" t="s">
        <v>59</v>
      </c>
      <c r="O606" t="s">
        <v>47</v>
      </c>
      <c r="P606" t="s">
        <v>47</v>
      </c>
      <c r="Y606" t="s">
        <v>2283</v>
      </c>
      <c r="AG606" t="s">
        <v>48</v>
      </c>
    </row>
    <row r="607" spans="1:33">
      <c r="A607" t="s">
        <v>2284</v>
      </c>
      <c r="B607" t="s">
        <v>2285</v>
      </c>
      <c r="D607" t="s">
        <v>40</v>
      </c>
      <c r="E607" t="s">
        <v>41</v>
      </c>
      <c r="J607" t="s">
        <v>290</v>
      </c>
      <c r="K607" t="s">
        <v>291</v>
      </c>
      <c r="L607">
        <v>5</v>
      </c>
      <c r="M607" t="s">
        <v>2279</v>
      </c>
      <c r="N607" t="s">
        <v>59</v>
      </c>
      <c r="O607" t="s">
        <v>47</v>
      </c>
      <c r="P607" t="s">
        <v>47</v>
      </c>
      <c r="Y607" t="s">
        <v>2286</v>
      </c>
      <c r="AG607" t="s">
        <v>48</v>
      </c>
    </row>
    <row r="608" spans="1:33">
      <c r="A608" t="s">
        <v>2287</v>
      </c>
      <c r="B608" t="s">
        <v>2288</v>
      </c>
      <c r="D608" t="s">
        <v>40</v>
      </c>
      <c r="E608" t="s">
        <v>41</v>
      </c>
      <c r="J608" t="s">
        <v>290</v>
      </c>
      <c r="K608" t="s">
        <v>291</v>
      </c>
      <c r="L608">
        <v>5</v>
      </c>
      <c r="M608" t="s">
        <v>2279</v>
      </c>
      <c r="N608" t="s">
        <v>59</v>
      </c>
      <c r="O608" t="s">
        <v>47</v>
      </c>
      <c r="P608" t="s">
        <v>47</v>
      </c>
      <c r="Y608" t="s">
        <v>2289</v>
      </c>
      <c r="AG608" t="s">
        <v>48</v>
      </c>
    </row>
    <row r="609" spans="1:33">
      <c r="A609" t="s">
        <v>117</v>
      </c>
      <c r="B609" t="s">
        <v>2290</v>
      </c>
      <c r="D609" t="s">
        <v>40</v>
      </c>
      <c r="E609" t="s">
        <v>41</v>
      </c>
      <c r="J609" t="s">
        <v>290</v>
      </c>
      <c r="K609" t="s">
        <v>291</v>
      </c>
      <c r="L609">
        <v>5</v>
      </c>
      <c r="M609" t="s">
        <v>2291</v>
      </c>
      <c r="N609" t="s">
        <v>59</v>
      </c>
      <c r="O609" t="s">
        <v>47</v>
      </c>
      <c r="P609" t="s">
        <v>47</v>
      </c>
      <c r="Y609" t="s">
        <v>2292</v>
      </c>
      <c r="AG609" t="s">
        <v>48</v>
      </c>
    </row>
    <row r="610" spans="1:33">
      <c r="A610" t="s">
        <v>2293</v>
      </c>
      <c r="B610" t="s">
        <v>2294</v>
      </c>
      <c r="D610" t="s">
        <v>40</v>
      </c>
      <c r="E610" t="s">
        <v>41</v>
      </c>
      <c r="J610" t="s">
        <v>270</v>
      </c>
      <c r="K610" t="s">
        <v>271</v>
      </c>
      <c r="L610">
        <v>5</v>
      </c>
      <c r="M610" t="s">
        <v>2295</v>
      </c>
      <c r="N610" t="s">
        <v>59</v>
      </c>
      <c r="O610" t="s">
        <v>47</v>
      </c>
      <c r="P610" t="s">
        <v>47</v>
      </c>
      <c r="Y610" t="s">
        <v>2296</v>
      </c>
      <c r="AG610" t="s">
        <v>48</v>
      </c>
    </row>
    <row r="611" spans="1:33">
      <c r="A611" t="s">
        <v>2297</v>
      </c>
      <c r="B611" t="s">
        <v>2298</v>
      </c>
      <c r="D611" t="s">
        <v>40</v>
      </c>
      <c r="E611" t="s">
        <v>41</v>
      </c>
      <c r="J611" t="s">
        <v>270</v>
      </c>
      <c r="K611" t="s">
        <v>271</v>
      </c>
      <c r="L611">
        <v>5</v>
      </c>
      <c r="M611" t="s">
        <v>2295</v>
      </c>
      <c r="N611" t="s">
        <v>59</v>
      </c>
      <c r="O611" t="s">
        <v>47</v>
      </c>
      <c r="P611" t="s">
        <v>47</v>
      </c>
      <c r="Y611" t="s">
        <v>2299</v>
      </c>
      <c r="AG611" t="s">
        <v>48</v>
      </c>
    </row>
    <row r="612" spans="1:33">
      <c r="A612" t="s">
        <v>2300</v>
      </c>
      <c r="B612" t="s">
        <v>2301</v>
      </c>
      <c r="D612" t="s">
        <v>40</v>
      </c>
      <c r="E612" t="s">
        <v>41</v>
      </c>
      <c r="H612" t="s">
        <v>2302</v>
      </c>
      <c r="J612" t="s">
        <v>270</v>
      </c>
      <c r="K612" t="s">
        <v>271</v>
      </c>
      <c r="L612">
        <v>5</v>
      </c>
      <c r="M612" t="s">
        <v>2295</v>
      </c>
      <c r="N612" t="s">
        <v>59</v>
      </c>
      <c r="O612" t="s">
        <v>47</v>
      </c>
      <c r="P612" t="s">
        <v>47</v>
      </c>
      <c r="Y612" t="s">
        <v>2302</v>
      </c>
      <c r="AG612" t="s">
        <v>48</v>
      </c>
    </row>
    <row r="613" spans="1:33">
      <c r="A613" t="s">
        <v>2303</v>
      </c>
      <c r="B613" t="s">
        <v>2304</v>
      </c>
      <c r="D613" t="s">
        <v>40</v>
      </c>
      <c r="E613" t="s">
        <v>41</v>
      </c>
      <c r="J613" t="s">
        <v>290</v>
      </c>
      <c r="K613" t="s">
        <v>291</v>
      </c>
      <c r="L613">
        <v>5</v>
      </c>
      <c r="M613" t="s">
        <v>2295</v>
      </c>
      <c r="N613" t="s">
        <v>59</v>
      </c>
      <c r="O613" t="s">
        <v>47</v>
      </c>
      <c r="P613" t="s">
        <v>47</v>
      </c>
      <c r="Y613" t="s">
        <v>2305</v>
      </c>
      <c r="AG613" t="s">
        <v>48</v>
      </c>
    </row>
    <row r="614" spans="1:33">
      <c r="A614" t="s">
        <v>2306</v>
      </c>
      <c r="B614" t="s">
        <v>2307</v>
      </c>
      <c r="D614" t="s">
        <v>40</v>
      </c>
      <c r="E614" t="s">
        <v>41</v>
      </c>
      <c r="J614" t="s">
        <v>290</v>
      </c>
      <c r="K614" t="s">
        <v>291</v>
      </c>
      <c r="L614">
        <v>5</v>
      </c>
      <c r="M614" t="s">
        <v>2308</v>
      </c>
      <c r="N614" t="s">
        <v>59</v>
      </c>
      <c r="O614" t="s">
        <v>47</v>
      </c>
      <c r="P614" t="s">
        <v>47</v>
      </c>
      <c r="Y614" t="s">
        <v>2309</v>
      </c>
      <c r="AG614" t="s">
        <v>48</v>
      </c>
    </row>
    <row r="615" spans="1:33">
      <c r="A615" t="s">
        <v>2310</v>
      </c>
      <c r="B615" t="s">
        <v>2311</v>
      </c>
      <c r="D615" t="s">
        <v>40</v>
      </c>
      <c r="E615" t="s">
        <v>41</v>
      </c>
      <c r="J615" t="s">
        <v>290</v>
      </c>
      <c r="K615" t="s">
        <v>291</v>
      </c>
      <c r="L615">
        <v>5</v>
      </c>
      <c r="M615" t="s">
        <v>2312</v>
      </c>
      <c r="N615" t="s">
        <v>59</v>
      </c>
      <c r="O615" t="s">
        <v>47</v>
      </c>
      <c r="P615" t="s">
        <v>47</v>
      </c>
      <c r="Y615" t="s">
        <v>2313</v>
      </c>
      <c r="AG615" t="s">
        <v>48</v>
      </c>
    </row>
    <row r="616" spans="1:33">
      <c r="A616" t="s">
        <v>2314</v>
      </c>
      <c r="B616" t="s">
        <v>2315</v>
      </c>
      <c r="D616" t="s">
        <v>40</v>
      </c>
      <c r="E616" t="s">
        <v>41</v>
      </c>
      <c r="J616" t="s">
        <v>290</v>
      </c>
      <c r="K616" t="s">
        <v>291</v>
      </c>
      <c r="L616">
        <v>5</v>
      </c>
      <c r="M616" t="s">
        <v>2312</v>
      </c>
      <c r="N616" t="s">
        <v>59</v>
      </c>
      <c r="O616" t="s">
        <v>47</v>
      </c>
      <c r="P616" t="s">
        <v>47</v>
      </c>
      <c r="Y616" t="s">
        <v>2316</v>
      </c>
      <c r="AG616" t="s">
        <v>48</v>
      </c>
    </row>
    <row r="617" spans="1:33">
      <c r="A617" t="s">
        <v>2317</v>
      </c>
      <c r="B617" t="s">
        <v>2318</v>
      </c>
      <c r="D617" t="s">
        <v>40</v>
      </c>
      <c r="E617" t="s">
        <v>41</v>
      </c>
      <c r="J617" t="s">
        <v>290</v>
      </c>
      <c r="K617" t="s">
        <v>291</v>
      </c>
      <c r="L617">
        <v>5</v>
      </c>
      <c r="M617" t="s">
        <v>2312</v>
      </c>
      <c r="N617" t="s">
        <v>59</v>
      </c>
      <c r="O617" t="s">
        <v>47</v>
      </c>
      <c r="P617" t="s">
        <v>47</v>
      </c>
      <c r="Y617" t="s">
        <v>2319</v>
      </c>
      <c r="AG617" t="s">
        <v>48</v>
      </c>
    </row>
    <row r="618" spans="1:33">
      <c r="A618" t="s">
        <v>2320</v>
      </c>
      <c r="B618" t="s">
        <v>2321</v>
      </c>
      <c r="D618" t="s">
        <v>40</v>
      </c>
      <c r="E618" t="s">
        <v>41</v>
      </c>
      <c r="J618" t="s">
        <v>129</v>
      </c>
      <c r="K618" t="s">
        <v>130</v>
      </c>
      <c r="L618">
        <v>5</v>
      </c>
      <c r="M618" t="s">
        <v>2322</v>
      </c>
      <c r="N618" t="s">
        <v>218</v>
      </c>
      <c r="O618" t="s">
        <v>47</v>
      </c>
      <c r="P618" t="s">
        <v>47</v>
      </c>
      <c r="Y618" t="s">
        <v>2323</v>
      </c>
      <c r="AG618" t="s">
        <v>48</v>
      </c>
    </row>
    <row r="619" spans="1:33">
      <c r="A619" t="s">
        <v>2324</v>
      </c>
      <c r="B619" t="s">
        <v>2325</v>
      </c>
      <c r="D619" t="s">
        <v>40</v>
      </c>
      <c r="E619" t="s">
        <v>41</v>
      </c>
      <c r="J619" t="s">
        <v>108</v>
      </c>
      <c r="K619" t="s">
        <v>109</v>
      </c>
      <c r="L619">
        <v>5</v>
      </c>
      <c r="M619" t="s">
        <v>2326</v>
      </c>
      <c r="N619" t="s">
        <v>59</v>
      </c>
      <c r="O619" t="s">
        <v>47</v>
      </c>
      <c r="P619" t="s">
        <v>47</v>
      </c>
      <c r="Y619" t="s">
        <v>2327</v>
      </c>
      <c r="AG619" t="s">
        <v>48</v>
      </c>
    </row>
    <row r="620" spans="1:33">
      <c r="A620" t="s">
        <v>2328</v>
      </c>
      <c r="B620" t="s">
        <v>2329</v>
      </c>
      <c r="D620" t="s">
        <v>40</v>
      </c>
      <c r="E620" t="s">
        <v>41</v>
      </c>
      <c r="J620" t="s">
        <v>108</v>
      </c>
      <c r="K620" t="s">
        <v>109</v>
      </c>
      <c r="L620">
        <v>5</v>
      </c>
      <c r="M620" t="s">
        <v>2326</v>
      </c>
      <c r="N620" t="s">
        <v>59</v>
      </c>
      <c r="O620" t="s">
        <v>47</v>
      </c>
      <c r="P620" t="s">
        <v>47</v>
      </c>
      <c r="Y620" t="s">
        <v>2330</v>
      </c>
      <c r="AG620" t="s">
        <v>48</v>
      </c>
    </row>
    <row r="621" spans="1:33">
      <c r="A621" t="s">
        <v>117</v>
      </c>
      <c r="B621" t="s">
        <v>2331</v>
      </c>
      <c r="D621" t="s">
        <v>40</v>
      </c>
      <c r="E621" t="s">
        <v>41</v>
      </c>
      <c r="J621" t="s">
        <v>270</v>
      </c>
      <c r="K621" t="s">
        <v>271</v>
      </c>
      <c r="L621">
        <v>5</v>
      </c>
      <c r="M621" t="s">
        <v>2326</v>
      </c>
      <c r="N621" t="s">
        <v>59</v>
      </c>
      <c r="O621" t="s">
        <v>47</v>
      </c>
      <c r="P621" t="s">
        <v>47</v>
      </c>
      <c r="Y621" t="s">
        <v>2332</v>
      </c>
      <c r="AG621" t="s">
        <v>48</v>
      </c>
    </row>
    <row r="622" spans="1:33">
      <c r="A622" t="s">
        <v>2333</v>
      </c>
      <c r="B622" t="s">
        <v>2334</v>
      </c>
      <c r="D622" t="s">
        <v>40</v>
      </c>
      <c r="E622" t="s">
        <v>41</v>
      </c>
      <c r="J622" t="s">
        <v>290</v>
      </c>
      <c r="K622" t="s">
        <v>291</v>
      </c>
      <c r="L622">
        <v>5</v>
      </c>
      <c r="M622" t="s">
        <v>2335</v>
      </c>
      <c r="N622" t="s">
        <v>59</v>
      </c>
      <c r="O622" t="s">
        <v>47</v>
      </c>
      <c r="P622" t="s">
        <v>47</v>
      </c>
      <c r="Y622" t="s">
        <v>2336</v>
      </c>
      <c r="AG622" t="s">
        <v>48</v>
      </c>
    </row>
    <row r="623" spans="1:33">
      <c r="A623" t="s">
        <v>2337</v>
      </c>
      <c r="B623" t="s">
        <v>2338</v>
      </c>
      <c r="D623" t="s">
        <v>40</v>
      </c>
      <c r="E623" t="s">
        <v>41</v>
      </c>
      <c r="J623" t="s">
        <v>290</v>
      </c>
      <c r="K623" t="s">
        <v>291</v>
      </c>
      <c r="L623">
        <v>5</v>
      </c>
      <c r="M623" t="s">
        <v>2339</v>
      </c>
      <c r="N623" t="s">
        <v>59</v>
      </c>
      <c r="O623" t="s">
        <v>47</v>
      </c>
      <c r="P623" t="s">
        <v>47</v>
      </c>
      <c r="Y623" t="s">
        <v>2340</v>
      </c>
      <c r="AG623" t="s">
        <v>48</v>
      </c>
    </row>
    <row r="624" spans="1:33">
      <c r="A624" t="s">
        <v>2341</v>
      </c>
      <c r="B624" t="s">
        <v>2342</v>
      </c>
      <c r="D624" t="s">
        <v>40</v>
      </c>
      <c r="E624" t="s">
        <v>41</v>
      </c>
      <c r="J624" t="s">
        <v>290</v>
      </c>
      <c r="K624" t="s">
        <v>291</v>
      </c>
      <c r="L624">
        <v>5</v>
      </c>
      <c r="M624" t="s">
        <v>2343</v>
      </c>
      <c r="N624" t="s">
        <v>59</v>
      </c>
      <c r="O624" t="s">
        <v>47</v>
      </c>
      <c r="P624" t="s">
        <v>47</v>
      </c>
      <c r="Y624" t="s">
        <v>2344</v>
      </c>
      <c r="AG624" t="s">
        <v>48</v>
      </c>
    </row>
    <row r="625" spans="1:33">
      <c r="A625" t="s">
        <v>2345</v>
      </c>
      <c r="B625" t="s">
        <v>2346</v>
      </c>
      <c r="D625" t="s">
        <v>40</v>
      </c>
      <c r="E625" t="s">
        <v>41</v>
      </c>
      <c r="J625" t="s">
        <v>162</v>
      </c>
      <c r="K625" t="s">
        <v>163</v>
      </c>
      <c r="L625">
        <v>5</v>
      </c>
      <c r="M625" t="s">
        <v>2343</v>
      </c>
      <c r="N625" t="s">
        <v>59</v>
      </c>
      <c r="O625" t="s">
        <v>47</v>
      </c>
      <c r="P625" t="s">
        <v>47</v>
      </c>
      <c r="Y625" t="s">
        <v>2347</v>
      </c>
      <c r="AG625" t="s">
        <v>48</v>
      </c>
    </row>
    <row r="626" spans="1:33">
      <c r="A626" t="s">
        <v>2348</v>
      </c>
      <c r="B626" t="s">
        <v>2349</v>
      </c>
      <c r="D626" t="s">
        <v>40</v>
      </c>
      <c r="E626" t="s">
        <v>41</v>
      </c>
      <c r="J626" t="s">
        <v>129</v>
      </c>
      <c r="K626" t="s">
        <v>130</v>
      </c>
      <c r="L626">
        <v>5</v>
      </c>
      <c r="M626" t="s">
        <v>2343</v>
      </c>
      <c r="N626" t="s">
        <v>218</v>
      </c>
      <c r="O626" t="s">
        <v>47</v>
      </c>
      <c r="P626" t="s">
        <v>47</v>
      </c>
      <c r="Y626" t="s">
        <v>2350</v>
      </c>
      <c r="AG626" t="s">
        <v>48</v>
      </c>
    </row>
    <row r="627" spans="1:33">
      <c r="A627" t="s">
        <v>2351</v>
      </c>
      <c r="B627" t="s">
        <v>2352</v>
      </c>
      <c r="D627" t="s">
        <v>40</v>
      </c>
      <c r="E627" t="s">
        <v>41</v>
      </c>
      <c r="J627" t="s">
        <v>290</v>
      </c>
      <c r="K627" t="s">
        <v>291</v>
      </c>
      <c r="L627">
        <v>5</v>
      </c>
      <c r="M627" t="s">
        <v>2353</v>
      </c>
      <c r="N627" t="s">
        <v>59</v>
      </c>
      <c r="O627" t="s">
        <v>47</v>
      </c>
      <c r="P627" t="s">
        <v>47</v>
      </c>
      <c r="Y627" t="s">
        <v>2354</v>
      </c>
      <c r="AG627" t="s">
        <v>48</v>
      </c>
    </row>
    <row r="628" spans="1:33">
      <c r="A628" t="s">
        <v>2355</v>
      </c>
      <c r="B628" t="s">
        <v>2356</v>
      </c>
      <c r="D628" t="s">
        <v>40</v>
      </c>
      <c r="E628" t="s">
        <v>41</v>
      </c>
      <c r="J628" t="s">
        <v>43</v>
      </c>
      <c r="K628" t="s">
        <v>44</v>
      </c>
      <c r="L628">
        <v>5</v>
      </c>
      <c r="M628" t="s">
        <v>2357</v>
      </c>
      <c r="N628" t="s">
        <v>192</v>
      </c>
      <c r="O628" t="s">
        <v>47</v>
      </c>
      <c r="P628" t="s">
        <v>47</v>
      </c>
      <c r="Y628" t="s">
        <v>2358</v>
      </c>
      <c r="AG628" t="s">
        <v>48</v>
      </c>
    </row>
    <row r="629" spans="1:33">
      <c r="A629" t="s">
        <v>2359</v>
      </c>
      <c r="B629" t="s">
        <v>2360</v>
      </c>
      <c r="D629" t="s">
        <v>40</v>
      </c>
      <c r="E629" t="s">
        <v>41</v>
      </c>
      <c r="J629" t="s">
        <v>290</v>
      </c>
      <c r="K629" t="s">
        <v>291</v>
      </c>
      <c r="L629">
        <v>5</v>
      </c>
      <c r="M629" t="s">
        <v>2361</v>
      </c>
      <c r="N629" t="s">
        <v>59</v>
      </c>
      <c r="O629" t="s">
        <v>47</v>
      </c>
      <c r="P629" t="s">
        <v>47</v>
      </c>
      <c r="Y629" t="s">
        <v>2362</v>
      </c>
      <c r="AG629" t="s">
        <v>48</v>
      </c>
    </row>
    <row r="630" spans="1:33">
      <c r="A630" t="s">
        <v>2363</v>
      </c>
      <c r="B630" t="s">
        <v>2364</v>
      </c>
      <c r="D630" t="s">
        <v>40</v>
      </c>
      <c r="E630" t="s">
        <v>41</v>
      </c>
      <c r="J630" t="s">
        <v>290</v>
      </c>
      <c r="K630" t="s">
        <v>291</v>
      </c>
      <c r="L630">
        <v>5</v>
      </c>
      <c r="M630" t="s">
        <v>2365</v>
      </c>
      <c r="N630" t="s">
        <v>59</v>
      </c>
      <c r="O630" t="s">
        <v>47</v>
      </c>
      <c r="P630" t="s">
        <v>47</v>
      </c>
      <c r="Y630" t="s">
        <v>2366</v>
      </c>
      <c r="AG630" t="s">
        <v>48</v>
      </c>
    </row>
    <row r="631" spans="1:33">
      <c r="A631" t="s">
        <v>2367</v>
      </c>
      <c r="B631" t="s">
        <v>2368</v>
      </c>
      <c r="D631" t="s">
        <v>40</v>
      </c>
      <c r="E631" t="s">
        <v>41</v>
      </c>
      <c r="J631" t="s">
        <v>108</v>
      </c>
      <c r="K631" t="s">
        <v>109</v>
      </c>
      <c r="L631">
        <v>5</v>
      </c>
      <c r="M631" t="s">
        <v>2369</v>
      </c>
      <c r="N631" t="s">
        <v>59</v>
      </c>
      <c r="O631" t="s">
        <v>47</v>
      </c>
      <c r="P631" t="s">
        <v>47</v>
      </c>
      <c r="Y631" t="s">
        <v>2370</v>
      </c>
      <c r="AG631" t="s">
        <v>48</v>
      </c>
    </row>
    <row r="632" spans="1:33">
      <c r="A632" t="s">
        <v>2371</v>
      </c>
      <c r="B632" t="s">
        <v>2372</v>
      </c>
      <c r="D632" t="s">
        <v>40</v>
      </c>
      <c r="E632" t="s">
        <v>41</v>
      </c>
      <c r="J632" t="s">
        <v>290</v>
      </c>
      <c r="K632" t="s">
        <v>291</v>
      </c>
      <c r="L632">
        <v>5</v>
      </c>
      <c r="M632" t="s">
        <v>2369</v>
      </c>
      <c r="N632" t="s">
        <v>59</v>
      </c>
      <c r="O632" t="s">
        <v>47</v>
      </c>
      <c r="P632" t="s">
        <v>47</v>
      </c>
      <c r="Y632" t="s">
        <v>2373</v>
      </c>
      <c r="AG632" t="s">
        <v>48</v>
      </c>
    </row>
    <row r="633" spans="1:33">
      <c r="A633" t="s">
        <v>2374</v>
      </c>
      <c r="B633" t="s">
        <v>2375</v>
      </c>
      <c r="D633" t="s">
        <v>40</v>
      </c>
      <c r="E633" t="s">
        <v>41</v>
      </c>
      <c r="J633" t="s">
        <v>129</v>
      </c>
      <c r="K633" t="s">
        <v>130</v>
      </c>
      <c r="L633">
        <v>5</v>
      </c>
      <c r="M633" t="s">
        <v>2376</v>
      </c>
      <c r="N633" t="s">
        <v>218</v>
      </c>
      <c r="O633" t="s">
        <v>47</v>
      </c>
      <c r="P633" t="s">
        <v>47</v>
      </c>
      <c r="Y633" t="s">
        <v>2377</v>
      </c>
      <c r="AG633" t="s">
        <v>48</v>
      </c>
    </row>
    <row r="634" spans="1:33">
      <c r="A634" t="s">
        <v>2378</v>
      </c>
      <c r="B634" t="s">
        <v>2379</v>
      </c>
      <c r="D634" t="s">
        <v>40</v>
      </c>
      <c r="E634" t="s">
        <v>41</v>
      </c>
      <c r="J634" t="s">
        <v>108</v>
      </c>
      <c r="K634" t="s">
        <v>109</v>
      </c>
      <c r="L634">
        <v>5</v>
      </c>
      <c r="M634" t="s">
        <v>2380</v>
      </c>
      <c r="N634" t="s">
        <v>59</v>
      </c>
      <c r="O634" t="s">
        <v>47</v>
      </c>
      <c r="P634" t="s">
        <v>47</v>
      </c>
      <c r="Y634" t="s">
        <v>2381</v>
      </c>
      <c r="AG634" t="s">
        <v>48</v>
      </c>
    </row>
    <row r="635" spans="1:33">
      <c r="A635" t="s">
        <v>2382</v>
      </c>
      <c r="B635" t="s">
        <v>2383</v>
      </c>
      <c r="D635" t="s">
        <v>40</v>
      </c>
      <c r="E635" t="s">
        <v>41</v>
      </c>
      <c r="J635" t="s">
        <v>108</v>
      </c>
      <c r="K635" t="s">
        <v>109</v>
      </c>
      <c r="L635">
        <v>5</v>
      </c>
      <c r="M635" t="s">
        <v>2384</v>
      </c>
      <c r="N635" t="s">
        <v>59</v>
      </c>
      <c r="O635" t="s">
        <v>47</v>
      </c>
      <c r="P635" t="s">
        <v>47</v>
      </c>
      <c r="Y635" t="s">
        <v>2385</v>
      </c>
      <c r="AG635" t="s">
        <v>48</v>
      </c>
    </row>
    <row r="636" spans="1:33">
      <c r="A636" t="s">
        <v>2386</v>
      </c>
      <c r="B636" t="s">
        <v>2387</v>
      </c>
      <c r="D636" t="s">
        <v>40</v>
      </c>
      <c r="E636" t="s">
        <v>41</v>
      </c>
      <c r="J636" t="s">
        <v>290</v>
      </c>
      <c r="K636" t="s">
        <v>291</v>
      </c>
      <c r="L636">
        <v>5</v>
      </c>
      <c r="M636" t="s">
        <v>2384</v>
      </c>
      <c r="N636" t="s">
        <v>59</v>
      </c>
      <c r="O636" t="s">
        <v>47</v>
      </c>
      <c r="P636" t="s">
        <v>47</v>
      </c>
      <c r="Y636" t="s">
        <v>2388</v>
      </c>
      <c r="AG636" t="s">
        <v>48</v>
      </c>
    </row>
    <row r="637" spans="1:33">
      <c r="A637" t="s">
        <v>2389</v>
      </c>
      <c r="B637" t="s">
        <v>2390</v>
      </c>
      <c r="D637" t="s">
        <v>40</v>
      </c>
      <c r="E637" t="s">
        <v>41</v>
      </c>
      <c r="J637" t="s">
        <v>162</v>
      </c>
      <c r="K637" t="s">
        <v>163</v>
      </c>
      <c r="L637">
        <v>5</v>
      </c>
      <c r="M637" t="s">
        <v>2384</v>
      </c>
      <c r="N637" t="s">
        <v>59</v>
      </c>
      <c r="O637" t="s">
        <v>47</v>
      </c>
      <c r="P637" t="s">
        <v>47</v>
      </c>
      <c r="Y637" t="s">
        <v>2391</v>
      </c>
      <c r="AG637" t="s">
        <v>48</v>
      </c>
    </row>
    <row r="638" spans="1:33">
      <c r="A638" t="s">
        <v>2392</v>
      </c>
      <c r="B638" t="s">
        <v>2393</v>
      </c>
      <c r="D638" t="s">
        <v>40</v>
      </c>
      <c r="E638" t="s">
        <v>41</v>
      </c>
      <c r="H638" t="s">
        <v>2394</v>
      </c>
      <c r="J638" t="s">
        <v>270</v>
      </c>
      <c r="K638" t="s">
        <v>271</v>
      </c>
      <c r="L638">
        <v>5</v>
      </c>
      <c r="M638" t="s">
        <v>2395</v>
      </c>
      <c r="N638" t="s">
        <v>59</v>
      </c>
      <c r="O638" t="s">
        <v>47</v>
      </c>
      <c r="P638" t="s">
        <v>47</v>
      </c>
      <c r="Y638" t="s">
        <v>2394</v>
      </c>
      <c r="AG638" t="s">
        <v>48</v>
      </c>
    </row>
    <row r="639" spans="1:33">
      <c r="A639" t="s">
        <v>2396</v>
      </c>
      <c r="B639" t="s">
        <v>2397</v>
      </c>
      <c r="D639" t="s">
        <v>40</v>
      </c>
      <c r="E639" t="s">
        <v>41</v>
      </c>
      <c r="J639" t="s">
        <v>108</v>
      </c>
      <c r="K639" t="s">
        <v>109</v>
      </c>
      <c r="L639">
        <v>5</v>
      </c>
      <c r="M639" t="s">
        <v>2398</v>
      </c>
      <c r="N639" t="s">
        <v>59</v>
      </c>
      <c r="O639" t="s">
        <v>47</v>
      </c>
      <c r="P639" t="s">
        <v>47</v>
      </c>
      <c r="Y639" t="s">
        <v>2399</v>
      </c>
      <c r="AG639" t="s">
        <v>48</v>
      </c>
    </row>
    <row r="640" spans="1:33">
      <c r="A640" t="s">
        <v>2400</v>
      </c>
      <c r="B640" t="s">
        <v>2401</v>
      </c>
      <c r="D640" t="s">
        <v>40</v>
      </c>
      <c r="E640" t="s">
        <v>41</v>
      </c>
      <c r="J640" t="s">
        <v>43</v>
      </c>
      <c r="K640" t="s">
        <v>44</v>
      </c>
      <c r="L640">
        <v>5</v>
      </c>
      <c r="M640" t="s">
        <v>2402</v>
      </c>
      <c r="N640" t="s">
        <v>192</v>
      </c>
      <c r="O640" t="s">
        <v>47</v>
      </c>
      <c r="P640" t="s">
        <v>47</v>
      </c>
      <c r="Y640" t="s">
        <v>2403</v>
      </c>
      <c r="AG640" t="s">
        <v>48</v>
      </c>
    </row>
    <row r="641" spans="1:33">
      <c r="A641" t="s">
        <v>2404</v>
      </c>
      <c r="B641" t="s">
        <v>2405</v>
      </c>
      <c r="D641" t="s">
        <v>40</v>
      </c>
      <c r="E641" t="s">
        <v>41</v>
      </c>
      <c r="J641" t="s">
        <v>162</v>
      </c>
      <c r="K641" t="s">
        <v>163</v>
      </c>
      <c r="L641">
        <v>5</v>
      </c>
      <c r="M641" t="s">
        <v>2406</v>
      </c>
      <c r="N641" t="s">
        <v>59</v>
      </c>
      <c r="O641" t="s">
        <v>47</v>
      </c>
      <c r="P641" t="s">
        <v>47</v>
      </c>
      <c r="Y641" t="s">
        <v>2407</v>
      </c>
      <c r="AG641" t="s">
        <v>48</v>
      </c>
    </row>
    <row r="642" spans="1:33">
      <c r="A642" t="s">
        <v>2408</v>
      </c>
      <c r="B642" t="s">
        <v>2409</v>
      </c>
      <c r="D642" t="s">
        <v>40</v>
      </c>
      <c r="E642" t="s">
        <v>41</v>
      </c>
      <c r="J642" t="s">
        <v>290</v>
      </c>
      <c r="K642" t="s">
        <v>291</v>
      </c>
      <c r="L642">
        <v>5</v>
      </c>
      <c r="M642" t="s">
        <v>2410</v>
      </c>
      <c r="N642" t="s">
        <v>59</v>
      </c>
      <c r="O642" t="s">
        <v>47</v>
      </c>
      <c r="P642" t="s">
        <v>47</v>
      </c>
      <c r="Y642" t="s">
        <v>2411</v>
      </c>
      <c r="AG642" t="s">
        <v>48</v>
      </c>
    </row>
    <row r="643" spans="1:33">
      <c r="A643" t="s">
        <v>2412</v>
      </c>
      <c r="B643" t="s">
        <v>2413</v>
      </c>
      <c r="D643" t="s">
        <v>40</v>
      </c>
      <c r="E643" t="s">
        <v>41</v>
      </c>
      <c r="J643" t="s">
        <v>69</v>
      </c>
      <c r="K643" t="s">
        <v>70</v>
      </c>
      <c r="L643">
        <v>5</v>
      </c>
      <c r="M643" t="s">
        <v>2410</v>
      </c>
      <c r="N643" t="s">
        <v>192</v>
      </c>
      <c r="O643" t="s">
        <v>47</v>
      </c>
      <c r="P643" t="s">
        <v>47</v>
      </c>
      <c r="Y643" t="s">
        <v>2414</v>
      </c>
      <c r="AG643" t="s">
        <v>48</v>
      </c>
    </row>
    <row r="644" spans="1:33">
      <c r="A644" t="s">
        <v>2415</v>
      </c>
      <c r="B644" t="s">
        <v>2416</v>
      </c>
      <c r="D644" t="s">
        <v>40</v>
      </c>
      <c r="E644" t="s">
        <v>41</v>
      </c>
      <c r="J644" t="s">
        <v>290</v>
      </c>
      <c r="K644" t="s">
        <v>291</v>
      </c>
      <c r="L644">
        <v>5</v>
      </c>
      <c r="M644" t="s">
        <v>2410</v>
      </c>
      <c r="N644" t="s">
        <v>59</v>
      </c>
      <c r="O644" t="s">
        <v>47</v>
      </c>
      <c r="P644" t="s">
        <v>47</v>
      </c>
      <c r="Y644" t="s">
        <v>2417</v>
      </c>
      <c r="AG644" t="s">
        <v>48</v>
      </c>
    </row>
    <row r="645" spans="1:33">
      <c r="A645" t="s">
        <v>2418</v>
      </c>
      <c r="B645" t="s">
        <v>2419</v>
      </c>
      <c r="D645" t="s">
        <v>40</v>
      </c>
      <c r="E645" t="s">
        <v>41</v>
      </c>
      <c r="J645" t="s">
        <v>290</v>
      </c>
      <c r="K645" t="s">
        <v>291</v>
      </c>
      <c r="L645">
        <v>5</v>
      </c>
      <c r="M645" t="s">
        <v>2420</v>
      </c>
      <c r="N645" t="s">
        <v>59</v>
      </c>
      <c r="O645" t="s">
        <v>47</v>
      </c>
      <c r="P645" t="s">
        <v>47</v>
      </c>
      <c r="Y645" t="s">
        <v>2421</v>
      </c>
      <c r="AG645" t="s">
        <v>48</v>
      </c>
    </row>
    <row r="646" spans="1:33">
      <c r="A646" t="s">
        <v>2422</v>
      </c>
      <c r="B646" t="s">
        <v>2423</v>
      </c>
      <c r="D646" t="s">
        <v>40</v>
      </c>
      <c r="E646" t="s">
        <v>41</v>
      </c>
      <c r="H646" t="s">
        <v>2424</v>
      </c>
      <c r="J646" t="s">
        <v>129</v>
      </c>
      <c r="K646" t="s">
        <v>130</v>
      </c>
      <c r="L646">
        <v>5</v>
      </c>
      <c r="M646" t="s">
        <v>2420</v>
      </c>
      <c r="N646" t="s">
        <v>46</v>
      </c>
      <c r="O646" t="s">
        <v>47</v>
      </c>
      <c r="P646" t="s">
        <v>47</v>
      </c>
      <c r="Y646" t="s">
        <v>2424</v>
      </c>
      <c r="AG646" t="s">
        <v>48</v>
      </c>
    </row>
    <row r="647" spans="1:33">
      <c r="A647" t="s">
        <v>2425</v>
      </c>
      <c r="B647" t="s">
        <v>2426</v>
      </c>
      <c r="D647" t="s">
        <v>40</v>
      </c>
      <c r="E647" t="s">
        <v>41</v>
      </c>
      <c r="H647" t="s">
        <v>2427</v>
      </c>
      <c r="J647" t="s">
        <v>290</v>
      </c>
      <c r="K647" t="s">
        <v>291</v>
      </c>
      <c r="L647">
        <v>5</v>
      </c>
      <c r="M647" t="s">
        <v>2428</v>
      </c>
      <c r="N647" t="s">
        <v>59</v>
      </c>
      <c r="O647" t="s">
        <v>47</v>
      </c>
      <c r="P647" t="s">
        <v>47</v>
      </c>
      <c r="Y647" t="s">
        <v>2427</v>
      </c>
      <c r="AG647" t="s">
        <v>48</v>
      </c>
    </row>
    <row r="648" spans="1:33">
      <c r="A648" t="s">
        <v>2429</v>
      </c>
      <c r="B648" t="s">
        <v>2430</v>
      </c>
      <c r="D648" t="s">
        <v>40</v>
      </c>
      <c r="E648" t="s">
        <v>41</v>
      </c>
      <c r="J648" t="s">
        <v>86</v>
      </c>
      <c r="K648" t="s">
        <v>87</v>
      </c>
      <c r="L648">
        <v>5</v>
      </c>
      <c r="M648" t="s">
        <v>2431</v>
      </c>
      <c r="N648" t="s">
        <v>192</v>
      </c>
      <c r="O648" t="s">
        <v>47</v>
      </c>
      <c r="P648" t="s">
        <v>47</v>
      </c>
      <c r="Y648" t="s">
        <v>2432</v>
      </c>
      <c r="AG648" t="s">
        <v>48</v>
      </c>
    </row>
    <row r="649" spans="1:33">
      <c r="A649" t="s">
        <v>2433</v>
      </c>
      <c r="B649" t="s">
        <v>2434</v>
      </c>
      <c r="D649" t="s">
        <v>40</v>
      </c>
      <c r="E649" t="s">
        <v>41</v>
      </c>
      <c r="J649" t="s">
        <v>108</v>
      </c>
      <c r="K649" t="s">
        <v>109</v>
      </c>
      <c r="L649">
        <v>5</v>
      </c>
      <c r="M649" t="s">
        <v>2435</v>
      </c>
      <c r="N649" t="s">
        <v>59</v>
      </c>
      <c r="O649" t="s">
        <v>47</v>
      </c>
      <c r="P649" t="s">
        <v>47</v>
      </c>
      <c r="Y649" t="s">
        <v>2436</v>
      </c>
      <c r="AG649" t="s">
        <v>48</v>
      </c>
    </row>
    <row r="650" spans="1:33">
      <c r="A650" t="s">
        <v>2437</v>
      </c>
      <c r="B650" t="s">
        <v>2438</v>
      </c>
      <c r="D650" t="s">
        <v>40</v>
      </c>
      <c r="E650" t="s">
        <v>41</v>
      </c>
      <c r="J650" t="s">
        <v>2439</v>
      </c>
      <c r="K650" t="s">
        <v>2440</v>
      </c>
      <c r="L650">
        <v>5</v>
      </c>
      <c r="M650" t="s">
        <v>2441</v>
      </c>
      <c r="N650" t="s">
        <v>59</v>
      </c>
      <c r="O650" t="s">
        <v>47</v>
      </c>
      <c r="P650" t="s">
        <v>47</v>
      </c>
      <c r="Y650" t="s">
        <v>2442</v>
      </c>
      <c r="AG650" t="s">
        <v>48</v>
      </c>
    </row>
    <row r="651" spans="1:33">
      <c r="A651" t="s">
        <v>117</v>
      </c>
      <c r="B651" t="s">
        <v>2443</v>
      </c>
      <c r="D651" t="s">
        <v>40</v>
      </c>
      <c r="E651" t="s">
        <v>41</v>
      </c>
      <c r="H651" t="s">
        <v>2444</v>
      </c>
      <c r="J651" t="s">
        <v>108</v>
      </c>
      <c r="K651" t="s">
        <v>109</v>
      </c>
      <c r="L651">
        <v>5</v>
      </c>
      <c r="M651" t="s">
        <v>2445</v>
      </c>
      <c r="N651" t="s">
        <v>59</v>
      </c>
      <c r="O651" t="s">
        <v>47</v>
      </c>
      <c r="P651" t="s">
        <v>47</v>
      </c>
      <c r="Y651" t="s">
        <v>2444</v>
      </c>
      <c r="AG651" t="s">
        <v>48</v>
      </c>
    </row>
    <row r="652" spans="1:33">
      <c r="A652" t="s">
        <v>2446</v>
      </c>
      <c r="B652" t="s">
        <v>2447</v>
      </c>
      <c r="D652" t="s">
        <v>40</v>
      </c>
      <c r="E652" t="s">
        <v>41</v>
      </c>
      <c r="J652" t="s">
        <v>290</v>
      </c>
      <c r="K652" t="s">
        <v>291</v>
      </c>
      <c r="L652">
        <v>5</v>
      </c>
      <c r="M652" t="s">
        <v>2445</v>
      </c>
      <c r="N652" t="s">
        <v>59</v>
      </c>
      <c r="O652" t="s">
        <v>47</v>
      </c>
      <c r="P652" t="s">
        <v>47</v>
      </c>
      <c r="Y652" t="s">
        <v>2448</v>
      </c>
      <c r="AG652" t="s">
        <v>48</v>
      </c>
    </row>
    <row r="653" spans="1:33">
      <c r="A653" t="s">
        <v>2449</v>
      </c>
      <c r="B653" t="s">
        <v>2450</v>
      </c>
      <c r="D653" t="s">
        <v>40</v>
      </c>
      <c r="E653" t="s">
        <v>41</v>
      </c>
      <c r="J653" t="s">
        <v>290</v>
      </c>
      <c r="K653" t="s">
        <v>291</v>
      </c>
      <c r="L653">
        <v>5</v>
      </c>
      <c r="M653" t="s">
        <v>2445</v>
      </c>
      <c r="N653" t="s">
        <v>59</v>
      </c>
      <c r="O653" t="s">
        <v>47</v>
      </c>
      <c r="P653" t="s">
        <v>47</v>
      </c>
      <c r="Y653" t="s">
        <v>2451</v>
      </c>
      <c r="AG653" t="s">
        <v>48</v>
      </c>
    </row>
    <row r="654" spans="1:33">
      <c r="A654" t="s">
        <v>2452</v>
      </c>
      <c r="B654" t="s">
        <v>2453</v>
      </c>
      <c r="D654" t="s">
        <v>40</v>
      </c>
      <c r="E654" t="s">
        <v>41</v>
      </c>
      <c r="J654" t="s">
        <v>129</v>
      </c>
      <c r="K654" t="s">
        <v>130</v>
      </c>
      <c r="L654">
        <v>5</v>
      </c>
      <c r="M654" t="s">
        <v>2454</v>
      </c>
      <c r="N654" t="s">
        <v>46</v>
      </c>
      <c r="O654" t="s">
        <v>47</v>
      </c>
      <c r="P654" t="s">
        <v>47</v>
      </c>
      <c r="Y654" t="s">
        <v>2455</v>
      </c>
      <c r="AG654" t="s">
        <v>48</v>
      </c>
    </row>
    <row r="655" spans="1:33">
      <c r="A655" t="s">
        <v>2456</v>
      </c>
      <c r="B655" t="s">
        <v>2457</v>
      </c>
      <c r="D655" t="s">
        <v>40</v>
      </c>
      <c r="E655" t="s">
        <v>41</v>
      </c>
      <c r="J655" t="s">
        <v>290</v>
      </c>
      <c r="K655" t="s">
        <v>291</v>
      </c>
      <c r="L655">
        <v>5</v>
      </c>
      <c r="M655" t="s">
        <v>2454</v>
      </c>
      <c r="N655" t="s">
        <v>59</v>
      </c>
      <c r="O655" t="s">
        <v>47</v>
      </c>
      <c r="P655" t="s">
        <v>47</v>
      </c>
      <c r="Y655" t="s">
        <v>2458</v>
      </c>
      <c r="AG655" t="s">
        <v>48</v>
      </c>
    </row>
    <row r="656" spans="1:33">
      <c r="A656" t="s">
        <v>2459</v>
      </c>
      <c r="B656" t="s">
        <v>2460</v>
      </c>
      <c r="D656" t="s">
        <v>40</v>
      </c>
      <c r="E656" t="s">
        <v>41</v>
      </c>
      <c r="J656" t="s">
        <v>270</v>
      </c>
      <c r="K656" t="s">
        <v>271</v>
      </c>
      <c r="L656">
        <v>5</v>
      </c>
      <c r="M656" t="s">
        <v>2454</v>
      </c>
      <c r="N656" t="s">
        <v>59</v>
      </c>
      <c r="O656" t="s">
        <v>47</v>
      </c>
      <c r="P656" t="s">
        <v>47</v>
      </c>
      <c r="Y656" t="s">
        <v>2461</v>
      </c>
      <c r="AG656" t="s">
        <v>48</v>
      </c>
    </row>
    <row r="657" spans="1:33">
      <c r="A657" t="s">
        <v>2462</v>
      </c>
      <c r="B657" t="s">
        <v>2463</v>
      </c>
      <c r="D657" t="s">
        <v>40</v>
      </c>
      <c r="E657" t="s">
        <v>41</v>
      </c>
      <c r="J657" t="s">
        <v>162</v>
      </c>
      <c r="K657" t="s">
        <v>163</v>
      </c>
      <c r="L657">
        <v>5</v>
      </c>
      <c r="M657" t="s">
        <v>2454</v>
      </c>
      <c r="N657" t="s">
        <v>59</v>
      </c>
      <c r="O657" t="s">
        <v>47</v>
      </c>
      <c r="P657" t="s">
        <v>47</v>
      </c>
      <c r="Y657" t="s">
        <v>2464</v>
      </c>
      <c r="AG657" t="s">
        <v>48</v>
      </c>
    </row>
    <row r="658" spans="1:33">
      <c r="A658" t="s">
        <v>2465</v>
      </c>
      <c r="B658" t="s">
        <v>2466</v>
      </c>
      <c r="D658" t="s">
        <v>40</v>
      </c>
      <c r="E658" t="s">
        <v>41</v>
      </c>
      <c r="H658" t="s">
        <v>2467</v>
      </c>
      <c r="J658" t="s">
        <v>63</v>
      </c>
      <c r="K658" t="s">
        <v>64</v>
      </c>
      <c r="L658">
        <v>5</v>
      </c>
      <c r="M658" t="s">
        <v>2468</v>
      </c>
      <c r="N658" t="s">
        <v>59</v>
      </c>
      <c r="O658" t="s">
        <v>47</v>
      </c>
      <c r="P658" t="s">
        <v>47</v>
      </c>
      <c r="Y658" t="s">
        <v>2467</v>
      </c>
      <c r="AG658" t="s">
        <v>48</v>
      </c>
    </row>
    <row r="659" spans="1:33">
      <c r="A659" t="s">
        <v>2469</v>
      </c>
      <c r="B659" t="s">
        <v>2470</v>
      </c>
      <c r="D659" t="s">
        <v>40</v>
      </c>
      <c r="E659" t="s">
        <v>41</v>
      </c>
      <c r="H659" t="s">
        <v>2471</v>
      </c>
      <c r="J659" t="s">
        <v>129</v>
      </c>
      <c r="K659" t="s">
        <v>130</v>
      </c>
      <c r="L659">
        <v>5</v>
      </c>
      <c r="M659" t="s">
        <v>2472</v>
      </c>
      <c r="N659" t="s">
        <v>46</v>
      </c>
      <c r="O659" t="s">
        <v>47</v>
      </c>
      <c r="P659" t="s">
        <v>47</v>
      </c>
      <c r="Y659" t="s">
        <v>2471</v>
      </c>
      <c r="AG659" t="s">
        <v>48</v>
      </c>
    </row>
    <row r="660" spans="1:33">
      <c r="A660" t="s">
        <v>2473</v>
      </c>
      <c r="B660" t="s">
        <v>2474</v>
      </c>
      <c r="D660" t="s">
        <v>40</v>
      </c>
      <c r="E660" t="s">
        <v>41</v>
      </c>
      <c r="J660" t="s">
        <v>108</v>
      </c>
      <c r="K660" t="s">
        <v>109</v>
      </c>
      <c r="L660">
        <v>5</v>
      </c>
      <c r="M660" t="s">
        <v>2475</v>
      </c>
      <c r="N660" t="s">
        <v>59</v>
      </c>
      <c r="O660" t="s">
        <v>47</v>
      </c>
      <c r="P660" t="s">
        <v>47</v>
      </c>
      <c r="Y660" t="s">
        <v>2476</v>
      </c>
      <c r="AG660" t="s">
        <v>48</v>
      </c>
    </row>
    <row r="661" spans="1:33">
      <c r="A661" t="s">
        <v>2477</v>
      </c>
      <c r="B661" t="s">
        <v>2478</v>
      </c>
      <c r="D661" t="s">
        <v>40</v>
      </c>
      <c r="E661" t="s">
        <v>41</v>
      </c>
      <c r="J661" t="s">
        <v>290</v>
      </c>
      <c r="K661" t="s">
        <v>291</v>
      </c>
      <c r="L661">
        <v>5</v>
      </c>
      <c r="M661" t="s">
        <v>2479</v>
      </c>
      <c r="N661" t="s">
        <v>59</v>
      </c>
      <c r="O661" t="s">
        <v>47</v>
      </c>
      <c r="P661" t="s">
        <v>47</v>
      </c>
      <c r="Y661" t="s">
        <v>2480</v>
      </c>
      <c r="AG661" t="s">
        <v>48</v>
      </c>
    </row>
    <row r="662" spans="1:33">
      <c r="A662" t="s">
        <v>117</v>
      </c>
      <c r="B662" t="s">
        <v>2481</v>
      </c>
      <c r="D662" t="s">
        <v>40</v>
      </c>
      <c r="E662" t="s">
        <v>41</v>
      </c>
      <c r="H662" t="s">
        <v>2482</v>
      </c>
      <c r="J662" t="s">
        <v>270</v>
      </c>
      <c r="K662" t="s">
        <v>271</v>
      </c>
      <c r="L662">
        <v>5</v>
      </c>
      <c r="M662" t="s">
        <v>2483</v>
      </c>
      <c r="N662" t="s">
        <v>59</v>
      </c>
      <c r="O662" t="s">
        <v>47</v>
      </c>
      <c r="P662" t="s">
        <v>47</v>
      </c>
      <c r="Y662" t="s">
        <v>2482</v>
      </c>
      <c r="AG662" t="s">
        <v>48</v>
      </c>
    </row>
    <row r="663" spans="1:33">
      <c r="A663" t="s">
        <v>2484</v>
      </c>
      <c r="B663" t="s">
        <v>2485</v>
      </c>
      <c r="D663" t="s">
        <v>40</v>
      </c>
      <c r="E663" t="s">
        <v>41</v>
      </c>
      <c r="J663" t="s">
        <v>108</v>
      </c>
      <c r="K663" t="s">
        <v>109</v>
      </c>
      <c r="L663">
        <v>5</v>
      </c>
      <c r="M663" t="s">
        <v>2486</v>
      </c>
      <c r="N663" t="s">
        <v>59</v>
      </c>
      <c r="O663" t="s">
        <v>47</v>
      </c>
      <c r="P663" t="s">
        <v>47</v>
      </c>
      <c r="Y663" t="s">
        <v>2487</v>
      </c>
      <c r="AG663" t="s">
        <v>48</v>
      </c>
    </row>
    <row r="664" spans="1:33">
      <c r="A664" t="s">
        <v>2488</v>
      </c>
      <c r="B664" t="s">
        <v>2489</v>
      </c>
      <c r="D664" t="s">
        <v>40</v>
      </c>
      <c r="E664" t="s">
        <v>41</v>
      </c>
      <c r="J664" t="s">
        <v>162</v>
      </c>
      <c r="K664" t="s">
        <v>163</v>
      </c>
      <c r="L664">
        <v>5</v>
      </c>
      <c r="M664" t="s">
        <v>2490</v>
      </c>
      <c r="N664" t="s">
        <v>59</v>
      </c>
      <c r="O664" t="s">
        <v>47</v>
      </c>
      <c r="P664" t="s">
        <v>47</v>
      </c>
      <c r="Y664" t="s">
        <v>2491</v>
      </c>
      <c r="AG664" t="s">
        <v>48</v>
      </c>
    </row>
    <row r="665" spans="1:33">
      <c r="A665" t="s">
        <v>2492</v>
      </c>
      <c r="B665" t="s">
        <v>2493</v>
      </c>
      <c r="D665" t="s">
        <v>40</v>
      </c>
      <c r="E665" t="s">
        <v>41</v>
      </c>
      <c r="J665" t="s">
        <v>290</v>
      </c>
      <c r="K665" t="s">
        <v>291</v>
      </c>
      <c r="L665">
        <v>5</v>
      </c>
      <c r="M665" t="s">
        <v>2494</v>
      </c>
      <c r="N665" t="s">
        <v>59</v>
      </c>
      <c r="O665" t="s">
        <v>47</v>
      </c>
      <c r="P665" t="s">
        <v>47</v>
      </c>
      <c r="Y665" t="s">
        <v>2495</v>
      </c>
      <c r="AG665" t="s">
        <v>48</v>
      </c>
    </row>
    <row r="666" spans="1:33">
      <c r="A666" t="s">
        <v>2496</v>
      </c>
      <c r="B666" t="s">
        <v>2497</v>
      </c>
      <c r="D666" t="s">
        <v>40</v>
      </c>
      <c r="E666" t="s">
        <v>41</v>
      </c>
      <c r="J666" t="s">
        <v>162</v>
      </c>
      <c r="K666" t="s">
        <v>163</v>
      </c>
      <c r="L666">
        <v>5</v>
      </c>
      <c r="M666" t="s">
        <v>2498</v>
      </c>
      <c r="N666" t="s">
        <v>59</v>
      </c>
      <c r="O666" t="s">
        <v>47</v>
      </c>
      <c r="P666" t="s">
        <v>47</v>
      </c>
      <c r="Y666" t="s">
        <v>2499</v>
      </c>
      <c r="AG666" t="s">
        <v>48</v>
      </c>
    </row>
    <row r="667" spans="1:33">
      <c r="A667" t="s">
        <v>2500</v>
      </c>
      <c r="B667" t="s">
        <v>2501</v>
      </c>
      <c r="D667" t="s">
        <v>40</v>
      </c>
      <c r="E667" t="s">
        <v>41</v>
      </c>
      <c r="J667" t="s">
        <v>162</v>
      </c>
      <c r="K667" t="s">
        <v>163</v>
      </c>
      <c r="L667">
        <v>5</v>
      </c>
      <c r="M667" t="s">
        <v>2498</v>
      </c>
      <c r="N667" t="s">
        <v>59</v>
      </c>
      <c r="O667" t="s">
        <v>47</v>
      </c>
      <c r="P667" t="s">
        <v>47</v>
      </c>
      <c r="Y667" t="s">
        <v>2502</v>
      </c>
      <c r="AG667" t="s">
        <v>48</v>
      </c>
    </row>
    <row r="668" spans="1:33">
      <c r="A668" t="s">
        <v>2503</v>
      </c>
      <c r="B668" t="s">
        <v>2504</v>
      </c>
      <c r="D668" t="s">
        <v>40</v>
      </c>
      <c r="E668" t="s">
        <v>41</v>
      </c>
      <c r="J668" t="s">
        <v>290</v>
      </c>
      <c r="K668" t="s">
        <v>291</v>
      </c>
      <c r="L668">
        <v>5</v>
      </c>
      <c r="M668" t="s">
        <v>2498</v>
      </c>
      <c r="N668" t="s">
        <v>59</v>
      </c>
      <c r="O668" t="s">
        <v>47</v>
      </c>
      <c r="P668" t="s">
        <v>47</v>
      </c>
      <c r="Y668" t="s">
        <v>2505</v>
      </c>
      <c r="AG668" t="s">
        <v>48</v>
      </c>
    </row>
    <row r="669" spans="1:33">
      <c r="A669" t="s">
        <v>2506</v>
      </c>
      <c r="B669" t="s">
        <v>2507</v>
      </c>
      <c r="D669" t="s">
        <v>40</v>
      </c>
      <c r="E669" t="s">
        <v>41</v>
      </c>
      <c r="J669" t="s">
        <v>290</v>
      </c>
      <c r="K669" t="s">
        <v>291</v>
      </c>
      <c r="L669">
        <v>5</v>
      </c>
      <c r="M669" t="s">
        <v>2508</v>
      </c>
      <c r="N669" t="s">
        <v>59</v>
      </c>
      <c r="O669" t="s">
        <v>47</v>
      </c>
      <c r="P669" t="s">
        <v>47</v>
      </c>
      <c r="Y669" t="s">
        <v>2509</v>
      </c>
      <c r="AG669" t="s">
        <v>48</v>
      </c>
    </row>
    <row r="670" spans="1:33">
      <c r="A670" t="s">
        <v>2510</v>
      </c>
      <c r="B670" t="s">
        <v>2511</v>
      </c>
      <c r="D670" t="s">
        <v>40</v>
      </c>
      <c r="E670" t="s">
        <v>41</v>
      </c>
      <c r="J670" t="s">
        <v>114</v>
      </c>
      <c r="K670" t="s">
        <v>115</v>
      </c>
      <c r="L670">
        <v>5</v>
      </c>
      <c r="M670" t="s">
        <v>2512</v>
      </c>
      <c r="N670" t="s">
        <v>59</v>
      </c>
      <c r="O670" t="s">
        <v>47</v>
      </c>
      <c r="P670" t="s">
        <v>47</v>
      </c>
      <c r="Y670" t="s">
        <v>2513</v>
      </c>
      <c r="AG670" t="s">
        <v>48</v>
      </c>
    </row>
    <row r="671" spans="1:33">
      <c r="A671" t="s">
        <v>2514</v>
      </c>
      <c r="B671" t="s">
        <v>2515</v>
      </c>
      <c r="D671" t="s">
        <v>40</v>
      </c>
      <c r="E671" t="s">
        <v>41</v>
      </c>
      <c r="J671" t="s">
        <v>270</v>
      </c>
      <c r="K671" t="s">
        <v>271</v>
      </c>
      <c r="L671">
        <v>5</v>
      </c>
      <c r="M671" t="s">
        <v>2516</v>
      </c>
      <c r="N671" t="s">
        <v>59</v>
      </c>
      <c r="O671" t="s">
        <v>47</v>
      </c>
      <c r="P671" t="s">
        <v>47</v>
      </c>
      <c r="Y671" t="s">
        <v>2517</v>
      </c>
      <c r="AG671" t="s">
        <v>48</v>
      </c>
    </row>
    <row r="672" spans="1:33">
      <c r="A672" t="s">
        <v>2518</v>
      </c>
      <c r="B672" t="s">
        <v>2519</v>
      </c>
      <c r="D672" t="s">
        <v>40</v>
      </c>
      <c r="E672" t="s">
        <v>41</v>
      </c>
      <c r="H672" t="s">
        <v>2520</v>
      </c>
      <c r="J672" t="s">
        <v>129</v>
      </c>
      <c r="K672" t="s">
        <v>130</v>
      </c>
      <c r="L672">
        <v>5</v>
      </c>
      <c r="M672" t="s">
        <v>2521</v>
      </c>
      <c r="N672" t="s">
        <v>46</v>
      </c>
      <c r="O672" t="s">
        <v>47</v>
      </c>
      <c r="P672" t="s">
        <v>47</v>
      </c>
      <c r="Y672" t="s">
        <v>2520</v>
      </c>
      <c r="AG672" t="s">
        <v>48</v>
      </c>
    </row>
    <row r="673" spans="1:33">
      <c r="A673" t="s">
        <v>2522</v>
      </c>
      <c r="B673" t="s">
        <v>2523</v>
      </c>
      <c r="D673" t="s">
        <v>40</v>
      </c>
      <c r="E673" t="s">
        <v>41</v>
      </c>
      <c r="J673" t="s">
        <v>270</v>
      </c>
      <c r="K673" t="s">
        <v>271</v>
      </c>
      <c r="L673">
        <v>5</v>
      </c>
      <c r="M673" t="s">
        <v>2524</v>
      </c>
      <c r="N673" t="s">
        <v>59</v>
      </c>
      <c r="O673" t="s">
        <v>47</v>
      </c>
      <c r="P673" t="s">
        <v>47</v>
      </c>
      <c r="Y673" t="s">
        <v>2525</v>
      </c>
      <c r="AG673" t="s">
        <v>48</v>
      </c>
    </row>
    <row r="674" spans="1:33">
      <c r="A674" t="s">
        <v>2526</v>
      </c>
      <c r="B674" t="s">
        <v>2527</v>
      </c>
      <c r="D674" t="s">
        <v>40</v>
      </c>
      <c r="E674" t="s">
        <v>41</v>
      </c>
      <c r="J674" t="s">
        <v>270</v>
      </c>
      <c r="K674" t="s">
        <v>271</v>
      </c>
      <c r="L674">
        <v>5</v>
      </c>
      <c r="M674" t="s">
        <v>2528</v>
      </c>
      <c r="N674" t="s">
        <v>59</v>
      </c>
      <c r="O674" t="s">
        <v>47</v>
      </c>
      <c r="P674" t="s">
        <v>47</v>
      </c>
      <c r="Y674" t="s">
        <v>2529</v>
      </c>
      <c r="AG674" t="s">
        <v>48</v>
      </c>
    </row>
    <row r="675" spans="1:33">
      <c r="A675" t="s">
        <v>2530</v>
      </c>
      <c r="B675" t="s">
        <v>2531</v>
      </c>
      <c r="D675" t="s">
        <v>40</v>
      </c>
      <c r="E675" t="s">
        <v>41</v>
      </c>
      <c r="J675" t="s">
        <v>290</v>
      </c>
      <c r="K675" t="s">
        <v>291</v>
      </c>
      <c r="L675">
        <v>5</v>
      </c>
      <c r="M675" t="s">
        <v>2532</v>
      </c>
      <c r="N675" t="s">
        <v>59</v>
      </c>
      <c r="O675" t="s">
        <v>47</v>
      </c>
      <c r="P675" t="s">
        <v>47</v>
      </c>
      <c r="Y675" t="s">
        <v>2533</v>
      </c>
      <c r="AG675" t="s">
        <v>48</v>
      </c>
    </row>
    <row r="676" spans="1:33">
      <c r="A676" t="s">
        <v>2534</v>
      </c>
      <c r="B676" t="s">
        <v>2535</v>
      </c>
      <c r="D676" t="s">
        <v>40</v>
      </c>
      <c r="E676" t="s">
        <v>41</v>
      </c>
      <c r="J676" t="s">
        <v>108</v>
      </c>
      <c r="K676" t="s">
        <v>109</v>
      </c>
      <c r="L676">
        <v>5</v>
      </c>
      <c r="M676" t="s">
        <v>2536</v>
      </c>
      <c r="N676" t="s">
        <v>59</v>
      </c>
      <c r="O676" t="s">
        <v>47</v>
      </c>
      <c r="P676" t="s">
        <v>47</v>
      </c>
      <c r="Y676" t="s">
        <v>2537</v>
      </c>
      <c r="AG676" t="s">
        <v>48</v>
      </c>
    </row>
    <row r="677" spans="1:33">
      <c r="A677" t="s">
        <v>2538</v>
      </c>
      <c r="B677" t="s">
        <v>2539</v>
      </c>
      <c r="D677" t="s">
        <v>40</v>
      </c>
      <c r="E677" t="s">
        <v>41</v>
      </c>
      <c r="J677" t="s">
        <v>162</v>
      </c>
      <c r="K677" t="s">
        <v>163</v>
      </c>
      <c r="L677">
        <v>5</v>
      </c>
      <c r="M677" t="s">
        <v>2540</v>
      </c>
      <c r="N677" t="s">
        <v>59</v>
      </c>
      <c r="O677" t="s">
        <v>47</v>
      </c>
      <c r="P677" t="s">
        <v>47</v>
      </c>
      <c r="Y677" t="s">
        <v>2541</v>
      </c>
      <c r="AG677" t="s">
        <v>48</v>
      </c>
    </row>
    <row r="678" spans="1:33">
      <c r="A678" t="s">
        <v>2542</v>
      </c>
      <c r="B678" t="s">
        <v>2543</v>
      </c>
      <c r="D678" t="s">
        <v>40</v>
      </c>
      <c r="E678" t="s">
        <v>41</v>
      </c>
      <c r="H678" t="s">
        <v>2544</v>
      </c>
      <c r="J678" t="s">
        <v>290</v>
      </c>
      <c r="K678" t="s">
        <v>291</v>
      </c>
      <c r="L678">
        <v>5</v>
      </c>
      <c r="M678" t="s">
        <v>2540</v>
      </c>
      <c r="N678" t="s">
        <v>59</v>
      </c>
      <c r="O678" t="s">
        <v>47</v>
      </c>
      <c r="P678" t="s">
        <v>47</v>
      </c>
      <c r="Y678" t="s">
        <v>2544</v>
      </c>
      <c r="AG678" t="s">
        <v>48</v>
      </c>
    </row>
    <row r="679" spans="1:33">
      <c r="A679" t="s">
        <v>2545</v>
      </c>
      <c r="B679" t="s">
        <v>2546</v>
      </c>
      <c r="D679" t="s">
        <v>40</v>
      </c>
      <c r="E679" t="s">
        <v>41</v>
      </c>
      <c r="J679" t="s">
        <v>1566</v>
      </c>
      <c r="K679" t="s">
        <v>1567</v>
      </c>
      <c r="L679">
        <v>5</v>
      </c>
      <c r="M679" t="s">
        <v>2547</v>
      </c>
      <c r="N679" t="s">
        <v>192</v>
      </c>
      <c r="O679" t="s">
        <v>47</v>
      </c>
      <c r="P679" t="s">
        <v>47</v>
      </c>
      <c r="Y679" t="s">
        <v>2548</v>
      </c>
      <c r="AG679" t="s">
        <v>48</v>
      </c>
    </row>
    <row r="680" spans="1:33">
      <c r="A680" t="s">
        <v>2549</v>
      </c>
      <c r="B680" t="s">
        <v>2550</v>
      </c>
      <c r="D680" t="s">
        <v>40</v>
      </c>
      <c r="E680" t="s">
        <v>41</v>
      </c>
      <c r="J680" t="s">
        <v>290</v>
      </c>
      <c r="K680" t="s">
        <v>291</v>
      </c>
      <c r="L680">
        <v>5</v>
      </c>
      <c r="M680" t="s">
        <v>2551</v>
      </c>
      <c r="N680" t="s">
        <v>59</v>
      </c>
      <c r="O680" t="s">
        <v>47</v>
      </c>
      <c r="P680" t="s">
        <v>47</v>
      </c>
      <c r="Y680" t="s">
        <v>2552</v>
      </c>
      <c r="AG680" t="s">
        <v>48</v>
      </c>
    </row>
    <row r="681" spans="1:33">
      <c r="A681" t="s">
        <v>2553</v>
      </c>
      <c r="B681" t="s">
        <v>2554</v>
      </c>
      <c r="D681" t="s">
        <v>40</v>
      </c>
      <c r="E681" t="s">
        <v>41</v>
      </c>
      <c r="J681" t="s">
        <v>290</v>
      </c>
      <c r="K681" t="s">
        <v>291</v>
      </c>
      <c r="L681">
        <v>5</v>
      </c>
      <c r="M681" t="s">
        <v>2555</v>
      </c>
      <c r="N681" t="s">
        <v>59</v>
      </c>
      <c r="O681" t="s">
        <v>47</v>
      </c>
      <c r="P681" t="s">
        <v>47</v>
      </c>
      <c r="Y681" t="s">
        <v>2556</v>
      </c>
      <c r="AG681" t="s">
        <v>48</v>
      </c>
    </row>
    <row r="682" spans="1:33">
      <c r="A682" t="s">
        <v>2557</v>
      </c>
      <c r="B682" t="s">
        <v>2558</v>
      </c>
      <c r="D682" t="s">
        <v>40</v>
      </c>
      <c r="E682" t="s">
        <v>41</v>
      </c>
      <c r="H682" t="s">
        <v>2559</v>
      </c>
      <c r="J682" t="s">
        <v>290</v>
      </c>
      <c r="K682" t="s">
        <v>291</v>
      </c>
      <c r="L682">
        <v>5</v>
      </c>
      <c r="M682" t="s">
        <v>2560</v>
      </c>
      <c r="N682" t="s">
        <v>59</v>
      </c>
      <c r="O682" t="s">
        <v>47</v>
      </c>
      <c r="P682" t="s">
        <v>47</v>
      </c>
      <c r="Y682" t="s">
        <v>2559</v>
      </c>
      <c r="AG682" t="s">
        <v>48</v>
      </c>
    </row>
    <row r="683" spans="1:33">
      <c r="A683" t="s">
        <v>2561</v>
      </c>
      <c r="B683" t="s">
        <v>2562</v>
      </c>
      <c r="D683" t="s">
        <v>40</v>
      </c>
      <c r="E683" t="s">
        <v>41</v>
      </c>
      <c r="J683" t="s">
        <v>290</v>
      </c>
      <c r="K683" t="s">
        <v>291</v>
      </c>
      <c r="L683">
        <v>5</v>
      </c>
      <c r="M683" t="s">
        <v>2563</v>
      </c>
      <c r="N683" t="s">
        <v>59</v>
      </c>
      <c r="O683" t="s">
        <v>47</v>
      </c>
      <c r="P683" t="s">
        <v>47</v>
      </c>
      <c r="Y683" t="s">
        <v>2564</v>
      </c>
      <c r="AG683" t="s">
        <v>48</v>
      </c>
    </row>
    <row r="684" spans="1:33">
      <c r="A684" t="s">
        <v>2565</v>
      </c>
      <c r="B684" t="s">
        <v>2566</v>
      </c>
      <c r="D684" t="s">
        <v>40</v>
      </c>
      <c r="E684" t="s">
        <v>41</v>
      </c>
      <c r="J684" t="s">
        <v>290</v>
      </c>
      <c r="K684" t="s">
        <v>291</v>
      </c>
      <c r="L684">
        <v>5</v>
      </c>
      <c r="M684" t="s">
        <v>2567</v>
      </c>
      <c r="N684" t="s">
        <v>59</v>
      </c>
      <c r="O684" t="s">
        <v>47</v>
      </c>
      <c r="P684" t="s">
        <v>47</v>
      </c>
      <c r="Y684" t="s">
        <v>2568</v>
      </c>
      <c r="AG684" t="s">
        <v>48</v>
      </c>
    </row>
    <row r="685" spans="1:33">
      <c r="A685" t="s">
        <v>2569</v>
      </c>
      <c r="B685" t="s">
        <v>2570</v>
      </c>
      <c r="D685" t="s">
        <v>40</v>
      </c>
      <c r="E685" t="s">
        <v>41</v>
      </c>
      <c r="J685" t="s">
        <v>290</v>
      </c>
      <c r="K685" t="s">
        <v>291</v>
      </c>
      <c r="L685">
        <v>5</v>
      </c>
      <c r="M685" t="s">
        <v>2571</v>
      </c>
      <c r="N685" t="s">
        <v>59</v>
      </c>
      <c r="O685" t="s">
        <v>47</v>
      </c>
      <c r="P685" t="s">
        <v>47</v>
      </c>
      <c r="Y685" t="s">
        <v>2572</v>
      </c>
      <c r="AG685" t="s">
        <v>48</v>
      </c>
    </row>
    <row r="686" spans="1:33">
      <c r="A686" t="s">
        <v>2573</v>
      </c>
      <c r="B686" t="s">
        <v>2574</v>
      </c>
      <c r="D686" t="s">
        <v>40</v>
      </c>
      <c r="E686" t="s">
        <v>41</v>
      </c>
      <c r="J686" t="s">
        <v>114</v>
      </c>
      <c r="K686" t="s">
        <v>115</v>
      </c>
      <c r="L686">
        <v>5</v>
      </c>
      <c r="M686" t="s">
        <v>2575</v>
      </c>
      <c r="N686" t="s">
        <v>59</v>
      </c>
      <c r="O686" t="s">
        <v>47</v>
      </c>
      <c r="P686" t="s">
        <v>47</v>
      </c>
      <c r="Y686" t="s">
        <v>2576</v>
      </c>
      <c r="AG686" t="s">
        <v>48</v>
      </c>
    </row>
    <row r="687" spans="1:33">
      <c r="A687" t="s">
        <v>2577</v>
      </c>
      <c r="B687" t="s">
        <v>2578</v>
      </c>
      <c r="D687" t="s">
        <v>40</v>
      </c>
      <c r="E687" t="s">
        <v>41</v>
      </c>
      <c r="J687" t="s">
        <v>129</v>
      </c>
      <c r="K687" t="s">
        <v>130</v>
      </c>
      <c r="L687">
        <v>5</v>
      </c>
      <c r="M687" t="s">
        <v>2579</v>
      </c>
      <c r="N687" t="s">
        <v>192</v>
      </c>
      <c r="O687" t="s">
        <v>47</v>
      </c>
      <c r="P687" t="s">
        <v>47</v>
      </c>
      <c r="Y687" t="s">
        <v>2580</v>
      </c>
      <c r="AG687" t="s">
        <v>48</v>
      </c>
    </row>
    <row r="688" spans="1:33">
      <c r="A688" t="s">
        <v>2581</v>
      </c>
      <c r="B688" t="s">
        <v>2582</v>
      </c>
      <c r="D688" t="s">
        <v>40</v>
      </c>
      <c r="E688" t="s">
        <v>41</v>
      </c>
      <c r="J688" t="s">
        <v>108</v>
      </c>
      <c r="K688" t="s">
        <v>109</v>
      </c>
      <c r="L688">
        <v>5</v>
      </c>
      <c r="M688" t="s">
        <v>2583</v>
      </c>
      <c r="N688" t="s">
        <v>59</v>
      </c>
      <c r="O688" t="s">
        <v>47</v>
      </c>
      <c r="P688" t="s">
        <v>47</v>
      </c>
      <c r="Y688" t="s">
        <v>2584</v>
      </c>
      <c r="AG688" t="s">
        <v>48</v>
      </c>
    </row>
    <row r="689" spans="1:33">
      <c r="A689" t="s">
        <v>2585</v>
      </c>
      <c r="B689" t="s">
        <v>2586</v>
      </c>
      <c r="D689" t="s">
        <v>40</v>
      </c>
      <c r="E689" t="s">
        <v>41</v>
      </c>
      <c r="J689" t="s">
        <v>290</v>
      </c>
      <c r="K689" t="s">
        <v>291</v>
      </c>
      <c r="L689">
        <v>5</v>
      </c>
      <c r="M689" t="s">
        <v>2587</v>
      </c>
      <c r="N689" t="s">
        <v>59</v>
      </c>
      <c r="O689" t="s">
        <v>47</v>
      </c>
      <c r="P689" t="s">
        <v>47</v>
      </c>
      <c r="Y689" t="s">
        <v>2588</v>
      </c>
      <c r="AG689" t="s">
        <v>48</v>
      </c>
    </row>
    <row r="690" spans="1:33">
      <c r="A690" t="s">
        <v>2589</v>
      </c>
      <c r="B690" t="s">
        <v>2590</v>
      </c>
      <c r="D690" t="s">
        <v>40</v>
      </c>
      <c r="E690" t="s">
        <v>41</v>
      </c>
      <c r="J690" t="s">
        <v>290</v>
      </c>
      <c r="K690" t="s">
        <v>291</v>
      </c>
      <c r="L690">
        <v>5</v>
      </c>
      <c r="M690" t="s">
        <v>2587</v>
      </c>
      <c r="N690" t="s">
        <v>59</v>
      </c>
      <c r="O690" t="s">
        <v>47</v>
      </c>
      <c r="P690" t="s">
        <v>47</v>
      </c>
      <c r="Y690" t="s">
        <v>2591</v>
      </c>
      <c r="AG690" t="s">
        <v>48</v>
      </c>
    </row>
    <row r="691" spans="1:33">
      <c r="A691" t="s">
        <v>2592</v>
      </c>
      <c r="B691" t="s">
        <v>2593</v>
      </c>
      <c r="D691" t="s">
        <v>40</v>
      </c>
      <c r="E691" t="s">
        <v>41</v>
      </c>
      <c r="J691" t="s">
        <v>290</v>
      </c>
      <c r="K691" t="s">
        <v>291</v>
      </c>
      <c r="L691">
        <v>5</v>
      </c>
      <c r="M691" t="s">
        <v>2594</v>
      </c>
      <c r="N691" t="s">
        <v>59</v>
      </c>
      <c r="O691" t="s">
        <v>47</v>
      </c>
      <c r="P691" t="s">
        <v>47</v>
      </c>
      <c r="Y691" t="s">
        <v>2595</v>
      </c>
      <c r="AG691" t="s">
        <v>48</v>
      </c>
    </row>
    <row r="692" spans="1:33">
      <c r="A692" t="s">
        <v>2596</v>
      </c>
      <c r="B692" t="s">
        <v>2597</v>
      </c>
      <c r="D692" t="s">
        <v>40</v>
      </c>
      <c r="E692" t="s">
        <v>41</v>
      </c>
      <c r="J692" t="s">
        <v>162</v>
      </c>
      <c r="K692" t="s">
        <v>163</v>
      </c>
      <c r="L692">
        <v>5</v>
      </c>
      <c r="M692" t="s">
        <v>2598</v>
      </c>
      <c r="N692" t="s">
        <v>59</v>
      </c>
      <c r="O692" t="s">
        <v>47</v>
      </c>
      <c r="P692" t="s">
        <v>47</v>
      </c>
      <c r="Y692" t="s">
        <v>2599</v>
      </c>
      <c r="AG692" t="s">
        <v>48</v>
      </c>
    </row>
    <row r="693" spans="1:33">
      <c r="A693" t="s">
        <v>2600</v>
      </c>
      <c r="B693" t="s">
        <v>2601</v>
      </c>
      <c r="D693" t="s">
        <v>40</v>
      </c>
      <c r="E693" t="s">
        <v>41</v>
      </c>
      <c r="J693" t="s">
        <v>162</v>
      </c>
      <c r="K693" t="s">
        <v>163</v>
      </c>
      <c r="L693">
        <v>5</v>
      </c>
      <c r="M693" t="s">
        <v>2602</v>
      </c>
      <c r="N693" t="s">
        <v>59</v>
      </c>
      <c r="O693" t="s">
        <v>47</v>
      </c>
      <c r="P693" t="s">
        <v>47</v>
      </c>
      <c r="Y693" t="s">
        <v>2603</v>
      </c>
      <c r="AG693" t="s">
        <v>48</v>
      </c>
    </row>
    <row r="694" spans="1:33">
      <c r="A694" t="s">
        <v>2604</v>
      </c>
      <c r="B694" t="s">
        <v>2605</v>
      </c>
      <c r="D694" t="s">
        <v>40</v>
      </c>
      <c r="E694" t="s">
        <v>41</v>
      </c>
      <c r="J694" t="s">
        <v>86</v>
      </c>
      <c r="K694" t="s">
        <v>87</v>
      </c>
      <c r="L694">
        <v>5</v>
      </c>
      <c r="M694" t="s">
        <v>2602</v>
      </c>
      <c r="N694" t="s">
        <v>46</v>
      </c>
      <c r="O694" t="s">
        <v>47</v>
      </c>
      <c r="P694" t="s">
        <v>47</v>
      </c>
      <c r="Y694" t="s">
        <v>2606</v>
      </c>
      <c r="AG694" t="s">
        <v>48</v>
      </c>
    </row>
    <row r="695" spans="1:33">
      <c r="A695" t="s">
        <v>2607</v>
      </c>
      <c r="B695" t="s">
        <v>2608</v>
      </c>
      <c r="D695" t="s">
        <v>40</v>
      </c>
      <c r="E695" t="s">
        <v>41</v>
      </c>
      <c r="J695" t="s">
        <v>290</v>
      </c>
      <c r="K695" t="s">
        <v>291</v>
      </c>
      <c r="L695">
        <v>5</v>
      </c>
      <c r="M695" t="s">
        <v>2602</v>
      </c>
      <c r="N695" t="s">
        <v>59</v>
      </c>
      <c r="O695" t="s">
        <v>47</v>
      </c>
      <c r="P695" t="s">
        <v>47</v>
      </c>
      <c r="Y695" t="s">
        <v>2609</v>
      </c>
      <c r="AG695" t="s">
        <v>48</v>
      </c>
    </row>
    <row r="696" spans="1:33">
      <c r="A696" t="s">
        <v>2610</v>
      </c>
      <c r="B696" t="s">
        <v>2611</v>
      </c>
      <c r="D696" t="s">
        <v>40</v>
      </c>
      <c r="E696" t="s">
        <v>41</v>
      </c>
      <c r="J696" t="s">
        <v>290</v>
      </c>
      <c r="K696" t="s">
        <v>291</v>
      </c>
      <c r="L696">
        <v>5</v>
      </c>
      <c r="M696" t="s">
        <v>2612</v>
      </c>
      <c r="N696" t="s">
        <v>59</v>
      </c>
      <c r="O696" t="s">
        <v>47</v>
      </c>
      <c r="P696" t="s">
        <v>47</v>
      </c>
      <c r="Y696" t="s">
        <v>2613</v>
      </c>
      <c r="AG696" t="s">
        <v>48</v>
      </c>
    </row>
    <row r="697" spans="1:33">
      <c r="A697" t="s">
        <v>2614</v>
      </c>
      <c r="B697" t="s">
        <v>2615</v>
      </c>
      <c r="D697" t="s">
        <v>40</v>
      </c>
      <c r="E697" t="s">
        <v>41</v>
      </c>
      <c r="J697" t="s">
        <v>108</v>
      </c>
      <c r="K697" t="s">
        <v>109</v>
      </c>
      <c r="L697">
        <v>5</v>
      </c>
      <c r="M697" t="s">
        <v>2616</v>
      </c>
      <c r="N697" t="s">
        <v>59</v>
      </c>
      <c r="O697" t="s">
        <v>47</v>
      </c>
      <c r="P697" t="s">
        <v>47</v>
      </c>
      <c r="Y697" t="s">
        <v>2617</v>
      </c>
      <c r="AG697" t="s">
        <v>48</v>
      </c>
    </row>
    <row r="698" spans="1:33">
      <c r="A698" t="s">
        <v>2618</v>
      </c>
      <c r="B698" t="s">
        <v>2619</v>
      </c>
      <c r="D698" t="s">
        <v>40</v>
      </c>
      <c r="E698" t="s">
        <v>41</v>
      </c>
      <c r="J698" t="s">
        <v>129</v>
      </c>
      <c r="K698" t="s">
        <v>130</v>
      </c>
      <c r="L698">
        <v>5</v>
      </c>
      <c r="M698" t="s">
        <v>2620</v>
      </c>
      <c r="N698" t="s">
        <v>192</v>
      </c>
      <c r="O698" t="s">
        <v>47</v>
      </c>
      <c r="P698" t="s">
        <v>47</v>
      </c>
      <c r="Y698" t="s">
        <v>2621</v>
      </c>
      <c r="AG698" t="s">
        <v>48</v>
      </c>
    </row>
    <row r="699" spans="1:33">
      <c r="A699" t="s">
        <v>2622</v>
      </c>
      <c r="B699" t="s">
        <v>2623</v>
      </c>
      <c r="D699" t="s">
        <v>40</v>
      </c>
      <c r="E699" t="s">
        <v>41</v>
      </c>
      <c r="J699" t="s">
        <v>290</v>
      </c>
      <c r="K699" t="s">
        <v>291</v>
      </c>
      <c r="L699">
        <v>5</v>
      </c>
      <c r="M699" t="s">
        <v>2624</v>
      </c>
      <c r="N699" t="s">
        <v>59</v>
      </c>
      <c r="O699" t="s">
        <v>47</v>
      </c>
      <c r="P699" t="s">
        <v>47</v>
      </c>
      <c r="Y699" t="s">
        <v>2625</v>
      </c>
      <c r="AG699" t="s">
        <v>48</v>
      </c>
    </row>
    <row r="700" spans="1:33">
      <c r="A700" t="s">
        <v>2626</v>
      </c>
      <c r="B700" t="s">
        <v>2627</v>
      </c>
      <c r="D700" t="s">
        <v>40</v>
      </c>
      <c r="E700" t="s">
        <v>41</v>
      </c>
      <c r="H700" t="s">
        <v>2628</v>
      </c>
      <c r="J700" t="s">
        <v>108</v>
      </c>
      <c r="K700" t="s">
        <v>109</v>
      </c>
      <c r="L700">
        <v>5</v>
      </c>
      <c r="M700" t="s">
        <v>2624</v>
      </c>
      <c r="N700" t="s">
        <v>59</v>
      </c>
      <c r="O700" t="s">
        <v>47</v>
      </c>
      <c r="P700" t="s">
        <v>47</v>
      </c>
      <c r="Y700" t="s">
        <v>2628</v>
      </c>
      <c r="AG700" t="s">
        <v>48</v>
      </c>
    </row>
    <row r="701" spans="1:33">
      <c r="A701" t="s">
        <v>2629</v>
      </c>
      <c r="B701" t="s">
        <v>2630</v>
      </c>
      <c r="D701" t="s">
        <v>40</v>
      </c>
      <c r="E701" t="s">
        <v>41</v>
      </c>
      <c r="J701" t="s">
        <v>270</v>
      </c>
      <c r="K701" t="s">
        <v>271</v>
      </c>
      <c r="L701">
        <v>5</v>
      </c>
      <c r="M701" t="s">
        <v>2631</v>
      </c>
      <c r="N701" t="s">
        <v>59</v>
      </c>
      <c r="O701" t="s">
        <v>47</v>
      </c>
      <c r="P701" t="s">
        <v>47</v>
      </c>
      <c r="Y701" t="s">
        <v>2632</v>
      </c>
      <c r="AG701" t="s">
        <v>48</v>
      </c>
    </row>
    <row r="702" spans="1:33">
      <c r="A702" t="s">
        <v>2633</v>
      </c>
      <c r="B702" t="s">
        <v>2634</v>
      </c>
      <c r="D702" t="s">
        <v>40</v>
      </c>
      <c r="E702" t="s">
        <v>41</v>
      </c>
      <c r="J702" t="s">
        <v>108</v>
      </c>
      <c r="K702" t="s">
        <v>109</v>
      </c>
      <c r="L702">
        <v>5</v>
      </c>
      <c r="M702" t="s">
        <v>2635</v>
      </c>
      <c r="N702" t="s">
        <v>59</v>
      </c>
      <c r="O702" t="s">
        <v>47</v>
      </c>
      <c r="P702" t="s">
        <v>47</v>
      </c>
      <c r="Y702" t="s">
        <v>2636</v>
      </c>
      <c r="AG702" t="s">
        <v>48</v>
      </c>
    </row>
    <row r="703" spans="1:33">
      <c r="A703" t="s">
        <v>2637</v>
      </c>
      <c r="B703" t="s">
        <v>2638</v>
      </c>
      <c r="D703" t="s">
        <v>40</v>
      </c>
      <c r="E703" t="s">
        <v>41</v>
      </c>
      <c r="J703" t="s">
        <v>270</v>
      </c>
      <c r="K703" t="s">
        <v>271</v>
      </c>
      <c r="L703">
        <v>5</v>
      </c>
      <c r="M703" t="s">
        <v>2639</v>
      </c>
      <c r="N703" t="s">
        <v>59</v>
      </c>
      <c r="O703" t="s">
        <v>47</v>
      </c>
      <c r="P703" t="s">
        <v>47</v>
      </c>
      <c r="Y703" t="s">
        <v>2640</v>
      </c>
      <c r="AG703" t="s">
        <v>48</v>
      </c>
    </row>
    <row r="704" spans="1:33">
      <c r="A704" t="s">
        <v>2641</v>
      </c>
      <c r="B704" t="s">
        <v>2642</v>
      </c>
      <c r="D704" t="s">
        <v>40</v>
      </c>
      <c r="E704" t="s">
        <v>41</v>
      </c>
      <c r="J704" t="s">
        <v>129</v>
      </c>
      <c r="K704" t="s">
        <v>130</v>
      </c>
      <c r="L704">
        <v>5</v>
      </c>
      <c r="M704" t="s">
        <v>2639</v>
      </c>
      <c r="N704" t="s">
        <v>218</v>
      </c>
      <c r="O704" t="s">
        <v>47</v>
      </c>
      <c r="P704" t="s">
        <v>47</v>
      </c>
      <c r="Y704" t="s">
        <v>2643</v>
      </c>
      <c r="AG704" t="s">
        <v>48</v>
      </c>
    </row>
    <row r="705" spans="1:33">
      <c r="A705" t="s">
        <v>2644</v>
      </c>
      <c r="B705" t="s">
        <v>2645</v>
      </c>
      <c r="D705" t="s">
        <v>40</v>
      </c>
      <c r="E705" t="s">
        <v>41</v>
      </c>
      <c r="J705" t="s">
        <v>108</v>
      </c>
      <c r="K705" t="s">
        <v>109</v>
      </c>
      <c r="L705">
        <v>5</v>
      </c>
      <c r="M705" t="s">
        <v>2639</v>
      </c>
      <c r="N705" t="s">
        <v>59</v>
      </c>
      <c r="O705" t="s">
        <v>47</v>
      </c>
      <c r="P705" t="s">
        <v>47</v>
      </c>
      <c r="Y705" t="s">
        <v>2646</v>
      </c>
      <c r="AG705" t="s">
        <v>48</v>
      </c>
    </row>
    <row r="706" spans="1:33">
      <c r="A706" t="s">
        <v>2647</v>
      </c>
      <c r="B706" t="s">
        <v>2648</v>
      </c>
      <c r="D706" t="s">
        <v>40</v>
      </c>
      <c r="E706" t="s">
        <v>41</v>
      </c>
      <c r="J706" t="s">
        <v>129</v>
      </c>
      <c r="K706" t="s">
        <v>130</v>
      </c>
      <c r="L706">
        <v>5</v>
      </c>
      <c r="M706" t="s">
        <v>2649</v>
      </c>
      <c r="N706" t="s">
        <v>192</v>
      </c>
      <c r="O706" t="s">
        <v>47</v>
      </c>
      <c r="P706" t="s">
        <v>47</v>
      </c>
      <c r="Y706" t="s">
        <v>2650</v>
      </c>
      <c r="AG706" t="s">
        <v>48</v>
      </c>
    </row>
    <row r="707" spans="1:33">
      <c r="A707" t="s">
        <v>2651</v>
      </c>
      <c r="B707" t="s">
        <v>2652</v>
      </c>
      <c r="D707" t="s">
        <v>40</v>
      </c>
      <c r="E707" t="s">
        <v>41</v>
      </c>
      <c r="H707" t="s">
        <v>2653</v>
      </c>
      <c r="J707" t="s">
        <v>129</v>
      </c>
      <c r="K707" t="s">
        <v>130</v>
      </c>
      <c r="L707">
        <v>5</v>
      </c>
      <c r="M707" t="s">
        <v>2654</v>
      </c>
      <c r="N707" t="s">
        <v>192</v>
      </c>
      <c r="O707" t="s">
        <v>47</v>
      </c>
      <c r="P707" t="s">
        <v>47</v>
      </c>
      <c r="Y707" t="s">
        <v>2653</v>
      </c>
      <c r="AG707" t="s">
        <v>48</v>
      </c>
    </row>
    <row r="708" spans="1:33">
      <c r="A708" t="s">
        <v>2655</v>
      </c>
      <c r="B708" t="s">
        <v>2656</v>
      </c>
      <c r="D708" t="s">
        <v>40</v>
      </c>
      <c r="E708" t="s">
        <v>41</v>
      </c>
      <c r="H708" t="s">
        <v>2657</v>
      </c>
      <c r="J708" t="s">
        <v>129</v>
      </c>
      <c r="K708" t="s">
        <v>130</v>
      </c>
      <c r="L708">
        <v>5</v>
      </c>
      <c r="M708" t="s">
        <v>2658</v>
      </c>
      <c r="N708" t="s">
        <v>218</v>
      </c>
      <c r="O708" t="s">
        <v>47</v>
      </c>
      <c r="P708" t="s">
        <v>47</v>
      </c>
      <c r="Y708" t="s">
        <v>2657</v>
      </c>
      <c r="AG708" t="s">
        <v>48</v>
      </c>
    </row>
    <row r="709" spans="1:33">
      <c r="A709" t="s">
        <v>117</v>
      </c>
      <c r="B709" t="s">
        <v>2659</v>
      </c>
      <c r="D709" t="s">
        <v>40</v>
      </c>
      <c r="E709" t="s">
        <v>41</v>
      </c>
      <c r="J709" t="s">
        <v>290</v>
      </c>
      <c r="K709" t="s">
        <v>291</v>
      </c>
      <c r="L709">
        <v>5</v>
      </c>
      <c r="M709" t="s">
        <v>2658</v>
      </c>
      <c r="N709" t="s">
        <v>59</v>
      </c>
      <c r="O709" t="s">
        <v>47</v>
      </c>
      <c r="P709" t="s">
        <v>47</v>
      </c>
      <c r="Y709" t="s">
        <v>2660</v>
      </c>
      <c r="AG709" t="s">
        <v>48</v>
      </c>
    </row>
    <row r="710" spans="1:33">
      <c r="A710" t="s">
        <v>2661</v>
      </c>
      <c r="B710" t="s">
        <v>2662</v>
      </c>
      <c r="D710" t="s">
        <v>40</v>
      </c>
      <c r="E710" t="s">
        <v>41</v>
      </c>
      <c r="J710" t="s">
        <v>290</v>
      </c>
      <c r="K710" t="s">
        <v>291</v>
      </c>
      <c r="L710">
        <v>5</v>
      </c>
      <c r="M710" t="s">
        <v>2663</v>
      </c>
      <c r="N710" t="s">
        <v>59</v>
      </c>
      <c r="O710" t="s">
        <v>47</v>
      </c>
      <c r="P710" t="s">
        <v>47</v>
      </c>
      <c r="Y710" t="s">
        <v>2664</v>
      </c>
      <c r="AG710" t="s">
        <v>48</v>
      </c>
    </row>
    <row r="711" spans="1:33">
      <c r="A711" t="s">
        <v>2665</v>
      </c>
      <c r="B711" t="s">
        <v>2666</v>
      </c>
      <c r="D711" t="s">
        <v>40</v>
      </c>
      <c r="E711" t="s">
        <v>41</v>
      </c>
      <c r="H711" t="s">
        <v>2667</v>
      </c>
      <c r="J711" t="s">
        <v>270</v>
      </c>
      <c r="K711" t="s">
        <v>271</v>
      </c>
      <c r="L711">
        <v>5</v>
      </c>
      <c r="M711" t="s">
        <v>2668</v>
      </c>
      <c r="N711" t="s">
        <v>59</v>
      </c>
      <c r="O711" t="s">
        <v>47</v>
      </c>
      <c r="P711" t="s">
        <v>47</v>
      </c>
      <c r="Y711" t="s">
        <v>2667</v>
      </c>
      <c r="AG711" t="s">
        <v>48</v>
      </c>
    </row>
    <row r="712" spans="1:33">
      <c r="A712" t="s">
        <v>2669</v>
      </c>
      <c r="B712" t="s">
        <v>2670</v>
      </c>
      <c r="D712" t="s">
        <v>40</v>
      </c>
      <c r="E712" t="s">
        <v>41</v>
      </c>
      <c r="J712" t="s">
        <v>108</v>
      </c>
      <c r="K712" t="s">
        <v>109</v>
      </c>
      <c r="L712">
        <v>5</v>
      </c>
      <c r="M712" t="s">
        <v>2671</v>
      </c>
      <c r="N712" t="s">
        <v>59</v>
      </c>
      <c r="O712" t="s">
        <v>47</v>
      </c>
      <c r="P712" t="s">
        <v>47</v>
      </c>
      <c r="Y712" t="s">
        <v>2672</v>
      </c>
      <c r="AG712" t="s">
        <v>48</v>
      </c>
    </row>
    <row r="713" spans="1:33">
      <c r="A713" t="s">
        <v>2673</v>
      </c>
      <c r="B713" t="s">
        <v>2674</v>
      </c>
      <c r="D713" t="s">
        <v>40</v>
      </c>
      <c r="E713" t="s">
        <v>41</v>
      </c>
      <c r="J713" t="s">
        <v>108</v>
      </c>
      <c r="K713" t="s">
        <v>109</v>
      </c>
      <c r="L713">
        <v>5</v>
      </c>
      <c r="M713" t="s">
        <v>2675</v>
      </c>
      <c r="N713" t="s">
        <v>59</v>
      </c>
      <c r="O713" t="s">
        <v>47</v>
      </c>
      <c r="P713" t="s">
        <v>47</v>
      </c>
      <c r="Y713" t="s">
        <v>2676</v>
      </c>
      <c r="AG713" t="s">
        <v>48</v>
      </c>
    </row>
    <row r="714" spans="1:33">
      <c r="A714" t="s">
        <v>2677</v>
      </c>
      <c r="B714" t="s">
        <v>2678</v>
      </c>
      <c r="D714" t="s">
        <v>40</v>
      </c>
      <c r="E714" t="s">
        <v>41</v>
      </c>
      <c r="J714" t="s">
        <v>290</v>
      </c>
      <c r="K714" t="s">
        <v>291</v>
      </c>
      <c r="L714">
        <v>5</v>
      </c>
      <c r="M714" t="s">
        <v>2679</v>
      </c>
      <c r="N714" t="s">
        <v>59</v>
      </c>
      <c r="O714" t="s">
        <v>47</v>
      </c>
      <c r="P714" t="s">
        <v>47</v>
      </c>
      <c r="Y714" t="s">
        <v>2680</v>
      </c>
      <c r="AG714" t="s">
        <v>48</v>
      </c>
    </row>
    <row r="715" spans="1:33">
      <c r="A715" t="s">
        <v>2681</v>
      </c>
      <c r="B715" t="s">
        <v>2682</v>
      </c>
      <c r="D715" t="s">
        <v>40</v>
      </c>
      <c r="E715" t="s">
        <v>41</v>
      </c>
      <c r="J715" t="s">
        <v>162</v>
      </c>
      <c r="K715" t="s">
        <v>163</v>
      </c>
      <c r="L715">
        <v>5</v>
      </c>
      <c r="M715" t="s">
        <v>2679</v>
      </c>
      <c r="N715" t="s">
        <v>59</v>
      </c>
      <c r="O715" t="s">
        <v>47</v>
      </c>
      <c r="P715" t="s">
        <v>47</v>
      </c>
      <c r="Y715" t="s">
        <v>2683</v>
      </c>
      <c r="AG715" t="s">
        <v>48</v>
      </c>
    </row>
    <row r="716" spans="1:33">
      <c r="A716" t="s">
        <v>2684</v>
      </c>
      <c r="B716" t="s">
        <v>2685</v>
      </c>
      <c r="D716" t="s">
        <v>40</v>
      </c>
      <c r="E716" t="s">
        <v>41</v>
      </c>
      <c r="J716" t="s">
        <v>162</v>
      </c>
      <c r="K716" t="s">
        <v>163</v>
      </c>
      <c r="L716">
        <v>5</v>
      </c>
      <c r="M716" t="s">
        <v>2679</v>
      </c>
      <c r="N716" t="s">
        <v>59</v>
      </c>
      <c r="O716" t="s">
        <v>47</v>
      </c>
      <c r="P716" t="s">
        <v>47</v>
      </c>
      <c r="Y716" t="s">
        <v>2686</v>
      </c>
      <c r="AG716" t="s">
        <v>48</v>
      </c>
    </row>
    <row r="717" spans="1:33">
      <c r="A717" t="s">
        <v>2687</v>
      </c>
      <c r="B717" t="s">
        <v>2688</v>
      </c>
      <c r="D717" t="s">
        <v>40</v>
      </c>
      <c r="E717" t="s">
        <v>41</v>
      </c>
      <c r="H717" t="s">
        <v>2689</v>
      </c>
      <c r="J717" t="s">
        <v>63</v>
      </c>
      <c r="K717" t="s">
        <v>64</v>
      </c>
      <c r="L717">
        <v>5</v>
      </c>
      <c r="M717" t="s">
        <v>2690</v>
      </c>
      <c r="N717" t="s">
        <v>59</v>
      </c>
      <c r="O717" t="s">
        <v>47</v>
      </c>
      <c r="P717" t="s">
        <v>47</v>
      </c>
      <c r="Y717" t="s">
        <v>2689</v>
      </c>
      <c r="AG717" t="s">
        <v>48</v>
      </c>
    </row>
    <row r="718" spans="1:33">
      <c r="A718" t="s">
        <v>2691</v>
      </c>
      <c r="B718" t="s">
        <v>2692</v>
      </c>
      <c r="D718" t="s">
        <v>40</v>
      </c>
      <c r="E718" t="s">
        <v>41</v>
      </c>
      <c r="H718" t="s">
        <v>2693</v>
      </c>
      <c r="J718" t="s">
        <v>1418</v>
      </c>
      <c r="K718" t="s">
        <v>1419</v>
      </c>
      <c r="L718">
        <v>6</v>
      </c>
      <c r="M718" t="s">
        <v>2694</v>
      </c>
      <c r="N718" t="s">
        <v>46</v>
      </c>
      <c r="O718" t="s">
        <v>47</v>
      </c>
      <c r="P718" t="s">
        <v>47</v>
      </c>
      <c r="Y718" t="s">
        <v>2693</v>
      </c>
      <c r="AG718" t="s">
        <v>48</v>
      </c>
    </row>
    <row r="719" spans="1:33">
      <c r="A719" t="s">
        <v>2695</v>
      </c>
      <c r="B719" t="s">
        <v>2696</v>
      </c>
      <c r="D719" t="s">
        <v>40</v>
      </c>
      <c r="E719" t="s">
        <v>41</v>
      </c>
      <c r="J719" t="s">
        <v>290</v>
      </c>
      <c r="K719" t="s">
        <v>291</v>
      </c>
      <c r="L719">
        <v>5</v>
      </c>
      <c r="M719" t="s">
        <v>2697</v>
      </c>
      <c r="N719" t="s">
        <v>59</v>
      </c>
      <c r="O719" t="s">
        <v>47</v>
      </c>
      <c r="P719" t="s">
        <v>47</v>
      </c>
      <c r="Y719" t="s">
        <v>2698</v>
      </c>
      <c r="AG719" t="s">
        <v>48</v>
      </c>
    </row>
    <row r="720" spans="1:33">
      <c r="A720" t="s">
        <v>2699</v>
      </c>
      <c r="B720" t="s">
        <v>2700</v>
      </c>
      <c r="D720" t="s">
        <v>40</v>
      </c>
      <c r="E720" t="s">
        <v>41</v>
      </c>
      <c r="J720" t="s">
        <v>129</v>
      </c>
      <c r="K720" t="s">
        <v>130</v>
      </c>
      <c r="L720">
        <v>5</v>
      </c>
      <c r="M720" t="s">
        <v>2697</v>
      </c>
      <c r="N720" t="s">
        <v>218</v>
      </c>
      <c r="O720" t="s">
        <v>47</v>
      </c>
      <c r="P720" t="s">
        <v>47</v>
      </c>
      <c r="Y720" t="s">
        <v>2701</v>
      </c>
      <c r="AG720" t="s">
        <v>48</v>
      </c>
    </row>
    <row r="721" spans="1:33">
      <c r="A721" t="s">
        <v>2702</v>
      </c>
      <c r="B721" t="s">
        <v>2703</v>
      </c>
      <c r="D721" t="s">
        <v>40</v>
      </c>
      <c r="E721" t="s">
        <v>41</v>
      </c>
      <c r="J721" t="s">
        <v>270</v>
      </c>
      <c r="K721" t="s">
        <v>271</v>
      </c>
      <c r="L721">
        <v>5</v>
      </c>
      <c r="M721" t="s">
        <v>2697</v>
      </c>
      <c r="N721" t="s">
        <v>59</v>
      </c>
      <c r="O721" t="s">
        <v>47</v>
      </c>
      <c r="P721" t="s">
        <v>47</v>
      </c>
      <c r="Y721" t="s">
        <v>2704</v>
      </c>
      <c r="AG721" t="s">
        <v>48</v>
      </c>
    </row>
    <row r="722" spans="1:33">
      <c r="A722" t="s">
        <v>2705</v>
      </c>
      <c r="B722" t="s">
        <v>2706</v>
      </c>
      <c r="D722" t="s">
        <v>40</v>
      </c>
      <c r="E722" t="s">
        <v>41</v>
      </c>
      <c r="J722" t="s">
        <v>108</v>
      </c>
      <c r="K722" t="s">
        <v>109</v>
      </c>
      <c r="L722">
        <v>5</v>
      </c>
      <c r="M722" t="s">
        <v>2697</v>
      </c>
      <c r="N722" t="s">
        <v>59</v>
      </c>
      <c r="O722" t="s">
        <v>47</v>
      </c>
      <c r="P722" t="s">
        <v>47</v>
      </c>
      <c r="Y722" t="s">
        <v>2707</v>
      </c>
      <c r="AG722" t="s">
        <v>48</v>
      </c>
    </row>
    <row r="723" spans="1:33">
      <c r="A723" t="s">
        <v>2708</v>
      </c>
      <c r="B723" t="s">
        <v>2709</v>
      </c>
      <c r="D723" t="s">
        <v>40</v>
      </c>
      <c r="E723" t="s">
        <v>41</v>
      </c>
      <c r="J723" t="s">
        <v>270</v>
      </c>
      <c r="K723" t="s">
        <v>271</v>
      </c>
      <c r="L723">
        <v>5</v>
      </c>
      <c r="M723" t="s">
        <v>2710</v>
      </c>
      <c r="N723" t="s">
        <v>59</v>
      </c>
      <c r="O723" t="s">
        <v>47</v>
      </c>
      <c r="P723" t="s">
        <v>47</v>
      </c>
      <c r="Y723" t="s">
        <v>2711</v>
      </c>
      <c r="AG723" t="s">
        <v>48</v>
      </c>
    </row>
    <row r="724" spans="1:33">
      <c r="A724" t="s">
        <v>2712</v>
      </c>
      <c r="B724" t="s">
        <v>2713</v>
      </c>
      <c r="D724" t="s">
        <v>40</v>
      </c>
      <c r="E724" t="s">
        <v>41</v>
      </c>
      <c r="J724" t="s">
        <v>129</v>
      </c>
      <c r="K724" t="s">
        <v>130</v>
      </c>
      <c r="L724">
        <v>5</v>
      </c>
      <c r="M724" t="s">
        <v>2714</v>
      </c>
      <c r="N724" t="s">
        <v>46</v>
      </c>
      <c r="O724" t="s">
        <v>47</v>
      </c>
      <c r="P724" t="s">
        <v>47</v>
      </c>
      <c r="Y724" t="s">
        <v>2715</v>
      </c>
      <c r="AG724" t="s">
        <v>48</v>
      </c>
    </row>
    <row r="725" spans="1:33">
      <c r="A725" t="s">
        <v>2716</v>
      </c>
      <c r="B725" t="s">
        <v>2717</v>
      </c>
      <c r="D725" t="s">
        <v>40</v>
      </c>
      <c r="E725" t="s">
        <v>41</v>
      </c>
      <c r="J725" t="s">
        <v>129</v>
      </c>
      <c r="K725" t="s">
        <v>130</v>
      </c>
      <c r="L725">
        <v>5</v>
      </c>
      <c r="M725" t="s">
        <v>2718</v>
      </c>
      <c r="N725" t="s">
        <v>218</v>
      </c>
      <c r="O725" t="s">
        <v>47</v>
      </c>
      <c r="P725" t="s">
        <v>47</v>
      </c>
      <c r="Y725" t="s">
        <v>2719</v>
      </c>
      <c r="AG725" t="s">
        <v>48</v>
      </c>
    </row>
    <row r="726" spans="1:33">
      <c r="A726" t="s">
        <v>2720</v>
      </c>
      <c r="B726" t="s">
        <v>2721</v>
      </c>
      <c r="D726" t="s">
        <v>40</v>
      </c>
      <c r="E726" t="s">
        <v>41</v>
      </c>
      <c r="J726" t="s">
        <v>108</v>
      </c>
      <c r="K726" t="s">
        <v>109</v>
      </c>
      <c r="L726">
        <v>5</v>
      </c>
      <c r="M726" t="s">
        <v>2722</v>
      </c>
      <c r="N726" t="s">
        <v>59</v>
      </c>
      <c r="O726" t="s">
        <v>47</v>
      </c>
      <c r="P726" t="s">
        <v>47</v>
      </c>
      <c r="Y726" t="s">
        <v>2723</v>
      </c>
      <c r="AG726" t="s">
        <v>48</v>
      </c>
    </row>
    <row r="727" spans="1:33">
      <c r="A727" t="s">
        <v>2724</v>
      </c>
      <c r="B727" t="s">
        <v>2725</v>
      </c>
      <c r="D727" t="s">
        <v>40</v>
      </c>
      <c r="E727" t="s">
        <v>41</v>
      </c>
      <c r="J727" t="s">
        <v>108</v>
      </c>
      <c r="K727" t="s">
        <v>109</v>
      </c>
      <c r="L727">
        <v>5</v>
      </c>
      <c r="M727" t="s">
        <v>2726</v>
      </c>
      <c r="N727" t="s">
        <v>59</v>
      </c>
      <c r="O727" t="s">
        <v>47</v>
      </c>
      <c r="P727" t="s">
        <v>47</v>
      </c>
      <c r="Y727" t="s">
        <v>2727</v>
      </c>
      <c r="AG727" t="s">
        <v>48</v>
      </c>
    </row>
    <row r="728" spans="1:33">
      <c r="A728" t="s">
        <v>2728</v>
      </c>
      <c r="B728" t="s">
        <v>2729</v>
      </c>
      <c r="D728" t="s">
        <v>40</v>
      </c>
      <c r="E728" t="s">
        <v>41</v>
      </c>
      <c r="J728" t="s">
        <v>290</v>
      </c>
      <c r="K728" t="s">
        <v>291</v>
      </c>
      <c r="L728">
        <v>5</v>
      </c>
      <c r="M728" t="s">
        <v>2730</v>
      </c>
      <c r="N728" t="s">
        <v>59</v>
      </c>
      <c r="O728" t="s">
        <v>47</v>
      </c>
      <c r="P728" t="s">
        <v>47</v>
      </c>
      <c r="Y728" t="s">
        <v>2731</v>
      </c>
      <c r="AG728" t="s">
        <v>48</v>
      </c>
    </row>
    <row r="729" spans="1:33">
      <c r="A729" t="s">
        <v>2732</v>
      </c>
      <c r="B729" t="s">
        <v>2733</v>
      </c>
      <c r="D729" t="s">
        <v>40</v>
      </c>
      <c r="E729" t="s">
        <v>41</v>
      </c>
      <c r="J729" t="s">
        <v>290</v>
      </c>
      <c r="K729" t="s">
        <v>291</v>
      </c>
      <c r="L729">
        <v>5</v>
      </c>
      <c r="M729" t="s">
        <v>2734</v>
      </c>
      <c r="N729" t="s">
        <v>59</v>
      </c>
      <c r="O729" t="s">
        <v>47</v>
      </c>
      <c r="P729" t="s">
        <v>47</v>
      </c>
      <c r="Y729" t="s">
        <v>2735</v>
      </c>
      <c r="AG729" t="s">
        <v>48</v>
      </c>
    </row>
    <row r="730" spans="1:33">
      <c r="A730" t="s">
        <v>2736</v>
      </c>
      <c r="B730" t="s">
        <v>2737</v>
      </c>
      <c r="D730" t="s">
        <v>40</v>
      </c>
      <c r="E730" t="s">
        <v>41</v>
      </c>
      <c r="J730" t="s">
        <v>290</v>
      </c>
      <c r="K730" t="s">
        <v>291</v>
      </c>
      <c r="L730">
        <v>5</v>
      </c>
      <c r="M730" t="s">
        <v>2734</v>
      </c>
      <c r="N730" t="s">
        <v>59</v>
      </c>
      <c r="O730" t="s">
        <v>47</v>
      </c>
      <c r="P730" t="s">
        <v>47</v>
      </c>
      <c r="Y730" t="s">
        <v>2738</v>
      </c>
      <c r="AG730" t="s">
        <v>48</v>
      </c>
    </row>
    <row r="731" spans="1:33">
      <c r="A731" t="s">
        <v>2739</v>
      </c>
      <c r="B731" t="s">
        <v>2740</v>
      </c>
      <c r="D731" t="s">
        <v>40</v>
      </c>
      <c r="E731" t="s">
        <v>41</v>
      </c>
      <c r="J731" t="s">
        <v>108</v>
      </c>
      <c r="K731" t="s">
        <v>109</v>
      </c>
      <c r="L731">
        <v>5</v>
      </c>
      <c r="M731" t="s">
        <v>2741</v>
      </c>
      <c r="N731" t="s">
        <v>59</v>
      </c>
      <c r="O731" t="s">
        <v>47</v>
      </c>
      <c r="P731" t="s">
        <v>47</v>
      </c>
      <c r="Y731" t="s">
        <v>2742</v>
      </c>
      <c r="AG731" t="s">
        <v>48</v>
      </c>
    </row>
    <row r="732" spans="1:33">
      <c r="A732" t="s">
        <v>2743</v>
      </c>
      <c r="B732" t="s">
        <v>2744</v>
      </c>
      <c r="D732" t="s">
        <v>40</v>
      </c>
      <c r="E732" t="s">
        <v>41</v>
      </c>
      <c r="H732" t="s">
        <v>2745</v>
      </c>
      <c r="J732" t="s">
        <v>63</v>
      </c>
      <c r="K732" t="s">
        <v>64</v>
      </c>
      <c r="L732">
        <v>5</v>
      </c>
      <c r="M732" t="s">
        <v>2746</v>
      </c>
      <c r="N732" t="s">
        <v>59</v>
      </c>
      <c r="O732" t="s">
        <v>47</v>
      </c>
      <c r="P732" t="s">
        <v>47</v>
      </c>
      <c r="Y732" t="s">
        <v>2745</v>
      </c>
      <c r="AG732" t="s">
        <v>48</v>
      </c>
    </row>
    <row r="733" spans="1:33">
      <c r="A733" t="s">
        <v>2747</v>
      </c>
      <c r="B733" t="s">
        <v>2748</v>
      </c>
      <c r="D733" t="s">
        <v>40</v>
      </c>
      <c r="E733" t="s">
        <v>41</v>
      </c>
      <c r="H733" t="s">
        <v>2749</v>
      </c>
      <c r="J733" t="s">
        <v>270</v>
      </c>
      <c r="K733" t="s">
        <v>271</v>
      </c>
      <c r="L733">
        <v>5</v>
      </c>
      <c r="M733" t="s">
        <v>2750</v>
      </c>
      <c r="N733" t="s">
        <v>59</v>
      </c>
      <c r="O733" t="s">
        <v>47</v>
      </c>
      <c r="P733" t="s">
        <v>47</v>
      </c>
      <c r="Y733" t="s">
        <v>2749</v>
      </c>
      <c r="AG733" t="s">
        <v>48</v>
      </c>
    </row>
    <row r="734" spans="1:33">
      <c r="A734" t="s">
        <v>2751</v>
      </c>
      <c r="B734" t="s">
        <v>2752</v>
      </c>
      <c r="D734" t="s">
        <v>40</v>
      </c>
      <c r="E734" t="s">
        <v>41</v>
      </c>
      <c r="J734" t="s">
        <v>290</v>
      </c>
      <c r="K734" t="s">
        <v>291</v>
      </c>
      <c r="L734">
        <v>5</v>
      </c>
      <c r="M734" t="s">
        <v>2753</v>
      </c>
      <c r="N734" t="s">
        <v>59</v>
      </c>
      <c r="O734" t="s">
        <v>47</v>
      </c>
      <c r="P734" t="s">
        <v>47</v>
      </c>
      <c r="Y734" t="s">
        <v>2754</v>
      </c>
      <c r="AG734" t="s">
        <v>48</v>
      </c>
    </row>
    <row r="735" spans="1:33">
      <c r="A735" t="s">
        <v>2755</v>
      </c>
      <c r="B735" t="s">
        <v>2756</v>
      </c>
      <c r="D735" t="s">
        <v>40</v>
      </c>
      <c r="E735" t="s">
        <v>41</v>
      </c>
      <c r="J735" t="s">
        <v>270</v>
      </c>
      <c r="K735" t="s">
        <v>271</v>
      </c>
      <c r="L735">
        <v>5</v>
      </c>
      <c r="M735" t="s">
        <v>2753</v>
      </c>
      <c r="N735" t="s">
        <v>59</v>
      </c>
      <c r="O735" t="s">
        <v>47</v>
      </c>
      <c r="P735" t="s">
        <v>47</v>
      </c>
      <c r="Y735" t="s">
        <v>2757</v>
      </c>
      <c r="AG735" t="s">
        <v>48</v>
      </c>
    </row>
    <row r="736" spans="1:33">
      <c r="A736" t="s">
        <v>2758</v>
      </c>
      <c r="B736" t="s">
        <v>2759</v>
      </c>
      <c r="D736" t="s">
        <v>40</v>
      </c>
      <c r="E736" t="s">
        <v>41</v>
      </c>
      <c r="J736" t="s">
        <v>290</v>
      </c>
      <c r="K736" t="s">
        <v>291</v>
      </c>
      <c r="L736">
        <v>5</v>
      </c>
      <c r="M736" t="s">
        <v>2753</v>
      </c>
      <c r="N736" t="s">
        <v>59</v>
      </c>
      <c r="O736" t="s">
        <v>47</v>
      </c>
      <c r="P736" t="s">
        <v>47</v>
      </c>
      <c r="Y736" t="s">
        <v>2760</v>
      </c>
      <c r="AG736" t="s">
        <v>48</v>
      </c>
    </row>
    <row r="737" spans="1:33">
      <c r="A737" t="s">
        <v>2761</v>
      </c>
      <c r="B737" t="s">
        <v>2762</v>
      </c>
      <c r="D737" t="s">
        <v>40</v>
      </c>
      <c r="E737" t="s">
        <v>41</v>
      </c>
      <c r="J737" t="s">
        <v>108</v>
      </c>
      <c r="K737" t="s">
        <v>109</v>
      </c>
      <c r="L737">
        <v>5</v>
      </c>
      <c r="M737" t="s">
        <v>2753</v>
      </c>
      <c r="N737" t="s">
        <v>59</v>
      </c>
      <c r="O737" t="s">
        <v>47</v>
      </c>
      <c r="P737" t="s">
        <v>47</v>
      </c>
      <c r="Y737" t="s">
        <v>2763</v>
      </c>
      <c r="AG737" t="s">
        <v>48</v>
      </c>
    </row>
    <row r="738" spans="1:33">
      <c r="A738" t="s">
        <v>2764</v>
      </c>
      <c r="B738" t="s">
        <v>2765</v>
      </c>
      <c r="D738" t="s">
        <v>40</v>
      </c>
      <c r="E738" t="s">
        <v>41</v>
      </c>
      <c r="J738" t="s">
        <v>290</v>
      </c>
      <c r="K738" t="s">
        <v>291</v>
      </c>
      <c r="L738">
        <v>5</v>
      </c>
      <c r="M738" t="s">
        <v>2766</v>
      </c>
      <c r="N738" t="s">
        <v>59</v>
      </c>
      <c r="O738" t="s">
        <v>47</v>
      </c>
      <c r="P738" t="s">
        <v>47</v>
      </c>
      <c r="Y738" t="s">
        <v>2767</v>
      </c>
      <c r="AG738" t="s">
        <v>48</v>
      </c>
    </row>
    <row r="739" spans="1:33">
      <c r="A739" t="s">
        <v>2768</v>
      </c>
      <c r="B739" t="s">
        <v>2769</v>
      </c>
      <c r="D739" t="s">
        <v>40</v>
      </c>
      <c r="E739" t="s">
        <v>41</v>
      </c>
      <c r="J739" t="s">
        <v>108</v>
      </c>
      <c r="K739" t="s">
        <v>109</v>
      </c>
      <c r="L739">
        <v>5</v>
      </c>
      <c r="M739" t="s">
        <v>2766</v>
      </c>
      <c r="N739" t="s">
        <v>59</v>
      </c>
      <c r="O739" t="s">
        <v>47</v>
      </c>
      <c r="P739" t="s">
        <v>47</v>
      </c>
      <c r="Y739" t="s">
        <v>2770</v>
      </c>
      <c r="AG739" t="s">
        <v>48</v>
      </c>
    </row>
    <row r="740" spans="1:33">
      <c r="A740" t="s">
        <v>2771</v>
      </c>
      <c r="B740" t="s">
        <v>2772</v>
      </c>
      <c r="D740" t="s">
        <v>40</v>
      </c>
      <c r="E740" t="s">
        <v>41</v>
      </c>
      <c r="H740" t="s">
        <v>2773</v>
      </c>
      <c r="J740" t="s">
        <v>63</v>
      </c>
      <c r="K740" t="s">
        <v>64</v>
      </c>
      <c r="L740">
        <v>5</v>
      </c>
      <c r="M740" t="s">
        <v>2774</v>
      </c>
      <c r="N740" t="s">
        <v>59</v>
      </c>
      <c r="O740" t="s">
        <v>47</v>
      </c>
      <c r="P740" t="s">
        <v>47</v>
      </c>
      <c r="Y740" t="s">
        <v>2773</v>
      </c>
      <c r="AG740" t="s">
        <v>48</v>
      </c>
    </row>
    <row r="741" spans="1:33">
      <c r="A741" t="s">
        <v>2775</v>
      </c>
      <c r="B741" t="s">
        <v>2776</v>
      </c>
      <c r="D741" t="s">
        <v>40</v>
      </c>
      <c r="E741" t="s">
        <v>41</v>
      </c>
      <c r="H741" t="s">
        <v>2777</v>
      </c>
      <c r="J741" t="s">
        <v>129</v>
      </c>
      <c r="K741" t="s">
        <v>130</v>
      </c>
      <c r="L741">
        <v>5</v>
      </c>
      <c r="M741" t="s">
        <v>2778</v>
      </c>
      <c r="N741" t="s">
        <v>192</v>
      </c>
      <c r="O741" t="s">
        <v>47</v>
      </c>
      <c r="P741" t="s">
        <v>47</v>
      </c>
      <c r="Y741" t="s">
        <v>2777</v>
      </c>
      <c r="AG741" t="s">
        <v>48</v>
      </c>
    </row>
    <row r="742" spans="1:33">
      <c r="A742" t="s">
        <v>2779</v>
      </c>
      <c r="B742" t="s">
        <v>2780</v>
      </c>
      <c r="D742" t="s">
        <v>40</v>
      </c>
      <c r="E742" t="s">
        <v>41</v>
      </c>
      <c r="J742" t="s">
        <v>290</v>
      </c>
      <c r="K742" t="s">
        <v>291</v>
      </c>
      <c r="L742">
        <v>5</v>
      </c>
      <c r="M742" t="s">
        <v>2781</v>
      </c>
      <c r="N742" t="s">
        <v>59</v>
      </c>
      <c r="O742" t="s">
        <v>47</v>
      </c>
      <c r="P742" t="s">
        <v>47</v>
      </c>
      <c r="Y742" t="s">
        <v>2782</v>
      </c>
      <c r="AG742" t="s">
        <v>48</v>
      </c>
    </row>
    <row r="743" spans="1:33">
      <c r="A743" t="s">
        <v>2783</v>
      </c>
      <c r="B743" t="s">
        <v>2784</v>
      </c>
      <c r="D743" t="s">
        <v>40</v>
      </c>
      <c r="E743" t="s">
        <v>41</v>
      </c>
      <c r="J743" t="s">
        <v>270</v>
      </c>
      <c r="K743" t="s">
        <v>271</v>
      </c>
      <c r="L743">
        <v>5</v>
      </c>
      <c r="M743" t="s">
        <v>2785</v>
      </c>
      <c r="N743" t="s">
        <v>59</v>
      </c>
      <c r="O743" t="s">
        <v>47</v>
      </c>
      <c r="P743" t="s">
        <v>47</v>
      </c>
      <c r="Y743" t="s">
        <v>2786</v>
      </c>
      <c r="AG743" t="s">
        <v>48</v>
      </c>
    </row>
    <row r="744" spans="1:33">
      <c r="A744" t="s">
        <v>2787</v>
      </c>
      <c r="B744" t="s">
        <v>2788</v>
      </c>
      <c r="D744" t="s">
        <v>40</v>
      </c>
      <c r="E744" t="s">
        <v>41</v>
      </c>
      <c r="J744" t="s">
        <v>270</v>
      </c>
      <c r="K744" t="s">
        <v>271</v>
      </c>
      <c r="L744">
        <v>5</v>
      </c>
      <c r="M744" t="s">
        <v>2789</v>
      </c>
      <c r="N744" t="s">
        <v>59</v>
      </c>
      <c r="O744" t="s">
        <v>47</v>
      </c>
      <c r="P744" t="s">
        <v>47</v>
      </c>
      <c r="Y744" t="s">
        <v>2790</v>
      </c>
      <c r="AG744" t="s">
        <v>48</v>
      </c>
    </row>
    <row r="745" spans="1:33">
      <c r="A745" t="s">
        <v>2791</v>
      </c>
      <c r="B745" t="s">
        <v>2792</v>
      </c>
      <c r="D745" t="s">
        <v>40</v>
      </c>
      <c r="E745" t="s">
        <v>41</v>
      </c>
      <c r="J745" t="s">
        <v>290</v>
      </c>
      <c r="K745" t="s">
        <v>291</v>
      </c>
      <c r="L745">
        <v>5</v>
      </c>
      <c r="M745" t="s">
        <v>2793</v>
      </c>
      <c r="N745" t="s">
        <v>59</v>
      </c>
      <c r="O745" t="s">
        <v>47</v>
      </c>
      <c r="P745" t="s">
        <v>47</v>
      </c>
      <c r="Y745" t="s">
        <v>2794</v>
      </c>
      <c r="AG745" t="s">
        <v>48</v>
      </c>
    </row>
    <row r="746" spans="1:33">
      <c r="A746" t="s">
        <v>2795</v>
      </c>
      <c r="B746" t="s">
        <v>2796</v>
      </c>
      <c r="D746" t="s">
        <v>40</v>
      </c>
      <c r="E746" t="s">
        <v>41</v>
      </c>
      <c r="J746" t="s">
        <v>162</v>
      </c>
      <c r="K746" t="s">
        <v>163</v>
      </c>
      <c r="L746">
        <v>5</v>
      </c>
      <c r="M746" t="s">
        <v>2793</v>
      </c>
      <c r="N746" t="s">
        <v>59</v>
      </c>
      <c r="O746" t="s">
        <v>47</v>
      </c>
      <c r="P746" t="s">
        <v>47</v>
      </c>
      <c r="Y746" t="s">
        <v>2797</v>
      </c>
      <c r="AG746" t="s">
        <v>48</v>
      </c>
    </row>
    <row r="747" spans="1:33">
      <c r="A747" t="s">
        <v>2798</v>
      </c>
      <c r="B747" t="s">
        <v>2799</v>
      </c>
      <c r="D747" t="s">
        <v>40</v>
      </c>
      <c r="E747" t="s">
        <v>41</v>
      </c>
      <c r="J747" t="s">
        <v>270</v>
      </c>
      <c r="K747" t="s">
        <v>271</v>
      </c>
      <c r="L747">
        <v>5</v>
      </c>
      <c r="M747" t="s">
        <v>2793</v>
      </c>
      <c r="N747" t="s">
        <v>59</v>
      </c>
      <c r="O747" t="s">
        <v>47</v>
      </c>
      <c r="P747" t="s">
        <v>47</v>
      </c>
      <c r="Y747" t="s">
        <v>2800</v>
      </c>
      <c r="AG747" t="s">
        <v>48</v>
      </c>
    </row>
    <row r="748" spans="1:33">
      <c r="A748" t="s">
        <v>2801</v>
      </c>
      <c r="B748" t="s">
        <v>2802</v>
      </c>
      <c r="D748" t="s">
        <v>40</v>
      </c>
      <c r="E748" t="s">
        <v>41</v>
      </c>
      <c r="J748" t="s">
        <v>290</v>
      </c>
      <c r="K748" t="s">
        <v>291</v>
      </c>
      <c r="L748">
        <v>5</v>
      </c>
      <c r="M748" t="s">
        <v>2803</v>
      </c>
      <c r="N748" t="s">
        <v>59</v>
      </c>
      <c r="O748" t="s">
        <v>47</v>
      </c>
      <c r="P748" t="s">
        <v>47</v>
      </c>
      <c r="Y748" t="s">
        <v>2804</v>
      </c>
      <c r="AG748" t="s">
        <v>48</v>
      </c>
    </row>
    <row r="749" spans="1:33">
      <c r="A749" t="s">
        <v>2805</v>
      </c>
      <c r="B749" t="s">
        <v>2806</v>
      </c>
      <c r="D749" t="s">
        <v>40</v>
      </c>
      <c r="E749" t="s">
        <v>41</v>
      </c>
      <c r="J749" t="s">
        <v>129</v>
      </c>
      <c r="K749" t="s">
        <v>130</v>
      </c>
      <c r="L749">
        <v>5</v>
      </c>
      <c r="M749" t="s">
        <v>2803</v>
      </c>
      <c r="N749" t="s">
        <v>192</v>
      </c>
      <c r="O749" t="s">
        <v>47</v>
      </c>
      <c r="P749" t="s">
        <v>47</v>
      </c>
      <c r="Y749" t="s">
        <v>2807</v>
      </c>
      <c r="AG749" t="s">
        <v>48</v>
      </c>
    </row>
    <row r="750" spans="1:33">
      <c r="A750" t="s">
        <v>2808</v>
      </c>
      <c r="B750" t="s">
        <v>2809</v>
      </c>
      <c r="D750" t="s">
        <v>40</v>
      </c>
      <c r="E750" t="s">
        <v>41</v>
      </c>
      <c r="J750" t="s">
        <v>290</v>
      </c>
      <c r="K750" t="s">
        <v>291</v>
      </c>
      <c r="L750">
        <v>5</v>
      </c>
      <c r="M750" t="s">
        <v>2803</v>
      </c>
      <c r="N750" t="s">
        <v>59</v>
      </c>
      <c r="O750" t="s">
        <v>47</v>
      </c>
      <c r="P750" t="s">
        <v>47</v>
      </c>
      <c r="Y750" t="s">
        <v>2810</v>
      </c>
      <c r="AG750" t="s">
        <v>48</v>
      </c>
    </row>
    <row r="751" spans="1:33">
      <c r="A751" t="s">
        <v>2811</v>
      </c>
      <c r="B751" t="s">
        <v>2812</v>
      </c>
      <c r="D751" t="s">
        <v>40</v>
      </c>
      <c r="E751" t="s">
        <v>41</v>
      </c>
      <c r="H751" t="s">
        <v>2813</v>
      </c>
      <c r="J751" t="s">
        <v>290</v>
      </c>
      <c r="K751" t="s">
        <v>291</v>
      </c>
      <c r="L751">
        <v>5</v>
      </c>
      <c r="M751" t="s">
        <v>2814</v>
      </c>
      <c r="N751" t="s">
        <v>59</v>
      </c>
      <c r="O751" t="s">
        <v>47</v>
      </c>
      <c r="P751" t="s">
        <v>47</v>
      </c>
      <c r="Y751" t="s">
        <v>2813</v>
      </c>
      <c r="AG751" t="s">
        <v>48</v>
      </c>
    </row>
    <row r="752" spans="1:33">
      <c r="A752" t="s">
        <v>2815</v>
      </c>
      <c r="B752" t="s">
        <v>2816</v>
      </c>
      <c r="D752" t="s">
        <v>40</v>
      </c>
      <c r="E752" t="s">
        <v>41</v>
      </c>
      <c r="J752" t="s">
        <v>129</v>
      </c>
      <c r="K752" t="s">
        <v>130</v>
      </c>
      <c r="L752">
        <v>5</v>
      </c>
      <c r="M752" t="s">
        <v>2817</v>
      </c>
      <c r="N752" t="s">
        <v>218</v>
      </c>
      <c r="O752" t="s">
        <v>47</v>
      </c>
      <c r="P752" t="s">
        <v>47</v>
      </c>
      <c r="Y752" t="s">
        <v>2818</v>
      </c>
      <c r="AG752" t="s">
        <v>48</v>
      </c>
    </row>
    <row r="753" spans="1:33">
      <c r="A753" t="s">
        <v>2819</v>
      </c>
      <c r="B753" t="s">
        <v>2820</v>
      </c>
      <c r="D753" t="s">
        <v>40</v>
      </c>
      <c r="E753" t="s">
        <v>41</v>
      </c>
      <c r="J753" t="s">
        <v>290</v>
      </c>
      <c r="K753" t="s">
        <v>291</v>
      </c>
      <c r="L753">
        <v>5</v>
      </c>
      <c r="M753" t="s">
        <v>2821</v>
      </c>
      <c r="N753" t="s">
        <v>59</v>
      </c>
      <c r="O753" t="s">
        <v>47</v>
      </c>
      <c r="P753" t="s">
        <v>47</v>
      </c>
      <c r="Y753" t="s">
        <v>2822</v>
      </c>
      <c r="AG753" t="s">
        <v>48</v>
      </c>
    </row>
    <row r="754" spans="1:33">
      <c r="A754" t="s">
        <v>2823</v>
      </c>
      <c r="B754" t="s">
        <v>2824</v>
      </c>
      <c r="D754" t="s">
        <v>40</v>
      </c>
      <c r="E754" t="s">
        <v>41</v>
      </c>
      <c r="J754" t="s">
        <v>114</v>
      </c>
      <c r="K754" t="s">
        <v>115</v>
      </c>
      <c r="L754">
        <v>5</v>
      </c>
      <c r="M754" t="s">
        <v>2825</v>
      </c>
      <c r="N754" t="s">
        <v>59</v>
      </c>
      <c r="O754" t="s">
        <v>47</v>
      </c>
      <c r="P754" t="s">
        <v>47</v>
      </c>
      <c r="Y754" t="s">
        <v>2826</v>
      </c>
      <c r="AG754" t="s">
        <v>48</v>
      </c>
    </row>
    <row r="755" spans="1:33">
      <c r="A755" t="s">
        <v>2827</v>
      </c>
      <c r="B755" t="s">
        <v>2828</v>
      </c>
      <c r="D755" t="s">
        <v>40</v>
      </c>
      <c r="E755" t="s">
        <v>41</v>
      </c>
      <c r="J755" t="s">
        <v>290</v>
      </c>
      <c r="K755" t="s">
        <v>291</v>
      </c>
      <c r="L755">
        <v>5</v>
      </c>
      <c r="M755" t="s">
        <v>2829</v>
      </c>
      <c r="N755" t="s">
        <v>59</v>
      </c>
      <c r="O755" t="s">
        <v>47</v>
      </c>
      <c r="P755" t="s">
        <v>47</v>
      </c>
      <c r="Y755" t="s">
        <v>2830</v>
      </c>
      <c r="AG755" t="s">
        <v>48</v>
      </c>
    </row>
    <row r="756" spans="1:33">
      <c r="A756" t="s">
        <v>2831</v>
      </c>
      <c r="B756" t="s">
        <v>2832</v>
      </c>
      <c r="D756" t="s">
        <v>40</v>
      </c>
      <c r="E756" t="s">
        <v>41</v>
      </c>
      <c r="J756" t="s">
        <v>270</v>
      </c>
      <c r="K756" t="s">
        <v>271</v>
      </c>
      <c r="L756">
        <v>5</v>
      </c>
      <c r="M756" t="s">
        <v>2833</v>
      </c>
      <c r="N756" t="s">
        <v>59</v>
      </c>
      <c r="O756" t="s">
        <v>47</v>
      </c>
      <c r="P756" t="s">
        <v>47</v>
      </c>
      <c r="Y756" t="s">
        <v>2834</v>
      </c>
      <c r="AG756" t="s">
        <v>48</v>
      </c>
    </row>
    <row r="757" spans="1:33">
      <c r="A757" t="s">
        <v>2835</v>
      </c>
      <c r="B757" t="s">
        <v>2836</v>
      </c>
      <c r="D757" t="s">
        <v>40</v>
      </c>
      <c r="E757" t="s">
        <v>41</v>
      </c>
      <c r="J757" t="s">
        <v>290</v>
      </c>
      <c r="K757" t="s">
        <v>291</v>
      </c>
      <c r="L757">
        <v>5</v>
      </c>
      <c r="M757" t="s">
        <v>2833</v>
      </c>
      <c r="N757" t="s">
        <v>59</v>
      </c>
      <c r="O757" t="s">
        <v>47</v>
      </c>
      <c r="P757" t="s">
        <v>47</v>
      </c>
      <c r="Y757" t="s">
        <v>2837</v>
      </c>
      <c r="AG757" t="s">
        <v>48</v>
      </c>
    </row>
    <row r="758" spans="1:33">
      <c r="A758" t="s">
        <v>2838</v>
      </c>
      <c r="B758" t="s">
        <v>2839</v>
      </c>
      <c r="D758" t="s">
        <v>40</v>
      </c>
      <c r="E758" t="s">
        <v>41</v>
      </c>
      <c r="J758" t="s">
        <v>290</v>
      </c>
      <c r="K758" t="s">
        <v>291</v>
      </c>
      <c r="L758">
        <v>5</v>
      </c>
      <c r="M758" t="s">
        <v>2840</v>
      </c>
      <c r="N758" t="s">
        <v>59</v>
      </c>
      <c r="O758" t="s">
        <v>47</v>
      </c>
      <c r="P758" t="s">
        <v>47</v>
      </c>
      <c r="Y758" t="s">
        <v>2841</v>
      </c>
      <c r="AG758" t="s">
        <v>48</v>
      </c>
    </row>
    <row r="759" spans="1:33">
      <c r="A759" t="s">
        <v>2842</v>
      </c>
      <c r="B759" t="s">
        <v>2843</v>
      </c>
      <c r="D759" t="s">
        <v>40</v>
      </c>
      <c r="E759" t="s">
        <v>41</v>
      </c>
      <c r="J759" t="s">
        <v>129</v>
      </c>
      <c r="K759" t="s">
        <v>130</v>
      </c>
      <c r="L759">
        <v>5</v>
      </c>
      <c r="M759" t="s">
        <v>2844</v>
      </c>
      <c r="N759" t="s">
        <v>46</v>
      </c>
      <c r="O759" t="s">
        <v>47</v>
      </c>
      <c r="P759" t="s">
        <v>47</v>
      </c>
      <c r="Y759" t="s">
        <v>2845</v>
      </c>
      <c r="AG759" t="s">
        <v>48</v>
      </c>
    </row>
    <row r="760" spans="1:33">
      <c r="A760" t="s">
        <v>2846</v>
      </c>
      <c r="B760" t="s">
        <v>2847</v>
      </c>
      <c r="D760" t="s">
        <v>40</v>
      </c>
      <c r="E760" t="s">
        <v>41</v>
      </c>
      <c r="J760" t="s">
        <v>108</v>
      </c>
      <c r="K760" t="s">
        <v>109</v>
      </c>
      <c r="L760">
        <v>5</v>
      </c>
      <c r="M760" t="s">
        <v>2844</v>
      </c>
      <c r="N760" t="s">
        <v>59</v>
      </c>
      <c r="O760" t="s">
        <v>47</v>
      </c>
      <c r="P760" t="s">
        <v>47</v>
      </c>
      <c r="Y760" t="s">
        <v>2848</v>
      </c>
      <c r="AG760" t="s">
        <v>48</v>
      </c>
    </row>
    <row r="761" spans="1:33">
      <c r="A761" t="s">
        <v>2849</v>
      </c>
      <c r="B761" t="s">
        <v>2850</v>
      </c>
      <c r="D761" t="s">
        <v>40</v>
      </c>
      <c r="E761" t="s">
        <v>41</v>
      </c>
      <c r="J761" t="s">
        <v>270</v>
      </c>
      <c r="K761" t="s">
        <v>271</v>
      </c>
      <c r="L761">
        <v>5</v>
      </c>
      <c r="M761" t="s">
        <v>2844</v>
      </c>
      <c r="N761" t="s">
        <v>59</v>
      </c>
      <c r="O761" t="s">
        <v>47</v>
      </c>
      <c r="P761" t="s">
        <v>47</v>
      </c>
      <c r="Y761" t="s">
        <v>2851</v>
      </c>
      <c r="AG761" t="s">
        <v>48</v>
      </c>
    </row>
    <row r="762" spans="1:33">
      <c r="A762" t="s">
        <v>2852</v>
      </c>
      <c r="B762" t="s">
        <v>2853</v>
      </c>
      <c r="D762" t="s">
        <v>40</v>
      </c>
      <c r="E762" t="s">
        <v>41</v>
      </c>
      <c r="J762" t="s">
        <v>270</v>
      </c>
      <c r="K762" t="s">
        <v>271</v>
      </c>
      <c r="L762">
        <v>5</v>
      </c>
      <c r="M762" t="s">
        <v>2854</v>
      </c>
      <c r="N762" t="s">
        <v>59</v>
      </c>
      <c r="O762" t="s">
        <v>47</v>
      </c>
      <c r="P762" t="s">
        <v>47</v>
      </c>
      <c r="Y762" t="s">
        <v>2855</v>
      </c>
      <c r="AG762" t="s">
        <v>48</v>
      </c>
    </row>
    <row r="763" spans="1:33">
      <c r="A763" t="s">
        <v>2856</v>
      </c>
      <c r="B763" t="s">
        <v>2857</v>
      </c>
      <c r="D763" t="s">
        <v>40</v>
      </c>
      <c r="E763" t="s">
        <v>41</v>
      </c>
      <c r="J763" t="s">
        <v>270</v>
      </c>
      <c r="K763" t="s">
        <v>271</v>
      </c>
      <c r="L763">
        <v>5</v>
      </c>
      <c r="M763" t="s">
        <v>2858</v>
      </c>
      <c r="N763" t="s">
        <v>59</v>
      </c>
      <c r="O763" t="s">
        <v>47</v>
      </c>
      <c r="P763" t="s">
        <v>47</v>
      </c>
      <c r="Y763" t="s">
        <v>2859</v>
      </c>
      <c r="AG763" t="s">
        <v>48</v>
      </c>
    </row>
    <row r="764" spans="1:33">
      <c r="A764" t="s">
        <v>2860</v>
      </c>
      <c r="B764" t="s">
        <v>2861</v>
      </c>
      <c r="D764" t="s">
        <v>40</v>
      </c>
      <c r="E764" t="s">
        <v>41</v>
      </c>
      <c r="J764" t="s">
        <v>129</v>
      </c>
      <c r="K764" t="s">
        <v>130</v>
      </c>
      <c r="L764">
        <v>5</v>
      </c>
      <c r="M764" t="s">
        <v>2862</v>
      </c>
      <c r="N764" t="s">
        <v>46</v>
      </c>
      <c r="O764" t="s">
        <v>47</v>
      </c>
      <c r="P764" t="s">
        <v>47</v>
      </c>
      <c r="Y764" t="s">
        <v>2863</v>
      </c>
      <c r="AG764" t="s">
        <v>48</v>
      </c>
    </row>
    <row r="765" spans="1:33">
      <c r="A765" t="s">
        <v>2864</v>
      </c>
      <c r="B765" t="s">
        <v>2865</v>
      </c>
      <c r="D765" t="s">
        <v>40</v>
      </c>
      <c r="E765" t="s">
        <v>41</v>
      </c>
      <c r="J765" t="s">
        <v>162</v>
      </c>
      <c r="K765" t="s">
        <v>163</v>
      </c>
      <c r="L765">
        <v>5</v>
      </c>
      <c r="M765" t="s">
        <v>2862</v>
      </c>
      <c r="N765" t="s">
        <v>59</v>
      </c>
      <c r="O765" t="s">
        <v>47</v>
      </c>
      <c r="P765" t="s">
        <v>47</v>
      </c>
      <c r="Y765" t="s">
        <v>2866</v>
      </c>
      <c r="AG765" t="s">
        <v>48</v>
      </c>
    </row>
    <row r="766" spans="1:33">
      <c r="A766" t="s">
        <v>2867</v>
      </c>
      <c r="B766" t="s">
        <v>2868</v>
      </c>
      <c r="D766" t="s">
        <v>40</v>
      </c>
      <c r="E766" t="s">
        <v>41</v>
      </c>
      <c r="J766" t="s">
        <v>270</v>
      </c>
      <c r="K766" t="s">
        <v>271</v>
      </c>
      <c r="L766">
        <v>5</v>
      </c>
      <c r="M766" t="s">
        <v>2862</v>
      </c>
      <c r="N766" t="s">
        <v>59</v>
      </c>
      <c r="O766" t="s">
        <v>47</v>
      </c>
      <c r="P766" t="s">
        <v>47</v>
      </c>
      <c r="Y766" t="s">
        <v>2869</v>
      </c>
      <c r="AG766" t="s">
        <v>48</v>
      </c>
    </row>
    <row r="767" spans="1:33">
      <c r="A767" t="s">
        <v>2870</v>
      </c>
      <c r="B767" t="s">
        <v>2871</v>
      </c>
      <c r="D767" t="s">
        <v>40</v>
      </c>
      <c r="E767" t="s">
        <v>41</v>
      </c>
      <c r="J767" t="s">
        <v>129</v>
      </c>
      <c r="K767" t="s">
        <v>130</v>
      </c>
      <c r="L767">
        <v>5</v>
      </c>
      <c r="M767" t="s">
        <v>2872</v>
      </c>
      <c r="N767" t="s">
        <v>192</v>
      </c>
      <c r="O767" t="s">
        <v>47</v>
      </c>
      <c r="P767" t="s">
        <v>47</v>
      </c>
      <c r="Y767" t="s">
        <v>2873</v>
      </c>
      <c r="AG767" t="s">
        <v>48</v>
      </c>
    </row>
    <row r="768" spans="1:33">
      <c r="A768" t="s">
        <v>2874</v>
      </c>
      <c r="B768" t="s">
        <v>2875</v>
      </c>
      <c r="D768" t="s">
        <v>40</v>
      </c>
      <c r="E768" t="s">
        <v>41</v>
      </c>
      <c r="J768" t="s">
        <v>162</v>
      </c>
      <c r="K768" t="s">
        <v>163</v>
      </c>
      <c r="L768">
        <v>5</v>
      </c>
      <c r="M768" t="s">
        <v>2872</v>
      </c>
      <c r="N768" t="s">
        <v>59</v>
      </c>
      <c r="O768" t="s">
        <v>47</v>
      </c>
      <c r="P768" t="s">
        <v>47</v>
      </c>
      <c r="Y768" t="s">
        <v>2876</v>
      </c>
      <c r="AG768" t="s">
        <v>48</v>
      </c>
    </row>
    <row r="769" spans="1:33">
      <c r="A769" t="s">
        <v>2877</v>
      </c>
      <c r="B769" t="s">
        <v>2878</v>
      </c>
      <c r="D769" t="s">
        <v>40</v>
      </c>
      <c r="E769" t="s">
        <v>41</v>
      </c>
      <c r="J769" t="s">
        <v>290</v>
      </c>
      <c r="K769" t="s">
        <v>291</v>
      </c>
      <c r="L769">
        <v>5</v>
      </c>
      <c r="M769" t="s">
        <v>2872</v>
      </c>
      <c r="N769" t="s">
        <v>59</v>
      </c>
      <c r="O769" t="s">
        <v>47</v>
      </c>
      <c r="P769" t="s">
        <v>47</v>
      </c>
      <c r="Y769" t="s">
        <v>2879</v>
      </c>
      <c r="AG769" t="s">
        <v>48</v>
      </c>
    </row>
    <row r="770" spans="1:33">
      <c r="A770" t="s">
        <v>2880</v>
      </c>
      <c r="B770" t="s">
        <v>2881</v>
      </c>
      <c r="D770" t="s">
        <v>40</v>
      </c>
      <c r="E770" t="s">
        <v>41</v>
      </c>
      <c r="J770" t="s">
        <v>290</v>
      </c>
      <c r="K770" t="s">
        <v>291</v>
      </c>
      <c r="L770">
        <v>5</v>
      </c>
      <c r="M770" t="s">
        <v>2872</v>
      </c>
      <c r="N770" t="s">
        <v>59</v>
      </c>
      <c r="O770" t="s">
        <v>47</v>
      </c>
      <c r="P770" t="s">
        <v>47</v>
      </c>
      <c r="Y770" t="s">
        <v>2882</v>
      </c>
      <c r="AG770" t="s">
        <v>48</v>
      </c>
    </row>
    <row r="771" spans="1:33">
      <c r="A771" t="s">
        <v>2883</v>
      </c>
      <c r="B771" t="s">
        <v>2884</v>
      </c>
      <c r="D771" t="s">
        <v>40</v>
      </c>
      <c r="E771" t="s">
        <v>41</v>
      </c>
      <c r="J771" t="s">
        <v>290</v>
      </c>
      <c r="K771" t="s">
        <v>291</v>
      </c>
      <c r="L771">
        <v>5</v>
      </c>
      <c r="M771" t="s">
        <v>2885</v>
      </c>
      <c r="N771" t="s">
        <v>59</v>
      </c>
      <c r="O771" t="s">
        <v>47</v>
      </c>
      <c r="P771" t="s">
        <v>47</v>
      </c>
      <c r="Y771" t="s">
        <v>2886</v>
      </c>
      <c r="AG771" t="s">
        <v>48</v>
      </c>
    </row>
    <row r="772" spans="1:33">
      <c r="A772" t="s">
        <v>2887</v>
      </c>
      <c r="B772" t="s">
        <v>2888</v>
      </c>
      <c r="D772" t="s">
        <v>40</v>
      </c>
      <c r="E772" t="s">
        <v>41</v>
      </c>
      <c r="J772" t="s">
        <v>162</v>
      </c>
      <c r="K772" t="s">
        <v>163</v>
      </c>
      <c r="L772">
        <v>5</v>
      </c>
      <c r="M772" t="s">
        <v>2889</v>
      </c>
      <c r="N772" t="s">
        <v>59</v>
      </c>
      <c r="O772" t="s">
        <v>47</v>
      </c>
      <c r="P772" t="s">
        <v>47</v>
      </c>
      <c r="Y772" t="s">
        <v>2890</v>
      </c>
      <c r="AG772" t="s">
        <v>48</v>
      </c>
    </row>
    <row r="773" spans="1:33">
      <c r="A773" t="s">
        <v>117</v>
      </c>
      <c r="B773" t="s">
        <v>2891</v>
      </c>
      <c r="D773" t="s">
        <v>40</v>
      </c>
      <c r="E773" t="s">
        <v>41</v>
      </c>
      <c r="J773" t="s">
        <v>129</v>
      </c>
      <c r="K773" t="s">
        <v>130</v>
      </c>
      <c r="L773">
        <v>5</v>
      </c>
      <c r="M773" t="s">
        <v>2889</v>
      </c>
      <c r="N773" t="s">
        <v>218</v>
      </c>
      <c r="O773" t="s">
        <v>47</v>
      </c>
      <c r="P773" t="s">
        <v>47</v>
      </c>
      <c r="Y773" t="s">
        <v>2892</v>
      </c>
      <c r="AG773" t="s">
        <v>48</v>
      </c>
    </row>
    <row r="774" spans="1:33">
      <c r="A774" t="s">
        <v>2893</v>
      </c>
      <c r="B774" t="s">
        <v>2894</v>
      </c>
      <c r="D774" t="s">
        <v>40</v>
      </c>
      <c r="E774" t="s">
        <v>41</v>
      </c>
      <c r="H774" t="s">
        <v>2895</v>
      </c>
      <c r="J774" t="s">
        <v>129</v>
      </c>
      <c r="K774" t="s">
        <v>130</v>
      </c>
      <c r="L774">
        <v>5</v>
      </c>
      <c r="M774" t="s">
        <v>2896</v>
      </c>
      <c r="N774" t="s">
        <v>46</v>
      </c>
      <c r="O774" t="s">
        <v>47</v>
      </c>
      <c r="P774" t="s">
        <v>47</v>
      </c>
      <c r="Y774" t="s">
        <v>2895</v>
      </c>
      <c r="AG774" t="s">
        <v>48</v>
      </c>
    </row>
    <row r="775" spans="1:33">
      <c r="A775" t="s">
        <v>2897</v>
      </c>
      <c r="B775" t="s">
        <v>2898</v>
      </c>
      <c r="D775" t="s">
        <v>40</v>
      </c>
      <c r="E775" t="s">
        <v>41</v>
      </c>
      <c r="J775" t="s">
        <v>129</v>
      </c>
      <c r="K775" t="s">
        <v>130</v>
      </c>
      <c r="L775">
        <v>5</v>
      </c>
      <c r="M775" t="s">
        <v>2899</v>
      </c>
      <c r="N775" t="s">
        <v>192</v>
      </c>
      <c r="O775" t="s">
        <v>47</v>
      </c>
      <c r="P775" t="s">
        <v>47</v>
      </c>
      <c r="Y775" t="s">
        <v>2900</v>
      </c>
      <c r="AG775" t="s">
        <v>48</v>
      </c>
    </row>
    <row r="776" spans="1:33">
      <c r="A776" t="s">
        <v>2901</v>
      </c>
      <c r="B776" t="s">
        <v>2902</v>
      </c>
      <c r="D776" t="s">
        <v>40</v>
      </c>
      <c r="E776" t="s">
        <v>41</v>
      </c>
      <c r="H776" t="s">
        <v>2903</v>
      </c>
      <c r="J776" t="s">
        <v>270</v>
      </c>
      <c r="K776" t="s">
        <v>271</v>
      </c>
      <c r="L776">
        <v>5</v>
      </c>
      <c r="M776" t="s">
        <v>2904</v>
      </c>
      <c r="N776" t="s">
        <v>59</v>
      </c>
      <c r="O776" t="s">
        <v>47</v>
      </c>
      <c r="P776" t="s">
        <v>47</v>
      </c>
      <c r="Y776" t="s">
        <v>2903</v>
      </c>
      <c r="AG776" t="s">
        <v>48</v>
      </c>
    </row>
    <row r="777" spans="1:33">
      <c r="A777" t="s">
        <v>2905</v>
      </c>
      <c r="B777" t="s">
        <v>2906</v>
      </c>
      <c r="D777" t="s">
        <v>40</v>
      </c>
      <c r="E777" t="s">
        <v>41</v>
      </c>
      <c r="J777" t="s">
        <v>290</v>
      </c>
      <c r="K777" t="s">
        <v>291</v>
      </c>
      <c r="L777">
        <v>5</v>
      </c>
      <c r="M777" t="s">
        <v>2907</v>
      </c>
      <c r="N777" t="s">
        <v>59</v>
      </c>
      <c r="O777" t="s">
        <v>47</v>
      </c>
      <c r="P777" t="s">
        <v>47</v>
      </c>
      <c r="Y777" t="s">
        <v>2908</v>
      </c>
      <c r="AG777" t="s">
        <v>48</v>
      </c>
    </row>
    <row r="778" spans="1:33">
      <c r="A778" t="s">
        <v>2909</v>
      </c>
      <c r="B778" t="s">
        <v>2910</v>
      </c>
      <c r="D778" t="s">
        <v>40</v>
      </c>
      <c r="E778" t="s">
        <v>41</v>
      </c>
      <c r="J778" t="s">
        <v>129</v>
      </c>
      <c r="K778" t="s">
        <v>130</v>
      </c>
      <c r="L778">
        <v>5</v>
      </c>
      <c r="M778" t="s">
        <v>2907</v>
      </c>
      <c r="N778" t="s">
        <v>218</v>
      </c>
      <c r="O778" t="s">
        <v>47</v>
      </c>
      <c r="P778" t="s">
        <v>47</v>
      </c>
      <c r="Y778" t="s">
        <v>2911</v>
      </c>
      <c r="AG778" t="s">
        <v>48</v>
      </c>
    </row>
    <row r="779" spans="1:33">
      <c r="A779" t="s">
        <v>2912</v>
      </c>
      <c r="B779" t="s">
        <v>2913</v>
      </c>
      <c r="D779" t="s">
        <v>40</v>
      </c>
      <c r="E779" t="s">
        <v>41</v>
      </c>
      <c r="J779" t="s">
        <v>108</v>
      </c>
      <c r="K779" t="s">
        <v>109</v>
      </c>
      <c r="L779">
        <v>5</v>
      </c>
      <c r="M779" t="s">
        <v>2907</v>
      </c>
      <c r="N779" t="s">
        <v>59</v>
      </c>
      <c r="O779" t="s">
        <v>47</v>
      </c>
      <c r="P779" t="s">
        <v>47</v>
      </c>
      <c r="Y779" t="s">
        <v>2914</v>
      </c>
      <c r="AG779" t="s">
        <v>48</v>
      </c>
    </row>
    <row r="780" spans="1:33">
      <c r="A780" t="s">
        <v>2915</v>
      </c>
      <c r="B780" t="s">
        <v>2916</v>
      </c>
      <c r="D780" t="s">
        <v>40</v>
      </c>
      <c r="E780" t="s">
        <v>41</v>
      </c>
      <c r="J780" t="s">
        <v>108</v>
      </c>
      <c r="K780" t="s">
        <v>109</v>
      </c>
      <c r="L780">
        <v>5</v>
      </c>
      <c r="M780" t="s">
        <v>2917</v>
      </c>
      <c r="N780" t="s">
        <v>59</v>
      </c>
      <c r="O780" t="s">
        <v>47</v>
      </c>
      <c r="P780" t="s">
        <v>47</v>
      </c>
      <c r="Y780" t="s">
        <v>2918</v>
      </c>
      <c r="AG780" t="s">
        <v>48</v>
      </c>
    </row>
    <row r="781" spans="1:33">
      <c r="A781" t="s">
        <v>2919</v>
      </c>
      <c r="B781" t="s">
        <v>2920</v>
      </c>
      <c r="D781" t="s">
        <v>40</v>
      </c>
      <c r="E781" t="s">
        <v>41</v>
      </c>
      <c r="J781" t="s">
        <v>290</v>
      </c>
      <c r="K781" t="s">
        <v>291</v>
      </c>
      <c r="L781">
        <v>5</v>
      </c>
      <c r="M781" t="s">
        <v>2921</v>
      </c>
      <c r="N781" t="s">
        <v>59</v>
      </c>
      <c r="O781" t="s">
        <v>47</v>
      </c>
      <c r="P781" t="s">
        <v>47</v>
      </c>
      <c r="Y781" t="s">
        <v>2922</v>
      </c>
      <c r="AG781" t="s">
        <v>48</v>
      </c>
    </row>
    <row r="782" spans="1:33">
      <c r="A782" t="s">
        <v>2923</v>
      </c>
      <c r="B782" t="s">
        <v>2924</v>
      </c>
      <c r="D782" t="s">
        <v>40</v>
      </c>
      <c r="E782" t="s">
        <v>41</v>
      </c>
      <c r="J782" t="s">
        <v>290</v>
      </c>
      <c r="K782" t="s">
        <v>291</v>
      </c>
      <c r="L782">
        <v>5</v>
      </c>
      <c r="M782" t="s">
        <v>2921</v>
      </c>
      <c r="N782" t="s">
        <v>59</v>
      </c>
      <c r="O782" t="s">
        <v>47</v>
      </c>
      <c r="P782" t="s">
        <v>47</v>
      </c>
      <c r="Y782" t="s">
        <v>2925</v>
      </c>
      <c r="AG782" t="s">
        <v>48</v>
      </c>
    </row>
    <row r="783" spans="1:33">
      <c r="A783" t="s">
        <v>2926</v>
      </c>
      <c r="B783" t="s">
        <v>2927</v>
      </c>
      <c r="D783" t="s">
        <v>40</v>
      </c>
      <c r="E783" t="s">
        <v>41</v>
      </c>
      <c r="H783" t="s">
        <v>2928</v>
      </c>
      <c r="J783" t="s">
        <v>129</v>
      </c>
      <c r="K783" t="s">
        <v>130</v>
      </c>
      <c r="L783">
        <v>5</v>
      </c>
      <c r="M783" t="s">
        <v>2929</v>
      </c>
      <c r="N783" t="s">
        <v>192</v>
      </c>
      <c r="O783" t="s">
        <v>47</v>
      </c>
      <c r="P783" t="s">
        <v>47</v>
      </c>
      <c r="Y783" t="s">
        <v>2928</v>
      </c>
      <c r="AG783" t="s">
        <v>48</v>
      </c>
    </row>
    <row r="784" spans="1:33">
      <c r="A784" t="s">
        <v>2930</v>
      </c>
      <c r="B784" t="s">
        <v>2931</v>
      </c>
      <c r="D784" t="s">
        <v>40</v>
      </c>
      <c r="E784" t="s">
        <v>41</v>
      </c>
      <c r="H784" t="s">
        <v>2932</v>
      </c>
      <c r="J784" t="s">
        <v>63</v>
      </c>
      <c r="K784" t="s">
        <v>64</v>
      </c>
      <c r="L784">
        <v>5</v>
      </c>
      <c r="M784" t="s">
        <v>2933</v>
      </c>
      <c r="N784" t="s">
        <v>59</v>
      </c>
      <c r="O784" t="s">
        <v>47</v>
      </c>
      <c r="P784" t="s">
        <v>47</v>
      </c>
      <c r="Y784" t="s">
        <v>2932</v>
      </c>
      <c r="AG784" t="s">
        <v>48</v>
      </c>
    </row>
    <row r="785" spans="1:33">
      <c r="A785" t="s">
        <v>2934</v>
      </c>
      <c r="B785" t="s">
        <v>2935</v>
      </c>
      <c r="D785" t="s">
        <v>40</v>
      </c>
      <c r="E785" t="s">
        <v>41</v>
      </c>
      <c r="H785" t="s">
        <v>2936</v>
      </c>
      <c r="J785" t="s">
        <v>290</v>
      </c>
      <c r="K785" t="s">
        <v>291</v>
      </c>
      <c r="L785">
        <v>5</v>
      </c>
      <c r="M785" t="s">
        <v>2937</v>
      </c>
      <c r="N785" t="s">
        <v>59</v>
      </c>
      <c r="O785" t="s">
        <v>47</v>
      </c>
      <c r="P785" t="s">
        <v>47</v>
      </c>
      <c r="Y785" t="s">
        <v>2936</v>
      </c>
      <c r="AG785" t="s">
        <v>48</v>
      </c>
    </row>
    <row r="786" spans="1:33">
      <c r="A786" t="s">
        <v>2938</v>
      </c>
      <c r="B786" t="s">
        <v>2939</v>
      </c>
      <c r="D786" t="s">
        <v>40</v>
      </c>
      <c r="E786" t="s">
        <v>41</v>
      </c>
      <c r="J786" t="s">
        <v>108</v>
      </c>
      <c r="K786" t="s">
        <v>109</v>
      </c>
      <c r="L786">
        <v>5</v>
      </c>
      <c r="M786" t="s">
        <v>2937</v>
      </c>
      <c r="N786" t="s">
        <v>59</v>
      </c>
      <c r="O786" t="s">
        <v>47</v>
      </c>
      <c r="P786" t="s">
        <v>47</v>
      </c>
      <c r="Y786" t="s">
        <v>2940</v>
      </c>
      <c r="AG786" t="s">
        <v>48</v>
      </c>
    </row>
    <row r="787" spans="1:33">
      <c r="A787" t="s">
        <v>2941</v>
      </c>
      <c r="B787" t="s">
        <v>2942</v>
      </c>
      <c r="D787" t="s">
        <v>40</v>
      </c>
      <c r="E787" t="s">
        <v>41</v>
      </c>
      <c r="H787" t="s">
        <v>2943</v>
      </c>
      <c r="J787" t="s">
        <v>69</v>
      </c>
      <c r="K787" t="s">
        <v>70</v>
      </c>
      <c r="L787">
        <v>5</v>
      </c>
      <c r="M787" t="s">
        <v>2944</v>
      </c>
      <c r="N787" t="s">
        <v>192</v>
      </c>
      <c r="O787" t="s">
        <v>47</v>
      </c>
      <c r="P787" t="s">
        <v>47</v>
      </c>
      <c r="Y787" t="s">
        <v>2943</v>
      </c>
      <c r="AG787" t="s">
        <v>48</v>
      </c>
    </row>
    <row r="788" spans="1:33">
      <c r="A788" t="s">
        <v>2945</v>
      </c>
      <c r="B788" t="s">
        <v>2946</v>
      </c>
      <c r="D788" t="s">
        <v>40</v>
      </c>
      <c r="E788" t="s">
        <v>41</v>
      </c>
      <c r="J788" t="s">
        <v>270</v>
      </c>
      <c r="K788" t="s">
        <v>271</v>
      </c>
      <c r="L788">
        <v>5</v>
      </c>
      <c r="M788" t="s">
        <v>2947</v>
      </c>
      <c r="N788" t="s">
        <v>59</v>
      </c>
      <c r="O788" t="s">
        <v>47</v>
      </c>
      <c r="P788" t="s">
        <v>47</v>
      </c>
      <c r="Y788" t="s">
        <v>2948</v>
      </c>
      <c r="AG788" t="s">
        <v>48</v>
      </c>
    </row>
    <row r="789" spans="1:33">
      <c r="A789" t="s">
        <v>2949</v>
      </c>
      <c r="B789" t="s">
        <v>2950</v>
      </c>
      <c r="D789" t="s">
        <v>40</v>
      </c>
      <c r="E789" t="s">
        <v>41</v>
      </c>
      <c r="H789" t="s">
        <v>2951</v>
      </c>
      <c r="J789" t="s">
        <v>270</v>
      </c>
      <c r="K789" t="s">
        <v>271</v>
      </c>
      <c r="L789">
        <v>5</v>
      </c>
      <c r="M789" t="s">
        <v>2952</v>
      </c>
      <c r="N789" t="s">
        <v>59</v>
      </c>
      <c r="O789" t="s">
        <v>47</v>
      </c>
      <c r="P789" t="s">
        <v>47</v>
      </c>
      <c r="Y789" t="s">
        <v>2951</v>
      </c>
      <c r="AG789" t="s">
        <v>48</v>
      </c>
    </row>
    <row r="790" spans="1:33">
      <c r="A790" t="s">
        <v>2953</v>
      </c>
      <c r="B790" t="s">
        <v>2954</v>
      </c>
      <c r="D790" t="s">
        <v>40</v>
      </c>
      <c r="E790" t="s">
        <v>41</v>
      </c>
      <c r="J790" t="s">
        <v>162</v>
      </c>
      <c r="K790" t="s">
        <v>163</v>
      </c>
      <c r="L790">
        <v>5</v>
      </c>
      <c r="M790" t="s">
        <v>2955</v>
      </c>
      <c r="N790" t="s">
        <v>59</v>
      </c>
      <c r="O790" t="s">
        <v>47</v>
      </c>
      <c r="P790" t="s">
        <v>47</v>
      </c>
      <c r="Y790" t="s">
        <v>2956</v>
      </c>
      <c r="AG790" t="s">
        <v>48</v>
      </c>
    </row>
    <row r="791" spans="1:33">
      <c r="A791" t="s">
        <v>2957</v>
      </c>
      <c r="B791" t="s">
        <v>2958</v>
      </c>
      <c r="D791" t="s">
        <v>40</v>
      </c>
      <c r="E791" t="s">
        <v>41</v>
      </c>
      <c r="J791" t="s">
        <v>290</v>
      </c>
      <c r="K791" t="s">
        <v>291</v>
      </c>
      <c r="L791">
        <v>5</v>
      </c>
      <c r="M791" t="s">
        <v>2959</v>
      </c>
      <c r="N791" t="s">
        <v>59</v>
      </c>
      <c r="O791" t="s">
        <v>47</v>
      </c>
      <c r="P791" t="s">
        <v>47</v>
      </c>
      <c r="Y791" t="s">
        <v>2960</v>
      </c>
      <c r="AG791" t="s">
        <v>48</v>
      </c>
    </row>
    <row r="792" spans="1:33">
      <c r="A792" t="s">
        <v>2961</v>
      </c>
      <c r="B792" t="s">
        <v>2962</v>
      </c>
      <c r="D792" t="s">
        <v>40</v>
      </c>
      <c r="E792" t="s">
        <v>41</v>
      </c>
      <c r="J792" t="s">
        <v>123</v>
      </c>
      <c r="K792" t="s">
        <v>124</v>
      </c>
      <c r="L792">
        <v>5</v>
      </c>
      <c r="M792" t="s">
        <v>2963</v>
      </c>
      <c r="N792" t="s">
        <v>218</v>
      </c>
      <c r="O792" t="s">
        <v>47</v>
      </c>
      <c r="P792" t="s">
        <v>47</v>
      </c>
      <c r="Y792" t="s">
        <v>2964</v>
      </c>
      <c r="AG792" t="s">
        <v>48</v>
      </c>
    </row>
    <row r="793" spans="1:33">
      <c r="A793" t="s">
        <v>2965</v>
      </c>
      <c r="B793" t="s">
        <v>2966</v>
      </c>
      <c r="D793" t="s">
        <v>40</v>
      </c>
      <c r="E793" t="s">
        <v>41</v>
      </c>
      <c r="J793" t="s">
        <v>108</v>
      </c>
      <c r="K793" t="s">
        <v>109</v>
      </c>
      <c r="L793">
        <v>5</v>
      </c>
      <c r="M793" t="s">
        <v>2967</v>
      </c>
      <c r="N793" t="s">
        <v>59</v>
      </c>
      <c r="O793" t="s">
        <v>47</v>
      </c>
      <c r="P793" t="s">
        <v>47</v>
      </c>
      <c r="Y793" t="s">
        <v>2968</v>
      </c>
      <c r="AG793" t="s">
        <v>48</v>
      </c>
    </row>
    <row r="794" spans="1:33">
      <c r="A794" t="s">
        <v>2969</v>
      </c>
      <c r="B794" t="s">
        <v>2970</v>
      </c>
      <c r="D794" t="s">
        <v>40</v>
      </c>
      <c r="E794" t="s">
        <v>41</v>
      </c>
      <c r="J794" t="s">
        <v>290</v>
      </c>
      <c r="K794" t="s">
        <v>291</v>
      </c>
      <c r="L794">
        <v>5</v>
      </c>
      <c r="M794" t="s">
        <v>2967</v>
      </c>
      <c r="N794" t="s">
        <v>59</v>
      </c>
      <c r="O794" t="s">
        <v>47</v>
      </c>
      <c r="P794" t="s">
        <v>47</v>
      </c>
      <c r="Y794" t="s">
        <v>2971</v>
      </c>
      <c r="AG794" t="s">
        <v>48</v>
      </c>
    </row>
    <row r="795" spans="1:33">
      <c r="A795" t="s">
        <v>2972</v>
      </c>
      <c r="B795" t="s">
        <v>2973</v>
      </c>
      <c r="D795" t="s">
        <v>40</v>
      </c>
      <c r="E795" t="s">
        <v>41</v>
      </c>
      <c r="J795" t="s">
        <v>290</v>
      </c>
      <c r="K795" t="s">
        <v>291</v>
      </c>
      <c r="L795">
        <v>5</v>
      </c>
      <c r="M795" t="s">
        <v>2974</v>
      </c>
      <c r="N795" t="s">
        <v>59</v>
      </c>
      <c r="O795" t="s">
        <v>47</v>
      </c>
      <c r="P795" t="s">
        <v>47</v>
      </c>
      <c r="Y795" t="s">
        <v>2975</v>
      </c>
      <c r="AG795" t="s">
        <v>48</v>
      </c>
    </row>
    <row r="796" spans="1:33">
      <c r="A796" t="s">
        <v>2976</v>
      </c>
      <c r="B796" t="s">
        <v>2977</v>
      </c>
      <c r="D796" t="s">
        <v>40</v>
      </c>
      <c r="E796" t="s">
        <v>41</v>
      </c>
      <c r="H796" t="s">
        <v>2978</v>
      </c>
      <c r="J796" t="s">
        <v>63</v>
      </c>
      <c r="K796" t="s">
        <v>64</v>
      </c>
      <c r="L796">
        <v>5</v>
      </c>
      <c r="M796" t="s">
        <v>2979</v>
      </c>
      <c r="N796" t="s">
        <v>59</v>
      </c>
      <c r="O796" t="s">
        <v>47</v>
      </c>
      <c r="P796" t="s">
        <v>47</v>
      </c>
      <c r="Y796" t="s">
        <v>2978</v>
      </c>
      <c r="AG796" t="s">
        <v>48</v>
      </c>
    </row>
    <row r="797" spans="1:33">
      <c r="A797" t="s">
        <v>2980</v>
      </c>
      <c r="B797" t="s">
        <v>2981</v>
      </c>
      <c r="D797" t="s">
        <v>40</v>
      </c>
      <c r="E797" t="s">
        <v>41</v>
      </c>
      <c r="J797" t="s">
        <v>290</v>
      </c>
      <c r="K797" t="s">
        <v>291</v>
      </c>
      <c r="L797">
        <v>5</v>
      </c>
      <c r="M797" t="s">
        <v>2982</v>
      </c>
      <c r="N797" t="s">
        <v>59</v>
      </c>
      <c r="O797" t="s">
        <v>47</v>
      </c>
      <c r="P797" t="s">
        <v>47</v>
      </c>
      <c r="Y797" t="s">
        <v>2983</v>
      </c>
      <c r="AG797" t="s">
        <v>48</v>
      </c>
    </row>
    <row r="798" spans="1:33">
      <c r="A798" t="s">
        <v>2984</v>
      </c>
      <c r="B798" t="s">
        <v>2985</v>
      </c>
      <c r="D798" t="s">
        <v>40</v>
      </c>
      <c r="E798" t="s">
        <v>41</v>
      </c>
      <c r="H798" t="s">
        <v>2986</v>
      </c>
      <c r="J798" t="s">
        <v>123</v>
      </c>
      <c r="K798" t="s">
        <v>124</v>
      </c>
      <c r="L798">
        <v>5</v>
      </c>
      <c r="M798" t="s">
        <v>2987</v>
      </c>
      <c r="N798" t="s">
        <v>218</v>
      </c>
      <c r="O798" t="s">
        <v>47</v>
      </c>
      <c r="P798" t="s">
        <v>47</v>
      </c>
      <c r="Y798" t="s">
        <v>2986</v>
      </c>
      <c r="AG798" t="s">
        <v>48</v>
      </c>
    </row>
    <row r="799" spans="1:33">
      <c r="A799" t="s">
        <v>2988</v>
      </c>
      <c r="B799" t="s">
        <v>2989</v>
      </c>
      <c r="D799" t="s">
        <v>40</v>
      </c>
      <c r="E799" t="s">
        <v>41</v>
      </c>
      <c r="J799" t="s">
        <v>290</v>
      </c>
      <c r="K799" t="s">
        <v>291</v>
      </c>
      <c r="L799">
        <v>5</v>
      </c>
      <c r="M799" t="s">
        <v>2987</v>
      </c>
      <c r="N799" t="s">
        <v>59</v>
      </c>
      <c r="O799" t="s">
        <v>47</v>
      </c>
      <c r="P799" t="s">
        <v>47</v>
      </c>
      <c r="Y799" t="s">
        <v>2990</v>
      </c>
      <c r="AG799" t="s">
        <v>48</v>
      </c>
    </row>
    <row r="800" spans="1:33">
      <c r="A800" t="s">
        <v>2991</v>
      </c>
      <c r="B800" t="s">
        <v>2992</v>
      </c>
      <c r="D800" t="s">
        <v>40</v>
      </c>
      <c r="E800" t="s">
        <v>41</v>
      </c>
      <c r="J800" t="s">
        <v>108</v>
      </c>
      <c r="K800" t="s">
        <v>109</v>
      </c>
      <c r="L800">
        <v>5</v>
      </c>
      <c r="M800" t="s">
        <v>2987</v>
      </c>
      <c r="N800" t="s">
        <v>59</v>
      </c>
      <c r="O800" t="s">
        <v>47</v>
      </c>
      <c r="P800" t="s">
        <v>47</v>
      </c>
      <c r="Y800" t="s">
        <v>2993</v>
      </c>
      <c r="AG800" t="s">
        <v>48</v>
      </c>
    </row>
    <row r="801" spans="1:33">
      <c r="A801" t="s">
        <v>117</v>
      </c>
      <c r="B801" t="s">
        <v>2994</v>
      </c>
      <c r="D801" t="s">
        <v>40</v>
      </c>
      <c r="E801" t="s">
        <v>41</v>
      </c>
      <c r="J801" t="s">
        <v>162</v>
      </c>
      <c r="K801" t="s">
        <v>163</v>
      </c>
      <c r="L801">
        <v>5</v>
      </c>
      <c r="M801" t="s">
        <v>2987</v>
      </c>
      <c r="N801" t="s">
        <v>59</v>
      </c>
      <c r="O801" t="s">
        <v>47</v>
      </c>
      <c r="P801" t="s">
        <v>47</v>
      </c>
      <c r="Y801" t="s">
        <v>2995</v>
      </c>
      <c r="AG801" t="s">
        <v>48</v>
      </c>
    </row>
    <row r="802" spans="1:33">
      <c r="A802" t="s">
        <v>2996</v>
      </c>
      <c r="B802" t="s">
        <v>2997</v>
      </c>
      <c r="D802" t="s">
        <v>40</v>
      </c>
      <c r="E802" t="s">
        <v>41</v>
      </c>
      <c r="H802" t="s">
        <v>2998</v>
      </c>
      <c r="J802" t="s">
        <v>63</v>
      </c>
      <c r="K802" t="s">
        <v>64</v>
      </c>
      <c r="L802">
        <v>5</v>
      </c>
      <c r="M802" t="s">
        <v>2999</v>
      </c>
      <c r="N802" t="s">
        <v>59</v>
      </c>
      <c r="O802" t="s">
        <v>47</v>
      </c>
      <c r="P802" t="s">
        <v>47</v>
      </c>
      <c r="Y802" t="s">
        <v>2998</v>
      </c>
      <c r="AG802" t="s">
        <v>48</v>
      </c>
    </row>
    <row r="803" spans="1:33">
      <c r="A803" t="s">
        <v>3000</v>
      </c>
      <c r="B803" t="s">
        <v>3001</v>
      </c>
      <c r="D803" t="s">
        <v>40</v>
      </c>
      <c r="E803" t="s">
        <v>41</v>
      </c>
      <c r="J803" t="s">
        <v>162</v>
      </c>
      <c r="K803" t="s">
        <v>163</v>
      </c>
      <c r="L803">
        <v>5</v>
      </c>
      <c r="M803" t="s">
        <v>3002</v>
      </c>
      <c r="N803" t="s">
        <v>59</v>
      </c>
      <c r="O803" t="s">
        <v>47</v>
      </c>
      <c r="P803" t="s">
        <v>47</v>
      </c>
      <c r="Y803" t="s">
        <v>3003</v>
      </c>
      <c r="AG803" t="s">
        <v>48</v>
      </c>
    </row>
    <row r="804" spans="1:33">
      <c r="A804" t="s">
        <v>117</v>
      </c>
      <c r="B804" t="s">
        <v>3004</v>
      </c>
      <c r="D804" t="s">
        <v>40</v>
      </c>
      <c r="E804" t="s">
        <v>41</v>
      </c>
      <c r="J804" t="s">
        <v>162</v>
      </c>
      <c r="K804" t="s">
        <v>163</v>
      </c>
      <c r="L804">
        <v>5</v>
      </c>
      <c r="M804" t="s">
        <v>3005</v>
      </c>
      <c r="N804" t="s">
        <v>59</v>
      </c>
      <c r="O804" t="s">
        <v>47</v>
      </c>
      <c r="P804" t="s">
        <v>47</v>
      </c>
      <c r="Y804" t="s">
        <v>3006</v>
      </c>
      <c r="AG804" t="s">
        <v>48</v>
      </c>
    </row>
    <row r="805" spans="1:33">
      <c r="A805" t="s">
        <v>3007</v>
      </c>
      <c r="B805" t="s">
        <v>3008</v>
      </c>
      <c r="D805" t="s">
        <v>40</v>
      </c>
      <c r="E805" t="s">
        <v>41</v>
      </c>
      <c r="J805" t="s">
        <v>129</v>
      </c>
      <c r="K805" t="s">
        <v>130</v>
      </c>
      <c r="L805">
        <v>5</v>
      </c>
      <c r="M805" t="s">
        <v>3009</v>
      </c>
      <c r="N805" t="s">
        <v>218</v>
      </c>
      <c r="O805" t="s">
        <v>47</v>
      </c>
      <c r="P805" t="s">
        <v>47</v>
      </c>
      <c r="Y805" t="s">
        <v>3010</v>
      </c>
      <c r="AG805" t="s">
        <v>48</v>
      </c>
    </row>
    <row r="806" spans="1:33">
      <c r="A806" t="s">
        <v>3011</v>
      </c>
      <c r="B806" t="s">
        <v>3012</v>
      </c>
      <c r="D806" t="s">
        <v>40</v>
      </c>
      <c r="E806" t="s">
        <v>41</v>
      </c>
      <c r="J806" t="s">
        <v>290</v>
      </c>
      <c r="K806" t="s">
        <v>291</v>
      </c>
      <c r="L806">
        <v>5</v>
      </c>
      <c r="M806" t="s">
        <v>3009</v>
      </c>
      <c r="N806" t="s">
        <v>59</v>
      </c>
      <c r="O806" t="s">
        <v>47</v>
      </c>
      <c r="P806" t="s">
        <v>47</v>
      </c>
      <c r="Y806" t="s">
        <v>3013</v>
      </c>
      <c r="AG806" t="s">
        <v>48</v>
      </c>
    </row>
    <row r="807" spans="1:33">
      <c r="A807" t="s">
        <v>3014</v>
      </c>
      <c r="B807" t="s">
        <v>3015</v>
      </c>
      <c r="D807" t="s">
        <v>40</v>
      </c>
      <c r="E807" t="s">
        <v>41</v>
      </c>
      <c r="J807" t="s">
        <v>108</v>
      </c>
      <c r="K807" t="s">
        <v>109</v>
      </c>
      <c r="L807">
        <v>5</v>
      </c>
      <c r="M807" t="s">
        <v>3016</v>
      </c>
      <c r="N807" t="s">
        <v>59</v>
      </c>
      <c r="O807" t="s">
        <v>47</v>
      </c>
      <c r="P807" t="s">
        <v>47</v>
      </c>
      <c r="Y807" t="s">
        <v>3017</v>
      </c>
      <c r="AG807" t="s">
        <v>48</v>
      </c>
    </row>
    <row r="808" spans="1:33">
      <c r="A808" t="s">
        <v>3018</v>
      </c>
      <c r="B808" t="s">
        <v>3019</v>
      </c>
      <c r="D808" t="s">
        <v>40</v>
      </c>
      <c r="E808" t="s">
        <v>41</v>
      </c>
      <c r="J808" t="s">
        <v>270</v>
      </c>
      <c r="K808" t="s">
        <v>271</v>
      </c>
      <c r="L808">
        <v>5</v>
      </c>
      <c r="M808" t="s">
        <v>3020</v>
      </c>
      <c r="N808" t="s">
        <v>59</v>
      </c>
      <c r="O808" t="s">
        <v>47</v>
      </c>
      <c r="P808" t="s">
        <v>47</v>
      </c>
      <c r="Y808" t="s">
        <v>3021</v>
      </c>
      <c r="AG808" t="s">
        <v>48</v>
      </c>
    </row>
    <row r="809" spans="1:33">
      <c r="A809" t="s">
        <v>3022</v>
      </c>
      <c r="B809" t="s">
        <v>3023</v>
      </c>
      <c r="D809" t="s">
        <v>40</v>
      </c>
      <c r="E809" t="s">
        <v>41</v>
      </c>
      <c r="J809" t="s">
        <v>129</v>
      </c>
      <c r="K809" t="s">
        <v>130</v>
      </c>
      <c r="L809">
        <v>5</v>
      </c>
      <c r="M809" t="s">
        <v>3020</v>
      </c>
      <c r="N809" t="s">
        <v>218</v>
      </c>
      <c r="O809" t="s">
        <v>47</v>
      </c>
      <c r="P809" t="s">
        <v>47</v>
      </c>
      <c r="Y809" t="s">
        <v>3024</v>
      </c>
      <c r="AG809" t="s">
        <v>48</v>
      </c>
    </row>
    <row r="810" spans="1:33">
      <c r="A810" t="s">
        <v>3025</v>
      </c>
      <c r="B810" t="s">
        <v>3026</v>
      </c>
      <c r="D810" t="s">
        <v>40</v>
      </c>
      <c r="E810" t="s">
        <v>41</v>
      </c>
      <c r="J810" t="s">
        <v>162</v>
      </c>
      <c r="K810" t="s">
        <v>163</v>
      </c>
      <c r="L810">
        <v>5</v>
      </c>
      <c r="M810" t="s">
        <v>3020</v>
      </c>
      <c r="N810" t="s">
        <v>59</v>
      </c>
      <c r="O810" t="s">
        <v>47</v>
      </c>
      <c r="P810" t="s">
        <v>47</v>
      </c>
      <c r="Y810" t="s">
        <v>3027</v>
      </c>
      <c r="AG810" t="s">
        <v>48</v>
      </c>
    </row>
    <row r="811" spans="1:33">
      <c r="A811" t="s">
        <v>3028</v>
      </c>
      <c r="B811" t="s">
        <v>3029</v>
      </c>
      <c r="D811" t="s">
        <v>40</v>
      </c>
      <c r="E811" t="s">
        <v>41</v>
      </c>
      <c r="J811" t="s">
        <v>290</v>
      </c>
      <c r="K811" t="s">
        <v>291</v>
      </c>
      <c r="L811">
        <v>5</v>
      </c>
      <c r="M811" t="s">
        <v>3020</v>
      </c>
      <c r="N811" t="s">
        <v>59</v>
      </c>
      <c r="O811" t="s">
        <v>47</v>
      </c>
      <c r="P811" t="s">
        <v>47</v>
      </c>
      <c r="Y811" t="s">
        <v>3030</v>
      </c>
      <c r="AG811" t="s">
        <v>48</v>
      </c>
    </row>
    <row r="812" spans="1:33">
      <c r="A812" t="s">
        <v>3031</v>
      </c>
      <c r="B812" t="s">
        <v>3032</v>
      </c>
      <c r="D812" t="s">
        <v>40</v>
      </c>
      <c r="E812" t="s">
        <v>41</v>
      </c>
      <c r="H812" t="s">
        <v>3033</v>
      </c>
      <c r="J812" t="s">
        <v>63</v>
      </c>
      <c r="K812" t="s">
        <v>64</v>
      </c>
      <c r="L812">
        <v>5</v>
      </c>
      <c r="M812" t="s">
        <v>3034</v>
      </c>
      <c r="N812" t="s">
        <v>59</v>
      </c>
      <c r="O812" t="s">
        <v>47</v>
      </c>
      <c r="P812" t="s">
        <v>47</v>
      </c>
      <c r="Y812" t="s">
        <v>3033</v>
      </c>
      <c r="AG812" t="s">
        <v>48</v>
      </c>
    </row>
    <row r="813" spans="1:33">
      <c r="A813" t="s">
        <v>3035</v>
      </c>
      <c r="B813" t="s">
        <v>3036</v>
      </c>
      <c r="D813" t="s">
        <v>40</v>
      </c>
      <c r="E813" t="s">
        <v>41</v>
      </c>
      <c r="H813" t="s">
        <v>3037</v>
      </c>
      <c r="J813" t="s">
        <v>270</v>
      </c>
      <c r="K813" t="s">
        <v>271</v>
      </c>
      <c r="L813">
        <v>5</v>
      </c>
      <c r="M813" t="s">
        <v>3038</v>
      </c>
      <c r="N813" t="s">
        <v>59</v>
      </c>
      <c r="O813" t="s">
        <v>47</v>
      </c>
      <c r="P813" t="s">
        <v>47</v>
      </c>
      <c r="Y813" t="s">
        <v>3037</v>
      </c>
      <c r="AG813" t="s">
        <v>48</v>
      </c>
    </row>
    <row r="814" spans="1:33">
      <c r="A814" t="s">
        <v>3039</v>
      </c>
      <c r="B814" t="s">
        <v>3040</v>
      </c>
      <c r="D814" t="s">
        <v>40</v>
      </c>
      <c r="E814" t="s">
        <v>41</v>
      </c>
      <c r="J814" t="s">
        <v>162</v>
      </c>
      <c r="K814" t="s">
        <v>163</v>
      </c>
      <c r="L814">
        <v>5</v>
      </c>
      <c r="M814" t="s">
        <v>3041</v>
      </c>
      <c r="N814" t="s">
        <v>59</v>
      </c>
      <c r="O814" t="s">
        <v>47</v>
      </c>
      <c r="P814" t="s">
        <v>47</v>
      </c>
      <c r="Y814" t="s">
        <v>3042</v>
      </c>
      <c r="AG814" t="s">
        <v>48</v>
      </c>
    </row>
    <row r="815" spans="1:33">
      <c r="A815" t="s">
        <v>3043</v>
      </c>
      <c r="B815" t="s">
        <v>3044</v>
      </c>
      <c r="D815" t="s">
        <v>40</v>
      </c>
      <c r="E815" t="s">
        <v>41</v>
      </c>
      <c r="J815" t="s">
        <v>129</v>
      </c>
      <c r="K815" t="s">
        <v>130</v>
      </c>
      <c r="L815">
        <v>5</v>
      </c>
      <c r="M815" t="s">
        <v>3041</v>
      </c>
      <c r="N815" t="s">
        <v>218</v>
      </c>
      <c r="O815" t="s">
        <v>47</v>
      </c>
      <c r="P815" t="s">
        <v>47</v>
      </c>
      <c r="Y815" t="s">
        <v>3045</v>
      </c>
      <c r="AG815" t="s">
        <v>48</v>
      </c>
    </row>
    <row r="816" spans="1:33">
      <c r="A816" t="s">
        <v>3046</v>
      </c>
      <c r="B816" t="s">
        <v>3047</v>
      </c>
      <c r="D816" t="s">
        <v>40</v>
      </c>
      <c r="E816" t="s">
        <v>41</v>
      </c>
      <c r="H816" t="s">
        <v>3048</v>
      </c>
      <c r="J816" t="s">
        <v>63</v>
      </c>
      <c r="K816" t="s">
        <v>64</v>
      </c>
      <c r="L816">
        <v>5</v>
      </c>
      <c r="M816" t="s">
        <v>3049</v>
      </c>
      <c r="N816" t="s">
        <v>59</v>
      </c>
      <c r="O816" t="s">
        <v>47</v>
      </c>
      <c r="P816" t="s">
        <v>47</v>
      </c>
      <c r="Y816" t="s">
        <v>3048</v>
      </c>
      <c r="AG816" t="s">
        <v>48</v>
      </c>
    </row>
    <row r="817" spans="1:33">
      <c r="A817" t="s">
        <v>3050</v>
      </c>
      <c r="B817" t="s">
        <v>3051</v>
      </c>
      <c r="D817" t="s">
        <v>40</v>
      </c>
      <c r="E817" t="s">
        <v>41</v>
      </c>
      <c r="J817" t="s">
        <v>108</v>
      </c>
      <c r="K817" t="s">
        <v>109</v>
      </c>
      <c r="L817">
        <v>5</v>
      </c>
      <c r="M817" t="s">
        <v>3052</v>
      </c>
      <c r="N817" t="s">
        <v>59</v>
      </c>
      <c r="O817" t="s">
        <v>47</v>
      </c>
      <c r="P817" t="s">
        <v>47</v>
      </c>
      <c r="Y817" t="s">
        <v>3053</v>
      </c>
      <c r="AG817" t="s">
        <v>48</v>
      </c>
    </row>
    <row r="818" spans="1:33">
      <c r="A818" t="s">
        <v>3054</v>
      </c>
      <c r="B818" t="s">
        <v>3055</v>
      </c>
      <c r="D818" t="s">
        <v>40</v>
      </c>
      <c r="E818" t="s">
        <v>41</v>
      </c>
      <c r="J818" t="s">
        <v>129</v>
      </c>
      <c r="K818" t="s">
        <v>130</v>
      </c>
      <c r="L818">
        <v>5</v>
      </c>
      <c r="M818" t="s">
        <v>3052</v>
      </c>
      <c r="N818" t="s">
        <v>218</v>
      </c>
      <c r="O818" t="s">
        <v>47</v>
      </c>
      <c r="P818" t="s">
        <v>47</v>
      </c>
      <c r="Y818" t="s">
        <v>3056</v>
      </c>
      <c r="AG818" t="s">
        <v>48</v>
      </c>
    </row>
    <row r="819" spans="1:33">
      <c r="A819" t="s">
        <v>3057</v>
      </c>
      <c r="B819" t="s">
        <v>3058</v>
      </c>
      <c r="D819" t="s">
        <v>40</v>
      </c>
      <c r="E819" t="s">
        <v>41</v>
      </c>
      <c r="J819" t="s">
        <v>108</v>
      </c>
      <c r="K819" t="s">
        <v>109</v>
      </c>
      <c r="L819">
        <v>5</v>
      </c>
      <c r="M819" t="s">
        <v>3052</v>
      </c>
      <c r="N819" t="s">
        <v>59</v>
      </c>
      <c r="O819" t="s">
        <v>47</v>
      </c>
      <c r="P819" t="s">
        <v>47</v>
      </c>
      <c r="Y819" t="s">
        <v>3059</v>
      </c>
      <c r="AG819" t="s">
        <v>48</v>
      </c>
    </row>
    <row r="820" spans="1:33">
      <c r="A820" t="s">
        <v>3060</v>
      </c>
      <c r="B820" t="s">
        <v>3061</v>
      </c>
      <c r="D820" t="s">
        <v>40</v>
      </c>
      <c r="E820" t="s">
        <v>41</v>
      </c>
      <c r="J820" t="s">
        <v>162</v>
      </c>
      <c r="K820" t="s">
        <v>163</v>
      </c>
      <c r="L820">
        <v>5</v>
      </c>
      <c r="M820" t="s">
        <v>3062</v>
      </c>
      <c r="N820" t="s">
        <v>59</v>
      </c>
      <c r="O820" t="s">
        <v>47</v>
      </c>
      <c r="P820" t="s">
        <v>47</v>
      </c>
      <c r="Y820" t="s">
        <v>3063</v>
      </c>
      <c r="AG820" t="s">
        <v>48</v>
      </c>
    </row>
    <row r="821" spans="1:33">
      <c r="A821" t="s">
        <v>3064</v>
      </c>
      <c r="B821" t="s">
        <v>3065</v>
      </c>
      <c r="D821" t="s">
        <v>40</v>
      </c>
      <c r="E821" t="s">
        <v>41</v>
      </c>
      <c r="J821" t="s">
        <v>43</v>
      </c>
      <c r="K821" t="s">
        <v>44</v>
      </c>
      <c r="L821">
        <v>5</v>
      </c>
      <c r="M821" t="s">
        <v>3066</v>
      </c>
      <c r="N821" t="s">
        <v>192</v>
      </c>
      <c r="O821" t="s">
        <v>47</v>
      </c>
      <c r="P821" t="s">
        <v>47</v>
      </c>
      <c r="Y821" t="s">
        <v>3067</v>
      </c>
      <c r="AG821" t="s">
        <v>48</v>
      </c>
    </row>
    <row r="822" spans="1:33">
      <c r="A822" t="s">
        <v>117</v>
      </c>
      <c r="B822" t="s">
        <v>3068</v>
      </c>
      <c r="D822" t="s">
        <v>40</v>
      </c>
      <c r="E822" t="s">
        <v>41</v>
      </c>
      <c r="J822" t="s">
        <v>290</v>
      </c>
      <c r="K822" t="s">
        <v>291</v>
      </c>
      <c r="L822">
        <v>5</v>
      </c>
      <c r="M822" t="s">
        <v>3069</v>
      </c>
      <c r="N822" t="s">
        <v>59</v>
      </c>
      <c r="O822" t="s">
        <v>47</v>
      </c>
      <c r="P822" t="s">
        <v>47</v>
      </c>
      <c r="Y822" t="s">
        <v>3070</v>
      </c>
      <c r="AG822" t="s">
        <v>48</v>
      </c>
    </row>
    <row r="823" spans="1:33">
      <c r="A823" t="s">
        <v>3071</v>
      </c>
      <c r="B823" t="s">
        <v>3072</v>
      </c>
      <c r="D823" t="s">
        <v>40</v>
      </c>
      <c r="E823" t="s">
        <v>41</v>
      </c>
      <c r="J823" t="s">
        <v>123</v>
      </c>
      <c r="K823" t="s">
        <v>124</v>
      </c>
      <c r="L823">
        <v>5</v>
      </c>
      <c r="M823" t="s">
        <v>3069</v>
      </c>
      <c r="N823" t="s">
        <v>192</v>
      </c>
      <c r="O823" t="s">
        <v>47</v>
      </c>
      <c r="P823" t="s">
        <v>47</v>
      </c>
      <c r="Y823" t="s">
        <v>3073</v>
      </c>
      <c r="AG823" t="s">
        <v>48</v>
      </c>
    </row>
    <row r="824" spans="1:33">
      <c r="A824" t="s">
        <v>3074</v>
      </c>
      <c r="B824" t="s">
        <v>3075</v>
      </c>
      <c r="D824" t="s">
        <v>40</v>
      </c>
      <c r="E824" t="s">
        <v>41</v>
      </c>
      <c r="J824" t="s">
        <v>290</v>
      </c>
      <c r="K824" t="s">
        <v>291</v>
      </c>
      <c r="L824">
        <v>5</v>
      </c>
      <c r="M824" t="s">
        <v>3069</v>
      </c>
      <c r="N824" t="s">
        <v>59</v>
      </c>
      <c r="O824" t="s">
        <v>47</v>
      </c>
      <c r="P824" t="s">
        <v>47</v>
      </c>
      <c r="Y824" t="s">
        <v>3076</v>
      </c>
      <c r="AG824" t="s">
        <v>48</v>
      </c>
    </row>
    <row r="825" spans="1:33">
      <c r="A825" t="s">
        <v>3077</v>
      </c>
      <c r="B825" t="s">
        <v>3078</v>
      </c>
      <c r="D825" t="s">
        <v>40</v>
      </c>
      <c r="E825" t="s">
        <v>41</v>
      </c>
      <c r="J825" t="s">
        <v>123</v>
      </c>
      <c r="K825" t="s">
        <v>124</v>
      </c>
      <c r="L825">
        <v>5</v>
      </c>
      <c r="M825" t="s">
        <v>3079</v>
      </c>
      <c r="N825" t="s">
        <v>192</v>
      </c>
      <c r="O825" t="s">
        <v>47</v>
      </c>
      <c r="P825" t="s">
        <v>47</v>
      </c>
      <c r="Y825" t="s">
        <v>3080</v>
      </c>
      <c r="AG825" t="s">
        <v>48</v>
      </c>
    </row>
    <row r="826" spans="1:33">
      <c r="A826" t="s">
        <v>3081</v>
      </c>
      <c r="B826" t="s">
        <v>3082</v>
      </c>
      <c r="D826" t="s">
        <v>40</v>
      </c>
      <c r="E826" t="s">
        <v>41</v>
      </c>
      <c r="J826" t="s">
        <v>108</v>
      </c>
      <c r="K826" t="s">
        <v>109</v>
      </c>
      <c r="L826">
        <v>5</v>
      </c>
      <c r="M826" t="s">
        <v>3079</v>
      </c>
      <c r="N826" t="s">
        <v>59</v>
      </c>
      <c r="O826" t="s">
        <v>47</v>
      </c>
      <c r="P826" t="s">
        <v>47</v>
      </c>
      <c r="Y826" t="s">
        <v>3083</v>
      </c>
      <c r="AG826" t="s">
        <v>48</v>
      </c>
    </row>
    <row r="827" spans="1:33">
      <c r="A827" t="s">
        <v>3084</v>
      </c>
      <c r="B827" t="s">
        <v>3085</v>
      </c>
      <c r="D827" t="s">
        <v>40</v>
      </c>
      <c r="E827" t="s">
        <v>41</v>
      </c>
      <c r="J827" t="s">
        <v>123</v>
      </c>
      <c r="K827" t="s">
        <v>124</v>
      </c>
      <c r="L827">
        <v>5</v>
      </c>
      <c r="M827" t="s">
        <v>3086</v>
      </c>
      <c r="N827" t="s">
        <v>218</v>
      </c>
      <c r="O827" t="s">
        <v>47</v>
      </c>
      <c r="P827" t="s">
        <v>47</v>
      </c>
      <c r="Y827" t="s">
        <v>3087</v>
      </c>
      <c r="AG827" t="s">
        <v>48</v>
      </c>
    </row>
    <row r="828" spans="1:33">
      <c r="A828" t="s">
        <v>3088</v>
      </c>
      <c r="B828" t="s">
        <v>3089</v>
      </c>
      <c r="D828" t="s">
        <v>40</v>
      </c>
      <c r="E828" t="s">
        <v>41</v>
      </c>
      <c r="J828" t="s">
        <v>290</v>
      </c>
      <c r="K828" t="s">
        <v>291</v>
      </c>
      <c r="L828">
        <v>5</v>
      </c>
      <c r="M828" t="s">
        <v>3090</v>
      </c>
      <c r="N828" t="s">
        <v>59</v>
      </c>
      <c r="O828" t="s">
        <v>47</v>
      </c>
      <c r="P828" t="s">
        <v>47</v>
      </c>
      <c r="Y828" t="s">
        <v>3091</v>
      </c>
      <c r="AG828" t="s">
        <v>48</v>
      </c>
    </row>
    <row r="829" spans="1:33">
      <c r="A829" t="s">
        <v>3092</v>
      </c>
      <c r="B829" t="s">
        <v>3093</v>
      </c>
      <c r="D829" t="s">
        <v>40</v>
      </c>
      <c r="E829" t="s">
        <v>41</v>
      </c>
      <c r="J829" t="s">
        <v>290</v>
      </c>
      <c r="K829" t="s">
        <v>291</v>
      </c>
      <c r="L829">
        <v>5</v>
      </c>
      <c r="M829" t="s">
        <v>3094</v>
      </c>
      <c r="N829" t="s">
        <v>59</v>
      </c>
      <c r="O829" t="s">
        <v>47</v>
      </c>
      <c r="P829" t="s">
        <v>47</v>
      </c>
      <c r="Y829" t="s">
        <v>3095</v>
      </c>
      <c r="AG829" t="s">
        <v>48</v>
      </c>
    </row>
    <row r="830" spans="1:33">
      <c r="A830" t="s">
        <v>3096</v>
      </c>
      <c r="B830" t="s">
        <v>3097</v>
      </c>
      <c r="D830" t="s">
        <v>40</v>
      </c>
      <c r="E830" t="s">
        <v>41</v>
      </c>
      <c r="H830" t="s">
        <v>3098</v>
      </c>
      <c r="J830" t="s">
        <v>63</v>
      </c>
      <c r="K830" t="s">
        <v>64</v>
      </c>
      <c r="L830">
        <v>5</v>
      </c>
      <c r="M830" t="s">
        <v>3099</v>
      </c>
      <c r="N830" t="s">
        <v>59</v>
      </c>
      <c r="O830" t="s">
        <v>47</v>
      </c>
      <c r="P830" t="s">
        <v>47</v>
      </c>
      <c r="Y830" t="s">
        <v>3098</v>
      </c>
      <c r="AG830" t="s">
        <v>48</v>
      </c>
    </row>
    <row r="831" spans="1:33">
      <c r="A831" t="s">
        <v>3100</v>
      </c>
      <c r="B831" t="s">
        <v>3101</v>
      </c>
      <c r="D831" t="s">
        <v>40</v>
      </c>
      <c r="E831" t="s">
        <v>41</v>
      </c>
      <c r="J831" t="s">
        <v>162</v>
      </c>
      <c r="K831" t="s">
        <v>163</v>
      </c>
      <c r="L831">
        <v>5</v>
      </c>
      <c r="M831" t="s">
        <v>3102</v>
      </c>
      <c r="N831" t="s">
        <v>59</v>
      </c>
      <c r="O831" t="s">
        <v>47</v>
      </c>
      <c r="P831" t="s">
        <v>47</v>
      </c>
      <c r="Y831" t="s">
        <v>3103</v>
      </c>
      <c r="AG831" t="s">
        <v>48</v>
      </c>
    </row>
    <row r="832" spans="1:33">
      <c r="A832" t="s">
        <v>3104</v>
      </c>
      <c r="B832" t="s">
        <v>3105</v>
      </c>
      <c r="D832" t="s">
        <v>40</v>
      </c>
      <c r="E832" t="s">
        <v>41</v>
      </c>
      <c r="H832" t="s">
        <v>3106</v>
      </c>
      <c r="J832" t="s">
        <v>290</v>
      </c>
      <c r="K832" t="s">
        <v>291</v>
      </c>
      <c r="L832">
        <v>5</v>
      </c>
      <c r="M832" t="s">
        <v>3107</v>
      </c>
      <c r="N832" t="s">
        <v>59</v>
      </c>
      <c r="O832" t="s">
        <v>47</v>
      </c>
      <c r="P832" t="s">
        <v>47</v>
      </c>
      <c r="Y832" t="s">
        <v>3106</v>
      </c>
      <c r="AG832" t="s">
        <v>48</v>
      </c>
    </row>
    <row r="833" spans="1:33">
      <c r="A833" t="s">
        <v>3108</v>
      </c>
      <c r="B833" t="s">
        <v>3109</v>
      </c>
      <c r="D833" t="s">
        <v>40</v>
      </c>
      <c r="E833" t="s">
        <v>41</v>
      </c>
      <c r="J833" t="s">
        <v>290</v>
      </c>
      <c r="K833" t="s">
        <v>291</v>
      </c>
      <c r="L833">
        <v>5</v>
      </c>
      <c r="M833" t="s">
        <v>3107</v>
      </c>
      <c r="N833" t="s">
        <v>59</v>
      </c>
      <c r="O833" t="s">
        <v>47</v>
      </c>
      <c r="P833" t="s">
        <v>47</v>
      </c>
      <c r="Y833" t="s">
        <v>3110</v>
      </c>
      <c r="AG833" t="s">
        <v>48</v>
      </c>
    </row>
    <row r="834" spans="1:33">
      <c r="A834" t="s">
        <v>3111</v>
      </c>
      <c r="B834" t="s">
        <v>3112</v>
      </c>
      <c r="D834" t="s">
        <v>40</v>
      </c>
      <c r="E834" t="s">
        <v>41</v>
      </c>
      <c r="J834" t="s">
        <v>290</v>
      </c>
      <c r="K834" t="s">
        <v>291</v>
      </c>
      <c r="L834">
        <v>5</v>
      </c>
      <c r="M834" t="s">
        <v>3107</v>
      </c>
      <c r="N834" t="s">
        <v>59</v>
      </c>
      <c r="O834" t="s">
        <v>47</v>
      </c>
      <c r="P834" t="s">
        <v>47</v>
      </c>
      <c r="Y834" t="s">
        <v>3113</v>
      </c>
      <c r="AG834" t="s">
        <v>48</v>
      </c>
    </row>
    <row r="835" spans="1:33">
      <c r="A835" t="s">
        <v>3114</v>
      </c>
      <c r="B835" t="s">
        <v>3115</v>
      </c>
      <c r="D835" t="s">
        <v>40</v>
      </c>
      <c r="E835" t="s">
        <v>41</v>
      </c>
      <c r="J835" t="s">
        <v>162</v>
      </c>
      <c r="K835" t="s">
        <v>163</v>
      </c>
      <c r="L835">
        <v>5</v>
      </c>
      <c r="M835" t="s">
        <v>3107</v>
      </c>
      <c r="N835" t="s">
        <v>59</v>
      </c>
      <c r="O835" t="s">
        <v>47</v>
      </c>
      <c r="P835" t="s">
        <v>47</v>
      </c>
      <c r="Y835" t="s">
        <v>3116</v>
      </c>
      <c r="AG835" t="s">
        <v>48</v>
      </c>
    </row>
    <row r="836" spans="1:33">
      <c r="A836" t="s">
        <v>3117</v>
      </c>
      <c r="B836" t="s">
        <v>3118</v>
      </c>
      <c r="D836" t="s">
        <v>40</v>
      </c>
      <c r="E836" t="s">
        <v>41</v>
      </c>
      <c r="J836" t="s">
        <v>123</v>
      </c>
      <c r="K836" t="s">
        <v>124</v>
      </c>
      <c r="L836">
        <v>5</v>
      </c>
      <c r="M836" t="s">
        <v>3119</v>
      </c>
      <c r="N836" t="s">
        <v>218</v>
      </c>
      <c r="O836" t="s">
        <v>47</v>
      </c>
      <c r="P836" t="s">
        <v>47</v>
      </c>
      <c r="Y836" t="s">
        <v>3120</v>
      </c>
      <c r="AG836" t="s">
        <v>48</v>
      </c>
    </row>
    <row r="837" spans="1:33">
      <c r="A837" t="s">
        <v>3121</v>
      </c>
      <c r="B837" t="s">
        <v>3122</v>
      </c>
      <c r="D837" t="s">
        <v>40</v>
      </c>
      <c r="E837" t="s">
        <v>41</v>
      </c>
      <c r="H837" t="s">
        <v>3123</v>
      </c>
      <c r="J837" t="s">
        <v>162</v>
      </c>
      <c r="K837" t="s">
        <v>163</v>
      </c>
      <c r="L837">
        <v>5</v>
      </c>
      <c r="M837" t="s">
        <v>3119</v>
      </c>
      <c r="N837" t="s">
        <v>59</v>
      </c>
      <c r="O837" t="s">
        <v>47</v>
      </c>
      <c r="P837" t="s">
        <v>47</v>
      </c>
      <c r="Y837" t="s">
        <v>3123</v>
      </c>
      <c r="AG837" t="s">
        <v>48</v>
      </c>
    </row>
    <row r="838" spans="1:33">
      <c r="A838" t="s">
        <v>3124</v>
      </c>
      <c r="B838" t="s">
        <v>3125</v>
      </c>
      <c r="D838" t="s">
        <v>40</v>
      </c>
      <c r="E838" t="s">
        <v>41</v>
      </c>
      <c r="J838" t="s">
        <v>162</v>
      </c>
      <c r="K838" t="s">
        <v>163</v>
      </c>
      <c r="L838">
        <v>5</v>
      </c>
      <c r="M838" t="s">
        <v>3126</v>
      </c>
      <c r="N838" t="s">
        <v>59</v>
      </c>
      <c r="O838" t="s">
        <v>47</v>
      </c>
      <c r="P838" t="s">
        <v>47</v>
      </c>
      <c r="Y838" t="s">
        <v>3127</v>
      </c>
      <c r="AG838" t="s">
        <v>48</v>
      </c>
    </row>
    <row r="839" spans="1:33">
      <c r="A839" t="s">
        <v>3128</v>
      </c>
      <c r="B839" t="s">
        <v>3129</v>
      </c>
      <c r="D839" t="s">
        <v>40</v>
      </c>
      <c r="E839" t="s">
        <v>41</v>
      </c>
      <c r="J839" t="s">
        <v>43</v>
      </c>
      <c r="K839" t="s">
        <v>44</v>
      </c>
      <c r="L839">
        <v>5</v>
      </c>
      <c r="M839" t="s">
        <v>3126</v>
      </c>
      <c r="N839" t="s">
        <v>192</v>
      </c>
      <c r="O839" t="s">
        <v>47</v>
      </c>
      <c r="P839" t="s">
        <v>47</v>
      </c>
      <c r="Y839" t="s">
        <v>3130</v>
      </c>
      <c r="AG839" t="s">
        <v>48</v>
      </c>
    </row>
    <row r="840" spans="1:33">
      <c r="A840" t="s">
        <v>3131</v>
      </c>
      <c r="B840" t="s">
        <v>3132</v>
      </c>
      <c r="D840" t="s">
        <v>40</v>
      </c>
      <c r="E840" t="s">
        <v>41</v>
      </c>
      <c r="J840" t="s">
        <v>129</v>
      </c>
      <c r="K840" t="s">
        <v>130</v>
      </c>
      <c r="L840">
        <v>5</v>
      </c>
      <c r="M840" t="s">
        <v>3133</v>
      </c>
      <c r="N840" t="s">
        <v>192</v>
      </c>
      <c r="O840" t="s">
        <v>47</v>
      </c>
      <c r="P840" t="s">
        <v>47</v>
      </c>
      <c r="Y840" t="s">
        <v>3134</v>
      </c>
      <c r="AG840" t="s">
        <v>48</v>
      </c>
    </row>
    <row r="841" spans="1:33">
      <c r="A841" t="s">
        <v>3135</v>
      </c>
      <c r="B841" t="s">
        <v>3136</v>
      </c>
      <c r="D841" t="s">
        <v>40</v>
      </c>
      <c r="E841" t="s">
        <v>41</v>
      </c>
      <c r="J841" t="s">
        <v>290</v>
      </c>
      <c r="K841" t="s">
        <v>291</v>
      </c>
      <c r="L841">
        <v>5</v>
      </c>
      <c r="M841" t="s">
        <v>3133</v>
      </c>
      <c r="N841" t="s">
        <v>59</v>
      </c>
      <c r="O841" t="s">
        <v>47</v>
      </c>
      <c r="P841" t="s">
        <v>47</v>
      </c>
      <c r="Y841" t="s">
        <v>3137</v>
      </c>
      <c r="AG841" t="s">
        <v>48</v>
      </c>
    </row>
    <row r="842" spans="1:33">
      <c r="A842" t="s">
        <v>3138</v>
      </c>
      <c r="B842" t="s">
        <v>3139</v>
      </c>
      <c r="D842" t="s">
        <v>40</v>
      </c>
      <c r="E842" t="s">
        <v>41</v>
      </c>
      <c r="J842" t="s">
        <v>123</v>
      </c>
      <c r="K842" t="s">
        <v>124</v>
      </c>
      <c r="L842">
        <v>5</v>
      </c>
      <c r="M842" t="s">
        <v>3133</v>
      </c>
      <c r="N842" t="s">
        <v>218</v>
      </c>
      <c r="O842" t="s">
        <v>47</v>
      </c>
      <c r="P842" t="s">
        <v>47</v>
      </c>
      <c r="Y842" t="s">
        <v>3140</v>
      </c>
      <c r="AG842" t="s">
        <v>48</v>
      </c>
    </row>
    <row r="843" spans="1:33">
      <c r="A843" t="s">
        <v>3141</v>
      </c>
      <c r="B843" t="s">
        <v>3142</v>
      </c>
      <c r="D843" t="s">
        <v>40</v>
      </c>
      <c r="E843" t="s">
        <v>41</v>
      </c>
      <c r="J843" t="s">
        <v>270</v>
      </c>
      <c r="K843" t="s">
        <v>271</v>
      </c>
      <c r="L843">
        <v>5</v>
      </c>
      <c r="M843" t="s">
        <v>3143</v>
      </c>
      <c r="N843" t="s">
        <v>59</v>
      </c>
      <c r="O843" t="s">
        <v>47</v>
      </c>
      <c r="P843" t="s">
        <v>47</v>
      </c>
      <c r="Y843" t="s">
        <v>3144</v>
      </c>
      <c r="AG843" t="s">
        <v>48</v>
      </c>
    </row>
    <row r="844" spans="1:33">
      <c r="A844" t="s">
        <v>3145</v>
      </c>
      <c r="B844" t="s">
        <v>3146</v>
      </c>
      <c r="D844" t="s">
        <v>40</v>
      </c>
      <c r="E844" t="s">
        <v>41</v>
      </c>
      <c r="J844" t="s">
        <v>270</v>
      </c>
      <c r="K844" t="s">
        <v>271</v>
      </c>
      <c r="L844">
        <v>5</v>
      </c>
      <c r="M844" t="s">
        <v>3147</v>
      </c>
      <c r="N844" t="s">
        <v>59</v>
      </c>
      <c r="O844" t="s">
        <v>47</v>
      </c>
      <c r="P844" t="s">
        <v>47</v>
      </c>
      <c r="Y844" t="s">
        <v>3148</v>
      </c>
      <c r="AG844" t="s">
        <v>48</v>
      </c>
    </row>
    <row r="845" spans="1:33">
      <c r="A845" t="s">
        <v>3149</v>
      </c>
      <c r="B845" t="s">
        <v>3150</v>
      </c>
      <c r="D845" t="s">
        <v>40</v>
      </c>
      <c r="E845" t="s">
        <v>41</v>
      </c>
      <c r="J845" t="s">
        <v>129</v>
      </c>
      <c r="K845" t="s">
        <v>130</v>
      </c>
      <c r="L845">
        <v>5</v>
      </c>
      <c r="M845" t="s">
        <v>3147</v>
      </c>
      <c r="N845" t="s">
        <v>192</v>
      </c>
      <c r="O845" t="s">
        <v>47</v>
      </c>
      <c r="P845" t="s">
        <v>47</v>
      </c>
      <c r="Y845" t="s">
        <v>3151</v>
      </c>
      <c r="AG845" t="s">
        <v>48</v>
      </c>
    </row>
    <row r="846" spans="1:33">
      <c r="A846" t="s">
        <v>3152</v>
      </c>
      <c r="B846" t="s">
        <v>3153</v>
      </c>
      <c r="D846" t="s">
        <v>40</v>
      </c>
      <c r="E846" t="s">
        <v>41</v>
      </c>
      <c r="H846" t="s">
        <v>3154</v>
      </c>
      <c r="J846" t="s">
        <v>129</v>
      </c>
      <c r="K846" t="s">
        <v>130</v>
      </c>
      <c r="L846">
        <v>5</v>
      </c>
      <c r="M846" t="s">
        <v>3155</v>
      </c>
      <c r="N846" t="s">
        <v>218</v>
      </c>
      <c r="O846" t="s">
        <v>47</v>
      </c>
      <c r="P846" t="s">
        <v>47</v>
      </c>
      <c r="Y846" t="s">
        <v>3154</v>
      </c>
      <c r="AG846" t="s">
        <v>48</v>
      </c>
    </row>
    <row r="847" spans="1:33">
      <c r="A847" t="s">
        <v>3156</v>
      </c>
      <c r="B847" t="s">
        <v>3157</v>
      </c>
      <c r="D847" t="s">
        <v>40</v>
      </c>
      <c r="E847" t="s">
        <v>41</v>
      </c>
      <c r="J847" t="s">
        <v>290</v>
      </c>
      <c r="K847" t="s">
        <v>291</v>
      </c>
      <c r="L847">
        <v>5</v>
      </c>
      <c r="M847" t="s">
        <v>3158</v>
      </c>
      <c r="N847" t="s">
        <v>59</v>
      </c>
      <c r="O847" t="s">
        <v>47</v>
      </c>
      <c r="P847" t="s">
        <v>47</v>
      </c>
      <c r="Y847" t="s">
        <v>3159</v>
      </c>
      <c r="AG847" t="s">
        <v>48</v>
      </c>
    </row>
    <row r="848" spans="1:33">
      <c r="A848" t="s">
        <v>3160</v>
      </c>
      <c r="B848" t="s">
        <v>3161</v>
      </c>
      <c r="D848" t="s">
        <v>40</v>
      </c>
      <c r="E848" t="s">
        <v>41</v>
      </c>
      <c r="J848" t="s">
        <v>162</v>
      </c>
      <c r="K848" t="s">
        <v>163</v>
      </c>
      <c r="L848">
        <v>5</v>
      </c>
      <c r="M848" t="s">
        <v>3162</v>
      </c>
      <c r="N848" t="s">
        <v>59</v>
      </c>
      <c r="O848" t="s">
        <v>47</v>
      </c>
      <c r="P848" t="s">
        <v>47</v>
      </c>
      <c r="Y848" t="s">
        <v>3163</v>
      </c>
      <c r="AG848" t="s">
        <v>48</v>
      </c>
    </row>
    <row r="849" spans="1:33">
      <c r="A849" t="s">
        <v>3164</v>
      </c>
      <c r="B849" t="s">
        <v>3165</v>
      </c>
      <c r="D849" t="s">
        <v>40</v>
      </c>
      <c r="E849" t="s">
        <v>41</v>
      </c>
      <c r="J849" t="s">
        <v>290</v>
      </c>
      <c r="K849" t="s">
        <v>291</v>
      </c>
      <c r="L849">
        <v>5</v>
      </c>
      <c r="M849" t="s">
        <v>3162</v>
      </c>
      <c r="N849" t="s">
        <v>59</v>
      </c>
      <c r="O849" t="s">
        <v>47</v>
      </c>
      <c r="P849" t="s">
        <v>47</v>
      </c>
      <c r="Y849" t="s">
        <v>3166</v>
      </c>
      <c r="AG849" t="s">
        <v>48</v>
      </c>
    </row>
    <row r="850" spans="1:33">
      <c r="A850" t="s">
        <v>3167</v>
      </c>
      <c r="B850" t="s">
        <v>3168</v>
      </c>
      <c r="D850" t="s">
        <v>40</v>
      </c>
      <c r="E850" t="s">
        <v>41</v>
      </c>
      <c r="J850" t="s">
        <v>162</v>
      </c>
      <c r="K850" t="s">
        <v>163</v>
      </c>
      <c r="L850">
        <v>5</v>
      </c>
      <c r="M850" t="s">
        <v>3162</v>
      </c>
      <c r="N850" t="s">
        <v>59</v>
      </c>
      <c r="O850" t="s">
        <v>47</v>
      </c>
      <c r="P850" t="s">
        <v>47</v>
      </c>
      <c r="Y850" t="s">
        <v>3169</v>
      </c>
      <c r="AG850" t="s">
        <v>48</v>
      </c>
    </row>
    <row r="851" spans="1:33">
      <c r="A851" t="s">
        <v>3170</v>
      </c>
      <c r="B851" t="s">
        <v>3171</v>
      </c>
      <c r="D851" t="s">
        <v>40</v>
      </c>
      <c r="E851" t="s">
        <v>41</v>
      </c>
      <c r="J851" t="s">
        <v>290</v>
      </c>
      <c r="K851" t="s">
        <v>291</v>
      </c>
      <c r="L851">
        <v>5</v>
      </c>
      <c r="M851" t="s">
        <v>3172</v>
      </c>
      <c r="N851" t="s">
        <v>59</v>
      </c>
      <c r="O851" t="s">
        <v>47</v>
      </c>
      <c r="P851" t="s">
        <v>47</v>
      </c>
      <c r="Y851" t="s">
        <v>3173</v>
      </c>
      <c r="AG851" t="s">
        <v>48</v>
      </c>
    </row>
    <row r="852" spans="1:33">
      <c r="A852" t="s">
        <v>3174</v>
      </c>
      <c r="B852" t="s">
        <v>3175</v>
      </c>
      <c r="D852" t="s">
        <v>40</v>
      </c>
      <c r="E852" t="s">
        <v>41</v>
      </c>
      <c r="J852" t="s">
        <v>108</v>
      </c>
      <c r="K852" t="s">
        <v>109</v>
      </c>
      <c r="L852">
        <v>5</v>
      </c>
      <c r="M852" t="s">
        <v>3176</v>
      </c>
      <c r="N852" t="s">
        <v>59</v>
      </c>
      <c r="O852" t="s">
        <v>47</v>
      </c>
      <c r="P852" t="s">
        <v>47</v>
      </c>
      <c r="Y852" t="s">
        <v>3177</v>
      </c>
      <c r="AG852" t="s">
        <v>48</v>
      </c>
    </row>
    <row r="853" spans="1:33">
      <c r="A853" t="s">
        <v>3178</v>
      </c>
      <c r="B853" t="s">
        <v>3179</v>
      </c>
      <c r="D853" t="s">
        <v>40</v>
      </c>
      <c r="E853" t="s">
        <v>41</v>
      </c>
      <c r="J853" t="s">
        <v>108</v>
      </c>
      <c r="K853" t="s">
        <v>109</v>
      </c>
      <c r="L853">
        <v>5</v>
      </c>
      <c r="M853" t="s">
        <v>3180</v>
      </c>
      <c r="N853" t="s">
        <v>59</v>
      </c>
      <c r="O853" t="s">
        <v>47</v>
      </c>
      <c r="P853" t="s">
        <v>47</v>
      </c>
      <c r="Y853" t="s">
        <v>3181</v>
      </c>
      <c r="AG853" t="s">
        <v>48</v>
      </c>
    </row>
    <row r="854" spans="1:33">
      <c r="A854" t="s">
        <v>117</v>
      </c>
      <c r="B854" t="s">
        <v>3182</v>
      </c>
      <c r="D854" t="s">
        <v>40</v>
      </c>
      <c r="E854" t="s">
        <v>41</v>
      </c>
      <c r="J854" t="s">
        <v>290</v>
      </c>
      <c r="K854" t="s">
        <v>291</v>
      </c>
      <c r="L854">
        <v>5</v>
      </c>
      <c r="M854" t="s">
        <v>3180</v>
      </c>
      <c r="N854" t="s">
        <v>59</v>
      </c>
      <c r="O854" t="s">
        <v>47</v>
      </c>
      <c r="P854" t="s">
        <v>47</v>
      </c>
      <c r="Y854" t="s">
        <v>3183</v>
      </c>
      <c r="AG854" t="s">
        <v>48</v>
      </c>
    </row>
    <row r="855" spans="1:33">
      <c r="A855" t="s">
        <v>3184</v>
      </c>
      <c r="B855" t="s">
        <v>3185</v>
      </c>
      <c r="D855" t="s">
        <v>40</v>
      </c>
      <c r="E855" t="s">
        <v>41</v>
      </c>
      <c r="H855" t="s">
        <v>3186</v>
      </c>
      <c r="J855" t="s">
        <v>129</v>
      </c>
      <c r="K855" t="s">
        <v>130</v>
      </c>
      <c r="L855">
        <v>5</v>
      </c>
      <c r="M855" t="s">
        <v>3187</v>
      </c>
      <c r="N855" t="s">
        <v>192</v>
      </c>
      <c r="O855" t="s">
        <v>47</v>
      </c>
      <c r="P855" t="s">
        <v>47</v>
      </c>
      <c r="Y855" t="s">
        <v>3186</v>
      </c>
      <c r="AG855" t="s">
        <v>48</v>
      </c>
    </row>
    <row r="856" spans="1:33">
      <c r="A856" t="s">
        <v>3188</v>
      </c>
      <c r="B856" t="s">
        <v>3189</v>
      </c>
      <c r="D856" t="s">
        <v>40</v>
      </c>
      <c r="E856" t="s">
        <v>41</v>
      </c>
      <c r="J856" t="s">
        <v>270</v>
      </c>
      <c r="K856" t="s">
        <v>271</v>
      </c>
      <c r="L856">
        <v>5</v>
      </c>
      <c r="M856" t="s">
        <v>3190</v>
      </c>
      <c r="N856" t="s">
        <v>59</v>
      </c>
      <c r="O856" t="s">
        <v>47</v>
      </c>
      <c r="P856" t="s">
        <v>47</v>
      </c>
      <c r="Y856" t="s">
        <v>3191</v>
      </c>
      <c r="AG856" t="s">
        <v>48</v>
      </c>
    </row>
    <row r="857" spans="1:33">
      <c r="A857" t="s">
        <v>3192</v>
      </c>
      <c r="B857" t="s">
        <v>3193</v>
      </c>
      <c r="D857" t="s">
        <v>40</v>
      </c>
      <c r="E857" t="s">
        <v>41</v>
      </c>
      <c r="J857" t="s">
        <v>290</v>
      </c>
      <c r="K857" t="s">
        <v>291</v>
      </c>
      <c r="L857">
        <v>5</v>
      </c>
      <c r="M857" t="s">
        <v>3190</v>
      </c>
      <c r="N857" t="s">
        <v>59</v>
      </c>
      <c r="O857" t="s">
        <v>47</v>
      </c>
      <c r="P857" t="s">
        <v>47</v>
      </c>
      <c r="Y857" t="s">
        <v>3194</v>
      </c>
      <c r="AG857" t="s">
        <v>48</v>
      </c>
    </row>
    <row r="858" spans="1:33">
      <c r="A858" t="s">
        <v>117</v>
      </c>
      <c r="B858" t="s">
        <v>3195</v>
      </c>
      <c r="D858" t="s">
        <v>40</v>
      </c>
      <c r="E858" t="s">
        <v>41</v>
      </c>
      <c r="J858" t="s">
        <v>270</v>
      </c>
      <c r="K858" t="s">
        <v>271</v>
      </c>
      <c r="L858">
        <v>5</v>
      </c>
      <c r="M858" t="s">
        <v>3190</v>
      </c>
      <c r="N858" t="s">
        <v>59</v>
      </c>
      <c r="O858" t="s">
        <v>47</v>
      </c>
      <c r="P858" t="s">
        <v>47</v>
      </c>
      <c r="Y858" t="s">
        <v>3196</v>
      </c>
      <c r="AG858" t="s">
        <v>48</v>
      </c>
    </row>
    <row r="859" spans="1:33">
      <c r="A859" t="s">
        <v>3197</v>
      </c>
      <c r="B859" t="s">
        <v>3198</v>
      </c>
      <c r="D859" t="s">
        <v>40</v>
      </c>
      <c r="E859" t="s">
        <v>41</v>
      </c>
      <c r="J859" t="s">
        <v>270</v>
      </c>
      <c r="K859" t="s">
        <v>271</v>
      </c>
      <c r="L859">
        <v>5</v>
      </c>
      <c r="M859" t="s">
        <v>3199</v>
      </c>
      <c r="N859" t="s">
        <v>59</v>
      </c>
      <c r="O859" t="s">
        <v>47</v>
      </c>
      <c r="P859" t="s">
        <v>47</v>
      </c>
      <c r="Y859" t="s">
        <v>3200</v>
      </c>
      <c r="AG859" t="s">
        <v>48</v>
      </c>
    </row>
    <row r="860" spans="1:33">
      <c r="A860" t="s">
        <v>3201</v>
      </c>
      <c r="B860" t="s">
        <v>3202</v>
      </c>
      <c r="D860" t="s">
        <v>40</v>
      </c>
      <c r="E860" t="s">
        <v>41</v>
      </c>
      <c r="J860" t="s">
        <v>114</v>
      </c>
      <c r="K860" t="s">
        <v>115</v>
      </c>
      <c r="L860">
        <v>5</v>
      </c>
      <c r="M860" t="s">
        <v>3203</v>
      </c>
      <c r="N860" t="s">
        <v>59</v>
      </c>
      <c r="O860" t="s">
        <v>47</v>
      </c>
      <c r="P860" t="s">
        <v>47</v>
      </c>
      <c r="Y860" t="s">
        <v>3204</v>
      </c>
      <c r="AG860" t="s">
        <v>48</v>
      </c>
    </row>
    <row r="861" spans="1:33">
      <c r="A861" t="s">
        <v>3205</v>
      </c>
      <c r="B861" t="s">
        <v>3206</v>
      </c>
      <c r="D861" t="s">
        <v>40</v>
      </c>
      <c r="E861" t="s">
        <v>41</v>
      </c>
      <c r="J861" t="s">
        <v>270</v>
      </c>
      <c r="K861" t="s">
        <v>271</v>
      </c>
      <c r="L861">
        <v>5</v>
      </c>
      <c r="M861" t="s">
        <v>3207</v>
      </c>
      <c r="N861" t="s">
        <v>59</v>
      </c>
      <c r="O861" t="s">
        <v>47</v>
      </c>
      <c r="P861" t="s">
        <v>47</v>
      </c>
      <c r="Y861" t="s">
        <v>3208</v>
      </c>
      <c r="AG861" t="s">
        <v>48</v>
      </c>
    </row>
    <row r="862" spans="1:33">
      <c r="A862" t="s">
        <v>3209</v>
      </c>
      <c r="B862" t="s">
        <v>3210</v>
      </c>
      <c r="D862" t="s">
        <v>40</v>
      </c>
      <c r="E862" t="s">
        <v>41</v>
      </c>
      <c r="J862" t="s">
        <v>43</v>
      </c>
      <c r="K862" t="s">
        <v>44</v>
      </c>
      <c r="L862">
        <v>5</v>
      </c>
      <c r="M862" t="s">
        <v>3207</v>
      </c>
      <c r="N862" t="s">
        <v>192</v>
      </c>
      <c r="O862" t="s">
        <v>47</v>
      </c>
      <c r="P862" t="s">
        <v>47</v>
      </c>
      <c r="Y862" t="s">
        <v>3211</v>
      </c>
      <c r="AG862" t="s">
        <v>48</v>
      </c>
    </row>
    <row r="863" spans="1:33">
      <c r="A863" t="s">
        <v>3212</v>
      </c>
      <c r="B863" t="s">
        <v>3213</v>
      </c>
      <c r="D863" t="s">
        <v>40</v>
      </c>
      <c r="E863" t="s">
        <v>41</v>
      </c>
      <c r="J863" t="s">
        <v>162</v>
      </c>
      <c r="K863" t="s">
        <v>163</v>
      </c>
      <c r="L863">
        <v>5</v>
      </c>
      <c r="M863" t="s">
        <v>3214</v>
      </c>
      <c r="N863" t="s">
        <v>59</v>
      </c>
      <c r="O863" t="s">
        <v>47</v>
      </c>
      <c r="P863" t="s">
        <v>47</v>
      </c>
      <c r="Y863" t="s">
        <v>3215</v>
      </c>
      <c r="AG863" t="s">
        <v>48</v>
      </c>
    </row>
    <row r="864" spans="1:33">
      <c r="A864" t="s">
        <v>3216</v>
      </c>
      <c r="B864" t="s">
        <v>3217</v>
      </c>
      <c r="D864" t="s">
        <v>40</v>
      </c>
      <c r="E864" t="s">
        <v>41</v>
      </c>
      <c r="J864" t="s">
        <v>108</v>
      </c>
      <c r="K864" t="s">
        <v>109</v>
      </c>
      <c r="L864">
        <v>5</v>
      </c>
      <c r="M864" t="s">
        <v>3214</v>
      </c>
      <c r="N864" t="s">
        <v>59</v>
      </c>
      <c r="O864" t="s">
        <v>47</v>
      </c>
      <c r="P864" t="s">
        <v>47</v>
      </c>
      <c r="Y864" t="s">
        <v>3218</v>
      </c>
      <c r="AG864" t="s">
        <v>48</v>
      </c>
    </row>
    <row r="865" spans="1:33">
      <c r="A865" t="s">
        <v>3219</v>
      </c>
      <c r="B865" t="s">
        <v>3220</v>
      </c>
      <c r="D865" t="s">
        <v>40</v>
      </c>
      <c r="E865" t="s">
        <v>41</v>
      </c>
      <c r="J865" t="s">
        <v>108</v>
      </c>
      <c r="K865" t="s">
        <v>109</v>
      </c>
      <c r="L865">
        <v>5</v>
      </c>
      <c r="M865" t="s">
        <v>3221</v>
      </c>
      <c r="N865" t="s">
        <v>59</v>
      </c>
      <c r="O865" t="s">
        <v>47</v>
      </c>
      <c r="P865" t="s">
        <v>47</v>
      </c>
      <c r="Y865" t="s">
        <v>3222</v>
      </c>
      <c r="AG865" t="s">
        <v>48</v>
      </c>
    </row>
    <row r="866" spans="1:33">
      <c r="A866" t="s">
        <v>3223</v>
      </c>
      <c r="B866" t="s">
        <v>3224</v>
      </c>
      <c r="D866" t="s">
        <v>40</v>
      </c>
      <c r="E866" t="s">
        <v>41</v>
      </c>
      <c r="H866" t="s">
        <v>3225</v>
      </c>
      <c r="J866" t="s">
        <v>69</v>
      </c>
      <c r="K866" t="s">
        <v>70</v>
      </c>
      <c r="L866">
        <v>5</v>
      </c>
      <c r="M866" t="s">
        <v>3226</v>
      </c>
      <c r="N866" t="s">
        <v>192</v>
      </c>
      <c r="O866" t="s">
        <v>47</v>
      </c>
      <c r="P866" t="s">
        <v>47</v>
      </c>
      <c r="Y866" t="s">
        <v>3225</v>
      </c>
      <c r="AG866" t="s">
        <v>48</v>
      </c>
    </row>
    <row r="867" spans="1:33">
      <c r="A867" t="s">
        <v>3227</v>
      </c>
      <c r="B867" t="s">
        <v>3228</v>
      </c>
      <c r="D867" t="s">
        <v>40</v>
      </c>
      <c r="E867" t="s">
        <v>41</v>
      </c>
      <c r="J867" t="s">
        <v>129</v>
      </c>
      <c r="K867" t="s">
        <v>130</v>
      </c>
      <c r="L867">
        <v>5</v>
      </c>
      <c r="M867" t="s">
        <v>3229</v>
      </c>
      <c r="N867" t="s">
        <v>218</v>
      </c>
      <c r="O867" t="s">
        <v>47</v>
      </c>
      <c r="P867" t="s">
        <v>47</v>
      </c>
      <c r="Y867" t="s">
        <v>3230</v>
      </c>
      <c r="AG867" t="s">
        <v>48</v>
      </c>
    </row>
    <row r="868" spans="1:33">
      <c r="A868" t="s">
        <v>3231</v>
      </c>
      <c r="B868" t="s">
        <v>3232</v>
      </c>
      <c r="D868" t="s">
        <v>40</v>
      </c>
      <c r="E868" t="s">
        <v>41</v>
      </c>
      <c r="H868" t="s">
        <v>3233</v>
      </c>
      <c r="J868" t="s">
        <v>162</v>
      </c>
      <c r="K868" t="s">
        <v>163</v>
      </c>
      <c r="L868">
        <v>5</v>
      </c>
      <c r="M868" t="s">
        <v>3229</v>
      </c>
      <c r="N868" t="s">
        <v>59</v>
      </c>
      <c r="O868" t="s">
        <v>47</v>
      </c>
      <c r="P868" t="s">
        <v>47</v>
      </c>
      <c r="Y868" t="s">
        <v>3233</v>
      </c>
      <c r="AG868" t="s">
        <v>48</v>
      </c>
    </row>
    <row r="869" spans="1:33">
      <c r="A869" t="s">
        <v>3234</v>
      </c>
      <c r="B869" t="s">
        <v>3235</v>
      </c>
      <c r="D869" t="s">
        <v>40</v>
      </c>
      <c r="E869" t="s">
        <v>41</v>
      </c>
      <c r="J869" t="s">
        <v>43</v>
      </c>
      <c r="K869" t="s">
        <v>44</v>
      </c>
      <c r="L869">
        <v>5</v>
      </c>
      <c r="M869" t="s">
        <v>3229</v>
      </c>
      <c r="N869" t="s">
        <v>192</v>
      </c>
      <c r="O869" t="s">
        <v>47</v>
      </c>
      <c r="P869" t="s">
        <v>47</v>
      </c>
      <c r="Y869" t="s">
        <v>3236</v>
      </c>
      <c r="AG869" t="s">
        <v>48</v>
      </c>
    </row>
    <row r="870" spans="1:33">
      <c r="A870" t="s">
        <v>3237</v>
      </c>
      <c r="B870" t="s">
        <v>3238</v>
      </c>
      <c r="D870" t="s">
        <v>40</v>
      </c>
      <c r="E870" t="s">
        <v>41</v>
      </c>
      <c r="J870" t="s">
        <v>108</v>
      </c>
      <c r="K870" t="s">
        <v>109</v>
      </c>
      <c r="L870">
        <v>5</v>
      </c>
      <c r="M870" t="s">
        <v>3239</v>
      </c>
      <c r="N870" t="s">
        <v>59</v>
      </c>
      <c r="O870" t="s">
        <v>47</v>
      </c>
      <c r="P870" t="s">
        <v>47</v>
      </c>
      <c r="Y870" t="s">
        <v>3240</v>
      </c>
      <c r="AG870" t="s">
        <v>48</v>
      </c>
    </row>
    <row r="871" spans="1:33">
      <c r="A871" t="s">
        <v>3241</v>
      </c>
      <c r="B871" t="s">
        <v>3242</v>
      </c>
      <c r="D871" t="s">
        <v>40</v>
      </c>
      <c r="E871" t="s">
        <v>41</v>
      </c>
      <c r="J871" t="s">
        <v>290</v>
      </c>
      <c r="K871" t="s">
        <v>291</v>
      </c>
      <c r="L871">
        <v>5</v>
      </c>
      <c r="M871" t="s">
        <v>3243</v>
      </c>
      <c r="N871" t="s">
        <v>59</v>
      </c>
      <c r="O871" t="s">
        <v>47</v>
      </c>
      <c r="P871" t="s">
        <v>47</v>
      </c>
      <c r="Y871" t="s">
        <v>3244</v>
      </c>
      <c r="AG871" t="s">
        <v>48</v>
      </c>
    </row>
    <row r="872" spans="1:33">
      <c r="A872" t="s">
        <v>3245</v>
      </c>
      <c r="B872" t="s">
        <v>3246</v>
      </c>
      <c r="D872" t="s">
        <v>40</v>
      </c>
      <c r="E872" t="s">
        <v>41</v>
      </c>
      <c r="J872" t="s">
        <v>290</v>
      </c>
      <c r="K872" t="s">
        <v>291</v>
      </c>
      <c r="L872">
        <v>5</v>
      </c>
      <c r="M872" t="s">
        <v>3247</v>
      </c>
      <c r="N872" t="s">
        <v>59</v>
      </c>
      <c r="O872" t="s">
        <v>47</v>
      </c>
      <c r="P872" t="s">
        <v>47</v>
      </c>
      <c r="Y872" t="s">
        <v>3248</v>
      </c>
      <c r="AG872" t="s">
        <v>48</v>
      </c>
    </row>
    <row r="873" spans="1:33">
      <c r="A873" t="s">
        <v>3249</v>
      </c>
      <c r="B873" t="s">
        <v>3250</v>
      </c>
      <c r="D873" t="s">
        <v>40</v>
      </c>
      <c r="E873" t="s">
        <v>41</v>
      </c>
      <c r="J873" t="s">
        <v>123</v>
      </c>
      <c r="K873" t="s">
        <v>124</v>
      </c>
      <c r="L873">
        <v>5</v>
      </c>
      <c r="M873" t="s">
        <v>3251</v>
      </c>
      <c r="N873" t="s">
        <v>218</v>
      </c>
      <c r="O873" t="s">
        <v>47</v>
      </c>
      <c r="P873" t="s">
        <v>47</v>
      </c>
      <c r="Y873" t="s">
        <v>3252</v>
      </c>
      <c r="AG873" t="s">
        <v>48</v>
      </c>
    </row>
    <row r="874" spans="1:33">
      <c r="A874" t="s">
        <v>3253</v>
      </c>
      <c r="B874" t="s">
        <v>3254</v>
      </c>
      <c r="D874" t="s">
        <v>40</v>
      </c>
      <c r="E874" t="s">
        <v>41</v>
      </c>
      <c r="J874" t="s">
        <v>162</v>
      </c>
      <c r="K874" t="s">
        <v>163</v>
      </c>
      <c r="L874">
        <v>5</v>
      </c>
      <c r="M874" t="s">
        <v>3255</v>
      </c>
      <c r="N874" t="s">
        <v>59</v>
      </c>
      <c r="O874" t="s">
        <v>47</v>
      </c>
      <c r="P874" t="s">
        <v>47</v>
      </c>
      <c r="Y874" t="s">
        <v>3256</v>
      </c>
      <c r="AG874" t="s">
        <v>48</v>
      </c>
    </row>
    <row r="875" spans="1:33">
      <c r="A875" t="s">
        <v>3257</v>
      </c>
      <c r="B875" t="s">
        <v>3258</v>
      </c>
      <c r="D875" t="s">
        <v>40</v>
      </c>
      <c r="E875" t="s">
        <v>41</v>
      </c>
      <c r="H875" t="s">
        <v>3259</v>
      </c>
      <c r="J875" t="s">
        <v>290</v>
      </c>
      <c r="K875" t="s">
        <v>291</v>
      </c>
      <c r="L875">
        <v>5</v>
      </c>
      <c r="M875" t="s">
        <v>3260</v>
      </c>
      <c r="N875" t="s">
        <v>59</v>
      </c>
      <c r="O875" t="s">
        <v>47</v>
      </c>
      <c r="P875" t="s">
        <v>47</v>
      </c>
      <c r="Y875" t="s">
        <v>3259</v>
      </c>
      <c r="AG875" t="s">
        <v>48</v>
      </c>
    </row>
    <row r="876" spans="1:33">
      <c r="A876" t="s">
        <v>3261</v>
      </c>
      <c r="B876" t="s">
        <v>3262</v>
      </c>
      <c r="D876" t="s">
        <v>40</v>
      </c>
      <c r="E876" t="s">
        <v>41</v>
      </c>
      <c r="J876" t="s">
        <v>114</v>
      </c>
      <c r="K876" t="s">
        <v>115</v>
      </c>
      <c r="L876">
        <v>5</v>
      </c>
      <c r="M876" t="s">
        <v>3263</v>
      </c>
      <c r="N876" t="s">
        <v>59</v>
      </c>
      <c r="O876" t="s">
        <v>47</v>
      </c>
      <c r="P876" t="s">
        <v>47</v>
      </c>
      <c r="Y876" t="s">
        <v>3264</v>
      </c>
      <c r="AG876" t="s">
        <v>48</v>
      </c>
    </row>
    <row r="877" spans="1:33">
      <c r="A877" t="s">
        <v>3265</v>
      </c>
      <c r="B877" t="s">
        <v>3266</v>
      </c>
      <c r="D877" t="s">
        <v>40</v>
      </c>
      <c r="E877" t="s">
        <v>41</v>
      </c>
      <c r="J877" t="s">
        <v>162</v>
      </c>
      <c r="K877" t="s">
        <v>163</v>
      </c>
      <c r="L877">
        <v>5</v>
      </c>
      <c r="M877" t="s">
        <v>3267</v>
      </c>
      <c r="N877" t="s">
        <v>59</v>
      </c>
      <c r="O877" t="s">
        <v>47</v>
      </c>
      <c r="P877" t="s">
        <v>47</v>
      </c>
      <c r="Y877" t="s">
        <v>3268</v>
      </c>
      <c r="AG877" t="s">
        <v>48</v>
      </c>
    </row>
    <row r="878" spans="1:33">
      <c r="A878" t="s">
        <v>3269</v>
      </c>
      <c r="B878" t="s">
        <v>3270</v>
      </c>
      <c r="D878" t="s">
        <v>40</v>
      </c>
      <c r="E878" t="s">
        <v>41</v>
      </c>
      <c r="J878" t="s">
        <v>114</v>
      </c>
      <c r="K878" t="s">
        <v>115</v>
      </c>
      <c r="L878">
        <v>5</v>
      </c>
      <c r="M878" t="s">
        <v>3271</v>
      </c>
      <c r="N878" t="s">
        <v>59</v>
      </c>
      <c r="O878" t="s">
        <v>47</v>
      </c>
      <c r="P878" t="s">
        <v>47</v>
      </c>
      <c r="Y878" t="s">
        <v>3272</v>
      </c>
      <c r="AG878" t="s">
        <v>48</v>
      </c>
    </row>
    <row r="879" spans="1:33">
      <c r="A879" t="s">
        <v>3273</v>
      </c>
      <c r="B879" t="s">
        <v>3274</v>
      </c>
      <c r="D879" t="s">
        <v>40</v>
      </c>
      <c r="E879" t="s">
        <v>41</v>
      </c>
      <c r="J879" t="s">
        <v>108</v>
      </c>
      <c r="K879" t="s">
        <v>109</v>
      </c>
      <c r="L879">
        <v>5</v>
      </c>
      <c r="M879" t="s">
        <v>3271</v>
      </c>
      <c r="N879" t="s">
        <v>59</v>
      </c>
      <c r="O879" t="s">
        <v>47</v>
      </c>
      <c r="P879" t="s">
        <v>47</v>
      </c>
      <c r="Y879" t="s">
        <v>3275</v>
      </c>
      <c r="AG879" t="s">
        <v>48</v>
      </c>
    </row>
    <row r="880" spans="1:33">
      <c r="A880" t="s">
        <v>3276</v>
      </c>
      <c r="B880" t="s">
        <v>3277</v>
      </c>
      <c r="D880" t="s">
        <v>40</v>
      </c>
      <c r="E880" t="s">
        <v>41</v>
      </c>
      <c r="J880" t="s">
        <v>69</v>
      </c>
      <c r="K880" t="s">
        <v>70</v>
      </c>
      <c r="L880">
        <v>5</v>
      </c>
      <c r="M880" t="s">
        <v>3271</v>
      </c>
      <c r="N880" t="s">
        <v>192</v>
      </c>
      <c r="O880" t="s">
        <v>47</v>
      </c>
      <c r="P880" t="s">
        <v>47</v>
      </c>
      <c r="Y880" t="s">
        <v>3278</v>
      </c>
      <c r="AG880" t="s">
        <v>48</v>
      </c>
    </row>
    <row r="881" spans="1:33">
      <c r="A881" t="s">
        <v>3279</v>
      </c>
      <c r="B881" t="s">
        <v>3280</v>
      </c>
      <c r="D881" t="s">
        <v>40</v>
      </c>
      <c r="E881" t="s">
        <v>41</v>
      </c>
      <c r="J881" t="s">
        <v>290</v>
      </c>
      <c r="K881" t="s">
        <v>291</v>
      </c>
      <c r="L881">
        <v>5</v>
      </c>
      <c r="M881" t="s">
        <v>3281</v>
      </c>
      <c r="N881" t="s">
        <v>59</v>
      </c>
      <c r="O881" t="s">
        <v>47</v>
      </c>
      <c r="P881" t="s">
        <v>47</v>
      </c>
      <c r="Y881" t="s">
        <v>3282</v>
      </c>
      <c r="AG881" t="s">
        <v>48</v>
      </c>
    </row>
    <row r="882" spans="1:33">
      <c r="A882" t="s">
        <v>3283</v>
      </c>
      <c r="B882" t="s">
        <v>3284</v>
      </c>
      <c r="D882" t="s">
        <v>40</v>
      </c>
      <c r="E882" t="s">
        <v>41</v>
      </c>
      <c r="H882" t="s">
        <v>3285</v>
      </c>
      <c r="J882" t="s">
        <v>129</v>
      </c>
      <c r="K882" t="s">
        <v>130</v>
      </c>
      <c r="L882">
        <v>5</v>
      </c>
      <c r="M882" t="s">
        <v>3286</v>
      </c>
      <c r="N882" t="s">
        <v>218</v>
      </c>
      <c r="O882" t="s">
        <v>47</v>
      </c>
      <c r="P882" t="s">
        <v>47</v>
      </c>
      <c r="Y882" t="s">
        <v>3285</v>
      </c>
      <c r="AG882" t="s">
        <v>48</v>
      </c>
    </row>
    <row r="883" spans="1:33">
      <c r="A883" t="s">
        <v>3287</v>
      </c>
      <c r="B883" t="s">
        <v>3288</v>
      </c>
      <c r="D883" t="s">
        <v>40</v>
      </c>
      <c r="E883" t="s">
        <v>41</v>
      </c>
      <c r="J883" t="s">
        <v>162</v>
      </c>
      <c r="K883" t="s">
        <v>163</v>
      </c>
      <c r="L883">
        <v>5</v>
      </c>
      <c r="M883" t="s">
        <v>3289</v>
      </c>
      <c r="N883" t="s">
        <v>59</v>
      </c>
      <c r="O883" t="s">
        <v>47</v>
      </c>
      <c r="P883" t="s">
        <v>47</v>
      </c>
      <c r="Y883" t="s">
        <v>3290</v>
      </c>
      <c r="AG883" t="s">
        <v>48</v>
      </c>
    </row>
    <row r="884" spans="1:33">
      <c r="A884" t="s">
        <v>3291</v>
      </c>
      <c r="B884" t="s">
        <v>3292</v>
      </c>
      <c r="D884" t="s">
        <v>40</v>
      </c>
      <c r="E884" t="s">
        <v>41</v>
      </c>
      <c r="J884" t="s">
        <v>290</v>
      </c>
      <c r="K884" t="s">
        <v>291</v>
      </c>
      <c r="L884">
        <v>5</v>
      </c>
      <c r="M884" t="s">
        <v>3293</v>
      </c>
      <c r="N884" t="s">
        <v>59</v>
      </c>
      <c r="O884" t="s">
        <v>47</v>
      </c>
      <c r="P884" t="s">
        <v>47</v>
      </c>
      <c r="Y884" t="s">
        <v>3294</v>
      </c>
      <c r="AG884" t="s">
        <v>48</v>
      </c>
    </row>
    <row r="885" spans="1:33">
      <c r="A885" t="s">
        <v>3295</v>
      </c>
      <c r="B885" t="s">
        <v>3296</v>
      </c>
      <c r="D885" t="s">
        <v>40</v>
      </c>
      <c r="E885" t="s">
        <v>41</v>
      </c>
      <c r="J885" t="s">
        <v>129</v>
      </c>
      <c r="K885" t="s">
        <v>130</v>
      </c>
      <c r="L885">
        <v>5</v>
      </c>
      <c r="M885" t="s">
        <v>3297</v>
      </c>
      <c r="N885" t="s">
        <v>192</v>
      </c>
      <c r="O885" t="s">
        <v>47</v>
      </c>
      <c r="P885" t="s">
        <v>47</v>
      </c>
      <c r="Y885" t="s">
        <v>3298</v>
      </c>
      <c r="AG885" t="s">
        <v>48</v>
      </c>
    </row>
    <row r="886" spans="1:33">
      <c r="A886" t="s">
        <v>3299</v>
      </c>
      <c r="B886" t="s">
        <v>3300</v>
      </c>
      <c r="D886" t="s">
        <v>40</v>
      </c>
      <c r="E886" t="s">
        <v>41</v>
      </c>
      <c r="J886" t="s">
        <v>162</v>
      </c>
      <c r="K886" t="s">
        <v>163</v>
      </c>
      <c r="L886">
        <v>5</v>
      </c>
      <c r="M886" t="s">
        <v>3297</v>
      </c>
      <c r="N886" t="s">
        <v>59</v>
      </c>
      <c r="O886" t="s">
        <v>47</v>
      </c>
      <c r="P886" t="s">
        <v>47</v>
      </c>
      <c r="Y886" t="s">
        <v>3301</v>
      </c>
      <c r="AG886" t="s">
        <v>48</v>
      </c>
    </row>
    <row r="887" spans="1:33">
      <c r="A887" t="s">
        <v>3302</v>
      </c>
      <c r="B887" t="s">
        <v>3303</v>
      </c>
      <c r="D887" t="s">
        <v>40</v>
      </c>
      <c r="E887" t="s">
        <v>41</v>
      </c>
      <c r="J887" t="s">
        <v>270</v>
      </c>
      <c r="K887" t="s">
        <v>271</v>
      </c>
      <c r="L887">
        <v>5</v>
      </c>
      <c r="M887" t="s">
        <v>3297</v>
      </c>
      <c r="N887" t="s">
        <v>59</v>
      </c>
      <c r="O887" t="s">
        <v>47</v>
      </c>
      <c r="P887" t="s">
        <v>47</v>
      </c>
      <c r="Y887" t="s">
        <v>3304</v>
      </c>
      <c r="AG887" t="s">
        <v>48</v>
      </c>
    </row>
    <row r="888" spans="1:33">
      <c r="A888" t="s">
        <v>3305</v>
      </c>
      <c r="B888" t="s">
        <v>3306</v>
      </c>
      <c r="D888" t="s">
        <v>40</v>
      </c>
      <c r="E888" t="s">
        <v>41</v>
      </c>
      <c r="J888" t="s">
        <v>162</v>
      </c>
      <c r="K888" t="s">
        <v>163</v>
      </c>
      <c r="L888">
        <v>5</v>
      </c>
      <c r="M888" t="s">
        <v>3297</v>
      </c>
      <c r="N888" t="s">
        <v>59</v>
      </c>
      <c r="O888" t="s">
        <v>47</v>
      </c>
      <c r="P888" t="s">
        <v>47</v>
      </c>
      <c r="Y888" t="s">
        <v>3307</v>
      </c>
      <c r="AG888" t="s">
        <v>48</v>
      </c>
    </row>
    <row r="889" spans="1:33">
      <c r="A889" t="s">
        <v>3308</v>
      </c>
      <c r="B889" t="s">
        <v>3309</v>
      </c>
      <c r="D889" t="s">
        <v>40</v>
      </c>
      <c r="E889" t="s">
        <v>41</v>
      </c>
      <c r="J889" t="s">
        <v>162</v>
      </c>
      <c r="K889" t="s">
        <v>163</v>
      </c>
      <c r="L889">
        <v>5</v>
      </c>
      <c r="M889" t="s">
        <v>3297</v>
      </c>
      <c r="N889" t="s">
        <v>59</v>
      </c>
      <c r="O889" t="s">
        <v>47</v>
      </c>
      <c r="P889" t="s">
        <v>47</v>
      </c>
      <c r="Y889" t="s">
        <v>3310</v>
      </c>
      <c r="AG889" t="s">
        <v>48</v>
      </c>
    </row>
    <row r="890" spans="1:33">
      <c r="A890" t="s">
        <v>3311</v>
      </c>
      <c r="B890" t="s">
        <v>3312</v>
      </c>
      <c r="D890" t="s">
        <v>40</v>
      </c>
      <c r="E890" t="s">
        <v>41</v>
      </c>
      <c r="J890" t="s">
        <v>162</v>
      </c>
      <c r="K890" t="s">
        <v>163</v>
      </c>
      <c r="L890">
        <v>5</v>
      </c>
      <c r="M890" t="s">
        <v>3313</v>
      </c>
      <c r="N890" t="s">
        <v>59</v>
      </c>
      <c r="O890" t="s">
        <v>47</v>
      </c>
      <c r="P890" t="s">
        <v>47</v>
      </c>
      <c r="Y890" t="s">
        <v>3314</v>
      </c>
      <c r="AG890" t="s">
        <v>48</v>
      </c>
    </row>
    <row r="891" spans="1:33">
      <c r="A891" t="s">
        <v>3315</v>
      </c>
      <c r="B891" t="s">
        <v>3316</v>
      </c>
      <c r="D891" t="s">
        <v>40</v>
      </c>
      <c r="E891" t="s">
        <v>41</v>
      </c>
      <c r="J891" t="s">
        <v>108</v>
      </c>
      <c r="K891" t="s">
        <v>109</v>
      </c>
      <c r="L891">
        <v>5</v>
      </c>
      <c r="M891" t="s">
        <v>3317</v>
      </c>
      <c r="N891" t="s">
        <v>59</v>
      </c>
      <c r="O891" t="s">
        <v>47</v>
      </c>
      <c r="P891" t="s">
        <v>47</v>
      </c>
      <c r="Y891" t="s">
        <v>3318</v>
      </c>
      <c r="AG891" t="s">
        <v>48</v>
      </c>
    </row>
    <row r="892" spans="1:33">
      <c r="A892" t="s">
        <v>3319</v>
      </c>
      <c r="B892" t="s">
        <v>3320</v>
      </c>
      <c r="D892" t="s">
        <v>40</v>
      </c>
      <c r="E892" t="s">
        <v>41</v>
      </c>
      <c r="J892" t="s">
        <v>129</v>
      </c>
      <c r="K892" t="s">
        <v>130</v>
      </c>
      <c r="L892">
        <v>5</v>
      </c>
      <c r="M892" t="s">
        <v>3321</v>
      </c>
      <c r="N892" t="s">
        <v>46</v>
      </c>
      <c r="O892" t="s">
        <v>47</v>
      </c>
      <c r="P892" t="s">
        <v>47</v>
      </c>
      <c r="Y892" t="s">
        <v>3322</v>
      </c>
      <c r="AG892" t="s">
        <v>48</v>
      </c>
    </row>
    <row r="893" spans="1:33">
      <c r="A893" t="s">
        <v>3323</v>
      </c>
      <c r="B893" t="s">
        <v>3324</v>
      </c>
      <c r="D893" t="s">
        <v>40</v>
      </c>
      <c r="E893" t="s">
        <v>41</v>
      </c>
      <c r="J893" t="s">
        <v>290</v>
      </c>
      <c r="K893" t="s">
        <v>291</v>
      </c>
      <c r="L893">
        <v>5</v>
      </c>
      <c r="M893" t="s">
        <v>3321</v>
      </c>
      <c r="N893" t="s">
        <v>59</v>
      </c>
      <c r="O893" t="s">
        <v>47</v>
      </c>
      <c r="P893" t="s">
        <v>47</v>
      </c>
      <c r="Y893" t="s">
        <v>3325</v>
      </c>
      <c r="AG893" t="s">
        <v>48</v>
      </c>
    </row>
    <row r="894" spans="1:33">
      <c r="A894" t="s">
        <v>3326</v>
      </c>
      <c r="B894" t="s">
        <v>3327</v>
      </c>
      <c r="D894" t="s">
        <v>40</v>
      </c>
      <c r="E894" t="s">
        <v>41</v>
      </c>
      <c r="J894" t="s">
        <v>290</v>
      </c>
      <c r="K894" t="s">
        <v>291</v>
      </c>
      <c r="L894">
        <v>5</v>
      </c>
      <c r="M894" t="s">
        <v>3328</v>
      </c>
      <c r="N894" t="s">
        <v>59</v>
      </c>
      <c r="O894" t="s">
        <v>47</v>
      </c>
      <c r="P894" t="s">
        <v>47</v>
      </c>
      <c r="Y894" t="s">
        <v>3329</v>
      </c>
      <c r="AG894" t="s">
        <v>48</v>
      </c>
    </row>
    <row r="895" spans="1:33">
      <c r="A895" t="s">
        <v>3330</v>
      </c>
      <c r="B895" t="s">
        <v>3331</v>
      </c>
      <c r="D895" t="s">
        <v>40</v>
      </c>
      <c r="E895" t="s">
        <v>41</v>
      </c>
      <c r="H895" t="s">
        <v>3332</v>
      </c>
      <c r="J895" t="s">
        <v>290</v>
      </c>
      <c r="K895" t="s">
        <v>291</v>
      </c>
      <c r="L895">
        <v>5</v>
      </c>
      <c r="M895" t="s">
        <v>3333</v>
      </c>
      <c r="N895" t="s">
        <v>59</v>
      </c>
      <c r="O895" t="s">
        <v>47</v>
      </c>
      <c r="P895" t="s">
        <v>47</v>
      </c>
      <c r="Y895" t="s">
        <v>3332</v>
      </c>
      <c r="AG895" t="s">
        <v>48</v>
      </c>
    </row>
    <row r="896" spans="1:33">
      <c r="A896" t="s">
        <v>3334</v>
      </c>
      <c r="B896" t="s">
        <v>3335</v>
      </c>
      <c r="D896" t="s">
        <v>40</v>
      </c>
      <c r="E896" t="s">
        <v>41</v>
      </c>
      <c r="J896" t="s">
        <v>108</v>
      </c>
      <c r="K896" t="s">
        <v>109</v>
      </c>
      <c r="L896">
        <v>5</v>
      </c>
      <c r="M896" t="s">
        <v>3333</v>
      </c>
      <c r="N896" t="s">
        <v>59</v>
      </c>
      <c r="O896" t="s">
        <v>47</v>
      </c>
      <c r="P896" t="s">
        <v>47</v>
      </c>
      <c r="Y896" t="s">
        <v>3336</v>
      </c>
      <c r="AG896" t="s">
        <v>48</v>
      </c>
    </row>
    <row r="897" spans="1:33">
      <c r="A897" t="s">
        <v>3337</v>
      </c>
      <c r="B897" t="s">
        <v>3338</v>
      </c>
      <c r="D897" t="s">
        <v>40</v>
      </c>
      <c r="E897" t="s">
        <v>41</v>
      </c>
      <c r="J897" t="s">
        <v>108</v>
      </c>
      <c r="K897" t="s">
        <v>109</v>
      </c>
      <c r="L897">
        <v>5</v>
      </c>
      <c r="M897" t="s">
        <v>3339</v>
      </c>
      <c r="N897" t="s">
        <v>59</v>
      </c>
      <c r="O897" t="s">
        <v>47</v>
      </c>
      <c r="P897" t="s">
        <v>47</v>
      </c>
      <c r="Y897" t="s">
        <v>3340</v>
      </c>
      <c r="AG897" t="s">
        <v>48</v>
      </c>
    </row>
    <row r="898" spans="1:33">
      <c r="A898" t="s">
        <v>3341</v>
      </c>
      <c r="B898" t="s">
        <v>3342</v>
      </c>
      <c r="D898" t="s">
        <v>40</v>
      </c>
      <c r="E898" t="s">
        <v>41</v>
      </c>
      <c r="J898" t="s">
        <v>290</v>
      </c>
      <c r="K898" t="s">
        <v>291</v>
      </c>
      <c r="L898">
        <v>5</v>
      </c>
      <c r="M898" t="s">
        <v>3343</v>
      </c>
      <c r="N898" t="s">
        <v>59</v>
      </c>
      <c r="O898" t="s">
        <v>47</v>
      </c>
      <c r="P898" t="s">
        <v>47</v>
      </c>
      <c r="Y898" t="s">
        <v>3344</v>
      </c>
      <c r="AG898" t="s">
        <v>48</v>
      </c>
    </row>
    <row r="899" spans="1:33">
      <c r="A899" t="s">
        <v>3345</v>
      </c>
      <c r="B899" t="s">
        <v>3346</v>
      </c>
      <c r="D899" t="s">
        <v>40</v>
      </c>
      <c r="E899" t="s">
        <v>41</v>
      </c>
      <c r="J899" t="s">
        <v>290</v>
      </c>
      <c r="K899" t="s">
        <v>291</v>
      </c>
      <c r="L899">
        <v>5</v>
      </c>
      <c r="M899" t="s">
        <v>3347</v>
      </c>
      <c r="N899" t="s">
        <v>59</v>
      </c>
      <c r="O899" t="s">
        <v>47</v>
      </c>
      <c r="P899" t="s">
        <v>47</v>
      </c>
      <c r="Y899" t="s">
        <v>3348</v>
      </c>
      <c r="AG899" t="s">
        <v>48</v>
      </c>
    </row>
    <row r="900" spans="1:33">
      <c r="A900" t="s">
        <v>3349</v>
      </c>
      <c r="B900" t="s">
        <v>3350</v>
      </c>
      <c r="D900" t="s">
        <v>40</v>
      </c>
      <c r="E900" t="s">
        <v>41</v>
      </c>
      <c r="J900" t="s">
        <v>290</v>
      </c>
      <c r="K900" t="s">
        <v>291</v>
      </c>
      <c r="L900">
        <v>5</v>
      </c>
      <c r="M900" t="s">
        <v>3347</v>
      </c>
      <c r="N900" t="s">
        <v>59</v>
      </c>
      <c r="O900" t="s">
        <v>47</v>
      </c>
      <c r="P900" t="s">
        <v>47</v>
      </c>
      <c r="Y900" t="s">
        <v>3351</v>
      </c>
      <c r="AG900" t="s">
        <v>48</v>
      </c>
    </row>
    <row r="901" spans="1:33">
      <c r="A901" t="s">
        <v>3352</v>
      </c>
      <c r="B901" t="s">
        <v>3353</v>
      </c>
      <c r="D901" t="s">
        <v>40</v>
      </c>
      <c r="E901" t="s">
        <v>41</v>
      </c>
      <c r="J901" t="s">
        <v>290</v>
      </c>
      <c r="K901" t="s">
        <v>291</v>
      </c>
      <c r="L901">
        <v>5</v>
      </c>
      <c r="M901" t="s">
        <v>3347</v>
      </c>
      <c r="N901" t="s">
        <v>59</v>
      </c>
      <c r="O901" t="s">
        <v>47</v>
      </c>
      <c r="P901" t="s">
        <v>47</v>
      </c>
      <c r="Y901" t="s">
        <v>3354</v>
      </c>
      <c r="AG901" t="s">
        <v>48</v>
      </c>
    </row>
    <row r="902" spans="1:33">
      <c r="A902" t="s">
        <v>3355</v>
      </c>
      <c r="B902" t="s">
        <v>3356</v>
      </c>
      <c r="D902" t="s">
        <v>40</v>
      </c>
      <c r="E902" t="s">
        <v>41</v>
      </c>
      <c r="J902" t="s">
        <v>69</v>
      </c>
      <c r="K902" t="s">
        <v>70</v>
      </c>
      <c r="L902">
        <v>5</v>
      </c>
      <c r="M902" t="s">
        <v>3347</v>
      </c>
      <c r="N902" t="s">
        <v>192</v>
      </c>
      <c r="O902" t="s">
        <v>47</v>
      </c>
      <c r="P902" t="s">
        <v>47</v>
      </c>
      <c r="Y902" t="s">
        <v>3357</v>
      </c>
      <c r="AG902" t="s">
        <v>48</v>
      </c>
    </row>
    <row r="903" spans="1:33">
      <c r="A903" t="s">
        <v>3358</v>
      </c>
      <c r="B903" t="s">
        <v>3359</v>
      </c>
      <c r="D903" t="s">
        <v>40</v>
      </c>
      <c r="E903" t="s">
        <v>41</v>
      </c>
      <c r="J903" t="s">
        <v>114</v>
      </c>
      <c r="K903" t="s">
        <v>115</v>
      </c>
      <c r="L903">
        <v>5</v>
      </c>
      <c r="M903" t="s">
        <v>3360</v>
      </c>
      <c r="N903" t="s">
        <v>59</v>
      </c>
      <c r="O903" t="s">
        <v>47</v>
      </c>
      <c r="P903" t="s">
        <v>47</v>
      </c>
      <c r="Y903" t="s">
        <v>3361</v>
      </c>
      <c r="AG903" t="s">
        <v>48</v>
      </c>
    </row>
    <row r="904" spans="1:33">
      <c r="A904" t="s">
        <v>3362</v>
      </c>
      <c r="B904" t="s">
        <v>3363</v>
      </c>
      <c r="D904" t="s">
        <v>40</v>
      </c>
      <c r="E904" t="s">
        <v>41</v>
      </c>
      <c r="J904" t="s">
        <v>108</v>
      </c>
      <c r="K904" t="s">
        <v>109</v>
      </c>
      <c r="L904">
        <v>5</v>
      </c>
      <c r="M904" t="s">
        <v>3360</v>
      </c>
      <c r="N904" t="s">
        <v>59</v>
      </c>
      <c r="O904" t="s">
        <v>47</v>
      </c>
      <c r="P904" t="s">
        <v>47</v>
      </c>
      <c r="Y904" t="s">
        <v>3364</v>
      </c>
      <c r="AG904" t="s">
        <v>48</v>
      </c>
    </row>
    <row r="905" spans="1:33">
      <c r="A905" t="s">
        <v>3365</v>
      </c>
      <c r="B905" t="s">
        <v>3366</v>
      </c>
      <c r="D905" t="s">
        <v>40</v>
      </c>
      <c r="E905" t="s">
        <v>41</v>
      </c>
      <c r="H905" t="s">
        <v>3367</v>
      </c>
      <c r="J905" t="s">
        <v>129</v>
      </c>
      <c r="K905" t="s">
        <v>130</v>
      </c>
      <c r="L905">
        <v>6</v>
      </c>
      <c r="M905" t="s">
        <v>3368</v>
      </c>
      <c r="N905" t="s">
        <v>218</v>
      </c>
      <c r="O905" t="s">
        <v>47</v>
      </c>
      <c r="P905" t="s">
        <v>47</v>
      </c>
      <c r="Y905" t="s">
        <v>3367</v>
      </c>
      <c r="AG905" t="s">
        <v>48</v>
      </c>
    </row>
    <row r="906" spans="1:33">
      <c r="A906" t="s">
        <v>3369</v>
      </c>
      <c r="B906" t="s">
        <v>3370</v>
      </c>
      <c r="D906" t="s">
        <v>40</v>
      </c>
      <c r="E906" t="s">
        <v>41</v>
      </c>
      <c r="J906" t="s">
        <v>270</v>
      </c>
      <c r="K906" t="s">
        <v>271</v>
      </c>
      <c r="L906">
        <v>5</v>
      </c>
      <c r="M906" t="s">
        <v>3371</v>
      </c>
      <c r="N906" t="s">
        <v>59</v>
      </c>
      <c r="O906" t="s">
        <v>47</v>
      </c>
      <c r="P906" t="s">
        <v>47</v>
      </c>
      <c r="Y906" t="s">
        <v>3372</v>
      </c>
      <c r="AG906" t="s">
        <v>48</v>
      </c>
    </row>
    <row r="907" spans="1:33">
      <c r="A907" t="s">
        <v>3373</v>
      </c>
      <c r="B907" t="s">
        <v>3374</v>
      </c>
      <c r="D907" t="s">
        <v>40</v>
      </c>
      <c r="E907" t="s">
        <v>41</v>
      </c>
      <c r="J907" t="s">
        <v>270</v>
      </c>
      <c r="K907" t="s">
        <v>271</v>
      </c>
      <c r="L907">
        <v>5</v>
      </c>
      <c r="M907" t="s">
        <v>3375</v>
      </c>
      <c r="N907" t="s">
        <v>59</v>
      </c>
      <c r="O907" t="s">
        <v>47</v>
      </c>
      <c r="P907" t="s">
        <v>47</v>
      </c>
      <c r="Y907" t="s">
        <v>3376</v>
      </c>
      <c r="AG907" t="s">
        <v>48</v>
      </c>
    </row>
    <row r="908" spans="1:33">
      <c r="A908" t="s">
        <v>3377</v>
      </c>
      <c r="B908" t="s">
        <v>3378</v>
      </c>
      <c r="D908" t="s">
        <v>40</v>
      </c>
      <c r="E908" t="s">
        <v>41</v>
      </c>
      <c r="J908" t="s">
        <v>290</v>
      </c>
      <c r="K908" t="s">
        <v>291</v>
      </c>
      <c r="L908">
        <v>5</v>
      </c>
      <c r="M908" t="s">
        <v>3379</v>
      </c>
      <c r="N908" t="s">
        <v>59</v>
      </c>
      <c r="O908" t="s">
        <v>47</v>
      </c>
      <c r="P908" t="s">
        <v>47</v>
      </c>
      <c r="Y908" t="s">
        <v>3380</v>
      </c>
      <c r="AG908" t="s">
        <v>48</v>
      </c>
    </row>
    <row r="909" spans="1:33">
      <c r="A909" t="s">
        <v>3381</v>
      </c>
      <c r="B909" t="s">
        <v>3382</v>
      </c>
      <c r="D909" t="s">
        <v>40</v>
      </c>
      <c r="E909" t="s">
        <v>41</v>
      </c>
      <c r="J909" t="s">
        <v>108</v>
      </c>
      <c r="K909" t="s">
        <v>109</v>
      </c>
      <c r="L909">
        <v>5</v>
      </c>
      <c r="M909" t="s">
        <v>3383</v>
      </c>
      <c r="N909" t="s">
        <v>59</v>
      </c>
      <c r="O909" t="s">
        <v>47</v>
      </c>
      <c r="P909" t="s">
        <v>47</v>
      </c>
      <c r="Y909" t="s">
        <v>3384</v>
      </c>
      <c r="AG909" t="s">
        <v>48</v>
      </c>
    </row>
    <row r="910" spans="1:33">
      <c r="A910" t="s">
        <v>3385</v>
      </c>
      <c r="B910" t="s">
        <v>3386</v>
      </c>
      <c r="D910" t="s">
        <v>40</v>
      </c>
      <c r="E910" t="s">
        <v>41</v>
      </c>
      <c r="J910" t="s">
        <v>162</v>
      </c>
      <c r="K910" t="s">
        <v>163</v>
      </c>
      <c r="L910">
        <v>5</v>
      </c>
      <c r="M910" t="s">
        <v>3387</v>
      </c>
      <c r="N910" t="s">
        <v>59</v>
      </c>
      <c r="O910" t="s">
        <v>47</v>
      </c>
      <c r="P910" t="s">
        <v>47</v>
      </c>
      <c r="Y910" t="s">
        <v>3388</v>
      </c>
      <c r="AG910" t="s">
        <v>48</v>
      </c>
    </row>
    <row r="911" spans="1:33">
      <c r="A911" t="s">
        <v>3389</v>
      </c>
      <c r="B911" t="s">
        <v>3390</v>
      </c>
      <c r="D911" t="s">
        <v>40</v>
      </c>
      <c r="E911" t="s">
        <v>41</v>
      </c>
      <c r="J911" t="s">
        <v>290</v>
      </c>
      <c r="K911" t="s">
        <v>291</v>
      </c>
      <c r="L911">
        <v>5</v>
      </c>
      <c r="M911" t="s">
        <v>3387</v>
      </c>
      <c r="N911" t="s">
        <v>59</v>
      </c>
      <c r="O911" t="s">
        <v>47</v>
      </c>
      <c r="P911" t="s">
        <v>47</v>
      </c>
      <c r="Y911" t="s">
        <v>3391</v>
      </c>
      <c r="AG911" t="s">
        <v>48</v>
      </c>
    </row>
    <row r="912" spans="1:33">
      <c r="A912" t="s">
        <v>3392</v>
      </c>
      <c r="B912" t="s">
        <v>3393</v>
      </c>
      <c r="D912" t="s">
        <v>40</v>
      </c>
      <c r="E912" t="s">
        <v>41</v>
      </c>
      <c r="J912" t="s">
        <v>108</v>
      </c>
      <c r="K912" t="s">
        <v>109</v>
      </c>
      <c r="L912">
        <v>5</v>
      </c>
      <c r="M912" t="s">
        <v>3387</v>
      </c>
      <c r="N912" t="s">
        <v>59</v>
      </c>
      <c r="O912" t="s">
        <v>47</v>
      </c>
      <c r="P912" t="s">
        <v>47</v>
      </c>
      <c r="Y912" t="s">
        <v>3394</v>
      </c>
      <c r="AG912" t="s">
        <v>48</v>
      </c>
    </row>
    <row r="913" spans="1:33">
      <c r="A913" t="s">
        <v>3395</v>
      </c>
      <c r="B913" t="s">
        <v>3396</v>
      </c>
      <c r="D913" t="s">
        <v>40</v>
      </c>
      <c r="E913" t="s">
        <v>41</v>
      </c>
      <c r="J913" t="s">
        <v>162</v>
      </c>
      <c r="K913" t="s">
        <v>163</v>
      </c>
      <c r="L913">
        <v>5</v>
      </c>
      <c r="M913" t="s">
        <v>3397</v>
      </c>
      <c r="N913" t="s">
        <v>59</v>
      </c>
      <c r="O913" t="s">
        <v>47</v>
      </c>
      <c r="P913" t="s">
        <v>47</v>
      </c>
      <c r="Y913" t="s">
        <v>3398</v>
      </c>
      <c r="AG913" t="s">
        <v>48</v>
      </c>
    </row>
    <row r="914" spans="1:33">
      <c r="A914" t="s">
        <v>3399</v>
      </c>
      <c r="B914" t="s">
        <v>3400</v>
      </c>
      <c r="D914" t="s">
        <v>40</v>
      </c>
      <c r="E914" t="s">
        <v>41</v>
      </c>
      <c r="J914" t="s">
        <v>290</v>
      </c>
      <c r="K914" t="s">
        <v>291</v>
      </c>
      <c r="L914">
        <v>5</v>
      </c>
      <c r="M914" t="s">
        <v>3401</v>
      </c>
      <c r="N914" t="s">
        <v>59</v>
      </c>
      <c r="O914" t="s">
        <v>47</v>
      </c>
      <c r="P914" t="s">
        <v>47</v>
      </c>
      <c r="Y914" t="s">
        <v>3402</v>
      </c>
      <c r="AG914" t="s">
        <v>48</v>
      </c>
    </row>
    <row r="915" spans="1:33">
      <c r="A915" t="s">
        <v>3403</v>
      </c>
      <c r="B915" t="s">
        <v>3404</v>
      </c>
      <c r="D915" t="s">
        <v>40</v>
      </c>
      <c r="E915" t="s">
        <v>41</v>
      </c>
      <c r="J915" t="s">
        <v>162</v>
      </c>
      <c r="K915" t="s">
        <v>163</v>
      </c>
      <c r="L915">
        <v>5</v>
      </c>
      <c r="M915" t="s">
        <v>3401</v>
      </c>
      <c r="N915" t="s">
        <v>59</v>
      </c>
      <c r="O915" t="s">
        <v>47</v>
      </c>
      <c r="P915" t="s">
        <v>47</v>
      </c>
      <c r="Y915" t="s">
        <v>3405</v>
      </c>
      <c r="AG915" t="s">
        <v>48</v>
      </c>
    </row>
    <row r="916" spans="1:33">
      <c r="A916" t="s">
        <v>3406</v>
      </c>
      <c r="B916" t="s">
        <v>3407</v>
      </c>
      <c r="D916" t="s">
        <v>40</v>
      </c>
      <c r="E916" t="s">
        <v>41</v>
      </c>
      <c r="J916" t="s">
        <v>129</v>
      </c>
      <c r="K916" t="s">
        <v>130</v>
      </c>
      <c r="L916">
        <v>5</v>
      </c>
      <c r="M916" t="s">
        <v>3408</v>
      </c>
      <c r="N916" t="s">
        <v>218</v>
      </c>
      <c r="O916" t="s">
        <v>47</v>
      </c>
      <c r="P916" t="s">
        <v>47</v>
      </c>
      <c r="Y916" t="s">
        <v>3409</v>
      </c>
      <c r="AG916" t="s">
        <v>48</v>
      </c>
    </row>
    <row r="917" spans="1:33">
      <c r="A917" t="s">
        <v>3410</v>
      </c>
      <c r="B917" t="s">
        <v>3411</v>
      </c>
      <c r="D917" t="s">
        <v>40</v>
      </c>
      <c r="E917" t="s">
        <v>41</v>
      </c>
      <c r="J917" t="s">
        <v>162</v>
      </c>
      <c r="K917" t="s">
        <v>163</v>
      </c>
      <c r="L917">
        <v>5</v>
      </c>
      <c r="M917" t="s">
        <v>3412</v>
      </c>
      <c r="N917" t="s">
        <v>59</v>
      </c>
      <c r="O917" t="s">
        <v>47</v>
      </c>
      <c r="P917" t="s">
        <v>47</v>
      </c>
      <c r="Y917" t="s">
        <v>3413</v>
      </c>
      <c r="AG917" t="s">
        <v>48</v>
      </c>
    </row>
    <row r="918" spans="1:33">
      <c r="A918" t="s">
        <v>3414</v>
      </c>
      <c r="B918" t="s">
        <v>3415</v>
      </c>
      <c r="D918" t="s">
        <v>40</v>
      </c>
      <c r="E918" t="s">
        <v>41</v>
      </c>
      <c r="J918" t="s">
        <v>270</v>
      </c>
      <c r="K918" t="s">
        <v>271</v>
      </c>
      <c r="L918">
        <v>5</v>
      </c>
      <c r="M918" t="s">
        <v>3416</v>
      </c>
      <c r="N918" t="s">
        <v>59</v>
      </c>
      <c r="O918" t="s">
        <v>47</v>
      </c>
      <c r="P918" t="s">
        <v>47</v>
      </c>
      <c r="Y918" t="s">
        <v>3417</v>
      </c>
      <c r="AG918" t="s">
        <v>48</v>
      </c>
    </row>
    <row r="919" spans="1:33">
      <c r="A919" t="s">
        <v>3418</v>
      </c>
      <c r="B919" t="s">
        <v>3419</v>
      </c>
      <c r="D919" t="s">
        <v>40</v>
      </c>
      <c r="E919" t="s">
        <v>41</v>
      </c>
      <c r="J919" t="s">
        <v>290</v>
      </c>
      <c r="K919" t="s">
        <v>291</v>
      </c>
      <c r="L919">
        <v>5</v>
      </c>
      <c r="M919" t="s">
        <v>3416</v>
      </c>
      <c r="N919" t="s">
        <v>59</v>
      </c>
      <c r="O919" t="s">
        <v>47</v>
      </c>
      <c r="P919" t="s">
        <v>47</v>
      </c>
      <c r="Y919" t="s">
        <v>3420</v>
      </c>
      <c r="AG919" t="s">
        <v>48</v>
      </c>
    </row>
    <row r="920" spans="1:33">
      <c r="A920" t="s">
        <v>3421</v>
      </c>
      <c r="B920" t="s">
        <v>3422</v>
      </c>
      <c r="D920" t="s">
        <v>40</v>
      </c>
      <c r="E920" t="s">
        <v>41</v>
      </c>
      <c r="J920" t="s">
        <v>69</v>
      </c>
      <c r="K920" t="s">
        <v>70</v>
      </c>
      <c r="L920">
        <v>5</v>
      </c>
      <c r="M920" t="s">
        <v>3416</v>
      </c>
      <c r="N920" t="s">
        <v>46</v>
      </c>
      <c r="O920" t="s">
        <v>47</v>
      </c>
      <c r="P920" t="s">
        <v>47</v>
      </c>
      <c r="Y920" t="s">
        <v>3423</v>
      </c>
      <c r="AG920" t="s">
        <v>48</v>
      </c>
    </row>
    <row r="921" spans="1:33">
      <c r="A921" t="s">
        <v>3424</v>
      </c>
      <c r="B921" t="s">
        <v>3425</v>
      </c>
      <c r="D921" t="s">
        <v>40</v>
      </c>
      <c r="E921" t="s">
        <v>41</v>
      </c>
      <c r="J921" t="s">
        <v>290</v>
      </c>
      <c r="K921" t="s">
        <v>291</v>
      </c>
      <c r="L921">
        <v>5</v>
      </c>
      <c r="M921" t="s">
        <v>3426</v>
      </c>
      <c r="N921" t="s">
        <v>59</v>
      </c>
      <c r="O921" t="s">
        <v>47</v>
      </c>
      <c r="P921" t="s">
        <v>47</v>
      </c>
      <c r="Y921" t="s">
        <v>3427</v>
      </c>
      <c r="AG921" t="s">
        <v>48</v>
      </c>
    </row>
    <row r="922" spans="1:33">
      <c r="A922" t="s">
        <v>3428</v>
      </c>
      <c r="B922" t="s">
        <v>3429</v>
      </c>
      <c r="D922" t="s">
        <v>40</v>
      </c>
      <c r="E922" t="s">
        <v>41</v>
      </c>
      <c r="J922" t="s">
        <v>162</v>
      </c>
      <c r="K922" t="s">
        <v>163</v>
      </c>
      <c r="L922">
        <v>5</v>
      </c>
      <c r="M922" t="s">
        <v>3426</v>
      </c>
      <c r="N922" t="s">
        <v>59</v>
      </c>
      <c r="O922" t="s">
        <v>47</v>
      </c>
      <c r="P922" t="s">
        <v>47</v>
      </c>
      <c r="Y922" t="s">
        <v>3430</v>
      </c>
      <c r="AG922" t="s">
        <v>48</v>
      </c>
    </row>
    <row r="923" spans="1:33">
      <c r="A923" t="s">
        <v>3431</v>
      </c>
      <c r="B923" t="s">
        <v>3432</v>
      </c>
      <c r="D923" t="s">
        <v>40</v>
      </c>
      <c r="E923" t="s">
        <v>41</v>
      </c>
      <c r="J923" t="s">
        <v>290</v>
      </c>
      <c r="K923" t="s">
        <v>291</v>
      </c>
      <c r="L923">
        <v>5</v>
      </c>
      <c r="M923" t="s">
        <v>3433</v>
      </c>
      <c r="N923" t="s">
        <v>59</v>
      </c>
      <c r="O923" t="s">
        <v>47</v>
      </c>
      <c r="P923" t="s">
        <v>47</v>
      </c>
      <c r="Y923" t="s">
        <v>3434</v>
      </c>
      <c r="AG923" t="s">
        <v>48</v>
      </c>
    </row>
    <row r="924" spans="1:33">
      <c r="A924" t="s">
        <v>3435</v>
      </c>
      <c r="B924" t="s">
        <v>3436</v>
      </c>
      <c r="D924" t="s">
        <v>40</v>
      </c>
      <c r="E924" t="s">
        <v>41</v>
      </c>
      <c r="J924" t="s">
        <v>290</v>
      </c>
      <c r="K924" t="s">
        <v>291</v>
      </c>
      <c r="L924">
        <v>5</v>
      </c>
      <c r="M924" t="s">
        <v>3433</v>
      </c>
      <c r="N924" t="s">
        <v>59</v>
      </c>
      <c r="O924" t="s">
        <v>47</v>
      </c>
      <c r="P924" t="s">
        <v>47</v>
      </c>
      <c r="Y924" t="s">
        <v>3437</v>
      </c>
      <c r="AG924" t="s">
        <v>48</v>
      </c>
    </row>
    <row r="925" spans="1:33">
      <c r="A925" t="s">
        <v>3438</v>
      </c>
      <c r="B925" t="s">
        <v>3439</v>
      </c>
      <c r="D925" t="s">
        <v>40</v>
      </c>
      <c r="E925" t="s">
        <v>41</v>
      </c>
      <c r="J925" t="s">
        <v>270</v>
      </c>
      <c r="K925" t="s">
        <v>271</v>
      </c>
      <c r="L925">
        <v>5</v>
      </c>
      <c r="M925" t="s">
        <v>3433</v>
      </c>
      <c r="N925" t="s">
        <v>59</v>
      </c>
      <c r="O925" t="s">
        <v>47</v>
      </c>
      <c r="P925" t="s">
        <v>47</v>
      </c>
      <c r="Y925" t="s">
        <v>3440</v>
      </c>
      <c r="AG925" t="s">
        <v>48</v>
      </c>
    </row>
    <row r="926" spans="1:33">
      <c r="A926" t="s">
        <v>3441</v>
      </c>
      <c r="B926" t="s">
        <v>3442</v>
      </c>
      <c r="D926" t="s">
        <v>40</v>
      </c>
      <c r="E926" t="s">
        <v>41</v>
      </c>
      <c r="J926" t="s">
        <v>129</v>
      </c>
      <c r="K926" t="s">
        <v>130</v>
      </c>
      <c r="L926">
        <v>5</v>
      </c>
      <c r="M926" t="s">
        <v>3433</v>
      </c>
      <c r="N926" t="s">
        <v>218</v>
      </c>
      <c r="O926" t="s">
        <v>47</v>
      </c>
      <c r="P926" t="s">
        <v>47</v>
      </c>
      <c r="Y926" t="s">
        <v>3443</v>
      </c>
      <c r="AG926" t="s">
        <v>48</v>
      </c>
    </row>
    <row r="927" spans="1:33">
      <c r="A927" t="s">
        <v>3444</v>
      </c>
      <c r="B927" t="s">
        <v>3445</v>
      </c>
      <c r="D927" t="s">
        <v>40</v>
      </c>
      <c r="E927" t="s">
        <v>41</v>
      </c>
      <c r="J927" t="s">
        <v>270</v>
      </c>
      <c r="K927" t="s">
        <v>271</v>
      </c>
      <c r="L927">
        <v>5</v>
      </c>
      <c r="M927" t="s">
        <v>3446</v>
      </c>
      <c r="N927" t="s">
        <v>59</v>
      </c>
      <c r="O927" t="s">
        <v>47</v>
      </c>
      <c r="P927" t="s">
        <v>47</v>
      </c>
      <c r="Y927" t="s">
        <v>3447</v>
      </c>
      <c r="AG927" t="s">
        <v>48</v>
      </c>
    </row>
    <row r="928" spans="1:33">
      <c r="A928" t="s">
        <v>3448</v>
      </c>
      <c r="B928" t="s">
        <v>3449</v>
      </c>
      <c r="D928" t="s">
        <v>40</v>
      </c>
      <c r="E928" t="s">
        <v>41</v>
      </c>
      <c r="J928" t="s">
        <v>290</v>
      </c>
      <c r="K928" t="s">
        <v>291</v>
      </c>
      <c r="L928">
        <v>5</v>
      </c>
      <c r="M928" t="s">
        <v>3450</v>
      </c>
      <c r="N928" t="s">
        <v>59</v>
      </c>
      <c r="O928" t="s">
        <v>47</v>
      </c>
      <c r="P928" t="s">
        <v>47</v>
      </c>
      <c r="Y928" t="s">
        <v>3451</v>
      </c>
      <c r="AG928" t="s">
        <v>48</v>
      </c>
    </row>
    <row r="929" spans="1:33">
      <c r="A929" t="s">
        <v>3452</v>
      </c>
      <c r="B929" t="s">
        <v>3453</v>
      </c>
      <c r="D929" t="s">
        <v>40</v>
      </c>
      <c r="E929" t="s">
        <v>41</v>
      </c>
      <c r="J929" t="s">
        <v>290</v>
      </c>
      <c r="K929" t="s">
        <v>291</v>
      </c>
      <c r="L929">
        <v>5</v>
      </c>
      <c r="M929" t="s">
        <v>3454</v>
      </c>
      <c r="N929" t="s">
        <v>59</v>
      </c>
      <c r="O929" t="s">
        <v>47</v>
      </c>
      <c r="P929" t="s">
        <v>47</v>
      </c>
      <c r="Y929" t="s">
        <v>3455</v>
      </c>
      <c r="AG929" t="s">
        <v>48</v>
      </c>
    </row>
    <row r="930" spans="1:33">
      <c r="A930" t="s">
        <v>3456</v>
      </c>
      <c r="B930" t="s">
        <v>3457</v>
      </c>
      <c r="D930" t="s">
        <v>40</v>
      </c>
      <c r="E930" t="s">
        <v>41</v>
      </c>
      <c r="J930" t="s">
        <v>108</v>
      </c>
      <c r="K930" t="s">
        <v>109</v>
      </c>
      <c r="L930">
        <v>5</v>
      </c>
      <c r="M930" t="s">
        <v>3454</v>
      </c>
      <c r="N930" t="s">
        <v>59</v>
      </c>
      <c r="O930" t="s">
        <v>47</v>
      </c>
      <c r="P930" t="s">
        <v>47</v>
      </c>
      <c r="Y930" t="s">
        <v>3458</v>
      </c>
      <c r="AG930" t="s">
        <v>48</v>
      </c>
    </row>
    <row r="931" spans="1:33">
      <c r="A931" t="s">
        <v>3459</v>
      </c>
      <c r="B931" t="s">
        <v>3460</v>
      </c>
      <c r="D931" t="s">
        <v>40</v>
      </c>
      <c r="E931" t="s">
        <v>41</v>
      </c>
      <c r="H931" t="s">
        <v>3461</v>
      </c>
      <c r="J931" t="s">
        <v>63</v>
      </c>
      <c r="K931" t="s">
        <v>64</v>
      </c>
      <c r="L931">
        <v>5</v>
      </c>
      <c r="M931" t="s">
        <v>3462</v>
      </c>
      <c r="N931" t="s">
        <v>59</v>
      </c>
      <c r="O931" t="s">
        <v>47</v>
      </c>
      <c r="P931" t="s">
        <v>47</v>
      </c>
      <c r="Y931" t="s">
        <v>3461</v>
      </c>
      <c r="AG931" t="s">
        <v>48</v>
      </c>
    </row>
    <row r="932" spans="1:33">
      <c r="A932" t="s">
        <v>3463</v>
      </c>
      <c r="B932" t="s">
        <v>3464</v>
      </c>
      <c r="D932" t="s">
        <v>40</v>
      </c>
      <c r="E932" t="s">
        <v>41</v>
      </c>
      <c r="J932" t="s">
        <v>290</v>
      </c>
      <c r="K932" t="s">
        <v>291</v>
      </c>
      <c r="L932">
        <v>5</v>
      </c>
      <c r="M932" t="s">
        <v>3465</v>
      </c>
      <c r="N932" t="s">
        <v>59</v>
      </c>
      <c r="O932" t="s">
        <v>47</v>
      </c>
      <c r="P932" t="s">
        <v>47</v>
      </c>
      <c r="Y932" t="s">
        <v>3466</v>
      </c>
      <c r="AG932" t="s">
        <v>48</v>
      </c>
    </row>
    <row r="933" spans="1:33">
      <c r="A933" t="s">
        <v>3467</v>
      </c>
      <c r="B933" t="s">
        <v>3468</v>
      </c>
      <c r="D933" t="s">
        <v>40</v>
      </c>
      <c r="E933" t="s">
        <v>41</v>
      </c>
      <c r="J933" t="s">
        <v>270</v>
      </c>
      <c r="K933" t="s">
        <v>271</v>
      </c>
      <c r="L933">
        <v>5</v>
      </c>
      <c r="M933" t="s">
        <v>3465</v>
      </c>
      <c r="N933" t="s">
        <v>59</v>
      </c>
      <c r="O933" t="s">
        <v>47</v>
      </c>
      <c r="P933" t="s">
        <v>47</v>
      </c>
      <c r="Y933" t="s">
        <v>3469</v>
      </c>
      <c r="AG933" t="s">
        <v>48</v>
      </c>
    </row>
    <row r="934" spans="1:33">
      <c r="A934" t="s">
        <v>3470</v>
      </c>
      <c r="B934" t="s">
        <v>3471</v>
      </c>
      <c r="D934" t="s">
        <v>40</v>
      </c>
      <c r="E934" t="s">
        <v>41</v>
      </c>
      <c r="J934" t="s">
        <v>3472</v>
      </c>
      <c r="K934" t="s">
        <v>3473</v>
      </c>
      <c r="L934">
        <v>5</v>
      </c>
      <c r="M934" t="s">
        <v>3474</v>
      </c>
      <c r="N934" t="s">
        <v>192</v>
      </c>
      <c r="O934" t="s">
        <v>47</v>
      </c>
      <c r="P934" t="s">
        <v>47</v>
      </c>
      <c r="Y934" t="s">
        <v>3475</v>
      </c>
      <c r="AG934" t="s">
        <v>48</v>
      </c>
    </row>
    <row r="935" spans="1:33">
      <c r="A935" t="s">
        <v>3476</v>
      </c>
      <c r="B935" t="s">
        <v>3477</v>
      </c>
      <c r="D935" t="s">
        <v>40</v>
      </c>
      <c r="E935" t="s">
        <v>41</v>
      </c>
      <c r="J935" t="s">
        <v>290</v>
      </c>
      <c r="K935" t="s">
        <v>291</v>
      </c>
      <c r="L935">
        <v>5</v>
      </c>
      <c r="M935" t="s">
        <v>3478</v>
      </c>
      <c r="N935" t="s">
        <v>59</v>
      </c>
      <c r="O935" t="s">
        <v>47</v>
      </c>
      <c r="P935" t="s">
        <v>47</v>
      </c>
      <c r="Y935" t="s">
        <v>3479</v>
      </c>
      <c r="AG935" t="s">
        <v>48</v>
      </c>
    </row>
    <row r="936" spans="1:33">
      <c r="A936" t="s">
        <v>3480</v>
      </c>
      <c r="B936" t="s">
        <v>3481</v>
      </c>
      <c r="D936" t="s">
        <v>40</v>
      </c>
      <c r="E936" t="s">
        <v>41</v>
      </c>
      <c r="J936" t="s">
        <v>114</v>
      </c>
      <c r="K936" t="s">
        <v>115</v>
      </c>
      <c r="L936">
        <v>5</v>
      </c>
      <c r="M936" t="s">
        <v>3482</v>
      </c>
      <c r="N936" t="s">
        <v>59</v>
      </c>
      <c r="O936" t="s">
        <v>47</v>
      </c>
      <c r="P936" t="s">
        <v>47</v>
      </c>
      <c r="Y936" t="s">
        <v>3483</v>
      </c>
      <c r="AG936" t="s">
        <v>48</v>
      </c>
    </row>
    <row r="937" spans="1:33">
      <c r="A937" t="s">
        <v>3484</v>
      </c>
      <c r="B937" t="s">
        <v>3485</v>
      </c>
      <c r="D937" t="s">
        <v>40</v>
      </c>
      <c r="E937" t="s">
        <v>41</v>
      </c>
      <c r="J937" t="s">
        <v>290</v>
      </c>
      <c r="K937" t="s">
        <v>291</v>
      </c>
      <c r="L937">
        <v>5</v>
      </c>
      <c r="M937" t="s">
        <v>3486</v>
      </c>
      <c r="N937" t="s">
        <v>59</v>
      </c>
      <c r="O937" t="s">
        <v>47</v>
      </c>
      <c r="P937" t="s">
        <v>47</v>
      </c>
      <c r="Y937" t="s">
        <v>3487</v>
      </c>
      <c r="AG937" t="s">
        <v>48</v>
      </c>
    </row>
    <row r="938" spans="1:33">
      <c r="A938" t="s">
        <v>117</v>
      </c>
      <c r="B938" t="s">
        <v>3488</v>
      </c>
      <c r="D938" t="s">
        <v>40</v>
      </c>
      <c r="E938" t="s">
        <v>41</v>
      </c>
      <c r="H938" t="s">
        <v>3489</v>
      </c>
      <c r="J938" t="s">
        <v>1418</v>
      </c>
      <c r="K938" t="s">
        <v>1419</v>
      </c>
      <c r="L938">
        <v>5</v>
      </c>
      <c r="M938" t="s">
        <v>3490</v>
      </c>
      <c r="N938" t="s">
        <v>218</v>
      </c>
      <c r="O938" t="s">
        <v>47</v>
      </c>
      <c r="P938" t="s">
        <v>47</v>
      </c>
      <c r="Y938" t="s">
        <v>3489</v>
      </c>
      <c r="AG938" t="s">
        <v>48</v>
      </c>
    </row>
    <row r="939" spans="1:33">
      <c r="A939" t="s">
        <v>3491</v>
      </c>
      <c r="B939" t="s">
        <v>3492</v>
      </c>
      <c r="D939" t="s">
        <v>40</v>
      </c>
      <c r="E939" t="s">
        <v>41</v>
      </c>
      <c r="J939" t="s">
        <v>162</v>
      </c>
      <c r="K939" t="s">
        <v>163</v>
      </c>
      <c r="L939">
        <v>5</v>
      </c>
      <c r="M939" t="s">
        <v>3493</v>
      </c>
      <c r="N939" t="s">
        <v>59</v>
      </c>
      <c r="O939" t="s">
        <v>47</v>
      </c>
      <c r="P939" t="s">
        <v>47</v>
      </c>
      <c r="Y939" t="s">
        <v>3494</v>
      </c>
      <c r="AG939" t="s">
        <v>48</v>
      </c>
    </row>
    <row r="940" spans="1:33">
      <c r="A940" t="s">
        <v>3495</v>
      </c>
      <c r="B940" t="s">
        <v>3496</v>
      </c>
      <c r="D940" t="s">
        <v>40</v>
      </c>
      <c r="E940" t="s">
        <v>41</v>
      </c>
      <c r="J940" t="s">
        <v>108</v>
      </c>
      <c r="K940" t="s">
        <v>109</v>
      </c>
      <c r="L940">
        <v>5</v>
      </c>
      <c r="M940" t="s">
        <v>3493</v>
      </c>
      <c r="N940" t="s">
        <v>59</v>
      </c>
      <c r="O940" t="s">
        <v>47</v>
      </c>
      <c r="P940" t="s">
        <v>47</v>
      </c>
      <c r="Y940" t="s">
        <v>3497</v>
      </c>
      <c r="AG940" t="s">
        <v>48</v>
      </c>
    </row>
    <row r="941" spans="1:33">
      <c r="A941" t="s">
        <v>3498</v>
      </c>
      <c r="B941" t="s">
        <v>3499</v>
      </c>
      <c r="D941" t="s">
        <v>40</v>
      </c>
      <c r="E941" t="s">
        <v>41</v>
      </c>
      <c r="J941" t="s">
        <v>290</v>
      </c>
      <c r="K941" t="s">
        <v>291</v>
      </c>
      <c r="L941">
        <v>5</v>
      </c>
      <c r="M941" t="s">
        <v>3500</v>
      </c>
      <c r="N941" t="s">
        <v>59</v>
      </c>
      <c r="O941" t="s">
        <v>47</v>
      </c>
      <c r="P941" t="s">
        <v>47</v>
      </c>
      <c r="Y941" t="s">
        <v>3501</v>
      </c>
      <c r="AG941" t="s">
        <v>48</v>
      </c>
    </row>
    <row r="942" spans="1:33">
      <c r="A942" t="s">
        <v>3502</v>
      </c>
      <c r="B942" t="s">
        <v>3503</v>
      </c>
      <c r="D942" t="s">
        <v>40</v>
      </c>
      <c r="E942" t="s">
        <v>41</v>
      </c>
      <c r="H942" t="s">
        <v>3504</v>
      </c>
      <c r="J942" t="s">
        <v>290</v>
      </c>
      <c r="K942" t="s">
        <v>291</v>
      </c>
      <c r="L942">
        <v>5</v>
      </c>
      <c r="M942" t="s">
        <v>3505</v>
      </c>
      <c r="N942" t="s">
        <v>59</v>
      </c>
      <c r="O942" t="s">
        <v>47</v>
      </c>
      <c r="P942" t="s">
        <v>47</v>
      </c>
      <c r="Y942" t="s">
        <v>3504</v>
      </c>
      <c r="AG942" t="s">
        <v>48</v>
      </c>
    </row>
    <row r="943" spans="1:33">
      <c r="A943" t="s">
        <v>3506</v>
      </c>
      <c r="B943" t="s">
        <v>3507</v>
      </c>
      <c r="D943" t="s">
        <v>40</v>
      </c>
      <c r="E943" t="s">
        <v>41</v>
      </c>
      <c r="J943" t="s">
        <v>312</v>
      </c>
      <c r="K943" t="s">
        <v>313</v>
      </c>
      <c r="L943">
        <v>5</v>
      </c>
      <c r="M943" t="s">
        <v>3508</v>
      </c>
      <c r="N943" t="s">
        <v>192</v>
      </c>
      <c r="O943" t="s">
        <v>47</v>
      </c>
      <c r="P943" t="s">
        <v>47</v>
      </c>
      <c r="Y943" t="s">
        <v>3509</v>
      </c>
      <c r="AG943" t="s">
        <v>48</v>
      </c>
    </row>
    <row r="944" spans="1:33">
      <c r="A944" t="s">
        <v>3510</v>
      </c>
      <c r="B944" t="s">
        <v>3511</v>
      </c>
      <c r="D944" t="s">
        <v>40</v>
      </c>
      <c r="E944" t="s">
        <v>41</v>
      </c>
      <c r="J944" t="s">
        <v>270</v>
      </c>
      <c r="K944" t="s">
        <v>271</v>
      </c>
      <c r="L944">
        <v>5</v>
      </c>
      <c r="M944" t="s">
        <v>3512</v>
      </c>
      <c r="N944" t="s">
        <v>59</v>
      </c>
      <c r="O944" t="s">
        <v>47</v>
      </c>
      <c r="P944" t="s">
        <v>47</v>
      </c>
      <c r="Y944" t="s">
        <v>3513</v>
      </c>
      <c r="AG944" t="s">
        <v>48</v>
      </c>
    </row>
    <row r="945" spans="1:33">
      <c r="A945" t="s">
        <v>3514</v>
      </c>
      <c r="B945" t="s">
        <v>3515</v>
      </c>
      <c r="D945" t="s">
        <v>40</v>
      </c>
      <c r="E945" t="s">
        <v>41</v>
      </c>
      <c r="J945" t="s">
        <v>290</v>
      </c>
      <c r="K945" t="s">
        <v>291</v>
      </c>
      <c r="L945">
        <v>5</v>
      </c>
      <c r="M945" t="s">
        <v>3516</v>
      </c>
      <c r="N945" t="s">
        <v>59</v>
      </c>
      <c r="O945" t="s">
        <v>47</v>
      </c>
      <c r="P945" t="s">
        <v>47</v>
      </c>
      <c r="Y945" t="s">
        <v>3517</v>
      </c>
      <c r="AG945" t="s">
        <v>48</v>
      </c>
    </row>
    <row r="946" spans="1:33">
      <c r="A946" t="s">
        <v>3518</v>
      </c>
      <c r="B946" t="s">
        <v>3519</v>
      </c>
      <c r="D946" t="s">
        <v>40</v>
      </c>
      <c r="E946" t="s">
        <v>41</v>
      </c>
      <c r="J946" t="s">
        <v>108</v>
      </c>
      <c r="K946" t="s">
        <v>109</v>
      </c>
      <c r="L946">
        <v>5</v>
      </c>
      <c r="M946" t="s">
        <v>3520</v>
      </c>
      <c r="N946" t="s">
        <v>59</v>
      </c>
      <c r="O946" t="s">
        <v>47</v>
      </c>
      <c r="P946" t="s">
        <v>47</v>
      </c>
      <c r="Y946" t="s">
        <v>3521</v>
      </c>
      <c r="AG946" t="s">
        <v>48</v>
      </c>
    </row>
    <row r="947" spans="1:33">
      <c r="A947" t="s">
        <v>3522</v>
      </c>
      <c r="B947" t="s">
        <v>3523</v>
      </c>
      <c r="D947" t="s">
        <v>40</v>
      </c>
      <c r="E947" t="s">
        <v>41</v>
      </c>
      <c r="J947" t="s">
        <v>162</v>
      </c>
      <c r="K947" t="s">
        <v>163</v>
      </c>
      <c r="L947">
        <v>5</v>
      </c>
      <c r="M947" t="s">
        <v>3524</v>
      </c>
      <c r="N947" t="s">
        <v>59</v>
      </c>
      <c r="O947" t="s">
        <v>47</v>
      </c>
      <c r="P947" t="s">
        <v>47</v>
      </c>
      <c r="Y947" t="s">
        <v>3525</v>
      </c>
      <c r="AG947" t="s">
        <v>48</v>
      </c>
    </row>
    <row r="948" spans="1:33">
      <c r="A948" t="s">
        <v>3526</v>
      </c>
      <c r="B948" t="s">
        <v>3527</v>
      </c>
      <c r="D948" t="s">
        <v>40</v>
      </c>
      <c r="E948" t="s">
        <v>41</v>
      </c>
      <c r="J948" t="s">
        <v>108</v>
      </c>
      <c r="K948" t="s">
        <v>109</v>
      </c>
      <c r="L948">
        <v>5</v>
      </c>
      <c r="M948" t="s">
        <v>3524</v>
      </c>
      <c r="N948" t="s">
        <v>59</v>
      </c>
      <c r="O948" t="s">
        <v>47</v>
      </c>
      <c r="P948" t="s">
        <v>47</v>
      </c>
      <c r="Y948" t="s">
        <v>3528</v>
      </c>
      <c r="AG948" t="s">
        <v>48</v>
      </c>
    </row>
    <row r="949" spans="1:33">
      <c r="A949" t="s">
        <v>3529</v>
      </c>
      <c r="B949" t="s">
        <v>3530</v>
      </c>
      <c r="D949" t="s">
        <v>40</v>
      </c>
      <c r="E949" t="s">
        <v>41</v>
      </c>
      <c r="J949" t="s">
        <v>123</v>
      </c>
      <c r="K949" t="s">
        <v>124</v>
      </c>
      <c r="L949">
        <v>5</v>
      </c>
      <c r="M949" t="s">
        <v>3531</v>
      </c>
      <c r="N949" t="s">
        <v>218</v>
      </c>
      <c r="O949" t="s">
        <v>47</v>
      </c>
      <c r="P949" t="s">
        <v>47</v>
      </c>
      <c r="Y949" t="s">
        <v>3532</v>
      </c>
      <c r="AG949" t="s">
        <v>48</v>
      </c>
    </row>
    <row r="950" spans="1:33">
      <c r="A950" t="s">
        <v>3533</v>
      </c>
      <c r="B950" t="s">
        <v>3534</v>
      </c>
      <c r="D950" t="s">
        <v>40</v>
      </c>
      <c r="E950" t="s">
        <v>41</v>
      </c>
      <c r="H950" t="s">
        <v>3535</v>
      </c>
      <c r="J950" t="s">
        <v>69</v>
      </c>
      <c r="K950" t="s">
        <v>70</v>
      </c>
      <c r="L950">
        <v>5</v>
      </c>
      <c r="M950" t="s">
        <v>3536</v>
      </c>
      <c r="N950" t="s">
        <v>46</v>
      </c>
      <c r="O950" t="s">
        <v>47</v>
      </c>
      <c r="P950" t="s">
        <v>47</v>
      </c>
      <c r="Y950" t="s">
        <v>3535</v>
      </c>
      <c r="AG950" t="s">
        <v>48</v>
      </c>
    </row>
    <row r="951" spans="1:33">
      <c r="A951" t="s">
        <v>3537</v>
      </c>
      <c r="B951" t="s">
        <v>3538</v>
      </c>
      <c r="D951" t="s">
        <v>40</v>
      </c>
      <c r="E951" t="s">
        <v>41</v>
      </c>
      <c r="J951" t="s">
        <v>290</v>
      </c>
      <c r="K951" t="s">
        <v>291</v>
      </c>
      <c r="L951">
        <v>5</v>
      </c>
      <c r="M951" t="s">
        <v>3539</v>
      </c>
      <c r="N951" t="s">
        <v>59</v>
      </c>
      <c r="O951" t="s">
        <v>47</v>
      </c>
      <c r="P951" t="s">
        <v>47</v>
      </c>
      <c r="Y951" t="s">
        <v>3540</v>
      </c>
      <c r="AG951" t="s">
        <v>48</v>
      </c>
    </row>
    <row r="952" spans="1:33">
      <c r="A952" t="s">
        <v>3541</v>
      </c>
      <c r="B952" t="s">
        <v>3542</v>
      </c>
      <c r="D952" t="s">
        <v>40</v>
      </c>
      <c r="E952" t="s">
        <v>41</v>
      </c>
      <c r="J952" t="s">
        <v>162</v>
      </c>
      <c r="K952" t="s">
        <v>163</v>
      </c>
      <c r="L952">
        <v>5</v>
      </c>
      <c r="M952" t="s">
        <v>3543</v>
      </c>
      <c r="N952" t="s">
        <v>59</v>
      </c>
      <c r="O952" t="s">
        <v>47</v>
      </c>
      <c r="P952" t="s">
        <v>47</v>
      </c>
      <c r="Y952" t="s">
        <v>3544</v>
      </c>
      <c r="AG952" t="s">
        <v>48</v>
      </c>
    </row>
    <row r="953" spans="1:33">
      <c r="A953" t="s">
        <v>3545</v>
      </c>
      <c r="B953" t="s">
        <v>3546</v>
      </c>
      <c r="D953" t="s">
        <v>40</v>
      </c>
      <c r="E953" t="s">
        <v>41</v>
      </c>
      <c r="J953" t="s">
        <v>162</v>
      </c>
      <c r="K953" t="s">
        <v>163</v>
      </c>
      <c r="L953">
        <v>5</v>
      </c>
      <c r="M953" t="s">
        <v>3543</v>
      </c>
      <c r="N953" t="s">
        <v>59</v>
      </c>
      <c r="O953" t="s">
        <v>47</v>
      </c>
      <c r="P953" t="s">
        <v>47</v>
      </c>
      <c r="Y953" t="s">
        <v>3547</v>
      </c>
      <c r="AG953" t="s">
        <v>48</v>
      </c>
    </row>
    <row r="954" spans="1:33">
      <c r="A954" t="s">
        <v>3548</v>
      </c>
      <c r="B954" t="s">
        <v>3549</v>
      </c>
      <c r="D954" t="s">
        <v>40</v>
      </c>
      <c r="E954" t="s">
        <v>41</v>
      </c>
      <c r="H954" t="s">
        <v>3550</v>
      </c>
      <c r="J954" t="s">
        <v>290</v>
      </c>
      <c r="K954" t="s">
        <v>291</v>
      </c>
      <c r="L954">
        <v>5</v>
      </c>
      <c r="M954" t="s">
        <v>3543</v>
      </c>
      <c r="N954" t="s">
        <v>59</v>
      </c>
      <c r="O954" t="s">
        <v>47</v>
      </c>
      <c r="P954" t="s">
        <v>47</v>
      </c>
      <c r="Y954" t="s">
        <v>3550</v>
      </c>
      <c r="AG954" t="s">
        <v>48</v>
      </c>
    </row>
    <row r="955" spans="1:33">
      <c r="A955" t="s">
        <v>3551</v>
      </c>
      <c r="B955" t="s">
        <v>3552</v>
      </c>
      <c r="D955" t="s">
        <v>40</v>
      </c>
      <c r="E955" t="s">
        <v>41</v>
      </c>
      <c r="H955" t="s">
        <v>3553</v>
      </c>
      <c r="J955" t="s">
        <v>108</v>
      </c>
      <c r="K955" t="s">
        <v>109</v>
      </c>
      <c r="L955">
        <v>5</v>
      </c>
      <c r="M955" t="s">
        <v>3554</v>
      </c>
      <c r="N955" t="s">
        <v>59</v>
      </c>
      <c r="O955" t="s">
        <v>47</v>
      </c>
      <c r="P955" t="s">
        <v>47</v>
      </c>
      <c r="Y955" t="s">
        <v>3553</v>
      </c>
      <c r="AG955" t="s">
        <v>48</v>
      </c>
    </row>
    <row r="956" spans="1:33">
      <c r="A956" t="s">
        <v>3555</v>
      </c>
      <c r="B956" t="s">
        <v>3556</v>
      </c>
      <c r="D956" t="s">
        <v>40</v>
      </c>
      <c r="E956" t="s">
        <v>41</v>
      </c>
      <c r="J956" t="s">
        <v>270</v>
      </c>
      <c r="K956" t="s">
        <v>271</v>
      </c>
      <c r="L956">
        <v>5</v>
      </c>
      <c r="M956" t="s">
        <v>3557</v>
      </c>
      <c r="N956" t="s">
        <v>59</v>
      </c>
      <c r="O956" t="s">
        <v>47</v>
      </c>
      <c r="P956" t="s">
        <v>47</v>
      </c>
      <c r="Y956" t="s">
        <v>3558</v>
      </c>
      <c r="AG956" t="s">
        <v>48</v>
      </c>
    </row>
    <row r="957" spans="1:33">
      <c r="A957" t="s">
        <v>3559</v>
      </c>
      <c r="B957" t="s">
        <v>3560</v>
      </c>
      <c r="D957" t="s">
        <v>40</v>
      </c>
      <c r="E957" t="s">
        <v>41</v>
      </c>
      <c r="J957" t="s">
        <v>290</v>
      </c>
      <c r="K957" t="s">
        <v>291</v>
      </c>
      <c r="L957">
        <v>5</v>
      </c>
      <c r="M957" t="s">
        <v>3561</v>
      </c>
      <c r="N957" t="s">
        <v>59</v>
      </c>
      <c r="O957" t="s">
        <v>47</v>
      </c>
      <c r="P957" t="s">
        <v>47</v>
      </c>
      <c r="Y957" t="s">
        <v>3562</v>
      </c>
      <c r="AG957" t="s">
        <v>48</v>
      </c>
    </row>
    <row r="958" spans="1:33">
      <c r="A958" t="s">
        <v>3563</v>
      </c>
      <c r="B958" t="s">
        <v>3564</v>
      </c>
      <c r="D958" t="s">
        <v>40</v>
      </c>
      <c r="E958" t="s">
        <v>41</v>
      </c>
      <c r="J958" t="s">
        <v>270</v>
      </c>
      <c r="K958" t="s">
        <v>271</v>
      </c>
      <c r="L958">
        <v>5</v>
      </c>
      <c r="M958" t="s">
        <v>3561</v>
      </c>
      <c r="N958" t="s">
        <v>59</v>
      </c>
      <c r="O958" t="s">
        <v>47</v>
      </c>
      <c r="P958" t="s">
        <v>47</v>
      </c>
      <c r="Y958" t="s">
        <v>3565</v>
      </c>
      <c r="AG958" t="s">
        <v>48</v>
      </c>
    </row>
    <row r="959" spans="1:33">
      <c r="A959" t="s">
        <v>3566</v>
      </c>
      <c r="B959" t="s">
        <v>3567</v>
      </c>
      <c r="D959" t="s">
        <v>40</v>
      </c>
      <c r="E959" t="s">
        <v>41</v>
      </c>
      <c r="J959" t="s">
        <v>43</v>
      </c>
      <c r="K959" t="s">
        <v>44</v>
      </c>
      <c r="L959">
        <v>5</v>
      </c>
      <c r="M959" t="s">
        <v>3561</v>
      </c>
      <c r="N959" t="s">
        <v>192</v>
      </c>
      <c r="O959" t="s">
        <v>47</v>
      </c>
      <c r="P959" t="s">
        <v>47</v>
      </c>
      <c r="Y959" t="s">
        <v>3568</v>
      </c>
      <c r="AG959" t="s">
        <v>48</v>
      </c>
    </row>
    <row r="960" spans="1:33">
      <c r="A960" t="s">
        <v>3569</v>
      </c>
      <c r="B960" t="s">
        <v>3570</v>
      </c>
      <c r="D960" t="s">
        <v>40</v>
      </c>
      <c r="E960" t="s">
        <v>41</v>
      </c>
      <c r="J960" t="s">
        <v>290</v>
      </c>
      <c r="K960" t="s">
        <v>291</v>
      </c>
      <c r="L960">
        <v>5</v>
      </c>
      <c r="M960" t="s">
        <v>3561</v>
      </c>
      <c r="N960" t="s">
        <v>59</v>
      </c>
      <c r="O960" t="s">
        <v>47</v>
      </c>
      <c r="P960" t="s">
        <v>47</v>
      </c>
      <c r="Y960" t="s">
        <v>3571</v>
      </c>
      <c r="AG960" t="s">
        <v>48</v>
      </c>
    </row>
    <row r="961" spans="1:33">
      <c r="A961" t="s">
        <v>3572</v>
      </c>
      <c r="B961" t="s">
        <v>3573</v>
      </c>
      <c r="D961" t="s">
        <v>40</v>
      </c>
      <c r="E961" t="s">
        <v>41</v>
      </c>
      <c r="J961" t="s">
        <v>290</v>
      </c>
      <c r="K961" t="s">
        <v>291</v>
      </c>
      <c r="L961">
        <v>5</v>
      </c>
      <c r="M961" t="s">
        <v>3574</v>
      </c>
      <c r="N961" t="s">
        <v>59</v>
      </c>
      <c r="O961" t="s">
        <v>47</v>
      </c>
      <c r="P961" t="s">
        <v>47</v>
      </c>
      <c r="Y961" t="s">
        <v>3575</v>
      </c>
      <c r="AG961" t="s">
        <v>48</v>
      </c>
    </row>
    <row r="962" spans="1:33">
      <c r="A962" t="s">
        <v>3576</v>
      </c>
      <c r="B962" t="s">
        <v>3577</v>
      </c>
      <c r="D962" t="s">
        <v>40</v>
      </c>
      <c r="E962" t="s">
        <v>41</v>
      </c>
      <c r="J962" t="s">
        <v>290</v>
      </c>
      <c r="K962" t="s">
        <v>291</v>
      </c>
      <c r="L962">
        <v>5</v>
      </c>
      <c r="M962" t="s">
        <v>3574</v>
      </c>
      <c r="N962" t="s">
        <v>59</v>
      </c>
      <c r="O962" t="s">
        <v>47</v>
      </c>
      <c r="P962" t="s">
        <v>47</v>
      </c>
      <c r="Y962" t="s">
        <v>3578</v>
      </c>
      <c r="AG962" t="s">
        <v>48</v>
      </c>
    </row>
    <row r="963" spans="1:33">
      <c r="A963" t="s">
        <v>3579</v>
      </c>
      <c r="B963" t="s">
        <v>3580</v>
      </c>
      <c r="D963" t="s">
        <v>40</v>
      </c>
      <c r="E963" t="s">
        <v>41</v>
      </c>
      <c r="J963" t="s">
        <v>69</v>
      </c>
      <c r="K963" t="s">
        <v>70</v>
      </c>
      <c r="L963">
        <v>5</v>
      </c>
      <c r="M963" t="s">
        <v>3574</v>
      </c>
      <c r="N963" t="s">
        <v>46</v>
      </c>
      <c r="O963" t="s">
        <v>47</v>
      </c>
      <c r="P963" t="s">
        <v>47</v>
      </c>
      <c r="Y963" t="s">
        <v>3581</v>
      </c>
      <c r="AG963" t="s">
        <v>48</v>
      </c>
    </row>
    <row r="964" spans="1:33">
      <c r="A964" t="s">
        <v>3582</v>
      </c>
      <c r="B964" t="s">
        <v>3583</v>
      </c>
      <c r="D964" t="s">
        <v>40</v>
      </c>
      <c r="E964" t="s">
        <v>41</v>
      </c>
      <c r="J964" t="s">
        <v>114</v>
      </c>
      <c r="K964" t="s">
        <v>115</v>
      </c>
      <c r="L964">
        <v>5</v>
      </c>
      <c r="M964" t="s">
        <v>3584</v>
      </c>
      <c r="N964" t="s">
        <v>59</v>
      </c>
      <c r="O964" t="s">
        <v>47</v>
      </c>
      <c r="P964" t="s">
        <v>47</v>
      </c>
      <c r="Y964" t="s">
        <v>3585</v>
      </c>
      <c r="AG964" t="s">
        <v>48</v>
      </c>
    </row>
    <row r="965" spans="1:33">
      <c r="A965" t="s">
        <v>117</v>
      </c>
      <c r="B965" t="s">
        <v>3586</v>
      </c>
      <c r="D965" t="s">
        <v>40</v>
      </c>
      <c r="E965" t="s">
        <v>41</v>
      </c>
      <c r="J965" t="s">
        <v>129</v>
      </c>
      <c r="K965" t="s">
        <v>130</v>
      </c>
      <c r="L965">
        <v>5</v>
      </c>
      <c r="M965" t="s">
        <v>3587</v>
      </c>
      <c r="N965" t="s">
        <v>218</v>
      </c>
      <c r="O965" t="s">
        <v>47</v>
      </c>
      <c r="P965" t="s">
        <v>47</v>
      </c>
      <c r="Y965" t="s">
        <v>3588</v>
      </c>
      <c r="AG965" t="s">
        <v>48</v>
      </c>
    </row>
    <row r="966" spans="1:33">
      <c r="A966" t="s">
        <v>3589</v>
      </c>
      <c r="B966" t="s">
        <v>3590</v>
      </c>
      <c r="D966" t="s">
        <v>40</v>
      </c>
      <c r="E966" t="s">
        <v>41</v>
      </c>
      <c r="J966" t="s">
        <v>290</v>
      </c>
      <c r="K966" t="s">
        <v>291</v>
      </c>
      <c r="L966">
        <v>5</v>
      </c>
      <c r="M966" t="s">
        <v>3591</v>
      </c>
      <c r="N966" t="s">
        <v>59</v>
      </c>
      <c r="O966" t="s">
        <v>47</v>
      </c>
      <c r="P966" t="s">
        <v>47</v>
      </c>
      <c r="Y966" t="s">
        <v>3592</v>
      </c>
      <c r="AG966" t="s">
        <v>48</v>
      </c>
    </row>
    <row r="967" spans="1:33">
      <c r="A967" t="s">
        <v>3593</v>
      </c>
      <c r="B967" t="s">
        <v>3594</v>
      </c>
      <c r="D967" t="s">
        <v>40</v>
      </c>
      <c r="E967" t="s">
        <v>41</v>
      </c>
      <c r="J967" t="s">
        <v>162</v>
      </c>
      <c r="K967" t="s">
        <v>163</v>
      </c>
      <c r="L967">
        <v>5</v>
      </c>
      <c r="M967" t="s">
        <v>3595</v>
      </c>
      <c r="N967" t="s">
        <v>59</v>
      </c>
      <c r="O967" t="s">
        <v>47</v>
      </c>
      <c r="P967" t="s">
        <v>47</v>
      </c>
      <c r="Y967" t="s">
        <v>3596</v>
      </c>
      <c r="AG967" t="s">
        <v>48</v>
      </c>
    </row>
    <row r="968" spans="1:33">
      <c r="A968" t="s">
        <v>3597</v>
      </c>
      <c r="B968" t="s">
        <v>3598</v>
      </c>
      <c r="D968" t="s">
        <v>40</v>
      </c>
      <c r="E968" t="s">
        <v>41</v>
      </c>
      <c r="J968" t="s">
        <v>290</v>
      </c>
      <c r="K968" t="s">
        <v>291</v>
      </c>
      <c r="L968">
        <v>5</v>
      </c>
      <c r="M968" t="s">
        <v>3595</v>
      </c>
      <c r="N968" t="s">
        <v>59</v>
      </c>
      <c r="O968" t="s">
        <v>47</v>
      </c>
      <c r="P968" t="s">
        <v>47</v>
      </c>
      <c r="Y968" t="s">
        <v>3599</v>
      </c>
      <c r="AG968" t="s">
        <v>48</v>
      </c>
    </row>
    <row r="969" spans="1:33">
      <c r="A969" t="s">
        <v>3600</v>
      </c>
      <c r="B969" t="s">
        <v>3601</v>
      </c>
      <c r="D969" t="s">
        <v>40</v>
      </c>
      <c r="E969" t="s">
        <v>41</v>
      </c>
      <c r="J969" t="s">
        <v>162</v>
      </c>
      <c r="K969" t="s">
        <v>163</v>
      </c>
      <c r="L969">
        <v>5</v>
      </c>
      <c r="M969" t="s">
        <v>3602</v>
      </c>
      <c r="N969" t="s">
        <v>59</v>
      </c>
      <c r="O969" t="s">
        <v>47</v>
      </c>
      <c r="P969" t="s">
        <v>47</v>
      </c>
      <c r="Y969" t="s">
        <v>3603</v>
      </c>
      <c r="AG969" t="s">
        <v>48</v>
      </c>
    </row>
    <row r="970" spans="1:33">
      <c r="A970" t="s">
        <v>3604</v>
      </c>
      <c r="B970" t="s">
        <v>3605</v>
      </c>
      <c r="D970" t="s">
        <v>40</v>
      </c>
      <c r="E970" t="s">
        <v>41</v>
      </c>
      <c r="J970" t="s">
        <v>290</v>
      </c>
      <c r="K970" t="s">
        <v>291</v>
      </c>
      <c r="L970">
        <v>5</v>
      </c>
      <c r="M970" t="s">
        <v>3606</v>
      </c>
      <c r="N970" t="s">
        <v>59</v>
      </c>
      <c r="O970" t="s">
        <v>47</v>
      </c>
      <c r="P970" t="s">
        <v>47</v>
      </c>
      <c r="Y970" t="s">
        <v>3607</v>
      </c>
      <c r="AG970" t="s">
        <v>48</v>
      </c>
    </row>
    <row r="971" spans="1:33">
      <c r="A971" t="s">
        <v>3608</v>
      </c>
      <c r="B971" t="s">
        <v>3609</v>
      </c>
      <c r="D971" t="s">
        <v>40</v>
      </c>
      <c r="E971" t="s">
        <v>41</v>
      </c>
      <c r="J971" t="s">
        <v>290</v>
      </c>
      <c r="K971" t="s">
        <v>291</v>
      </c>
      <c r="L971">
        <v>5</v>
      </c>
      <c r="M971" t="s">
        <v>3610</v>
      </c>
      <c r="N971" t="s">
        <v>59</v>
      </c>
      <c r="O971" t="s">
        <v>47</v>
      </c>
      <c r="P971" t="s">
        <v>47</v>
      </c>
      <c r="Y971" t="s">
        <v>3611</v>
      </c>
      <c r="AG971" t="s">
        <v>48</v>
      </c>
    </row>
    <row r="972" spans="1:33">
      <c r="A972" t="s">
        <v>3612</v>
      </c>
      <c r="B972" t="s">
        <v>3613</v>
      </c>
      <c r="D972" t="s">
        <v>40</v>
      </c>
      <c r="E972" t="s">
        <v>41</v>
      </c>
      <c r="J972" t="s">
        <v>69</v>
      </c>
      <c r="K972" t="s">
        <v>70</v>
      </c>
      <c r="L972">
        <v>5</v>
      </c>
      <c r="M972" t="s">
        <v>3610</v>
      </c>
      <c r="N972" t="s">
        <v>46</v>
      </c>
      <c r="O972" t="s">
        <v>47</v>
      </c>
      <c r="P972" t="s">
        <v>47</v>
      </c>
      <c r="Y972" t="s">
        <v>3614</v>
      </c>
      <c r="AG972" t="s">
        <v>48</v>
      </c>
    </row>
    <row r="973" spans="1:33">
      <c r="A973" t="s">
        <v>3615</v>
      </c>
      <c r="B973" t="s">
        <v>3616</v>
      </c>
      <c r="D973" t="s">
        <v>40</v>
      </c>
      <c r="E973" t="s">
        <v>41</v>
      </c>
      <c r="J973" t="s">
        <v>290</v>
      </c>
      <c r="K973" t="s">
        <v>291</v>
      </c>
      <c r="L973">
        <v>5</v>
      </c>
      <c r="M973" t="s">
        <v>3610</v>
      </c>
      <c r="N973" t="s">
        <v>59</v>
      </c>
      <c r="O973" t="s">
        <v>47</v>
      </c>
      <c r="P973" t="s">
        <v>47</v>
      </c>
      <c r="Y973" t="s">
        <v>3617</v>
      </c>
      <c r="AG973" t="s">
        <v>48</v>
      </c>
    </row>
    <row r="974" spans="1:33">
      <c r="A974" t="s">
        <v>3618</v>
      </c>
      <c r="B974" t="s">
        <v>3619</v>
      </c>
      <c r="D974" t="s">
        <v>40</v>
      </c>
      <c r="E974" t="s">
        <v>41</v>
      </c>
      <c r="J974" t="s">
        <v>290</v>
      </c>
      <c r="K974" t="s">
        <v>291</v>
      </c>
      <c r="L974">
        <v>5</v>
      </c>
      <c r="M974" t="s">
        <v>3610</v>
      </c>
      <c r="N974" t="s">
        <v>59</v>
      </c>
      <c r="O974" t="s">
        <v>47</v>
      </c>
      <c r="P974" t="s">
        <v>47</v>
      </c>
      <c r="Y974" t="s">
        <v>3620</v>
      </c>
      <c r="AG974" t="s">
        <v>48</v>
      </c>
    </row>
    <row r="975" spans="1:33">
      <c r="A975" t="s">
        <v>3621</v>
      </c>
      <c r="B975" t="s">
        <v>3622</v>
      </c>
      <c r="D975" t="s">
        <v>40</v>
      </c>
      <c r="E975" t="s">
        <v>41</v>
      </c>
      <c r="H975" t="s">
        <v>3623</v>
      </c>
      <c r="J975" t="s">
        <v>63</v>
      </c>
      <c r="K975" t="s">
        <v>64</v>
      </c>
      <c r="L975">
        <v>5</v>
      </c>
      <c r="M975" t="s">
        <v>3624</v>
      </c>
      <c r="N975" t="s">
        <v>59</v>
      </c>
      <c r="O975" t="s">
        <v>47</v>
      </c>
      <c r="P975" t="s">
        <v>47</v>
      </c>
      <c r="Y975" t="s">
        <v>3623</v>
      </c>
      <c r="AG975" t="s">
        <v>48</v>
      </c>
    </row>
    <row r="976" spans="1:33">
      <c r="A976" t="s">
        <v>3625</v>
      </c>
      <c r="B976" t="s">
        <v>3626</v>
      </c>
      <c r="D976" t="s">
        <v>40</v>
      </c>
      <c r="E976" t="s">
        <v>41</v>
      </c>
      <c r="J976" t="s">
        <v>290</v>
      </c>
      <c r="K976" t="s">
        <v>291</v>
      </c>
      <c r="L976">
        <v>5</v>
      </c>
      <c r="M976" t="s">
        <v>3627</v>
      </c>
      <c r="N976" t="s">
        <v>59</v>
      </c>
      <c r="O976" t="s">
        <v>47</v>
      </c>
      <c r="P976" t="s">
        <v>47</v>
      </c>
      <c r="Y976" t="s">
        <v>3628</v>
      </c>
      <c r="AG976" t="s">
        <v>48</v>
      </c>
    </row>
    <row r="977" spans="1:33">
      <c r="A977" t="s">
        <v>3629</v>
      </c>
      <c r="B977" t="s">
        <v>3630</v>
      </c>
      <c r="D977" t="s">
        <v>40</v>
      </c>
      <c r="E977" t="s">
        <v>41</v>
      </c>
      <c r="J977" t="s">
        <v>162</v>
      </c>
      <c r="K977" t="s">
        <v>163</v>
      </c>
      <c r="L977">
        <v>5</v>
      </c>
      <c r="M977" t="s">
        <v>3631</v>
      </c>
      <c r="N977" t="s">
        <v>59</v>
      </c>
      <c r="O977" t="s">
        <v>47</v>
      </c>
      <c r="P977" t="s">
        <v>47</v>
      </c>
      <c r="Y977" t="s">
        <v>3632</v>
      </c>
      <c r="AG977" t="s">
        <v>48</v>
      </c>
    </row>
    <row r="978" spans="1:33">
      <c r="A978" t="s">
        <v>3633</v>
      </c>
      <c r="B978" t="s">
        <v>3634</v>
      </c>
      <c r="D978" t="s">
        <v>40</v>
      </c>
      <c r="E978" t="s">
        <v>41</v>
      </c>
      <c r="J978" t="s">
        <v>270</v>
      </c>
      <c r="K978" t="s">
        <v>271</v>
      </c>
      <c r="L978">
        <v>5</v>
      </c>
      <c r="M978" t="s">
        <v>3635</v>
      </c>
      <c r="N978" t="s">
        <v>59</v>
      </c>
      <c r="O978" t="s">
        <v>47</v>
      </c>
      <c r="P978" t="s">
        <v>47</v>
      </c>
      <c r="Y978" t="s">
        <v>3636</v>
      </c>
      <c r="AG978" t="s">
        <v>48</v>
      </c>
    </row>
    <row r="979" spans="1:33">
      <c r="A979" t="s">
        <v>3637</v>
      </c>
      <c r="B979" t="s">
        <v>3638</v>
      </c>
      <c r="D979" t="s">
        <v>40</v>
      </c>
      <c r="E979" t="s">
        <v>41</v>
      </c>
      <c r="J979" t="s">
        <v>129</v>
      </c>
      <c r="K979" t="s">
        <v>130</v>
      </c>
      <c r="L979">
        <v>5</v>
      </c>
      <c r="M979" t="s">
        <v>3635</v>
      </c>
      <c r="N979" t="s">
        <v>218</v>
      </c>
      <c r="O979" t="s">
        <v>47</v>
      </c>
      <c r="P979" t="s">
        <v>47</v>
      </c>
      <c r="Y979" t="s">
        <v>3639</v>
      </c>
      <c r="AG979" t="s">
        <v>48</v>
      </c>
    </row>
    <row r="980" spans="1:33">
      <c r="A980" t="s">
        <v>3640</v>
      </c>
      <c r="B980" t="s">
        <v>3641</v>
      </c>
      <c r="D980" t="s">
        <v>40</v>
      </c>
      <c r="E980" t="s">
        <v>41</v>
      </c>
      <c r="H980" t="s">
        <v>3642</v>
      </c>
      <c r="J980" t="s">
        <v>270</v>
      </c>
      <c r="K980" t="s">
        <v>271</v>
      </c>
      <c r="L980">
        <v>5</v>
      </c>
      <c r="M980" t="s">
        <v>3643</v>
      </c>
      <c r="N980" t="s">
        <v>59</v>
      </c>
      <c r="O980" t="s">
        <v>47</v>
      </c>
      <c r="P980" t="s">
        <v>47</v>
      </c>
      <c r="Y980" t="s">
        <v>3642</v>
      </c>
      <c r="AG980" t="s">
        <v>48</v>
      </c>
    </row>
    <row r="981" spans="1:33">
      <c r="A981" t="s">
        <v>3644</v>
      </c>
      <c r="B981" t="s">
        <v>3645</v>
      </c>
      <c r="D981" t="s">
        <v>40</v>
      </c>
      <c r="E981" t="s">
        <v>41</v>
      </c>
      <c r="J981" t="s">
        <v>290</v>
      </c>
      <c r="K981" t="s">
        <v>291</v>
      </c>
      <c r="L981">
        <v>5</v>
      </c>
      <c r="M981" t="s">
        <v>3646</v>
      </c>
      <c r="N981" t="s">
        <v>59</v>
      </c>
      <c r="O981" t="s">
        <v>47</v>
      </c>
      <c r="P981" t="s">
        <v>47</v>
      </c>
      <c r="Y981" t="s">
        <v>3647</v>
      </c>
      <c r="AG981" t="s">
        <v>48</v>
      </c>
    </row>
    <row r="982" spans="1:33">
      <c r="A982" t="s">
        <v>3648</v>
      </c>
      <c r="B982" t="s">
        <v>3649</v>
      </c>
      <c r="D982" t="s">
        <v>40</v>
      </c>
      <c r="E982" t="s">
        <v>41</v>
      </c>
      <c r="J982" t="s">
        <v>270</v>
      </c>
      <c r="K982" t="s">
        <v>271</v>
      </c>
      <c r="L982">
        <v>5</v>
      </c>
      <c r="M982" t="s">
        <v>3650</v>
      </c>
      <c r="N982" t="s">
        <v>59</v>
      </c>
      <c r="O982" t="s">
        <v>47</v>
      </c>
      <c r="P982" t="s">
        <v>47</v>
      </c>
      <c r="Y982" t="s">
        <v>3651</v>
      </c>
      <c r="AG982" t="s">
        <v>48</v>
      </c>
    </row>
    <row r="983" spans="1:33">
      <c r="A983" t="s">
        <v>3652</v>
      </c>
      <c r="B983" t="s">
        <v>3653</v>
      </c>
      <c r="D983" t="s">
        <v>40</v>
      </c>
      <c r="E983" t="s">
        <v>41</v>
      </c>
      <c r="J983" t="s">
        <v>290</v>
      </c>
      <c r="K983" t="s">
        <v>291</v>
      </c>
      <c r="L983">
        <v>5</v>
      </c>
      <c r="M983" t="s">
        <v>3654</v>
      </c>
      <c r="N983" t="s">
        <v>59</v>
      </c>
      <c r="O983" t="s">
        <v>47</v>
      </c>
      <c r="P983" t="s">
        <v>47</v>
      </c>
      <c r="Y983" t="s">
        <v>3655</v>
      </c>
      <c r="AG983" t="s">
        <v>48</v>
      </c>
    </row>
    <row r="984" spans="1:33">
      <c r="A984" t="s">
        <v>3656</v>
      </c>
      <c r="B984" t="s">
        <v>3657</v>
      </c>
      <c r="D984" t="s">
        <v>40</v>
      </c>
      <c r="E984" t="s">
        <v>41</v>
      </c>
      <c r="J984" t="s">
        <v>290</v>
      </c>
      <c r="K984" t="s">
        <v>291</v>
      </c>
      <c r="L984">
        <v>5</v>
      </c>
      <c r="M984" t="s">
        <v>3654</v>
      </c>
      <c r="N984" t="s">
        <v>59</v>
      </c>
      <c r="O984" t="s">
        <v>47</v>
      </c>
      <c r="P984" t="s">
        <v>47</v>
      </c>
      <c r="Y984" t="s">
        <v>3658</v>
      </c>
      <c r="AG984" t="s">
        <v>48</v>
      </c>
    </row>
    <row r="985" spans="1:33">
      <c r="A985" t="s">
        <v>3659</v>
      </c>
      <c r="B985" t="s">
        <v>3660</v>
      </c>
      <c r="D985" t="s">
        <v>40</v>
      </c>
      <c r="E985" t="s">
        <v>41</v>
      </c>
      <c r="J985" t="s">
        <v>123</v>
      </c>
      <c r="K985" t="s">
        <v>124</v>
      </c>
      <c r="L985">
        <v>5</v>
      </c>
      <c r="M985" t="s">
        <v>3654</v>
      </c>
      <c r="N985" t="s">
        <v>218</v>
      </c>
      <c r="O985" t="s">
        <v>47</v>
      </c>
      <c r="P985" t="s">
        <v>47</v>
      </c>
      <c r="Y985" t="s">
        <v>3661</v>
      </c>
      <c r="AG985" t="s">
        <v>48</v>
      </c>
    </row>
    <row r="986" spans="1:33">
      <c r="A986" t="s">
        <v>3662</v>
      </c>
      <c r="B986" t="s">
        <v>3663</v>
      </c>
      <c r="D986" t="s">
        <v>40</v>
      </c>
      <c r="E986" t="s">
        <v>41</v>
      </c>
      <c r="J986" t="s">
        <v>290</v>
      </c>
      <c r="K986" t="s">
        <v>291</v>
      </c>
      <c r="L986">
        <v>5</v>
      </c>
      <c r="M986" t="s">
        <v>3664</v>
      </c>
      <c r="N986" t="s">
        <v>59</v>
      </c>
      <c r="O986" t="s">
        <v>47</v>
      </c>
      <c r="P986" t="s">
        <v>47</v>
      </c>
      <c r="Y986" t="s">
        <v>3665</v>
      </c>
      <c r="AG986" t="s">
        <v>48</v>
      </c>
    </row>
    <row r="987" spans="1:33">
      <c r="A987" t="s">
        <v>3666</v>
      </c>
      <c r="B987" t="s">
        <v>3667</v>
      </c>
      <c r="D987" t="s">
        <v>40</v>
      </c>
      <c r="E987" t="s">
        <v>41</v>
      </c>
      <c r="J987" t="s">
        <v>129</v>
      </c>
      <c r="K987" t="s">
        <v>130</v>
      </c>
      <c r="L987">
        <v>5</v>
      </c>
      <c r="M987" t="s">
        <v>3668</v>
      </c>
      <c r="N987" t="s">
        <v>46</v>
      </c>
      <c r="O987" t="s">
        <v>47</v>
      </c>
      <c r="P987" t="s">
        <v>47</v>
      </c>
      <c r="Y987" t="s">
        <v>3669</v>
      </c>
      <c r="AG987" t="s">
        <v>48</v>
      </c>
    </row>
    <row r="988" spans="1:33">
      <c r="A988" t="s">
        <v>3670</v>
      </c>
      <c r="B988" t="s">
        <v>3671</v>
      </c>
      <c r="D988" t="s">
        <v>40</v>
      </c>
      <c r="E988" t="s">
        <v>41</v>
      </c>
      <c r="J988" t="s">
        <v>290</v>
      </c>
      <c r="K988" t="s">
        <v>291</v>
      </c>
      <c r="L988">
        <v>5</v>
      </c>
      <c r="M988" t="s">
        <v>3672</v>
      </c>
      <c r="N988" t="s">
        <v>59</v>
      </c>
      <c r="O988" t="s">
        <v>47</v>
      </c>
      <c r="P988" t="s">
        <v>47</v>
      </c>
      <c r="Y988" t="s">
        <v>3673</v>
      </c>
      <c r="AG988" t="s">
        <v>48</v>
      </c>
    </row>
    <row r="989" spans="1:33">
      <c r="A989" t="s">
        <v>3674</v>
      </c>
      <c r="B989" t="s">
        <v>3675</v>
      </c>
      <c r="D989" t="s">
        <v>40</v>
      </c>
      <c r="E989" t="s">
        <v>41</v>
      </c>
      <c r="J989" t="s">
        <v>108</v>
      </c>
      <c r="K989" t="s">
        <v>109</v>
      </c>
      <c r="L989">
        <v>5</v>
      </c>
      <c r="M989" t="s">
        <v>3676</v>
      </c>
      <c r="N989" t="s">
        <v>59</v>
      </c>
      <c r="O989" t="s">
        <v>47</v>
      </c>
      <c r="P989" t="s">
        <v>47</v>
      </c>
      <c r="Y989" t="s">
        <v>3677</v>
      </c>
      <c r="AG989" t="s">
        <v>48</v>
      </c>
    </row>
    <row r="990" spans="1:33">
      <c r="A990" t="s">
        <v>3678</v>
      </c>
      <c r="B990" t="s">
        <v>3679</v>
      </c>
      <c r="D990" t="s">
        <v>40</v>
      </c>
      <c r="E990" t="s">
        <v>41</v>
      </c>
      <c r="J990" t="s">
        <v>290</v>
      </c>
      <c r="K990" t="s">
        <v>291</v>
      </c>
      <c r="L990">
        <v>5</v>
      </c>
      <c r="M990" t="s">
        <v>3676</v>
      </c>
      <c r="N990" t="s">
        <v>59</v>
      </c>
      <c r="O990" t="s">
        <v>47</v>
      </c>
      <c r="P990" t="s">
        <v>47</v>
      </c>
      <c r="Y990" t="s">
        <v>3680</v>
      </c>
      <c r="AG990" t="s">
        <v>48</v>
      </c>
    </row>
    <row r="991" spans="1:33">
      <c r="A991" t="s">
        <v>3681</v>
      </c>
      <c r="B991" t="s">
        <v>3682</v>
      </c>
      <c r="D991" t="s">
        <v>40</v>
      </c>
      <c r="E991" t="s">
        <v>41</v>
      </c>
      <c r="J991" t="s">
        <v>129</v>
      </c>
      <c r="K991" t="s">
        <v>130</v>
      </c>
      <c r="L991">
        <v>5</v>
      </c>
      <c r="M991" t="s">
        <v>3683</v>
      </c>
      <c r="N991" t="s">
        <v>192</v>
      </c>
      <c r="O991" t="s">
        <v>47</v>
      </c>
      <c r="P991" t="s">
        <v>47</v>
      </c>
      <c r="Y991" t="s">
        <v>3684</v>
      </c>
      <c r="AG991" t="s">
        <v>48</v>
      </c>
    </row>
    <row r="992" spans="1:33">
      <c r="A992" t="s">
        <v>3685</v>
      </c>
      <c r="B992" t="s">
        <v>3686</v>
      </c>
      <c r="D992" t="s">
        <v>40</v>
      </c>
      <c r="E992" t="s">
        <v>41</v>
      </c>
      <c r="J992" t="s">
        <v>270</v>
      </c>
      <c r="K992" t="s">
        <v>271</v>
      </c>
      <c r="L992">
        <v>5</v>
      </c>
      <c r="M992" t="s">
        <v>3687</v>
      </c>
      <c r="N992" t="s">
        <v>59</v>
      </c>
      <c r="O992" t="s">
        <v>47</v>
      </c>
      <c r="P992" t="s">
        <v>47</v>
      </c>
      <c r="Y992" t="s">
        <v>3688</v>
      </c>
      <c r="AG992" t="s">
        <v>48</v>
      </c>
    </row>
    <row r="993" spans="1:33">
      <c r="A993" t="s">
        <v>3689</v>
      </c>
      <c r="B993" t="s">
        <v>3690</v>
      </c>
      <c r="D993" t="s">
        <v>40</v>
      </c>
      <c r="E993" t="s">
        <v>41</v>
      </c>
      <c r="H993" t="s">
        <v>3691</v>
      </c>
      <c r="J993" t="s">
        <v>162</v>
      </c>
      <c r="K993" t="s">
        <v>163</v>
      </c>
      <c r="L993">
        <v>5</v>
      </c>
      <c r="M993" t="s">
        <v>3692</v>
      </c>
      <c r="N993" t="s">
        <v>59</v>
      </c>
      <c r="O993" t="s">
        <v>47</v>
      </c>
      <c r="P993" t="s">
        <v>47</v>
      </c>
      <c r="Y993" t="s">
        <v>3691</v>
      </c>
      <c r="AG993" t="s">
        <v>48</v>
      </c>
    </row>
    <row r="994" spans="1:33">
      <c r="A994" t="s">
        <v>3693</v>
      </c>
      <c r="B994" t="s">
        <v>3694</v>
      </c>
      <c r="D994" t="s">
        <v>40</v>
      </c>
      <c r="E994" t="s">
        <v>41</v>
      </c>
      <c r="J994" t="s">
        <v>114</v>
      </c>
      <c r="K994" t="s">
        <v>115</v>
      </c>
      <c r="L994">
        <v>5</v>
      </c>
      <c r="M994" t="s">
        <v>3695</v>
      </c>
      <c r="N994" t="s">
        <v>59</v>
      </c>
      <c r="O994" t="s">
        <v>47</v>
      </c>
      <c r="P994" t="s">
        <v>47</v>
      </c>
      <c r="Y994" t="s">
        <v>3696</v>
      </c>
      <c r="AG994" t="s">
        <v>48</v>
      </c>
    </row>
    <row r="995" spans="1:33">
      <c r="A995" t="s">
        <v>3697</v>
      </c>
      <c r="B995" t="s">
        <v>3698</v>
      </c>
      <c r="D995" t="s">
        <v>40</v>
      </c>
      <c r="E995" t="s">
        <v>41</v>
      </c>
      <c r="J995" t="s">
        <v>162</v>
      </c>
      <c r="K995" t="s">
        <v>163</v>
      </c>
      <c r="L995">
        <v>5</v>
      </c>
      <c r="M995" t="s">
        <v>3695</v>
      </c>
      <c r="N995" t="s">
        <v>59</v>
      </c>
      <c r="O995" t="s">
        <v>47</v>
      </c>
      <c r="P995" t="s">
        <v>47</v>
      </c>
      <c r="Y995" t="s">
        <v>3699</v>
      </c>
      <c r="AG995" t="s">
        <v>48</v>
      </c>
    </row>
    <row r="996" spans="1:33">
      <c r="A996" t="s">
        <v>3700</v>
      </c>
      <c r="B996" t="s">
        <v>3701</v>
      </c>
      <c r="D996" t="s">
        <v>40</v>
      </c>
      <c r="E996" t="s">
        <v>41</v>
      </c>
      <c r="J996" t="s">
        <v>108</v>
      </c>
      <c r="K996" t="s">
        <v>109</v>
      </c>
      <c r="L996">
        <v>5</v>
      </c>
      <c r="M996" t="s">
        <v>3702</v>
      </c>
      <c r="N996" t="s">
        <v>59</v>
      </c>
      <c r="O996" t="s">
        <v>47</v>
      </c>
      <c r="P996" t="s">
        <v>47</v>
      </c>
      <c r="Y996" t="s">
        <v>3703</v>
      </c>
      <c r="AG996" t="s">
        <v>48</v>
      </c>
    </row>
    <row r="997" spans="1:33">
      <c r="A997" t="s">
        <v>3704</v>
      </c>
      <c r="B997" t="s">
        <v>3705</v>
      </c>
      <c r="D997" t="s">
        <v>40</v>
      </c>
      <c r="E997" t="s">
        <v>41</v>
      </c>
      <c r="J997" t="s">
        <v>290</v>
      </c>
      <c r="K997" t="s">
        <v>291</v>
      </c>
      <c r="L997">
        <v>5</v>
      </c>
      <c r="M997" t="s">
        <v>3706</v>
      </c>
      <c r="N997" t="s">
        <v>59</v>
      </c>
      <c r="O997" t="s">
        <v>47</v>
      </c>
      <c r="P997" t="s">
        <v>47</v>
      </c>
      <c r="Y997" t="s">
        <v>3707</v>
      </c>
      <c r="AG997" t="s">
        <v>48</v>
      </c>
    </row>
    <row r="998" spans="1:33">
      <c r="A998" t="s">
        <v>3708</v>
      </c>
      <c r="B998" t="s">
        <v>3709</v>
      </c>
      <c r="D998" t="s">
        <v>40</v>
      </c>
      <c r="E998" t="s">
        <v>41</v>
      </c>
      <c r="J998" t="s">
        <v>129</v>
      </c>
      <c r="K998" t="s">
        <v>130</v>
      </c>
      <c r="L998">
        <v>5</v>
      </c>
      <c r="M998" t="s">
        <v>3706</v>
      </c>
      <c r="N998" t="s">
        <v>218</v>
      </c>
      <c r="O998" t="s">
        <v>47</v>
      </c>
      <c r="P998" t="s">
        <v>47</v>
      </c>
      <c r="Y998" t="s">
        <v>3710</v>
      </c>
      <c r="AG998" t="s">
        <v>48</v>
      </c>
    </row>
    <row r="999" spans="1:33">
      <c r="A999" t="s">
        <v>3711</v>
      </c>
      <c r="B999" t="s">
        <v>3712</v>
      </c>
      <c r="D999" t="s">
        <v>40</v>
      </c>
      <c r="E999" t="s">
        <v>41</v>
      </c>
      <c r="J999" t="s">
        <v>108</v>
      </c>
      <c r="K999" t="s">
        <v>109</v>
      </c>
      <c r="L999">
        <v>5</v>
      </c>
      <c r="M999" t="s">
        <v>3706</v>
      </c>
      <c r="N999" t="s">
        <v>59</v>
      </c>
      <c r="O999" t="s">
        <v>47</v>
      </c>
      <c r="P999" t="s">
        <v>47</v>
      </c>
      <c r="Y999" t="s">
        <v>3713</v>
      </c>
      <c r="AG999" t="s">
        <v>48</v>
      </c>
    </row>
    <row r="1000" spans="1:33">
      <c r="A1000" t="s">
        <v>3714</v>
      </c>
      <c r="B1000" t="s">
        <v>3715</v>
      </c>
      <c r="D1000" t="s">
        <v>40</v>
      </c>
      <c r="E1000" t="s">
        <v>41</v>
      </c>
      <c r="J1000" t="s">
        <v>114</v>
      </c>
      <c r="K1000" t="s">
        <v>115</v>
      </c>
      <c r="L1000">
        <v>5</v>
      </c>
      <c r="M1000" t="s">
        <v>3716</v>
      </c>
      <c r="N1000" t="s">
        <v>59</v>
      </c>
      <c r="O1000" t="s">
        <v>47</v>
      </c>
      <c r="P1000" t="s">
        <v>47</v>
      </c>
      <c r="Y1000" t="s">
        <v>3717</v>
      </c>
      <c r="AG1000" t="s">
        <v>48</v>
      </c>
    </row>
    <row r="1001" spans="1:33">
      <c r="A1001" t="s">
        <v>3718</v>
      </c>
      <c r="B1001" t="s">
        <v>3719</v>
      </c>
      <c r="D1001" t="s">
        <v>40</v>
      </c>
      <c r="E1001" t="s">
        <v>41</v>
      </c>
      <c r="J1001" t="s">
        <v>270</v>
      </c>
      <c r="K1001" t="s">
        <v>271</v>
      </c>
      <c r="L1001">
        <v>5</v>
      </c>
      <c r="M1001" t="s">
        <v>3720</v>
      </c>
      <c r="N1001" t="s">
        <v>59</v>
      </c>
      <c r="O1001" t="s">
        <v>47</v>
      </c>
      <c r="P1001" t="s">
        <v>47</v>
      </c>
      <c r="Y1001" t="s">
        <v>3721</v>
      </c>
      <c r="AG1001" t="s">
        <v>48</v>
      </c>
    </row>
    <row r="1002" spans="1:33">
      <c r="A1002" t="s">
        <v>3722</v>
      </c>
      <c r="B1002" t="s">
        <v>3723</v>
      </c>
      <c r="D1002" t="s">
        <v>40</v>
      </c>
      <c r="E1002" t="s">
        <v>41</v>
      </c>
      <c r="J1002" t="s">
        <v>290</v>
      </c>
      <c r="K1002" t="s">
        <v>291</v>
      </c>
      <c r="L1002">
        <v>5</v>
      </c>
      <c r="M1002" t="s">
        <v>3724</v>
      </c>
      <c r="N1002" t="s">
        <v>59</v>
      </c>
      <c r="O1002" t="s">
        <v>47</v>
      </c>
      <c r="P1002" t="s">
        <v>47</v>
      </c>
      <c r="Y1002" t="s">
        <v>3725</v>
      </c>
      <c r="AG1002" t="s">
        <v>48</v>
      </c>
    </row>
    <row r="1003" spans="1:33">
      <c r="A1003" t="s">
        <v>3726</v>
      </c>
      <c r="B1003" t="s">
        <v>3727</v>
      </c>
      <c r="D1003" t="s">
        <v>40</v>
      </c>
      <c r="E1003" t="s">
        <v>41</v>
      </c>
      <c r="J1003" t="s">
        <v>270</v>
      </c>
      <c r="K1003" t="s">
        <v>271</v>
      </c>
      <c r="L1003">
        <v>5</v>
      </c>
      <c r="M1003" t="s">
        <v>3728</v>
      </c>
      <c r="N1003" t="s">
        <v>59</v>
      </c>
      <c r="O1003" t="s">
        <v>47</v>
      </c>
      <c r="P1003" t="s">
        <v>47</v>
      </c>
      <c r="Y1003" t="s">
        <v>3729</v>
      </c>
      <c r="AG1003" t="s">
        <v>48</v>
      </c>
    </row>
    <row r="1004" spans="1:33">
      <c r="A1004" t="s">
        <v>3730</v>
      </c>
      <c r="B1004" t="s">
        <v>3731</v>
      </c>
      <c r="D1004" t="s">
        <v>40</v>
      </c>
      <c r="E1004" t="s">
        <v>41</v>
      </c>
      <c r="H1004" t="s">
        <v>3732</v>
      </c>
      <c r="J1004" t="s">
        <v>290</v>
      </c>
      <c r="K1004" t="s">
        <v>291</v>
      </c>
      <c r="L1004">
        <v>5</v>
      </c>
      <c r="M1004" t="s">
        <v>3733</v>
      </c>
      <c r="N1004" t="s">
        <v>59</v>
      </c>
      <c r="O1004" t="s">
        <v>47</v>
      </c>
      <c r="P1004" t="s">
        <v>47</v>
      </c>
      <c r="Y1004" t="s">
        <v>3732</v>
      </c>
      <c r="AG1004" t="s">
        <v>48</v>
      </c>
    </row>
    <row r="1005" spans="1:33">
      <c r="A1005" t="s">
        <v>3734</v>
      </c>
      <c r="B1005" t="s">
        <v>3735</v>
      </c>
      <c r="D1005" t="s">
        <v>40</v>
      </c>
      <c r="E1005" t="s">
        <v>41</v>
      </c>
      <c r="J1005" t="s">
        <v>114</v>
      </c>
      <c r="K1005" t="s">
        <v>115</v>
      </c>
      <c r="L1005">
        <v>5</v>
      </c>
      <c r="M1005" t="s">
        <v>3733</v>
      </c>
      <c r="N1005" t="s">
        <v>59</v>
      </c>
      <c r="O1005" t="s">
        <v>47</v>
      </c>
      <c r="P1005" t="s">
        <v>47</v>
      </c>
      <c r="Y1005" t="s">
        <v>3736</v>
      </c>
      <c r="AG1005" t="s">
        <v>48</v>
      </c>
    </row>
    <row r="1006" spans="1:33">
      <c r="A1006" t="s">
        <v>3737</v>
      </c>
      <c r="B1006" t="s">
        <v>3738</v>
      </c>
      <c r="D1006" t="s">
        <v>40</v>
      </c>
      <c r="E1006" t="s">
        <v>41</v>
      </c>
      <c r="J1006" t="s">
        <v>290</v>
      </c>
      <c r="K1006" t="s">
        <v>291</v>
      </c>
      <c r="L1006">
        <v>5</v>
      </c>
      <c r="M1006" t="s">
        <v>3739</v>
      </c>
      <c r="N1006" t="s">
        <v>59</v>
      </c>
      <c r="O1006" t="s">
        <v>47</v>
      </c>
      <c r="P1006" t="s">
        <v>47</v>
      </c>
      <c r="Y1006" t="s">
        <v>3740</v>
      </c>
      <c r="AG1006" t="s">
        <v>48</v>
      </c>
    </row>
    <row r="1007" spans="1:33">
      <c r="A1007" t="s">
        <v>3741</v>
      </c>
      <c r="B1007" t="s">
        <v>3742</v>
      </c>
      <c r="D1007" t="s">
        <v>40</v>
      </c>
      <c r="E1007" t="s">
        <v>41</v>
      </c>
      <c r="J1007" t="s">
        <v>270</v>
      </c>
      <c r="K1007" t="s">
        <v>271</v>
      </c>
      <c r="L1007">
        <v>5</v>
      </c>
      <c r="M1007" t="s">
        <v>3743</v>
      </c>
      <c r="N1007" t="s">
        <v>59</v>
      </c>
      <c r="O1007" t="s">
        <v>47</v>
      </c>
      <c r="P1007" t="s">
        <v>47</v>
      </c>
      <c r="Y1007" t="s">
        <v>3744</v>
      </c>
      <c r="AG1007" t="s">
        <v>48</v>
      </c>
    </row>
    <row r="1008" spans="1:33">
      <c r="A1008" t="s">
        <v>3745</v>
      </c>
      <c r="B1008" t="s">
        <v>3746</v>
      </c>
      <c r="D1008" t="s">
        <v>40</v>
      </c>
      <c r="E1008" t="s">
        <v>41</v>
      </c>
      <c r="J1008" t="s">
        <v>270</v>
      </c>
      <c r="K1008" t="s">
        <v>271</v>
      </c>
      <c r="L1008">
        <v>5</v>
      </c>
      <c r="M1008" t="s">
        <v>3743</v>
      </c>
      <c r="N1008" t="s">
        <v>59</v>
      </c>
      <c r="O1008" t="s">
        <v>47</v>
      </c>
      <c r="P1008" t="s">
        <v>47</v>
      </c>
      <c r="Y1008" t="s">
        <v>3747</v>
      </c>
      <c r="AG1008" t="s">
        <v>48</v>
      </c>
    </row>
    <row r="1009" spans="1:33">
      <c r="A1009" t="s">
        <v>3748</v>
      </c>
      <c r="B1009" t="s">
        <v>3749</v>
      </c>
      <c r="D1009" t="s">
        <v>40</v>
      </c>
      <c r="E1009" t="s">
        <v>41</v>
      </c>
      <c r="J1009" t="s">
        <v>43</v>
      </c>
      <c r="K1009" t="s">
        <v>44</v>
      </c>
      <c r="L1009">
        <v>5</v>
      </c>
      <c r="M1009" t="s">
        <v>3750</v>
      </c>
      <c r="N1009" t="s">
        <v>192</v>
      </c>
      <c r="O1009" t="s">
        <v>47</v>
      </c>
      <c r="P1009" t="s">
        <v>47</v>
      </c>
      <c r="Y1009" t="s">
        <v>3751</v>
      </c>
      <c r="AG1009" t="s">
        <v>48</v>
      </c>
    </row>
    <row r="1010" spans="1:33">
      <c r="A1010" t="s">
        <v>3752</v>
      </c>
      <c r="B1010" t="s">
        <v>3753</v>
      </c>
      <c r="D1010" t="s">
        <v>40</v>
      </c>
      <c r="E1010" t="s">
        <v>41</v>
      </c>
      <c r="J1010" t="s">
        <v>290</v>
      </c>
      <c r="K1010" t="s">
        <v>291</v>
      </c>
      <c r="L1010">
        <v>5</v>
      </c>
      <c r="M1010" t="s">
        <v>3754</v>
      </c>
      <c r="N1010" t="s">
        <v>59</v>
      </c>
      <c r="O1010" t="s">
        <v>47</v>
      </c>
      <c r="P1010" t="s">
        <v>47</v>
      </c>
      <c r="Y1010" t="s">
        <v>3755</v>
      </c>
      <c r="AG1010" t="s">
        <v>48</v>
      </c>
    </row>
    <row r="1011" spans="1:33">
      <c r="A1011" t="s">
        <v>3756</v>
      </c>
      <c r="B1011" t="s">
        <v>3757</v>
      </c>
      <c r="D1011" t="s">
        <v>40</v>
      </c>
      <c r="E1011" t="s">
        <v>41</v>
      </c>
      <c r="J1011" t="s">
        <v>290</v>
      </c>
      <c r="K1011" t="s">
        <v>291</v>
      </c>
      <c r="L1011">
        <v>5</v>
      </c>
      <c r="M1011" t="s">
        <v>3754</v>
      </c>
      <c r="N1011" t="s">
        <v>59</v>
      </c>
      <c r="O1011" t="s">
        <v>47</v>
      </c>
      <c r="P1011" t="s">
        <v>47</v>
      </c>
      <c r="Y1011" t="s">
        <v>3758</v>
      </c>
      <c r="AG1011" t="s">
        <v>48</v>
      </c>
    </row>
    <row r="1012" spans="1:33">
      <c r="A1012" t="s">
        <v>3759</v>
      </c>
      <c r="B1012" t="s">
        <v>3760</v>
      </c>
      <c r="D1012" t="s">
        <v>40</v>
      </c>
      <c r="E1012" t="s">
        <v>41</v>
      </c>
      <c r="J1012" t="s">
        <v>114</v>
      </c>
      <c r="K1012" t="s">
        <v>115</v>
      </c>
      <c r="L1012">
        <v>5</v>
      </c>
      <c r="M1012" t="s">
        <v>3754</v>
      </c>
      <c r="N1012" t="s">
        <v>59</v>
      </c>
      <c r="O1012" t="s">
        <v>47</v>
      </c>
      <c r="P1012" t="s">
        <v>47</v>
      </c>
      <c r="Y1012" t="s">
        <v>3761</v>
      </c>
      <c r="AG1012" t="s">
        <v>48</v>
      </c>
    </row>
    <row r="1013" spans="1:33">
      <c r="A1013" t="s">
        <v>3762</v>
      </c>
      <c r="B1013" t="s">
        <v>3763</v>
      </c>
      <c r="D1013" t="s">
        <v>40</v>
      </c>
      <c r="E1013" t="s">
        <v>41</v>
      </c>
      <c r="H1013" t="s">
        <v>3764</v>
      </c>
      <c r="J1013" t="s">
        <v>290</v>
      </c>
      <c r="K1013" t="s">
        <v>291</v>
      </c>
      <c r="L1013">
        <v>5</v>
      </c>
      <c r="M1013" t="s">
        <v>3754</v>
      </c>
      <c r="N1013" t="s">
        <v>59</v>
      </c>
      <c r="O1013" t="s">
        <v>47</v>
      </c>
      <c r="P1013" t="s">
        <v>47</v>
      </c>
      <c r="Y1013" t="s">
        <v>3764</v>
      </c>
      <c r="AG1013" t="s">
        <v>48</v>
      </c>
    </row>
    <row r="1014" spans="1:33">
      <c r="A1014" t="s">
        <v>3765</v>
      </c>
      <c r="B1014" t="s">
        <v>3766</v>
      </c>
      <c r="D1014" t="s">
        <v>40</v>
      </c>
      <c r="E1014" t="s">
        <v>41</v>
      </c>
      <c r="J1014" t="s">
        <v>129</v>
      </c>
      <c r="K1014" t="s">
        <v>130</v>
      </c>
      <c r="L1014">
        <v>5</v>
      </c>
      <c r="M1014" t="s">
        <v>3767</v>
      </c>
      <c r="N1014" t="s">
        <v>218</v>
      </c>
      <c r="O1014" t="s">
        <v>47</v>
      </c>
      <c r="P1014" t="s">
        <v>47</v>
      </c>
      <c r="Y1014" t="s">
        <v>3768</v>
      </c>
      <c r="AG1014" t="s">
        <v>48</v>
      </c>
    </row>
    <row r="1015" spans="1:33">
      <c r="A1015" t="s">
        <v>3769</v>
      </c>
      <c r="B1015" t="s">
        <v>3770</v>
      </c>
      <c r="D1015" t="s">
        <v>40</v>
      </c>
      <c r="E1015" t="s">
        <v>41</v>
      </c>
      <c r="H1015" t="s">
        <v>3771</v>
      </c>
      <c r="J1015" t="s">
        <v>290</v>
      </c>
      <c r="K1015" t="s">
        <v>291</v>
      </c>
      <c r="L1015">
        <v>5</v>
      </c>
      <c r="M1015" t="s">
        <v>3772</v>
      </c>
      <c r="N1015" t="s">
        <v>59</v>
      </c>
      <c r="O1015" t="s">
        <v>47</v>
      </c>
      <c r="P1015" t="s">
        <v>47</v>
      </c>
      <c r="Y1015" t="s">
        <v>3771</v>
      </c>
      <c r="AG1015" t="s">
        <v>48</v>
      </c>
    </row>
    <row r="1016" spans="1:33">
      <c r="A1016" t="s">
        <v>3773</v>
      </c>
      <c r="B1016" t="s">
        <v>3774</v>
      </c>
      <c r="D1016" t="s">
        <v>40</v>
      </c>
      <c r="E1016" t="s">
        <v>41</v>
      </c>
      <c r="J1016" t="s">
        <v>108</v>
      </c>
      <c r="K1016" t="s">
        <v>109</v>
      </c>
      <c r="L1016">
        <v>5</v>
      </c>
      <c r="M1016" t="s">
        <v>3772</v>
      </c>
      <c r="N1016" t="s">
        <v>59</v>
      </c>
      <c r="O1016" t="s">
        <v>47</v>
      </c>
      <c r="P1016" t="s">
        <v>47</v>
      </c>
      <c r="Y1016" t="s">
        <v>3775</v>
      </c>
      <c r="AG1016" t="s">
        <v>48</v>
      </c>
    </row>
    <row r="1017" spans="1:33">
      <c r="A1017" t="s">
        <v>3776</v>
      </c>
      <c r="B1017" t="s">
        <v>3777</v>
      </c>
      <c r="D1017" t="s">
        <v>40</v>
      </c>
      <c r="E1017" t="s">
        <v>41</v>
      </c>
      <c r="J1017" t="s">
        <v>162</v>
      </c>
      <c r="K1017" t="s">
        <v>163</v>
      </c>
      <c r="L1017">
        <v>5</v>
      </c>
      <c r="M1017" t="s">
        <v>3772</v>
      </c>
      <c r="N1017" t="s">
        <v>59</v>
      </c>
      <c r="O1017" t="s">
        <v>47</v>
      </c>
      <c r="P1017" t="s">
        <v>47</v>
      </c>
      <c r="Y1017" t="s">
        <v>3778</v>
      </c>
      <c r="AG1017" t="s">
        <v>48</v>
      </c>
    </row>
    <row r="1018" spans="1:33">
      <c r="A1018" t="s">
        <v>3779</v>
      </c>
      <c r="B1018" t="s">
        <v>3780</v>
      </c>
      <c r="D1018" t="s">
        <v>40</v>
      </c>
      <c r="E1018" t="s">
        <v>41</v>
      </c>
      <c r="J1018" t="s">
        <v>290</v>
      </c>
      <c r="K1018" t="s">
        <v>291</v>
      </c>
      <c r="L1018">
        <v>5</v>
      </c>
      <c r="M1018" t="s">
        <v>3781</v>
      </c>
      <c r="N1018" t="s">
        <v>59</v>
      </c>
      <c r="O1018" t="s">
        <v>47</v>
      </c>
      <c r="P1018" t="s">
        <v>47</v>
      </c>
      <c r="Y1018" t="s">
        <v>3782</v>
      </c>
      <c r="AG1018" t="s">
        <v>48</v>
      </c>
    </row>
    <row r="1019" spans="1:33">
      <c r="A1019" t="s">
        <v>3783</v>
      </c>
      <c r="B1019" t="s">
        <v>3784</v>
      </c>
      <c r="D1019" t="s">
        <v>40</v>
      </c>
      <c r="E1019" t="s">
        <v>41</v>
      </c>
      <c r="J1019" t="s">
        <v>43</v>
      </c>
      <c r="K1019" t="s">
        <v>44</v>
      </c>
      <c r="L1019">
        <v>5</v>
      </c>
      <c r="M1019" t="s">
        <v>3785</v>
      </c>
      <c r="N1019" t="s">
        <v>192</v>
      </c>
      <c r="O1019" t="s">
        <v>47</v>
      </c>
      <c r="P1019" t="s">
        <v>47</v>
      </c>
      <c r="Y1019" t="s">
        <v>3786</v>
      </c>
      <c r="AG1019" t="s">
        <v>48</v>
      </c>
    </row>
    <row r="1020" spans="1:33">
      <c r="A1020" t="s">
        <v>3787</v>
      </c>
      <c r="B1020" t="s">
        <v>3788</v>
      </c>
      <c r="D1020" t="s">
        <v>40</v>
      </c>
      <c r="E1020" t="s">
        <v>41</v>
      </c>
      <c r="J1020" t="s">
        <v>108</v>
      </c>
      <c r="K1020" t="s">
        <v>109</v>
      </c>
      <c r="L1020">
        <v>5</v>
      </c>
      <c r="M1020" t="s">
        <v>3785</v>
      </c>
      <c r="N1020" t="s">
        <v>59</v>
      </c>
      <c r="O1020" t="s">
        <v>47</v>
      </c>
      <c r="P1020" t="s">
        <v>47</v>
      </c>
      <c r="Y1020" t="s">
        <v>3789</v>
      </c>
      <c r="AG1020" t="s">
        <v>48</v>
      </c>
    </row>
    <row r="1021" spans="1:33">
      <c r="A1021" t="s">
        <v>3790</v>
      </c>
      <c r="B1021" t="s">
        <v>3791</v>
      </c>
      <c r="D1021" t="s">
        <v>40</v>
      </c>
      <c r="E1021" t="s">
        <v>41</v>
      </c>
      <c r="J1021" t="s">
        <v>270</v>
      </c>
      <c r="K1021" t="s">
        <v>271</v>
      </c>
      <c r="L1021">
        <v>5</v>
      </c>
      <c r="M1021" t="s">
        <v>3785</v>
      </c>
      <c r="N1021" t="s">
        <v>59</v>
      </c>
      <c r="O1021" t="s">
        <v>47</v>
      </c>
      <c r="P1021" t="s">
        <v>47</v>
      </c>
      <c r="Y1021" t="s">
        <v>3792</v>
      </c>
      <c r="AG1021" t="s">
        <v>48</v>
      </c>
    </row>
    <row r="1022" spans="1:33">
      <c r="A1022" t="s">
        <v>3793</v>
      </c>
      <c r="B1022" t="s">
        <v>3794</v>
      </c>
      <c r="D1022" t="s">
        <v>40</v>
      </c>
      <c r="E1022" t="s">
        <v>41</v>
      </c>
      <c r="H1022" t="s">
        <v>3795</v>
      </c>
      <c r="J1022" t="s">
        <v>63</v>
      </c>
      <c r="K1022" t="s">
        <v>64</v>
      </c>
      <c r="L1022">
        <v>5</v>
      </c>
      <c r="M1022" t="s">
        <v>3796</v>
      </c>
      <c r="N1022" t="s">
        <v>59</v>
      </c>
      <c r="O1022" t="s">
        <v>47</v>
      </c>
      <c r="P1022" t="s">
        <v>47</v>
      </c>
      <c r="Y1022" t="s">
        <v>3795</v>
      </c>
      <c r="AG1022" t="s">
        <v>48</v>
      </c>
    </row>
    <row r="1023" spans="1:33">
      <c r="A1023" t="s">
        <v>3797</v>
      </c>
      <c r="B1023" t="s">
        <v>3798</v>
      </c>
      <c r="D1023" t="s">
        <v>40</v>
      </c>
      <c r="E1023" t="s">
        <v>41</v>
      </c>
      <c r="J1023" t="s">
        <v>270</v>
      </c>
      <c r="K1023" t="s">
        <v>271</v>
      </c>
      <c r="L1023">
        <v>5</v>
      </c>
      <c r="M1023" t="s">
        <v>3799</v>
      </c>
      <c r="N1023" t="s">
        <v>59</v>
      </c>
      <c r="O1023" t="s">
        <v>47</v>
      </c>
      <c r="P1023" t="s">
        <v>47</v>
      </c>
      <c r="Y1023" t="s">
        <v>3800</v>
      </c>
      <c r="AG1023" t="s">
        <v>48</v>
      </c>
    </row>
    <row r="1024" spans="1:33">
      <c r="A1024" t="s">
        <v>3801</v>
      </c>
      <c r="B1024" t="s">
        <v>3802</v>
      </c>
      <c r="D1024" t="s">
        <v>40</v>
      </c>
      <c r="E1024" t="s">
        <v>41</v>
      </c>
      <c r="J1024" t="s">
        <v>43</v>
      </c>
      <c r="K1024" t="s">
        <v>44</v>
      </c>
      <c r="L1024">
        <v>5</v>
      </c>
      <c r="M1024" t="s">
        <v>3803</v>
      </c>
      <c r="N1024" t="s">
        <v>192</v>
      </c>
      <c r="O1024" t="s">
        <v>47</v>
      </c>
      <c r="P1024" t="s">
        <v>47</v>
      </c>
      <c r="Y1024" t="s">
        <v>3804</v>
      </c>
      <c r="AG1024" t="s">
        <v>48</v>
      </c>
    </row>
    <row r="1025" spans="1:33">
      <c r="A1025" t="s">
        <v>3805</v>
      </c>
      <c r="B1025" t="s">
        <v>3806</v>
      </c>
      <c r="D1025" t="s">
        <v>40</v>
      </c>
      <c r="E1025" t="s">
        <v>41</v>
      </c>
      <c r="J1025" t="s">
        <v>290</v>
      </c>
      <c r="K1025" t="s">
        <v>291</v>
      </c>
      <c r="L1025">
        <v>5</v>
      </c>
      <c r="M1025" t="s">
        <v>3807</v>
      </c>
      <c r="N1025" t="s">
        <v>59</v>
      </c>
      <c r="O1025" t="s">
        <v>47</v>
      </c>
      <c r="P1025" t="s">
        <v>47</v>
      </c>
      <c r="Y1025" t="s">
        <v>3808</v>
      </c>
      <c r="AG1025" t="s">
        <v>48</v>
      </c>
    </row>
    <row r="1026" spans="1:33">
      <c r="A1026" t="s">
        <v>3809</v>
      </c>
      <c r="B1026" t="s">
        <v>3810</v>
      </c>
      <c r="D1026" t="s">
        <v>40</v>
      </c>
      <c r="E1026" t="s">
        <v>41</v>
      </c>
      <c r="J1026" t="s">
        <v>162</v>
      </c>
      <c r="K1026" t="s">
        <v>163</v>
      </c>
      <c r="L1026">
        <v>5</v>
      </c>
      <c r="M1026" t="s">
        <v>3811</v>
      </c>
      <c r="N1026" t="s">
        <v>59</v>
      </c>
      <c r="O1026" t="s">
        <v>47</v>
      </c>
      <c r="P1026" t="s">
        <v>47</v>
      </c>
      <c r="Y1026" t="s">
        <v>3812</v>
      </c>
      <c r="AG1026" t="s">
        <v>48</v>
      </c>
    </row>
    <row r="1027" spans="1:33">
      <c r="A1027" t="s">
        <v>3813</v>
      </c>
      <c r="B1027" t="s">
        <v>3814</v>
      </c>
      <c r="D1027" t="s">
        <v>40</v>
      </c>
      <c r="E1027" t="s">
        <v>41</v>
      </c>
      <c r="J1027" t="s">
        <v>290</v>
      </c>
      <c r="K1027" t="s">
        <v>291</v>
      </c>
      <c r="L1027">
        <v>5</v>
      </c>
      <c r="M1027" t="s">
        <v>3815</v>
      </c>
      <c r="N1027" t="s">
        <v>59</v>
      </c>
      <c r="O1027" t="s">
        <v>47</v>
      </c>
      <c r="P1027" t="s">
        <v>47</v>
      </c>
      <c r="Y1027" t="s">
        <v>3816</v>
      </c>
      <c r="AG1027" t="s">
        <v>48</v>
      </c>
    </row>
    <row r="1028" spans="1:33">
      <c r="A1028" t="s">
        <v>3817</v>
      </c>
      <c r="B1028" t="s">
        <v>3818</v>
      </c>
      <c r="D1028" t="s">
        <v>40</v>
      </c>
      <c r="E1028" t="s">
        <v>41</v>
      </c>
      <c r="J1028" t="s">
        <v>290</v>
      </c>
      <c r="K1028" t="s">
        <v>291</v>
      </c>
      <c r="L1028">
        <v>5</v>
      </c>
      <c r="M1028" t="s">
        <v>3819</v>
      </c>
      <c r="N1028" t="s">
        <v>59</v>
      </c>
      <c r="O1028" t="s">
        <v>47</v>
      </c>
      <c r="P1028" t="s">
        <v>47</v>
      </c>
      <c r="Y1028" t="s">
        <v>3820</v>
      </c>
      <c r="AG1028" t="s">
        <v>48</v>
      </c>
    </row>
    <row r="1029" spans="1:33">
      <c r="A1029" t="s">
        <v>3821</v>
      </c>
      <c r="B1029" t="s">
        <v>3822</v>
      </c>
      <c r="D1029" t="s">
        <v>40</v>
      </c>
      <c r="E1029" t="s">
        <v>41</v>
      </c>
      <c r="J1029" t="s">
        <v>290</v>
      </c>
      <c r="K1029" t="s">
        <v>291</v>
      </c>
      <c r="L1029">
        <v>5</v>
      </c>
      <c r="M1029" t="s">
        <v>3819</v>
      </c>
      <c r="N1029" t="s">
        <v>59</v>
      </c>
      <c r="O1029" t="s">
        <v>47</v>
      </c>
      <c r="P1029" t="s">
        <v>47</v>
      </c>
      <c r="Y1029" t="s">
        <v>3823</v>
      </c>
      <c r="AG1029" t="s">
        <v>48</v>
      </c>
    </row>
    <row r="1030" spans="1:33">
      <c r="A1030" t="s">
        <v>3824</v>
      </c>
      <c r="B1030" t="s">
        <v>3825</v>
      </c>
      <c r="D1030" t="s">
        <v>40</v>
      </c>
      <c r="E1030" t="s">
        <v>41</v>
      </c>
      <c r="J1030" t="s">
        <v>114</v>
      </c>
      <c r="K1030" t="s">
        <v>115</v>
      </c>
      <c r="L1030">
        <v>5</v>
      </c>
      <c r="M1030" t="s">
        <v>3819</v>
      </c>
      <c r="N1030" t="s">
        <v>59</v>
      </c>
      <c r="O1030" t="s">
        <v>47</v>
      </c>
      <c r="P1030" t="s">
        <v>47</v>
      </c>
      <c r="Y1030" t="s">
        <v>3826</v>
      </c>
      <c r="AG1030" t="s">
        <v>48</v>
      </c>
    </row>
    <row r="1031" spans="1:33">
      <c r="A1031" t="s">
        <v>117</v>
      </c>
      <c r="B1031" t="s">
        <v>3827</v>
      </c>
      <c r="D1031" t="s">
        <v>40</v>
      </c>
      <c r="E1031" t="s">
        <v>41</v>
      </c>
      <c r="J1031" t="s">
        <v>270</v>
      </c>
      <c r="K1031" t="s">
        <v>271</v>
      </c>
      <c r="L1031">
        <v>5</v>
      </c>
      <c r="M1031" t="s">
        <v>3828</v>
      </c>
      <c r="N1031" t="s">
        <v>59</v>
      </c>
      <c r="O1031" t="s">
        <v>47</v>
      </c>
      <c r="P1031" t="s">
        <v>47</v>
      </c>
      <c r="Y1031" t="s">
        <v>3829</v>
      </c>
      <c r="AG1031" t="s">
        <v>48</v>
      </c>
    </row>
    <row r="1032" spans="1:33">
      <c r="A1032" t="s">
        <v>3830</v>
      </c>
      <c r="B1032" t="s">
        <v>3831</v>
      </c>
      <c r="D1032" t="s">
        <v>40</v>
      </c>
      <c r="E1032" t="s">
        <v>41</v>
      </c>
      <c r="J1032" t="s">
        <v>290</v>
      </c>
      <c r="K1032" t="s">
        <v>291</v>
      </c>
      <c r="L1032">
        <v>5</v>
      </c>
      <c r="M1032" t="s">
        <v>3832</v>
      </c>
      <c r="N1032" t="s">
        <v>59</v>
      </c>
      <c r="O1032" t="s">
        <v>47</v>
      </c>
      <c r="P1032" t="s">
        <v>47</v>
      </c>
      <c r="Y1032" t="s">
        <v>3833</v>
      </c>
      <c r="AG1032" t="s">
        <v>48</v>
      </c>
    </row>
    <row r="1033" spans="1:33">
      <c r="A1033" t="s">
        <v>3834</v>
      </c>
      <c r="B1033" t="s">
        <v>3835</v>
      </c>
      <c r="D1033" t="s">
        <v>40</v>
      </c>
      <c r="E1033" t="s">
        <v>41</v>
      </c>
      <c r="J1033" t="s">
        <v>162</v>
      </c>
      <c r="K1033" t="s">
        <v>163</v>
      </c>
      <c r="L1033">
        <v>5</v>
      </c>
      <c r="M1033" t="s">
        <v>3836</v>
      </c>
      <c r="N1033" t="s">
        <v>59</v>
      </c>
      <c r="O1033" t="s">
        <v>47</v>
      </c>
      <c r="P1033" t="s">
        <v>47</v>
      </c>
      <c r="Y1033" t="s">
        <v>3837</v>
      </c>
      <c r="AG1033" t="s">
        <v>48</v>
      </c>
    </row>
    <row r="1034" spans="1:33">
      <c r="A1034" t="s">
        <v>3838</v>
      </c>
      <c r="B1034" t="s">
        <v>3839</v>
      </c>
      <c r="D1034" t="s">
        <v>40</v>
      </c>
      <c r="E1034" t="s">
        <v>41</v>
      </c>
      <c r="J1034" t="s">
        <v>162</v>
      </c>
      <c r="K1034" t="s">
        <v>163</v>
      </c>
      <c r="L1034">
        <v>5</v>
      </c>
      <c r="M1034" t="s">
        <v>3836</v>
      </c>
      <c r="N1034" t="s">
        <v>59</v>
      </c>
      <c r="O1034" t="s">
        <v>47</v>
      </c>
      <c r="P1034" t="s">
        <v>47</v>
      </c>
      <c r="Y1034" t="s">
        <v>3840</v>
      </c>
      <c r="AG1034" t="s">
        <v>48</v>
      </c>
    </row>
    <row r="1035" spans="1:33">
      <c r="A1035" t="s">
        <v>3841</v>
      </c>
      <c r="B1035" t="s">
        <v>3842</v>
      </c>
      <c r="D1035" t="s">
        <v>40</v>
      </c>
      <c r="E1035" t="s">
        <v>41</v>
      </c>
      <c r="J1035" t="s">
        <v>129</v>
      </c>
      <c r="K1035" t="s">
        <v>130</v>
      </c>
      <c r="L1035">
        <v>5</v>
      </c>
      <c r="M1035" t="s">
        <v>3836</v>
      </c>
      <c r="N1035" t="s">
        <v>192</v>
      </c>
      <c r="O1035" t="s">
        <v>47</v>
      </c>
      <c r="P1035" t="s">
        <v>47</v>
      </c>
      <c r="Y1035" t="s">
        <v>3843</v>
      </c>
      <c r="AG1035" t="s">
        <v>48</v>
      </c>
    </row>
    <row r="1036" spans="1:33">
      <c r="A1036" t="s">
        <v>3844</v>
      </c>
      <c r="B1036" t="s">
        <v>3845</v>
      </c>
      <c r="D1036" t="s">
        <v>40</v>
      </c>
      <c r="E1036" t="s">
        <v>41</v>
      </c>
      <c r="J1036" t="s">
        <v>129</v>
      </c>
      <c r="K1036" t="s">
        <v>130</v>
      </c>
      <c r="L1036">
        <v>5</v>
      </c>
      <c r="M1036" t="s">
        <v>3846</v>
      </c>
      <c r="N1036" t="s">
        <v>192</v>
      </c>
      <c r="O1036" t="s">
        <v>47</v>
      </c>
      <c r="P1036" t="s">
        <v>47</v>
      </c>
      <c r="Y1036" t="s">
        <v>3847</v>
      </c>
      <c r="AG1036" t="s">
        <v>48</v>
      </c>
    </row>
    <row r="1037" spans="1:33">
      <c r="A1037" t="s">
        <v>3848</v>
      </c>
      <c r="B1037" t="s">
        <v>3849</v>
      </c>
      <c r="D1037" t="s">
        <v>40</v>
      </c>
      <c r="E1037" t="s">
        <v>41</v>
      </c>
      <c r="H1037" t="s">
        <v>3850</v>
      </c>
      <c r="J1037" t="s">
        <v>129</v>
      </c>
      <c r="K1037" t="s">
        <v>130</v>
      </c>
      <c r="L1037">
        <v>5</v>
      </c>
      <c r="M1037" t="s">
        <v>3851</v>
      </c>
      <c r="N1037" t="s">
        <v>192</v>
      </c>
      <c r="O1037" t="s">
        <v>47</v>
      </c>
      <c r="P1037" t="s">
        <v>47</v>
      </c>
      <c r="Y1037" t="s">
        <v>3850</v>
      </c>
      <c r="AG1037" t="s">
        <v>48</v>
      </c>
    </row>
    <row r="1038" spans="1:33">
      <c r="A1038" t="s">
        <v>3852</v>
      </c>
      <c r="B1038" t="s">
        <v>3853</v>
      </c>
      <c r="D1038" t="s">
        <v>40</v>
      </c>
      <c r="E1038" t="s">
        <v>41</v>
      </c>
      <c r="J1038" t="s">
        <v>108</v>
      </c>
      <c r="K1038" t="s">
        <v>109</v>
      </c>
      <c r="L1038">
        <v>5</v>
      </c>
      <c r="M1038" t="s">
        <v>3854</v>
      </c>
      <c r="N1038" t="s">
        <v>59</v>
      </c>
      <c r="O1038" t="s">
        <v>47</v>
      </c>
      <c r="P1038" t="s">
        <v>47</v>
      </c>
      <c r="Y1038" t="s">
        <v>3855</v>
      </c>
      <c r="AG1038" t="s">
        <v>48</v>
      </c>
    </row>
    <row r="1039" spans="1:33">
      <c r="A1039" t="s">
        <v>117</v>
      </c>
      <c r="B1039" t="s">
        <v>3856</v>
      </c>
      <c r="D1039" t="s">
        <v>40</v>
      </c>
      <c r="E1039" t="s">
        <v>41</v>
      </c>
      <c r="J1039" t="s">
        <v>270</v>
      </c>
      <c r="K1039" t="s">
        <v>271</v>
      </c>
      <c r="L1039">
        <v>5</v>
      </c>
      <c r="M1039" t="s">
        <v>3857</v>
      </c>
      <c r="N1039" t="s">
        <v>59</v>
      </c>
      <c r="O1039" t="s">
        <v>47</v>
      </c>
      <c r="P1039" t="s">
        <v>47</v>
      </c>
      <c r="Y1039" t="s">
        <v>3858</v>
      </c>
      <c r="AG1039" t="s">
        <v>48</v>
      </c>
    </row>
    <row r="1040" spans="1:33">
      <c r="A1040" t="s">
        <v>3859</v>
      </c>
      <c r="B1040" t="s">
        <v>3860</v>
      </c>
      <c r="D1040" t="s">
        <v>40</v>
      </c>
      <c r="E1040" t="s">
        <v>41</v>
      </c>
      <c r="J1040" t="s">
        <v>270</v>
      </c>
      <c r="K1040" t="s">
        <v>271</v>
      </c>
      <c r="L1040">
        <v>5</v>
      </c>
      <c r="M1040" t="s">
        <v>3861</v>
      </c>
      <c r="N1040" t="s">
        <v>59</v>
      </c>
      <c r="O1040" t="s">
        <v>47</v>
      </c>
      <c r="P1040" t="s">
        <v>47</v>
      </c>
      <c r="Y1040" t="s">
        <v>3862</v>
      </c>
      <c r="AG1040" t="s">
        <v>48</v>
      </c>
    </row>
    <row r="1041" spans="1:33">
      <c r="A1041" t="s">
        <v>3863</v>
      </c>
      <c r="B1041" t="s">
        <v>3864</v>
      </c>
      <c r="D1041" t="s">
        <v>40</v>
      </c>
      <c r="E1041" t="s">
        <v>41</v>
      </c>
      <c r="J1041" t="s">
        <v>290</v>
      </c>
      <c r="K1041" t="s">
        <v>291</v>
      </c>
      <c r="L1041">
        <v>5</v>
      </c>
      <c r="M1041" t="s">
        <v>3861</v>
      </c>
      <c r="N1041" t="s">
        <v>59</v>
      </c>
      <c r="O1041" t="s">
        <v>47</v>
      </c>
      <c r="P1041" t="s">
        <v>47</v>
      </c>
      <c r="Y1041" t="s">
        <v>3865</v>
      </c>
      <c r="AG1041" t="s">
        <v>48</v>
      </c>
    </row>
    <row r="1042" spans="1:33">
      <c r="A1042" t="s">
        <v>3866</v>
      </c>
      <c r="B1042" t="s">
        <v>3867</v>
      </c>
      <c r="D1042" t="s">
        <v>40</v>
      </c>
      <c r="E1042" t="s">
        <v>41</v>
      </c>
      <c r="J1042" t="s">
        <v>290</v>
      </c>
      <c r="K1042" t="s">
        <v>291</v>
      </c>
      <c r="L1042">
        <v>5</v>
      </c>
      <c r="M1042" t="s">
        <v>3861</v>
      </c>
      <c r="N1042" t="s">
        <v>59</v>
      </c>
      <c r="O1042" t="s">
        <v>47</v>
      </c>
      <c r="P1042" t="s">
        <v>47</v>
      </c>
      <c r="Y1042" t="s">
        <v>3868</v>
      </c>
      <c r="AG1042" t="s">
        <v>48</v>
      </c>
    </row>
    <row r="1043" spans="1:33">
      <c r="A1043" t="s">
        <v>3869</v>
      </c>
      <c r="B1043" t="s">
        <v>3870</v>
      </c>
      <c r="D1043" t="s">
        <v>40</v>
      </c>
      <c r="E1043" t="s">
        <v>41</v>
      </c>
      <c r="H1043" t="s">
        <v>3871</v>
      </c>
      <c r="J1043" t="s">
        <v>129</v>
      </c>
      <c r="K1043" t="s">
        <v>130</v>
      </c>
      <c r="L1043">
        <v>5</v>
      </c>
      <c r="M1043" t="s">
        <v>3872</v>
      </c>
      <c r="N1043" t="s">
        <v>192</v>
      </c>
      <c r="O1043" t="s">
        <v>47</v>
      </c>
      <c r="P1043" t="s">
        <v>47</v>
      </c>
      <c r="Y1043" t="s">
        <v>3871</v>
      </c>
      <c r="AG1043" t="s">
        <v>48</v>
      </c>
    </row>
    <row r="1044" spans="1:33">
      <c r="A1044" t="s">
        <v>3873</v>
      </c>
      <c r="B1044" t="s">
        <v>3874</v>
      </c>
      <c r="D1044" t="s">
        <v>40</v>
      </c>
      <c r="E1044" t="s">
        <v>41</v>
      </c>
      <c r="J1044" t="s">
        <v>108</v>
      </c>
      <c r="K1044" t="s">
        <v>109</v>
      </c>
      <c r="L1044">
        <v>5</v>
      </c>
      <c r="M1044" t="s">
        <v>3875</v>
      </c>
      <c r="N1044" t="s">
        <v>59</v>
      </c>
      <c r="O1044" t="s">
        <v>47</v>
      </c>
      <c r="P1044" t="s">
        <v>47</v>
      </c>
      <c r="Y1044" t="s">
        <v>3876</v>
      </c>
      <c r="AG1044" t="s">
        <v>48</v>
      </c>
    </row>
    <row r="1045" spans="1:33">
      <c r="A1045" t="s">
        <v>3877</v>
      </c>
      <c r="B1045" t="s">
        <v>3878</v>
      </c>
      <c r="D1045" t="s">
        <v>40</v>
      </c>
      <c r="E1045" t="s">
        <v>41</v>
      </c>
      <c r="J1045" t="s">
        <v>290</v>
      </c>
      <c r="K1045" t="s">
        <v>291</v>
      </c>
      <c r="L1045">
        <v>5</v>
      </c>
      <c r="M1045" t="s">
        <v>3875</v>
      </c>
      <c r="N1045" t="s">
        <v>59</v>
      </c>
      <c r="O1045" t="s">
        <v>47</v>
      </c>
      <c r="P1045" t="s">
        <v>47</v>
      </c>
      <c r="Y1045" t="s">
        <v>3879</v>
      </c>
      <c r="AG1045" t="s">
        <v>48</v>
      </c>
    </row>
    <row r="1046" spans="1:33">
      <c r="A1046" t="s">
        <v>117</v>
      </c>
      <c r="B1046" t="s">
        <v>3880</v>
      </c>
      <c r="D1046" t="s">
        <v>40</v>
      </c>
      <c r="E1046" t="s">
        <v>41</v>
      </c>
      <c r="J1046" t="s">
        <v>108</v>
      </c>
      <c r="K1046" t="s">
        <v>109</v>
      </c>
      <c r="L1046">
        <v>5</v>
      </c>
      <c r="M1046" t="s">
        <v>3881</v>
      </c>
      <c r="N1046" t="s">
        <v>59</v>
      </c>
      <c r="O1046" t="s">
        <v>47</v>
      </c>
      <c r="P1046" t="s">
        <v>47</v>
      </c>
      <c r="Y1046" t="s">
        <v>3882</v>
      </c>
      <c r="AG1046" t="s">
        <v>48</v>
      </c>
    </row>
    <row r="1047" spans="1:33">
      <c r="A1047" t="s">
        <v>3883</v>
      </c>
      <c r="B1047" t="s">
        <v>3884</v>
      </c>
      <c r="D1047" t="s">
        <v>40</v>
      </c>
      <c r="E1047" t="s">
        <v>41</v>
      </c>
      <c r="J1047" t="s">
        <v>108</v>
      </c>
      <c r="K1047" t="s">
        <v>109</v>
      </c>
      <c r="L1047">
        <v>5</v>
      </c>
      <c r="M1047" t="s">
        <v>3885</v>
      </c>
      <c r="N1047" t="s">
        <v>59</v>
      </c>
      <c r="O1047" t="s">
        <v>47</v>
      </c>
      <c r="P1047" t="s">
        <v>47</v>
      </c>
      <c r="Y1047" t="s">
        <v>3886</v>
      </c>
      <c r="AG1047" t="s">
        <v>48</v>
      </c>
    </row>
    <row r="1048" spans="1:33">
      <c r="A1048" t="s">
        <v>3887</v>
      </c>
      <c r="B1048" t="s">
        <v>3888</v>
      </c>
      <c r="D1048" t="s">
        <v>40</v>
      </c>
      <c r="E1048" t="s">
        <v>41</v>
      </c>
      <c r="J1048" t="s">
        <v>290</v>
      </c>
      <c r="K1048" t="s">
        <v>291</v>
      </c>
      <c r="L1048">
        <v>5</v>
      </c>
      <c r="M1048" t="s">
        <v>3889</v>
      </c>
      <c r="N1048" t="s">
        <v>59</v>
      </c>
      <c r="O1048" t="s">
        <v>47</v>
      </c>
      <c r="P1048" t="s">
        <v>47</v>
      </c>
      <c r="Y1048" t="s">
        <v>3890</v>
      </c>
      <c r="AG1048" t="s">
        <v>48</v>
      </c>
    </row>
    <row r="1049" spans="1:33">
      <c r="A1049" t="s">
        <v>3891</v>
      </c>
      <c r="B1049" t="s">
        <v>3892</v>
      </c>
      <c r="D1049" t="s">
        <v>40</v>
      </c>
      <c r="E1049" t="s">
        <v>41</v>
      </c>
      <c r="J1049" t="s">
        <v>270</v>
      </c>
      <c r="K1049" t="s">
        <v>271</v>
      </c>
      <c r="L1049">
        <v>5</v>
      </c>
      <c r="M1049" t="s">
        <v>3889</v>
      </c>
      <c r="N1049" t="s">
        <v>59</v>
      </c>
      <c r="O1049" t="s">
        <v>47</v>
      </c>
      <c r="P1049" t="s">
        <v>47</v>
      </c>
      <c r="Y1049" t="s">
        <v>3893</v>
      </c>
      <c r="AG1049" t="s">
        <v>48</v>
      </c>
    </row>
    <row r="1050" spans="1:33">
      <c r="A1050" t="s">
        <v>3894</v>
      </c>
      <c r="B1050" t="s">
        <v>3895</v>
      </c>
      <c r="D1050" t="s">
        <v>40</v>
      </c>
      <c r="E1050" t="s">
        <v>41</v>
      </c>
      <c r="J1050" t="s">
        <v>290</v>
      </c>
      <c r="K1050" t="s">
        <v>291</v>
      </c>
      <c r="L1050">
        <v>5</v>
      </c>
      <c r="M1050" t="s">
        <v>3889</v>
      </c>
      <c r="N1050" t="s">
        <v>59</v>
      </c>
      <c r="O1050" t="s">
        <v>47</v>
      </c>
      <c r="P1050" t="s">
        <v>47</v>
      </c>
      <c r="Y1050" t="s">
        <v>3896</v>
      </c>
      <c r="AG1050" t="s">
        <v>48</v>
      </c>
    </row>
    <row r="1051" spans="1:33">
      <c r="A1051" t="s">
        <v>3897</v>
      </c>
      <c r="B1051" t="s">
        <v>3898</v>
      </c>
      <c r="D1051" t="s">
        <v>40</v>
      </c>
      <c r="E1051" t="s">
        <v>41</v>
      </c>
      <c r="H1051" t="s">
        <v>3899</v>
      </c>
      <c r="J1051" t="s">
        <v>63</v>
      </c>
      <c r="K1051" t="s">
        <v>64</v>
      </c>
      <c r="L1051">
        <v>5</v>
      </c>
      <c r="M1051" t="s">
        <v>3900</v>
      </c>
      <c r="N1051" t="s">
        <v>59</v>
      </c>
      <c r="O1051" t="s">
        <v>47</v>
      </c>
      <c r="P1051" t="s">
        <v>47</v>
      </c>
      <c r="Y1051" t="s">
        <v>3899</v>
      </c>
      <c r="AG1051" t="s">
        <v>48</v>
      </c>
    </row>
    <row r="1052" spans="1:33">
      <c r="A1052" t="s">
        <v>3901</v>
      </c>
      <c r="B1052" t="s">
        <v>3902</v>
      </c>
      <c r="D1052" t="s">
        <v>40</v>
      </c>
      <c r="E1052" t="s">
        <v>41</v>
      </c>
      <c r="J1052" t="s">
        <v>290</v>
      </c>
      <c r="K1052" t="s">
        <v>291</v>
      </c>
      <c r="L1052">
        <v>5</v>
      </c>
      <c r="M1052" t="s">
        <v>3903</v>
      </c>
      <c r="N1052" t="s">
        <v>59</v>
      </c>
      <c r="O1052" t="s">
        <v>47</v>
      </c>
      <c r="P1052" t="s">
        <v>47</v>
      </c>
      <c r="Y1052" t="s">
        <v>3904</v>
      </c>
      <c r="AG1052" t="s">
        <v>48</v>
      </c>
    </row>
    <row r="1053" spans="1:33">
      <c r="A1053" t="s">
        <v>117</v>
      </c>
      <c r="B1053" t="s">
        <v>3905</v>
      </c>
      <c r="D1053" t="s">
        <v>40</v>
      </c>
      <c r="E1053" t="s">
        <v>41</v>
      </c>
      <c r="J1053" t="s">
        <v>290</v>
      </c>
      <c r="K1053" t="s">
        <v>291</v>
      </c>
      <c r="L1053">
        <v>5</v>
      </c>
      <c r="M1053" t="s">
        <v>3903</v>
      </c>
      <c r="N1053" t="s">
        <v>59</v>
      </c>
      <c r="O1053" t="s">
        <v>47</v>
      </c>
      <c r="P1053" t="s">
        <v>47</v>
      </c>
      <c r="Y1053" t="s">
        <v>3906</v>
      </c>
      <c r="AG1053" t="s">
        <v>48</v>
      </c>
    </row>
    <row r="1054" spans="1:33">
      <c r="A1054" t="s">
        <v>3907</v>
      </c>
      <c r="B1054" t="s">
        <v>3908</v>
      </c>
      <c r="D1054" t="s">
        <v>40</v>
      </c>
      <c r="E1054" t="s">
        <v>41</v>
      </c>
      <c r="J1054" t="s">
        <v>290</v>
      </c>
      <c r="K1054" t="s">
        <v>291</v>
      </c>
      <c r="L1054">
        <v>5</v>
      </c>
      <c r="M1054" t="s">
        <v>3909</v>
      </c>
      <c r="N1054" t="s">
        <v>59</v>
      </c>
      <c r="O1054" t="s">
        <v>47</v>
      </c>
      <c r="P1054" t="s">
        <v>47</v>
      </c>
      <c r="Y1054" t="s">
        <v>3910</v>
      </c>
      <c r="AG1054" t="s">
        <v>48</v>
      </c>
    </row>
    <row r="1055" spans="1:33">
      <c r="A1055" t="s">
        <v>3911</v>
      </c>
      <c r="B1055" t="s">
        <v>3912</v>
      </c>
      <c r="D1055" t="s">
        <v>40</v>
      </c>
      <c r="E1055" t="s">
        <v>41</v>
      </c>
      <c r="J1055" t="s">
        <v>290</v>
      </c>
      <c r="K1055" t="s">
        <v>291</v>
      </c>
      <c r="L1055">
        <v>5</v>
      </c>
      <c r="M1055" t="s">
        <v>3909</v>
      </c>
      <c r="N1055" t="s">
        <v>59</v>
      </c>
      <c r="O1055" t="s">
        <v>47</v>
      </c>
      <c r="P1055" t="s">
        <v>47</v>
      </c>
      <c r="Y1055" t="s">
        <v>3913</v>
      </c>
      <c r="AG1055" t="s">
        <v>48</v>
      </c>
    </row>
    <row r="1056" spans="1:33">
      <c r="A1056" t="s">
        <v>3914</v>
      </c>
      <c r="B1056" t="s">
        <v>3915</v>
      </c>
      <c r="D1056" t="s">
        <v>40</v>
      </c>
      <c r="E1056" t="s">
        <v>41</v>
      </c>
      <c r="H1056" t="s">
        <v>3916</v>
      </c>
      <c r="J1056" t="s">
        <v>63</v>
      </c>
      <c r="K1056" t="s">
        <v>64</v>
      </c>
      <c r="L1056">
        <v>5</v>
      </c>
      <c r="M1056" t="s">
        <v>3917</v>
      </c>
      <c r="N1056" t="s">
        <v>59</v>
      </c>
      <c r="O1056" t="s">
        <v>47</v>
      </c>
      <c r="P1056" t="s">
        <v>47</v>
      </c>
      <c r="Y1056" t="s">
        <v>3916</v>
      </c>
      <c r="AG1056" t="s">
        <v>48</v>
      </c>
    </row>
    <row r="1057" spans="1:33">
      <c r="A1057" t="s">
        <v>3918</v>
      </c>
      <c r="B1057" t="s">
        <v>3919</v>
      </c>
      <c r="D1057" t="s">
        <v>40</v>
      </c>
      <c r="E1057" t="s">
        <v>41</v>
      </c>
      <c r="H1057" t="s">
        <v>3920</v>
      </c>
      <c r="J1057" t="s">
        <v>63</v>
      </c>
      <c r="K1057" t="s">
        <v>64</v>
      </c>
      <c r="L1057">
        <v>5</v>
      </c>
      <c r="M1057" t="s">
        <v>3921</v>
      </c>
      <c r="N1057" t="s">
        <v>59</v>
      </c>
      <c r="O1057" t="s">
        <v>47</v>
      </c>
      <c r="P1057" t="s">
        <v>47</v>
      </c>
      <c r="Y1057" t="s">
        <v>3920</v>
      </c>
      <c r="AG1057" t="s">
        <v>48</v>
      </c>
    </row>
    <row r="1058" spans="1:33">
      <c r="A1058" t="s">
        <v>3922</v>
      </c>
      <c r="B1058" t="s">
        <v>3923</v>
      </c>
      <c r="D1058" t="s">
        <v>40</v>
      </c>
      <c r="E1058" t="s">
        <v>41</v>
      </c>
      <c r="H1058" t="s">
        <v>3924</v>
      </c>
      <c r="J1058" t="s">
        <v>63</v>
      </c>
      <c r="K1058" t="s">
        <v>64</v>
      </c>
      <c r="L1058">
        <v>5</v>
      </c>
      <c r="M1058" t="s">
        <v>3925</v>
      </c>
      <c r="N1058" t="s">
        <v>59</v>
      </c>
      <c r="O1058" t="s">
        <v>47</v>
      </c>
      <c r="P1058" t="s">
        <v>47</v>
      </c>
      <c r="Y1058" t="s">
        <v>3924</v>
      </c>
      <c r="AG1058" t="s">
        <v>48</v>
      </c>
    </row>
    <row r="1059" spans="1:33">
      <c r="A1059" t="s">
        <v>3926</v>
      </c>
      <c r="B1059" t="s">
        <v>3927</v>
      </c>
      <c r="D1059" t="s">
        <v>40</v>
      </c>
      <c r="E1059" t="s">
        <v>41</v>
      </c>
      <c r="H1059" t="s">
        <v>3928</v>
      </c>
      <c r="J1059" t="s">
        <v>63</v>
      </c>
      <c r="K1059" t="s">
        <v>64</v>
      </c>
      <c r="L1059">
        <v>5</v>
      </c>
      <c r="M1059" t="s">
        <v>3929</v>
      </c>
      <c r="N1059" t="s">
        <v>59</v>
      </c>
      <c r="O1059" t="s">
        <v>47</v>
      </c>
      <c r="P1059" t="s">
        <v>47</v>
      </c>
      <c r="Y1059" t="s">
        <v>3928</v>
      </c>
      <c r="AG1059" t="s">
        <v>48</v>
      </c>
    </row>
    <row r="1060" spans="1:33">
      <c r="A1060" t="s">
        <v>3930</v>
      </c>
      <c r="B1060" t="s">
        <v>3931</v>
      </c>
      <c r="D1060" t="s">
        <v>40</v>
      </c>
      <c r="E1060" t="s">
        <v>41</v>
      </c>
      <c r="J1060" t="s">
        <v>108</v>
      </c>
      <c r="K1060" t="s">
        <v>109</v>
      </c>
      <c r="L1060">
        <v>5</v>
      </c>
      <c r="M1060" t="s">
        <v>3932</v>
      </c>
      <c r="N1060" t="s">
        <v>59</v>
      </c>
      <c r="O1060" t="s">
        <v>47</v>
      </c>
      <c r="P1060" t="s">
        <v>47</v>
      </c>
      <c r="Y1060" t="s">
        <v>3933</v>
      </c>
      <c r="AG1060" t="s">
        <v>48</v>
      </c>
    </row>
    <row r="1061" spans="1:33">
      <c r="A1061" t="s">
        <v>3934</v>
      </c>
      <c r="B1061" t="s">
        <v>3935</v>
      </c>
      <c r="D1061" t="s">
        <v>40</v>
      </c>
      <c r="E1061" t="s">
        <v>41</v>
      </c>
      <c r="J1061" t="s">
        <v>290</v>
      </c>
      <c r="K1061" t="s">
        <v>291</v>
      </c>
      <c r="L1061">
        <v>5</v>
      </c>
      <c r="M1061" t="s">
        <v>3936</v>
      </c>
      <c r="N1061" t="s">
        <v>59</v>
      </c>
      <c r="O1061" t="s">
        <v>47</v>
      </c>
      <c r="P1061" t="s">
        <v>47</v>
      </c>
      <c r="Y1061" t="s">
        <v>3937</v>
      </c>
      <c r="AG1061" t="s">
        <v>48</v>
      </c>
    </row>
    <row r="1062" spans="1:33">
      <c r="A1062" t="s">
        <v>3938</v>
      </c>
      <c r="B1062" t="s">
        <v>3939</v>
      </c>
      <c r="D1062" t="s">
        <v>40</v>
      </c>
      <c r="E1062" t="s">
        <v>41</v>
      </c>
      <c r="J1062" t="s">
        <v>290</v>
      </c>
      <c r="K1062" t="s">
        <v>291</v>
      </c>
      <c r="L1062">
        <v>5</v>
      </c>
      <c r="M1062" t="s">
        <v>3936</v>
      </c>
      <c r="N1062" t="s">
        <v>59</v>
      </c>
      <c r="O1062" t="s">
        <v>47</v>
      </c>
      <c r="P1062" t="s">
        <v>47</v>
      </c>
      <c r="Y1062" t="s">
        <v>3940</v>
      </c>
      <c r="AG1062" t="s">
        <v>48</v>
      </c>
    </row>
    <row r="1063" spans="1:33">
      <c r="A1063" t="s">
        <v>3941</v>
      </c>
      <c r="B1063" t="s">
        <v>3942</v>
      </c>
      <c r="D1063" t="s">
        <v>40</v>
      </c>
      <c r="E1063" t="s">
        <v>41</v>
      </c>
      <c r="J1063" t="s">
        <v>108</v>
      </c>
      <c r="K1063" t="s">
        <v>109</v>
      </c>
      <c r="L1063">
        <v>5</v>
      </c>
      <c r="M1063" t="s">
        <v>3936</v>
      </c>
      <c r="N1063" t="s">
        <v>59</v>
      </c>
      <c r="O1063" t="s">
        <v>47</v>
      </c>
      <c r="P1063" t="s">
        <v>47</v>
      </c>
      <c r="Y1063" t="s">
        <v>3943</v>
      </c>
      <c r="AG1063" t="s">
        <v>48</v>
      </c>
    </row>
    <row r="1064" spans="1:33">
      <c r="A1064" t="s">
        <v>3944</v>
      </c>
      <c r="B1064" t="s">
        <v>3945</v>
      </c>
      <c r="D1064" t="s">
        <v>40</v>
      </c>
      <c r="E1064" t="s">
        <v>41</v>
      </c>
      <c r="J1064" t="s">
        <v>290</v>
      </c>
      <c r="K1064" t="s">
        <v>291</v>
      </c>
      <c r="L1064">
        <v>5</v>
      </c>
      <c r="M1064" t="s">
        <v>3946</v>
      </c>
      <c r="N1064" t="s">
        <v>59</v>
      </c>
      <c r="O1064" t="s">
        <v>47</v>
      </c>
      <c r="P1064" t="s">
        <v>47</v>
      </c>
      <c r="Y1064" t="s">
        <v>3947</v>
      </c>
      <c r="AG1064" t="s">
        <v>48</v>
      </c>
    </row>
    <row r="1065" spans="1:33">
      <c r="A1065" t="s">
        <v>3948</v>
      </c>
      <c r="B1065" t="s">
        <v>3949</v>
      </c>
      <c r="D1065" t="s">
        <v>40</v>
      </c>
      <c r="E1065" t="s">
        <v>41</v>
      </c>
      <c r="J1065" t="s">
        <v>123</v>
      </c>
      <c r="K1065" t="s">
        <v>124</v>
      </c>
      <c r="L1065">
        <v>5</v>
      </c>
      <c r="M1065" t="s">
        <v>3946</v>
      </c>
      <c r="N1065" t="s">
        <v>218</v>
      </c>
      <c r="O1065" t="s">
        <v>47</v>
      </c>
      <c r="P1065" t="s">
        <v>47</v>
      </c>
      <c r="Y1065" t="s">
        <v>3950</v>
      </c>
      <c r="AG1065" t="s">
        <v>48</v>
      </c>
    </row>
    <row r="1066" spans="1:33">
      <c r="A1066" t="s">
        <v>3951</v>
      </c>
      <c r="B1066" t="s">
        <v>3952</v>
      </c>
      <c r="D1066" t="s">
        <v>40</v>
      </c>
      <c r="E1066" t="s">
        <v>41</v>
      </c>
      <c r="J1066" t="s">
        <v>290</v>
      </c>
      <c r="K1066" t="s">
        <v>291</v>
      </c>
      <c r="L1066">
        <v>5</v>
      </c>
      <c r="M1066" t="s">
        <v>3946</v>
      </c>
      <c r="N1066" t="s">
        <v>59</v>
      </c>
      <c r="O1066" t="s">
        <v>47</v>
      </c>
      <c r="P1066" t="s">
        <v>47</v>
      </c>
      <c r="Y1066" t="s">
        <v>3953</v>
      </c>
      <c r="AG1066" t="s">
        <v>48</v>
      </c>
    </row>
    <row r="1067" spans="1:33">
      <c r="A1067" t="s">
        <v>3954</v>
      </c>
      <c r="B1067" t="s">
        <v>3955</v>
      </c>
      <c r="D1067" t="s">
        <v>40</v>
      </c>
      <c r="E1067" t="s">
        <v>41</v>
      </c>
      <c r="J1067" t="s">
        <v>108</v>
      </c>
      <c r="K1067" t="s">
        <v>109</v>
      </c>
      <c r="L1067">
        <v>5</v>
      </c>
      <c r="M1067" t="s">
        <v>3956</v>
      </c>
      <c r="N1067" t="s">
        <v>59</v>
      </c>
      <c r="O1067" t="s">
        <v>47</v>
      </c>
      <c r="P1067" t="s">
        <v>47</v>
      </c>
      <c r="Y1067" t="s">
        <v>3957</v>
      </c>
      <c r="AG1067" t="s">
        <v>48</v>
      </c>
    </row>
    <row r="1068" spans="1:33">
      <c r="A1068" t="s">
        <v>3958</v>
      </c>
      <c r="B1068" t="s">
        <v>3959</v>
      </c>
      <c r="D1068" t="s">
        <v>40</v>
      </c>
      <c r="E1068" t="s">
        <v>41</v>
      </c>
      <c r="J1068" t="s">
        <v>108</v>
      </c>
      <c r="K1068" t="s">
        <v>109</v>
      </c>
      <c r="L1068">
        <v>5</v>
      </c>
      <c r="M1068" t="s">
        <v>3960</v>
      </c>
      <c r="N1068" t="s">
        <v>59</v>
      </c>
      <c r="O1068" t="s">
        <v>47</v>
      </c>
      <c r="P1068" t="s">
        <v>47</v>
      </c>
      <c r="Y1068" t="s">
        <v>3961</v>
      </c>
      <c r="AG1068" t="s">
        <v>48</v>
      </c>
    </row>
    <row r="1069" spans="1:33">
      <c r="A1069" t="s">
        <v>3962</v>
      </c>
      <c r="B1069" t="s">
        <v>3963</v>
      </c>
      <c r="D1069" t="s">
        <v>40</v>
      </c>
      <c r="E1069" t="s">
        <v>41</v>
      </c>
      <c r="J1069" t="s">
        <v>69</v>
      </c>
      <c r="K1069" t="s">
        <v>70</v>
      </c>
      <c r="L1069">
        <v>5</v>
      </c>
      <c r="M1069" t="s">
        <v>3964</v>
      </c>
      <c r="N1069" t="s">
        <v>192</v>
      </c>
      <c r="O1069" t="s">
        <v>47</v>
      </c>
      <c r="P1069" t="s">
        <v>47</v>
      </c>
      <c r="Y1069" t="s">
        <v>3965</v>
      </c>
      <c r="AG1069" t="s">
        <v>48</v>
      </c>
    </row>
    <row r="1070" spans="1:33">
      <c r="A1070" t="s">
        <v>3966</v>
      </c>
      <c r="B1070" t="s">
        <v>3967</v>
      </c>
      <c r="D1070" t="s">
        <v>40</v>
      </c>
      <c r="E1070" t="s">
        <v>41</v>
      </c>
      <c r="J1070" t="s">
        <v>290</v>
      </c>
      <c r="K1070" t="s">
        <v>291</v>
      </c>
      <c r="L1070">
        <v>5</v>
      </c>
      <c r="M1070" t="s">
        <v>3968</v>
      </c>
      <c r="N1070" t="s">
        <v>59</v>
      </c>
      <c r="O1070" t="s">
        <v>47</v>
      </c>
      <c r="P1070" t="s">
        <v>47</v>
      </c>
      <c r="Y1070" t="s">
        <v>3969</v>
      </c>
      <c r="AG1070" t="s">
        <v>48</v>
      </c>
    </row>
    <row r="1071" spans="1:33">
      <c r="A1071" t="s">
        <v>3970</v>
      </c>
      <c r="B1071" t="s">
        <v>3971</v>
      </c>
      <c r="D1071" t="s">
        <v>40</v>
      </c>
      <c r="E1071" t="s">
        <v>41</v>
      </c>
      <c r="J1071" t="s">
        <v>162</v>
      </c>
      <c r="K1071" t="s">
        <v>163</v>
      </c>
      <c r="L1071">
        <v>5</v>
      </c>
      <c r="M1071" t="s">
        <v>3972</v>
      </c>
      <c r="N1071" t="s">
        <v>59</v>
      </c>
      <c r="O1071" t="s">
        <v>47</v>
      </c>
      <c r="P1071" t="s">
        <v>47</v>
      </c>
      <c r="Y1071" t="s">
        <v>3973</v>
      </c>
      <c r="AG1071" t="s">
        <v>48</v>
      </c>
    </row>
    <row r="1072" spans="1:33">
      <c r="A1072" t="s">
        <v>3974</v>
      </c>
      <c r="B1072" t="s">
        <v>3975</v>
      </c>
      <c r="D1072" t="s">
        <v>40</v>
      </c>
      <c r="E1072" t="s">
        <v>41</v>
      </c>
      <c r="J1072" t="s">
        <v>270</v>
      </c>
      <c r="K1072" t="s">
        <v>271</v>
      </c>
      <c r="L1072">
        <v>5</v>
      </c>
      <c r="M1072" t="s">
        <v>3972</v>
      </c>
      <c r="N1072" t="s">
        <v>59</v>
      </c>
      <c r="O1072" t="s">
        <v>47</v>
      </c>
      <c r="P1072" t="s">
        <v>47</v>
      </c>
      <c r="Y1072" t="s">
        <v>3976</v>
      </c>
      <c r="AG1072" t="s">
        <v>48</v>
      </c>
    </row>
    <row r="1073" spans="1:33">
      <c r="A1073" t="s">
        <v>3977</v>
      </c>
      <c r="B1073" t="s">
        <v>3978</v>
      </c>
      <c r="D1073" t="s">
        <v>40</v>
      </c>
      <c r="E1073" t="s">
        <v>41</v>
      </c>
      <c r="J1073" t="s">
        <v>290</v>
      </c>
      <c r="K1073" t="s">
        <v>291</v>
      </c>
      <c r="L1073">
        <v>5</v>
      </c>
      <c r="M1073" t="s">
        <v>3972</v>
      </c>
      <c r="N1073" t="s">
        <v>59</v>
      </c>
      <c r="O1073" t="s">
        <v>47</v>
      </c>
      <c r="P1073" t="s">
        <v>47</v>
      </c>
      <c r="Y1073" t="s">
        <v>3979</v>
      </c>
      <c r="AG1073" t="s">
        <v>48</v>
      </c>
    </row>
    <row r="1074" spans="1:33">
      <c r="A1074" t="s">
        <v>3980</v>
      </c>
      <c r="B1074" t="s">
        <v>3981</v>
      </c>
      <c r="D1074" t="s">
        <v>40</v>
      </c>
      <c r="E1074" t="s">
        <v>41</v>
      </c>
      <c r="J1074" t="s">
        <v>108</v>
      </c>
      <c r="K1074" t="s">
        <v>109</v>
      </c>
      <c r="L1074">
        <v>5</v>
      </c>
      <c r="M1074" t="s">
        <v>3982</v>
      </c>
      <c r="N1074" t="s">
        <v>59</v>
      </c>
      <c r="O1074" t="s">
        <v>47</v>
      </c>
      <c r="P1074" t="s">
        <v>47</v>
      </c>
      <c r="Y1074" t="s">
        <v>3983</v>
      </c>
      <c r="AG1074" t="s">
        <v>48</v>
      </c>
    </row>
    <row r="1075" spans="1:33">
      <c r="A1075" t="s">
        <v>3984</v>
      </c>
      <c r="B1075" t="s">
        <v>3985</v>
      </c>
      <c r="D1075" t="s">
        <v>40</v>
      </c>
      <c r="E1075" t="s">
        <v>41</v>
      </c>
      <c r="H1075" t="s">
        <v>3986</v>
      </c>
      <c r="J1075" t="s">
        <v>290</v>
      </c>
      <c r="K1075" t="s">
        <v>291</v>
      </c>
      <c r="L1075">
        <v>5</v>
      </c>
      <c r="M1075" t="s">
        <v>3987</v>
      </c>
      <c r="N1075" t="s">
        <v>59</v>
      </c>
      <c r="O1075" t="s">
        <v>47</v>
      </c>
      <c r="P1075" t="s">
        <v>47</v>
      </c>
      <c r="Y1075" t="s">
        <v>3986</v>
      </c>
      <c r="AG1075" t="s">
        <v>48</v>
      </c>
    </row>
    <row r="1076" spans="1:33">
      <c r="A1076" t="s">
        <v>3988</v>
      </c>
      <c r="B1076" t="s">
        <v>3989</v>
      </c>
      <c r="D1076" t="s">
        <v>40</v>
      </c>
      <c r="E1076" t="s">
        <v>41</v>
      </c>
      <c r="J1076" t="s">
        <v>290</v>
      </c>
      <c r="K1076" t="s">
        <v>291</v>
      </c>
      <c r="L1076">
        <v>5</v>
      </c>
      <c r="M1076" t="s">
        <v>3990</v>
      </c>
      <c r="N1076" t="s">
        <v>59</v>
      </c>
      <c r="O1076" t="s">
        <v>47</v>
      </c>
      <c r="P1076" t="s">
        <v>47</v>
      </c>
      <c r="Y1076" t="s">
        <v>3991</v>
      </c>
      <c r="AG1076" t="s">
        <v>48</v>
      </c>
    </row>
    <row r="1077" spans="1:33">
      <c r="A1077" t="s">
        <v>3992</v>
      </c>
      <c r="B1077" t="s">
        <v>3993</v>
      </c>
      <c r="D1077" t="s">
        <v>40</v>
      </c>
      <c r="E1077" t="s">
        <v>41</v>
      </c>
      <c r="J1077" t="s">
        <v>108</v>
      </c>
      <c r="K1077" t="s">
        <v>109</v>
      </c>
      <c r="L1077">
        <v>5</v>
      </c>
      <c r="M1077" t="s">
        <v>3990</v>
      </c>
      <c r="N1077" t="s">
        <v>59</v>
      </c>
      <c r="O1077" t="s">
        <v>47</v>
      </c>
      <c r="P1077" t="s">
        <v>47</v>
      </c>
      <c r="Y1077" t="s">
        <v>3994</v>
      </c>
      <c r="AG1077" t="s">
        <v>48</v>
      </c>
    </row>
    <row r="1078" spans="1:33">
      <c r="A1078" t="s">
        <v>3995</v>
      </c>
      <c r="B1078" t="s">
        <v>3996</v>
      </c>
      <c r="D1078" t="s">
        <v>40</v>
      </c>
      <c r="E1078" t="s">
        <v>41</v>
      </c>
      <c r="J1078" t="s">
        <v>290</v>
      </c>
      <c r="K1078" t="s">
        <v>291</v>
      </c>
      <c r="L1078">
        <v>5</v>
      </c>
      <c r="M1078" t="s">
        <v>3990</v>
      </c>
      <c r="N1078" t="s">
        <v>59</v>
      </c>
      <c r="O1078" t="s">
        <v>47</v>
      </c>
      <c r="P1078" t="s">
        <v>47</v>
      </c>
      <c r="Y1078" t="s">
        <v>3997</v>
      </c>
      <c r="AG1078" t="s">
        <v>48</v>
      </c>
    </row>
    <row r="1079" spans="1:33">
      <c r="A1079" t="s">
        <v>3998</v>
      </c>
      <c r="B1079" t="s">
        <v>3999</v>
      </c>
      <c r="D1079" t="s">
        <v>40</v>
      </c>
      <c r="E1079" t="s">
        <v>41</v>
      </c>
      <c r="H1079" t="s">
        <v>4000</v>
      </c>
      <c r="J1079" t="s">
        <v>63</v>
      </c>
      <c r="K1079" t="s">
        <v>64</v>
      </c>
      <c r="L1079">
        <v>5</v>
      </c>
      <c r="M1079" t="s">
        <v>4001</v>
      </c>
      <c r="N1079" t="s">
        <v>59</v>
      </c>
      <c r="O1079" t="s">
        <v>47</v>
      </c>
      <c r="P1079" t="s">
        <v>47</v>
      </c>
      <c r="Y1079" t="s">
        <v>4000</v>
      </c>
      <c r="AG1079" t="s">
        <v>48</v>
      </c>
    </row>
    <row r="1080" spans="1:33">
      <c r="A1080" t="s">
        <v>4002</v>
      </c>
      <c r="B1080" t="s">
        <v>4003</v>
      </c>
      <c r="D1080" t="s">
        <v>40</v>
      </c>
      <c r="E1080" t="s">
        <v>41</v>
      </c>
      <c r="H1080" t="s">
        <v>4004</v>
      </c>
      <c r="J1080" t="s">
        <v>290</v>
      </c>
      <c r="K1080" t="s">
        <v>291</v>
      </c>
      <c r="L1080">
        <v>5</v>
      </c>
      <c r="M1080" t="s">
        <v>4001</v>
      </c>
      <c r="N1080" t="s">
        <v>59</v>
      </c>
      <c r="O1080" t="s">
        <v>47</v>
      </c>
      <c r="P1080" t="s">
        <v>47</v>
      </c>
      <c r="Y1080" t="s">
        <v>4004</v>
      </c>
      <c r="AG1080" t="s">
        <v>48</v>
      </c>
    </row>
    <row r="1081" spans="1:33">
      <c r="A1081" t="s">
        <v>4005</v>
      </c>
      <c r="B1081" t="s">
        <v>4006</v>
      </c>
      <c r="D1081" t="s">
        <v>40</v>
      </c>
      <c r="E1081" t="s">
        <v>41</v>
      </c>
      <c r="H1081" t="s">
        <v>4007</v>
      </c>
      <c r="J1081" t="s">
        <v>123</v>
      </c>
      <c r="K1081" t="s">
        <v>124</v>
      </c>
      <c r="L1081">
        <v>5</v>
      </c>
      <c r="M1081" t="s">
        <v>4008</v>
      </c>
      <c r="N1081" t="s">
        <v>46</v>
      </c>
      <c r="O1081" t="s">
        <v>47</v>
      </c>
      <c r="P1081" t="s">
        <v>47</v>
      </c>
      <c r="Y1081" t="s">
        <v>4007</v>
      </c>
      <c r="AG1081" t="s">
        <v>48</v>
      </c>
    </row>
    <row r="1082" spans="1:33">
      <c r="A1082" t="s">
        <v>4009</v>
      </c>
      <c r="B1082" t="s">
        <v>4010</v>
      </c>
      <c r="D1082" t="s">
        <v>40</v>
      </c>
      <c r="E1082" t="s">
        <v>41</v>
      </c>
      <c r="J1082" t="s">
        <v>270</v>
      </c>
      <c r="K1082" t="s">
        <v>271</v>
      </c>
      <c r="L1082">
        <v>5</v>
      </c>
      <c r="M1082" t="s">
        <v>4008</v>
      </c>
      <c r="N1082" t="s">
        <v>59</v>
      </c>
      <c r="O1082" t="s">
        <v>47</v>
      </c>
      <c r="P1082" t="s">
        <v>47</v>
      </c>
      <c r="Y1082" t="s">
        <v>4011</v>
      </c>
      <c r="AG1082" t="s">
        <v>48</v>
      </c>
    </row>
    <row r="1083" spans="1:33">
      <c r="A1083" t="s">
        <v>4012</v>
      </c>
      <c r="B1083" t="s">
        <v>4013</v>
      </c>
      <c r="D1083" t="s">
        <v>40</v>
      </c>
      <c r="E1083" t="s">
        <v>41</v>
      </c>
      <c r="J1083" t="s">
        <v>43</v>
      </c>
      <c r="K1083" t="s">
        <v>44</v>
      </c>
      <c r="L1083">
        <v>5</v>
      </c>
      <c r="M1083" t="s">
        <v>4014</v>
      </c>
      <c r="N1083" t="s">
        <v>192</v>
      </c>
      <c r="O1083" t="s">
        <v>47</v>
      </c>
      <c r="P1083" t="s">
        <v>47</v>
      </c>
      <c r="Y1083" t="s">
        <v>4015</v>
      </c>
      <c r="AG1083" t="s">
        <v>48</v>
      </c>
    </row>
    <row r="1084" spans="1:33">
      <c r="A1084" t="s">
        <v>4016</v>
      </c>
      <c r="B1084" t="s">
        <v>4017</v>
      </c>
      <c r="D1084" t="s">
        <v>40</v>
      </c>
      <c r="E1084" t="s">
        <v>41</v>
      </c>
      <c r="J1084" t="s">
        <v>290</v>
      </c>
      <c r="K1084" t="s">
        <v>291</v>
      </c>
      <c r="L1084">
        <v>5</v>
      </c>
      <c r="M1084" t="s">
        <v>4014</v>
      </c>
      <c r="N1084" t="s">
        <v>59</v>
      </c>
      <c r="O1084" t="s">
        <v>47</v>
      </c>
      <c r="P1084" t="s">
        <v>47</v>
      </c>
      <c r="Y1084" t="s">
        <v>4018</v>
      </c>
      <c r="AG1084" t="s">
        <v>48</v>
      </c>
    </row>
    <row r="1085" spans="1:33">
      <c r="A1085" t="s">
        <v>4019</v>
      </c>
      <c r="B1085" t="s">
        <v>4020</v>
      </c>
      <c r="D1085" t="s">
        <v>40</v>
      </c>
      <c r="E1085" t="s">
        <v>41</v>
      </c>
      <c r="J1085" t="s">
        <v>290</v>
      </c>
      <c r="K1085" t="s">
        <v>291</v>
      </c>
      <c r="L1085">
        <v>5</v>
      </c>
      <c r="M1085" t="s">
        <v>4021</v>
      </c>
      <c r="N1085" t="s">
        <v>59</v>
      </c>
      <c r="O1085" t="s">
        <v>47</v>
      </c>
      <c r="P1085" t="s">
        <v>47</v>
      </c>
      <c r="Y1085" t="s">
        <v>4022</v>
      </c>
      <c r="AG1085" t="s">
        <v>48</v>
      </c>
    </row>
    <row r="1086" spans="1:33">
      <c r="A1086" t="s">
        <v>4023</v>
      </c>
      <c r="B1086" t="s">
        <v>4024</v>
      </c>
      <c r="D1086" t="s">
        <v>40</v>
      </c>
      <c r="E1086" t="s">
        <v>41</v>
      </c>
      <c r="J1086" t="s">
        <v>270</v>
      </c>
      <c r="K1086" t="s">
        <v>271</v>
      </c>
      <c r="L1086">
        <v>5</v>
      </c>
      <c r="M1086" t="s">
        <v>4021</v>
      </c>
      <c r="N1086" t="s">
        <v>59</v>
      </c>
      <c r="O1086" t="s">
        <v>47</v>
      </c>
      <c r="P1086" t="s">
        <v>47</v>
      </c>
      <c r="Y1086" t="s">
        <v>4025</v>
      </c>
      <c r="AG1086" t="s">
        <v>48</v>
      </c>
    </row>
    <row r="1087" spans="1:33">
      <c r="A1087" t="s">
        <v>4026</v>
      </c>
      <c r="B1087" t="s">
        <v>4027</v>
      </c>
      <c r="D1087" t="s">
        <v>40</v>
      </c>
      <c r="E1087" t="s">
        <v>41</v>
      </c>
      <c r="J1087" t="s">
        <v>290</v>
      </c>
      <c r="K1087" t="s">
        <v>291</v>
      </c>
      <c r="L1087">
        <v>5</v>
      </c>
      <c r="M1087" t="s">
        <v>4021</v>
      </c>
      <c r="N1087" t="s">
        <v>59</v>
      </c>
      <c r="O1087" t="s">
        <v>47</v>
      </c>
      <c r="P1087" t="s">
        <v>47</v>
      </c>
      <c r="Y1087" t="s">
        <v>4028</v>
      </c>
      <c r="AG1087" t="s">
        <v>48</v>
      </c>
    </row>
    <row r="1088" spans="1:33">
      <c r="A1088" t="s">
        <v>4029</v>
      </c>
      <c r="B1088" t="s">
        <v>4030</v>
      </c>
      <c r="D1088" t="s">
        <v>40</v>
      </c>
      <c r="E1088" t="s">
        <v>41</v>
      </c>
      <c r="J1088" t="s">
        <v>162</v>
      </c>
      <c r="K1088" t="s">
        <v>163</v>
      </c>
      <c r="L1088">
        <v>5</v>
      </c>
      <c r="M1088" t="s">
        <v>4031</v>
      </c>
      <c r="N1088" t="s">
        <v>59</v>
      </c>
      <c r="O1088" t="s">
        <v>47</v>
      </c>
      <c r="P1088" t="s">
        <v>47</v>
      </c>
      <c r="Y1088" t="s">
        <v>4032</v>
      </c>
      <c r="AG1088" t="s">
        <v>48</v>
      </c>
    </row>
    <row r="1089" spans="1:33">
      <c r="A1089" t="s">
        <v>4033</v>
      </c>
      <c r="B1089" t="s">
        <v>4034</v>
      </c>
      <c r="D1089" t="s">
        <v>40</v>
      </c>
      <c r="E1089" t="s">
        <v>41</v>
      </c>
      <c r="H1089" t="s">
        <v>4035</v>
      </c>
      <c r="J1089" t="s">
        <v>162</v>
      </c>
      <c r="K1089" t="s">
        <v>163</v>
      </c>
      <c r="L1089">
        <v>5</v>
      </c>
      <c r="M1089" t="s">
        <v>4031</v>
      </c>
      <c r="N1089" t="s">
        <v>59</v>
      </c>
      <c r="O1089" t="s">
        <v>47</v>
      </c>
      <c r="P1089" t="s">
        <v>47</v>
      </c>
      <c r="Y1089" t="s">
        <v>4035</v>
      </c>
      <c r="AG1089" t="s">
        <v>48</v>
      </c>
    </row>
    <row r="1090" spans="1:33">
      <c r="A1090" t="s">
        <v>4036</v>
      </c>
      <c r="B1090" t="s">
        <v>4037</v>
      </c>
      <c r="D1090" t="s">
        <v>40</v>
      </c>
      <c r="E1090" t="s">
        <v>41</v>
      </c>
      <c r="J1090" t="s">
        <v>114</v>
      </c>
      <c r="K1090" t="s">
        <v>115</v>
      </c>
      <c r="L1090">
        <v>5</v>
      </c>
      <c r="M1090" t="s">
        <v>4031</v>
      </c>
      <c r="N1090" t="s">
        <v>59</v>
      </c>
      <c r="O1090" t="s">
        <v>47</v>
      </c>
      <c r="P1090" t="s">
        <v>47</v>
      </c>
      <c r="Y1090" t="s">
        <v>4038</v>
      </c>
      <c r="AG1090" t="s">
        <v>48</v>
      </c>
    </row>
    <row r="1091" spans="1:33">
      <c r="A1091" t="s">
        <v>4039</v>
      </c>
      <c r="B1091" t="s">
        <v>4040</v>
      </c>
      <c r="D1091" t="s">
        <v>40</v>
      </c>
      <c r="E1091" t="s">
        <v>41</v>
      </c>
      <c r="J1091" t="s">
        <v>129</v>
      </c>
      <c r="K1091" t="s">
        <v>130</v>
      </c>
      <c r="L1091">
        <v>5</v>
      </c>
      <c r="M1091" t="s">
        <v>4041</v>
      </c>
      <c r="N1091" t="s">
        <v>218</v>
      </c>
      <c r="O1091" t="s">
        <v>47</v>
      </c>
      <c r="P1091" t="s">
        <v>47</v>
      </c>
      <c r="Y1091" t="s">
        <v>4042</v>
      </c>
      <c r="AG1091" t="s">
        <v>48</v>
      </c>
    </row>
    <row r="1092" spans="1:33">
      <c r="A1092" t="s">
        <v>4043</v>
      </c>
      <c r="B1092" t="s">
        <v>4044</v>
      </c>
      <c r="D1092" t="s">
        <v>40</v>
      </c>
      <c r="E1092" t="s">
        <v>41</v>
      </c>
      <c r="J1092" t="s">
        <v>108</v>
      </c>
      <c r="K1092" t="s">
        <v>109</v>
      </c>
      <c r="L1092">
        <v>5</v>
      </c>
      <c r="M1092" t="s">
        <v>4041</v>
      </c>
      <c r="N1092" t="s">
        <v>59</v>
      </c>
      <c r="O1092" t="s">
        <v>47</v>
      </c>
      <c r="P1092" t="s">
        <v>47</v>
      </c>
      <c r="Y1092" t="s">
        <v>4045</v>
      </c>
      <c r="AG1092" t="s">
        <v>48</v>
      </c>
    </row>
    <row r="1093" spans="1:33">
      <c r="A1093" t="s">
        <v>4046</v>
      </c>
      <c r="B1093" t="s">
        <v>4047</v>
      </c>
      <c r="D1093" t="s">
        <v>40</v>
      </c>
      <c r="E1093" t="s">
        <v>41</v>
      </c>
      <c r="J1093" t="s">
        <v>290</v>
      </c>
      <c r="K1093" t="s">
        <v>291</v>
      </c>
      <c r="L1093">
        <v>5</v>
      </c>
      <c r="M1093" t="s">
        <v>4048</v>
      </c>
      <c r="N1093" t="s">
        <v>59</v>
      </c>
      <c r="O1093" t="s">
        <v>47</v>
      </c>
      <c r="P1093" t="s">
        <v>47</v>
      </c>
      <c r="Y1093" t="s">
        <v>4049</v>
      </c>
      <c r="AG1093" t="s">
        <v>48</v>
      </c>
    </row>
    <row r="1094" spans="1:33">
      <c r="A1094" t="s">
        <v>4050</v>
      </c>
      <c r="B1094" t="s">
        <v>4051</v>
      </c>
      <c r="D1094" t="s">
        <v>40</v>
      </c>
      <c r="E1094" t="s">
        <v>41</v>
      </c>
      <c r="J1094" t="s">
        <v>2439</v>
      </c>
      <c r="K1094" t="s">
        <v>2440</v>
      </c>
      <c r="L1094">
        <v>5</v>
      </c>
      <c r="M1094" t="s">
        <v>4048</v>
      </c>
      <c r="N1094" t="s">
        <v>59</v>
      </c>
      <c r="O1094" t="s">
        <v>47</v>
      </c>
      <c r="P1094" t="s">
        <v>47</v>
      </c>
      <c r="Y1094" t="s">
        <v>4052</v>
      </c>
      <c r="AG1094" t="s">
        <v>48</v>
      </c>
    </row>
    <row r="1095" spans="1:33">
      <c r="A1095" t="s">
        <v>4053</v>
      </c>
      <c r="B1095" t="s">
        <v>4054</v>
      </c>
      <c r="D1095" t="s">
        <v>40</v>
      </c>
      <c r="E1095" t="s">
        <v>41</v>
      </c>
      <c r="J1095" t="s">
        <v>114</v>
      </c>
      <c r="K1095" t="s">
        <v>115</v>
      </c>
      <c r="L1095">
        <v>5</v>
      </c>
      <c r="M1095" t="s">
        <v>4055</v>
      </c>
      <c r="N1095" t="s">
        <v>59</v>
      </c>
      <c r="O1095" t="s">
        <v>47</v>
      </c>
      <c r="P1095" t="s">
        <v>47</v>
      </c>
      <c r="Y1095" t="s">
        <v>4056</v>
      </c>
      <c r="AG1095" t="s">
        <v>48</v>
      </c>
    </row>
    <row r="1096" spans="1:33">
      <c r="A1096" t="s">
        <v>4057</v>
      </c>
      <c r="B1096" t="s">
        <v>4058</v>
      </c>
      <c r="D1096" t="s">
        <v>40</v>
      </c>
      <c r="E1096" t="s">
        <v>41</v>
      </c>
      <c r="J1096" t="s">
        <v>290</v>
      </c>
      <c r="K1096" t="s">
        <v>291</v>
      </c>
      <c r="L1096">
        <v>5</v>
      </c>
      <c r="M1096" t="s">
        <v>4059</v>
      </c>
      <c r="N1096" t="s">
        <v>59</v>
      </c>
      <c r="O1096" t="s">
        <v>47</v>
      </c>
      <c r="P1096" t="s">
        <v>47</v>
      </c>
      <c r="Y1096" t="s">
        <v>4060</v>
      </c>
      <c r="AG1096" t="s">
        <v>48</v>
      </c>
    </row>
    <row r="1097" spans="1:33">
      <c r="A1097" t="s">
        <v>4061</v>
      </c>
      <c r="B1097" t="s">
        <v>4062</v>
      </c>
      <c r="D1097" t="s">
        <v>40</v>
      </c>
      <c r="E1097" t="s">
        <v>41</v>
      </c>
      <c r="J1097" t="s">
        <v>123</v>
      </c>
      <c r="K1097" t="s">
        <v>124</v>
      </c>
      <c r="L1097">
        <v>5</v>
      </c>
      <c r="M1097" t="s">
        <v>4063</v>
      </c>
      <c r="N1097" t="s">
        <v>218</v>
      </c>
      <c r="O1097" t="s">
        <v>47</v>
      </c>
      <c r="P1097" t="s">
        <v>47</v>
      </c>
      <c r="Y1097" t="s">
        <v>4064</v>
      </c>
      <c r="AG1097" t="s">
        <v>48</v>
      </c>
    </row>
    <row r="1098" spans="1:33">
      <c r="A1098" t="s">
        <v>4065</v>
      </c>
      <c r="B1098" t="s">
        <v>4066</v>
      </c>
      <c r="D1098" t="s">
        <v>40</v>
      </c>
      <c r="E1098" t="s">
        <v>41</v>
      </c>
      <c r="J1098" t="s">
        <v>290</v>
      </c>
      <c r="K1098" t="s">
        <v>291</v>
      </c>
      <c r="L1098">
        <v>5</v>
      </c>
      <c r="M1098" t="s">
        <v>4067</v>
      </c>
      <c r="N1098" t="s">
        <v>59</v>
      </c>
      <c r="O1098" t="s">
        <v>47</v>
      </c>
      <c r="P1098" t="s">
        <v>47</v>
      </c>
      <c r="Y1098" t="s">
        <v>4068</v>
      </c>
      <c r="AG1098" t="s">
        <v>48</v>
      </c>
    </row>
    <row r="1099" spans="1:33">
      <c r="A1099" t="s">
        <v>4069</v>
      </c>
      <c r="B1099" t="s">
        <v>4070</v>
      </c>
      <c r="D1099" t="s">
        <v>40</v>
      </c>
      <c r="E1099" t="s">
        <v>41</v>
      </c>
      <c r="J1099" t="s">
        <v>162</v>
      </c>
      <c r="K1099" t="s">
        <v>163</v>
      </c>
      <c r="L1099">
        <v>5</v>
      </c>
      <c r="M1099" t="s">
        <v>4067</v>
      </c>
      <c r="N1099" t="s">
        <v>59</v>
      </c>
      <c r="O1099" t="s">
        <v>47</v>
      </c>
      <c r="P1099" t="s">
        <v>47</v>
      </c>
      <c r="Y1099" t="s">
        <v>4071</v>
      </c>
      <c r="AG1099" t="s">
        <v>48</v>
      </c>
    </row>
    <row r="1100" spans="1:33">
      <c r="A1100" t="s">
        <v>4072</v>
      </c>
      <c r="B1100" t="s">
        <v>4073</v>
      </c>
      <c r="D1100" t="s">
        <v>40</v>
      </c>
      <c r="E1100" t="s">
        <v>41</v>
      </c>
      <c r="J1100" t="s">
        <v>290</v>
      </c>
      <c r="K1100" t="s">
        <v>291</v>
      </c>
      <c r="L1100">
        <v>5</v>
      </c>
      <c r="M1100" t="s">
        <v>4067</v>
      </c>
      <c r="N1100" t="s">
        <v>59</v>
      </c>
      <c r="O1100" t="s">
        <v>47</v>
      </c>
      <c r="P1100" t="s">
        <v>47</v>
      </c>
      <c r="Y1100" t="s">
        <v>4074</v>
      </c>
      <c r="AG1100" t="s">
        <v>48</v>
      </c>
    </row>
    <row r="1101" spans="1:33">
      <c r="A1101" t="s">
        <v>4075</v>
      </c>
      <c r="B1101" t="s">
        <v>4076</v>
      </c>
      <c r="D1101" t="s">
        <v>40</v>
      </c>
      <c r="E1101" t="s">
        <v>41</v>
      </c>
      <c r="H1101" t="s">
        <v>4077</v>
      </c>
      <c r="J1101" t="s">
        <v>63</v>
      </c>
      <c r="K1101" t="s">
        <v>64</v>
      </c>
      <c r="L1101">
        <v>5</v>
      </c>
      <c r="M1101" t="s">
        <v>4078</v>
      </c>
      <c r="N1101" t="s">
        <v>59</v>
      </c>
      <c r="O1101" t="s">
        <v>47</v>
      </c>
      <c r="P1101" t="s">
        <v>47</v>
      </c>
      <c r="Y1101" t="s">
        <v>4077</v>
      </c>
      <c r="AG1101" t="s">
        <v>48</v>
      </c>
    </row>
    <row r="1102" spans="1:33">
      <c r="A1102" t="s">
        <v>4079</v>
      </c>
      <c r="B1102" t="s">
        <v>4080</v>
      </c>
      <c r="D1102" t="s">
        <v>40</v>
      </c>
      <c r="E1102" t="s">
        <v>41</v>
      </c>
      <c r="H1102" t="s">
        <v>4081</v>
      </c>
      <c r="J1102" t="s">
        <v>129</v>
      </c>
      <c r="K1102" t="s">
        <v>130</v>
      </c>
      <c r="L1102">
        <v>5</v>
      </c>
      <c r="M1102" t="s">
        <v>4082</v>
      </c>
      <c r="N1102" t="s">
        <v>218</v>
      </c>
      <c r="O1102" t="s">
        <v>47</v>
      </c>
      <c r="P1102" t="s">
        <v>47</v>
      </c>
      <c r="Y1102" t="s">
        <v>4081</v>
      </c>
      <c r="AG1102" t="s">
        <v>48</v>
      </c>
    </row>
    <row r="1103" spans="1:33">
      <c r="A1103" t="s">
        <v>4083</v>
      </c>
      <c r="B1103" t="s">
        <v>4084</v>
      </c>
      <c r="D1103" t="s">
        <v>40</v>
      </c>
      <c r="E1103" t="s">
        <v>41</v>
      </c>
      <c r="J1103" t="s">
        <v>108</v>
      </c>
      <c r="K1103" t="s">
        <v>109</v>
      </c>
      <c r="L1103">
        <v>5</v>
      </c>
      <c r="M1103" t="s">
        <v>4085</v>
      </c>
      <c r="N1103" t="s">
        <v>59</v>
      </c>
      <c r="O1103" t="s">
        <v>47</v>
      </c>
      <c r="P1103" t="s">
        <v>47</v>
      </c>
      <c r="Y1103" t="s">
        <v>4086</v>
      </c>
      <c r="AG1103" t="s">
        <v>48</v>
      </c>
    </row>
    <row r="1104" spans="1:33">
      <c r="A1104" t="s">
        <v>4087</v>
      </c>
      <c r="B1104" t="s">
        <v>4088</v>
      </c>
      <c r="D1104" t="s">
        <v>40</v>
      </c>
      <c r="E1104" t="s">
        <v>41</v>
      </c>
      <c r="J1104" t="s">
        <v>270</v>
      </c>
      <c r="K1104" t="s">
        <v>271</v>
      </c>
      <c r="L1104">
        <v>5</v>
      </c>
      <c r="M1104" t="s">
        <v>4085</v>
      </c>
      <c r="N1104" t="s">
        <v>59</v>
      </c>
      <c r="O1104" t="s">
        <v>47</v>
      </c>
      <c r="P1104" t="s">
        <v>47</v>
      </c>
      <c r="Y1104" t="s">
        <v>4089</v>
      </c>
      <c r="AG1104" t="s">
        <v>48</v>
      </c>
    </row>
    <row r="1105" spans="1:33">
      <c r="A1105" t="s">
        <v>4090</v>
      </c>
      <c r="B1105" t="s">
        <v>4091</v>
      </c>
      <c r="D1105" t="s">
        <v>40</v>
      </c>
      <c r="E1105" t="s">
        <v>41</v>
      </c>
      <c r="J1105" t="s">
        <v>290</v>
      </c>
      <c r="K1105" t="s">
        <v>291</v>
      </c>
      <c r="L1105">
        <v>5</v>
      </c>
      <c r="M1105" t="s">
        <v>4085</v>
      </c>
      <c r="N1105" t="s">
        <v>59</v>
      </c>
      <c r="O1105" t="s">
        <v>47</v>
      </c>
      <c r="P1105" t="s">
        <v>47</v>
      </c>
      <c r="Y1105" t="s">
        <v>4092</v>
      </c>
      <c r="AG1105" t="s">
        <v>48</v>
      </c>
    </row>
    <row r="1106" spans="1:33">
      <c r="A1106" t="s">
        <v>4093</v>
      </c>
      <c r="B1106" t="s">
        <v>4094</v>
      </c>
      <c r="D1106" t="s">
        <v>40</v>
      </c>
      <c r="E1106" t="s">
        <v>41</v>
      </c>
      <c r="J1106" t="s">
        <v>290</v>
      </c>
      <c r="K1106" t="s">
        <v>291</v>
      </c>
      <c r="L1106">
        <v>5</v>
      </c>
      <c r="M1106" t="s">
        <v>4095</v>
      </c>
      <c r="N1106" t="s">
        <v>59</v>
      </c>
      <c r="O1106" t="s">
        <v>47</v>
      </c>
      <c r="P1106" t="s">
        <v>47</v>
      </c>
      <c r="Y1106" t="s">
        <v>4096</v>
      </c>
      <c r="AG1106" t="s">
        <v>48</v>
      </c>
    </row>
    <row r="1107" spans="1:33">
      <c r="A1107" t="s">
        <v>4097</v>
      </c>
      <c r="B1107" t="s">
        <v>4098</v>
      </c>
      <c r="D1107" t="s">
        <v>40</v>
      </c>
      <c r="E1107" t="s">
        <v>41</v>
      </c>
      <c r="J1107" t="s">
        <v>270</v>
      </c>
      <c r="K1107" t="s">
        <v>271</v>
      </c>
      <c r="L1107">
        <v>5</v>
      </c>
      <c r="M1107" t="s">
        <v>4099</v>
      </c>
      <c r="N1107" t="s">
        <v>59</v>
      </c>
      <c r="O1107" t="s">
        <v>47</v>
      </c>
      <c r="P1107" t="s">
        <v>47</v>
      </c>
      <c r="Y1107" t="s">
        <v>4100</v>
      </c>
      <c r="AG1107" t="s">
        <v>48</v>
      </c>
    </row>
    <row r="1108" spans="1:33">
      <c r="A1108" t="s">
        <v>4101</v>
      </c>
      <c r="B1108" t="s">
        <v>4102</v>
      </c>
      <c r="D1108" t="s">
        <v>40</v>
      </c>
      <c r="E1108" t="s">
        <v>41</v>
      </c>
      <c r="J1108" t="s">
        <v>270</v>
      </c>
      <c r="K1108" t="s">
        <v>271</v>
      </c>
      <c r="L1108">
        <v>5</v>
      </c>
      <c r="M1108" t="s">
        <v>4099</v>
      </c>
      <c r="N1108" t="s">
        <v>59</v>
      </c>
      <c r="O1108" t="s">
        <v>47</v>
      </c>
      <c r="P1108" t="s">
        <v>47</v>
      </c>
      <c r="Y1108" t="s">
        <v>4103</v>
      </c>
      <c r="AG1108" t="s">
        <v>48</v>
      </c>
    </row>
    <row r="1109" spans="1:33">
      <c r="A1109" t="s">
        <v>4104</v>
      </c>
      <c r="B1109" t="s">
        <v>4105</v>
      </c>
      <c r="D1109" t="s">
        <v>40</v>
      </c>
      <c r="E1109" t="s">
        <v>41</v>
      </c>
      <c r="J1109" t="s">
        <v>162</v>
      </c>
      <c r="K1109" t="s">
        <v>163</v>
      </c>
      <c r="L1109">
        <v>5</v>
      </c>
      <c r="M1109" t="s">
        <v>4106</v>
      </c>
      <c r="N1109" t="s">
        <v>59</v>
      </c>
      <c r="O1109" t="s">
        <v>47</v>
      </c>
      <c r="P1109" t="s">
        <v>47</v>
      </c>
      <c r="Y1109" t="s">
        <v>4107</v>
      </c>
      <c r="AG1109" t="s">
        <v>48</v>
      </c>
    </row>
    <row r="1110" spans="1:33">
      <c r="A1110" t="s">
        <v>4108</v>
      </c>
      <c r="B1110" t="s">
        <v>4109</v>
      </c>
      <c r="D1110" t="s">
        <v>40</v>
      </c>
      <c r="E1110" t="s">
        <v>41</v>
      </c>
      <c r="J1110" t="s">
        <v>290</v>
      </c>
      <c r="K1110" t="s">
        <v>291</v>
      </c>
      <c r="L1110">
        <v>5</v>
      </c>
      <c r="M1110" t="s">
        <v>4106</v>
      </c>
      <c r="N1110" t="s">
        <v>59</v>
      </c>
      <c r="O1110" t="s">
        <v>47</v>
      </c>
      <c r="P1110" t="s">
        <v>47</v>
      </c>
      <c r="Y1110" t="s">
        <v>4110</v>
      </c>
      <c r="AG1110" t="s">
        <v>48</v>
      </c>
    </row>
    <row r="1111" spans="1:33">
      <c r="A1111" t="s">
        <v>4111</v>
      </c>
      <c r="B1111" t="s">
        <v>4112</v>
      </c>
      <c r="D1111" t="s">
        <v>40</v>
      </c>
      <c r="E1111" t="s">
        <v>41</v>
      </c>
      <c r="J1111" t="s">
        <v>43</v>
      </c>
      <c r="K1111" t="s">
        <v>44</v>
      </c>
      <c r="L1111">
        <v>5</v>
      </c>
      <c r="M1111" t="s">
        <v>4106</v>
      </c>
      <c r="N1111" t="s">
        <v>192</v>
      </c>
      <c r="O1111" t="s">
        <v>47</v>
      </c>
      <c r="P1111" t="s">
        <v>47</v>
      </c>
      <c r="Y1111" t="s">
        <v>4113</v>
      </c>
      <c r="AG1111" t="s">
        <v>48</v>
      </c>
    </row>
    <row r="1112" spans="1:33">
      <c r="A1112" t="s">
        <v>4114</v>
      </c>
      <c r="B1112" t="s">
        <v>4115</v>
      </c>
      <c r="D1112" t="s">
        <v>40</v>
      </c>
      <c r="E1112" t="s">
        <v>41</v>
      </c>
      <c r="H1112" t="s">
        <v>4116</v>
      </c>
      <c r="J1112" t="s">
        <v>63</v>
      </c>
      <c r="K1112" t="s">
        <v>64</v>
      </c>
      <c r="L1112">
        <v>5</v>
      </c>
      <c r="M1112" t="s">
        <v>4117</v>
      </c>
      <c r="N1112" t="s">
        <v>59</v>
      </c>
      <c r="O1112" t="s">
        <v>47</v>
      </c>
      <c r="P1112" t="s">
        <v>47</v>
      </c>
      <c r="Y1112" t="s">
        <v>4116</v>
      </c>
      <c r="AG1112" t="s">
        <v>48</v>
      </c>
    </row>
    <row r="1113" spans="1:33">
      <c r="A1113" t="s">
        <v>4118</v>
      </c>
      <c r="B1113" t="s">
        <v>4119</v>
      </c>
      <c r="D1113" t="s">
        <v>40</v>
      </c>
      <c r="E1113" t="s">
        <v>41</v>
      </c>
      <c r="J1113" t="s">
        <v>290</v>
      </c>
      <c r="K1113" t="s">
        <v>291</v>
      </c>
      <c r="L1113">
        <v>5</v>
      </c>
      <c r="M1113" t="s">
        <v>4120</v>
      </c>
      <c r="N1113" t="s">
        <v>59</v>
      </c>
      <c r="O1113" t="s">
        <v>47</v>
      </c>
      <c r="P1113" t="s">
        <v>47</v>
      </c>
      <c r="Y1113" t="s">
        <v>4121</v>
      </c>
      <c r="AG1113" t="s">
        <v>48</v>
      </c>
    </row>
    <row r="1114" spans="1:33">
      <c r="A1114" t="s">
        <v>4122</v>
      </c>
      <c r="B1114" t="s">
        <v>4123</v>
      </c>
      <c r="D1114" t="s">
        <v>40</v>
      </c>
      <c r="E1114" t="s">
        <v>41</v>
      </c>
      <c r="J1114" t="s">
        <v>129</v>
      </c>
      <c r="K1114" t="s">
        <v>130</v>
      </c>
      <c r="L1114">
        <v>5</v>
      </c>
      <c r="M1114" t="s">
        <v>4120</v>
      </c>
      <c r="N1114" t="s">
        <v>46</v>
      </c>
      <c r="O1114" t="s">
        <v>47</v>
      </c>
      <c r="P1114" t="s">
        <v>47</v>
      </c>
      <c r="Y1114" t="s">
        <v>4124</v>
      </c>
      <c r="AG1114" t="s">
        <v>48</v>
      </c>
    </row>
    <row r="1115" spans="1:33">
      <c r="A1115" t="s">
        <v>4125</v>
      </c>
      <c r="B1115" t="s">
        <v>4126</v>
      </c>
      <c r="D1115" t="s">
        <v>40</v>
      </c>
      <c r="E1115" t="s">
        <v>41</v>
      </c>
      <c r="H1115" t="s">
        <v>4127</v>
      </c>
      <c r="J1115" t="s">
        <v>270</v>
      </c>
      <c r="K1115" t="s">
        <v>271</v>
      </c>
      <c r="L1115">
        <v>5</v>
      </c>
      <c r="M1115" t="s">
        <v>4128</v>
      </c>
      <c r="N1115" t="s">
        <v>59</v>
      </c>
      <c r="O1115" t="s">
        <v>47</v>
      </c>
      <c r="P1115" t="s">
        <v>47</v>
      </c>
      <c r="Y1115" t="s">
        <v>4127</v>
      </c>
      <c r="AG1115" t="s">
        <v>48</v>
      </c>
    </row>
    <row r="1116" spans="1:33">
      <c r="A1116" t="s">
        <v>4129</v>
      </c>
      <c r="B1116" t="s">
        <v>4130</v>
      </c>
      <c r="D1116" t="s">
        <v>40</v>
      </c>
      <c r="E1116" t="s">
        <v>41</v>
      </c>
      <c r="J1116" t="s">
        <v>162</v>
      </c>
      <c r="K1116" t="s">
        <v>163</v>
      </c>
      <c r="L1116">
        <v>5</v>
      </c>
      <c r="M1116" t="s">
        <v>4131</v>
      </c>
      <c r="N1116" t="s">
        <v>59</v>
      </c>
      <c r="O1116" t="s">
        <v>47</v>
      </c>
      <c r="P1116" t="s">
        <v>47</v>
      </c>
      <c r="Y1116" t="s">
        <v>4132</v>
      </c>
      <c r="AG1116" t="s">
        <v>48</v>
      </c>
    </row>
    <row r="1117" spans="1:33">
      <c r="A1117" t="s">
        <v>4133</v>
      </c>
      <c r="B1117" t="s">
        <v>4134</v>
      </c>
      <c r="D1117" t="s">
        <v>40</v>
      </c>
      <c r="E1117" t="s">
        <v>41</v>
      </c>
      <c r="J1117" t="s">
        <v>290</v>
      </c>
      <c r="K1117" t="s">
        <v>291</v>
      </c>
      <c r="L1117">
        <v>5</v>
      </c>
      <c r="M1117" t="s">
        <v>4135</v>
      </c>
      <c r="N1117" t="s">
        <v>59</v>
      </c>
      <c r="O1117" t="s">
        <v>47</v>
      </c>
      <c r="P1117" t="s">
        <v>47</v>
      </c>
      <c r="Y1117" t="s">
        <v>4136</v>
      </c>
      <c r="AG1117" t="s">
        <v>48</v>
      </c>
    </row>
    <row r="1118" spans="1:33">
      <c r="A1118" t="s">
        <v>4137</v>
      </c>
      <c r="B1118" t="s">
        <v>4138</v>
      </c>
      <c r="D1118" t="s">
        <v>40</v>
      </c>
      <c r="E1118" t="s">
        <v>41</v>
      </c>
      <c r="J1118" t="s">
        <v>129</v>
      </c>
      <c r="K1118" t="s">
        <v>130</v>
      </c>
      <c r="L1118">
        <v>5</v>
      </c>
      <c r="M1118" t="s">
        <v>4139</v>
      </c>
      <c r="N1118" t="s">
        <v>218</v>
      </c>
      <c r="O1118" t="s">
        <v>47</v>
      </c>
      <c r="P1118" t="s">
        <v>47</v>
      </c>
      <c r="Y1118" t="s">
        <v>4140</v>
      </c>
      <c r="AG1118" t="s">
        <v>48</v>
      </c>
    </row>
    <row r="1119" spans="1:33">
      <c r="A1119" t="s">
        <v>4141</v>
      </c>
      <c r="B1119" t="s">
        <v>4142</v>
      </c>
      <c r="D1119" t="s">
        <v>40</v>
      </c>
      <c r="E1119" t="s">
        <v>41</v>
      </c>
      <c r="J1119" t="s">
        <v>108</v>
      </c>
      <c r="K1119" t="s">
        <v>109</v>
      </c>
      <c r="L1119">
        <v>5</v>
      </c>
      <c r="M1119" t="s">
        <v>4139</v>
      </c>
      <c r="N1119" t="s">
        <v>59</v>
      </c>
      <c r="O1119" t="s">
        <v>47</v>
      </c>
      <c r="P1119" t="s">
        <v>47</v>
      </c>
      <c r="Y1119" t="s">
        <v>4143</v>
      </c>
      <c r="AG1119" t="s">
        <v>48</v>
      </c>
    </row>
    <row r="1120" spans="1:33">
      <c r="A1120" t="s">
        <v>4144</v>
      </c>
      <c r="B1120" t="s">
        <v>4145</v>
      </c>
      <c r="D1120" t="s">
        <v>40</v>
      </c>
      <c r="E1120" t="s">
        <v>41</v>
      </c>
      <c r="J1120" t="s">
        <v>290</v>
      </c>
      <c r="K1120" t="s">
        <v>291</v>
      </c>
      <c r="L1120">
        <v>5</v>
      </c>
      <c r="M1120" t="s">
        <v>4139</v>
      </c>
      <c r="N1120" t="s">
        <v>59</v>
      </c>
      <c r="O1120" t="s">
        <v>47</v>
      </c>
      <c r="P1120" t="s">
        <v>47</v>
      </c>
      <c r="Y1120" t="s">
        <v>4146</v>
      </c>
      <c r="AG1120" t="s">
        <v>48</v>
      </c>
    </row>
    <row r="1121" spans="1:33">
      <c r="A1121" t="s">
        <v>4147</v>
      </c>
      <c r="B1121" t="s">
        <v>4148</v>
      </c>
      <c r="D1121" t="s">
        <v>40</v>
      </c>
      <c r="E1121" t="s">
        <v>41</v>
      </c>
      <c r="H1121" t="s">
        <v>4149</v>
      </c>
      <c r="J1121" t="s">
        <v>290</v>
      </c>
      <c r="K1121" t="s">
        <v>291</v>
      </c>
      <c r="L1121">
        <v>5</v>
      </c>
      <c r="M1121" t="s">
        <v>4150</v>
      </c>
      <c r="N1121" t="s">
        <v>59</v>
      </c>
      <c r="O1121" t="s">
        <v>47</v>
      </c>
      <c r="P1121" t="s">
        <v>47</v>
      </c>
      <c r="Y1121" t="s">
        <v>4149</v>
      </c>
      <c r="AG1121" t="s">
        <v>48</v>
      </c>
    </row>
    <row r="1122" spans="1:33">
      <c r="A1122" t="s">
        <v>4151</v>
      </c>
      <c r="B1122" t="s">
        <v>4152</v>
      </c>
      <c r="D1122" t="s">
        <v>40</v>
      </c>
      <c r="E1122" t="s">
        <v>41</v>
      </c>
      <c r="J1122" t="s">
        <v>123</v>
      </c>
      <c r="K1122" t="s">
        <v>124</v>
      </c>
      <c r="L1122">
        <v>5</v>
      </c>
      <c r="M1122" t="s">
        <v>4153</v>
      </c>
      <c r="N1122" t="s">
        <v>46</v>
      </c>
      <c r="O1122" t="s">
        <v>47</v>
      </c>
      <c r="P1122" t="s">
        <v>47</v>
      </c>
      <c r="Y1122" t="s">
        <v>4154</v>
      </c>
      <c r="AG1122" t="s">
        <v>48</v>
      </c>
    </row>
    <row r="1123" spans="1:33">
      <c r="A1123" t="s">
        <v>4155</v>
      </c>
      <c r="B1123" t="s">
        <v>4156</v>
      </c>
      <c r="D1123" t="s">
        <v>40</v>
      </c>
      <c r="E1123" t="s">
        <v>41</v>
      </c>
      <c r="J1123" t="s">
        <v>290</v>
      </c>
      <c r="K1123" t="s">
        <v>291</v>
      </c>
      <c r="L1123">
        <v>5</v>
      </c>
      <c r="M1123" t="s">
        <v>4157</v>
      </c>
      <c r="N1123" t="s">
        <v>59</v>
      </c>
      <c r="O1123" t="s">
        <v>47</v>
      </c>
      <c r="P1123" t="s">
        <v>47</v>
      </c>
      <c r="Y1123" t="s">
        <v>4158</v>
      </c>
      <c r="AG1123" t="s">
        <v>48</v>
      </c>
    </row>
    <row r="1124" spans="1:33">
      <c r="A1124" t="s">
        <v>4159</v>
      </c>
      <c r="B1124" t="s">
        <v>4160</v>
      </c>
      <c r="D1124" t="s">
        <v>40</v>
      </c>
      <c r="E1124" t="s">
        <v>41</v>
      </c>
      <c r="J1124" t="s">
        <v>290</v>
      </c>
      <c r="K1124" t="s">
        <v>291</v>
      </c>
      <c r="L1124">
        <v>5</v>
      </c>
      <c r="M1124" t="s">
        <v>4157</v>
      </c>
      <c r="N1124" t="s">
        <v>59</v>
      </c>
      <c r="O1124" t="s">
        <v>47</v>
      </c>
      <c r="P1124" t="s">
        <v>47</v>
      </c>
      <c r="Y1124" t="s">
        <v>4161</v>
      </c>
      <c r="AG1124" t="s">
        <v>48</v>
      </c>
    </row>
    <row r="1125" spans="1:33">
      <c r="A1125" t="s">
        <v>4162</v>
      </c>
      <c r="B1125" t="s">
        <v>4163</v>
      </c>
      <c r="D1125" t="s">
        <v>40</v>
      </c>
      <c r="E1125" t="s">
        <v>41</v>
      </c>
      <c r="H1125" t="s">
        <v>4164</v>
      </c>
      <c r="J1125" t="s">
        <v>129</v>
      </c>
      <c r="K1125" t="s">
        <v>130</v>
      </c>
      <c r="L1125">
        <v>5</v>
      </c>
      <c r="M1125" t="s">
        <v>4165</v>
      </c>
      <c r="N1125" t="s">
        <v>218</v>
      </c>
      <c r="O1125" t="s">
        <v>47</v>
      </c>
      <c r="P1125" t="s">
        <v>47</v>
      </c>
      <c r="Y1125" t="s">
        <v>4164</v>
      </c>
      <c r="AG1125" t="s">
        <v>48</v>
      </c>
    </row>
    <row r="1126" spans="1:33">
      <c r="A1126" t="s">
        <v>4166</v>
      </c>
      <c r="B1126" t="s">
        <v>4167</v>
      </c>
      <c r="D1126" t="s">
        <v>40</v>
      </c>
      <c r="E1126" t="s">
        <v>41</v>
      </c>
      <c r="H1126" t="s">
        <v>4168</v>
      </c>
      <c r="J1126" t="s">
        <v>114</v>
      </c>
      <c r="K1126" t="s">
        <v>115</v>
      </c>
      <c r="L1126">
        <v>5</v>
      </c>
      <c r="M1126" t="s">
        <v>4169</v>
      </c>
      <c r="N1126" t="s">
        <v>59</v>
      </c>
      <c r="O1126" t="s">
        <v>47</v>
      </c>
      <c r="P1126" t="s">
        <v>47</v>
      </c>
      <c r="Y1126" t="s">
        <v>4168</v>
      </c>
      <c r="AG1126" t="s">
        <v>48</v>
      </c>
    </row>
    <row r="1127" spans="1:33">
      <c r="A1127" t="s">
        <v>4170</v>
      </c>
      <c r="B1127" t="s">
        <v>4171</v>
      </c>
      <c r="D1127" t="s">
        <v>40</v>
      </c>
      <c r="E1127" t="s">
        <v>41</v>
      </c>
      <c r="J1127" t="s">
        <v>108</v>
      </c>
      <c r="K1127" t="s">
        <v>109</v>
      </c>
      <c r="L1127">
        <v>5</v>
      </c>
      <c r="M1127" t="s">
        <v>4172</v>
      </c>
      <c r="N1127" t="s">
        <v>59</v>
      </c>
      <c r="O1127" t="s">
        <v>47</v>
      </c>
      <c r="P1127" t="s">
        <v>47</v>
      </c>
      <c r="Y1127" t="s">
        <v>4173</v>
      </c>
      <c r="AG1127" t="s">
        <v>48</v>
      </c>
    </row>
    <row r="1128" spans="1:33">
      <c r="A1128" t="s">
        <v>4174</v>
      </c>
      <c r="B1128" t="s">
        <v>4175</v>
      </c>
      <c r="D1128" t="s">
        <v>40</v>
      </c>
      <c r="E1128" t="s">
        <v>41</v>
      </c>
      <c r="J1128" t="s">
        <v>162</v>
      </c>
      <c r="K1128" t="s">
        <v>163</v>
      </c>
      <c r="L1128">
        <v>5</v>
      </c>
      <c r="M1128" t="s">
        <v>4176</v>
      </c>
      <c r="N1128" t="s">
        <v>59</v>
      </c>
      <c r="O1128" t="s">
        <v>47</v>
      </c>
      <c r="P1128" t="s">
        <v>47</v>
      </c>
      <c r="Y1128" t="s">
        <v>4177</v>
      </c>
      <c r="AG1128" t="s">
        <v>48</v>
      </c>
    </row>
    <row r="1129" spans="1:33">
      <c r="A1129" t="s">
        <v>4178</v>
      </c>
      <c r="B1129" t="s">
        <v>4179</v>
      </c>
      <c r="D1129" t="s">
        <v>40</v>
      </c>
      <c r="E1129" t="s">
        <v>41</v>
      </c>
      <c r="J1129" t="s">
        <v>114</v>
      </c>
      <c r="K1129" t="s">
        <v>115</v>
      </c>
      <c r="L1129">
        <v>5</v>
      </c>
      <c r="M1129" t="s">
        <v>4180</v>
      </c>
      <c r="N1129" t="s">
        <v>59</v>
      </c>
      <c r="O1129" t="s">
        <v>47</v>
      </c>
      <c r="P1129" t="s">
        <v>47</v>
      </c>
      <c r="Y1129" t="s">
        <v>4181</v>
      </c>
      <c r="AG1129" t="s">
        <v>48</v>
      </c>
    </row>
    <row r="1130" spans="1:33">
      <c r="A1130" t="s">
        <v>4182</v>
      </c>
      <c r="B1130" t="s">
        <v>4183</v>
      </c>
      <c r="D1130" t="s">
        <v>40</v>
      </c>
      <c r="E1130" t="s">
        <v>41</v>
      </c>
      <c r="J1130" t="s">
        <v>290</v>
      </c>
      <c r="K1130" t="s">
        <v>291</v>
      </c>
      <c r="L1130">
        <v>5</v>
      </c>
      <c r="M1130" t="s">
        <v>4180</v>
      </c>
      <c r="N1130" t="s">
        <v>59</v>
      </c>
      <c r="O1130" t="s">
        <v>47</v>
      </c>
      <c r="P1130" t="s">
        <v>47</v>
      </c>
      <c r="Y1130" t="s">
        <v>4184</v>
      </c>
      <c r="AG1130" t="s">
        <v>48</v>
      </c>
    </row>
    <row r="1131" spans="1:33">
      <c r="A1131" t="s">
        <v>4185</v>
      </c>
      <c r="B1131" t="s">
        <v>4186</v>
      </c>
      <c r="D1131" t="s">
        <v>40</v>
      </c>
      <c r="E1131" t="s">
        <v>41</v>
      </c>
      <c r="J1131" t="s">
        <v>114</v>
      </c>
      <c r="K1131" t="s">
        <v>115</v>
      </c>
      <c r="L1131">
        <v>5</v>
      </c>
      <c r="M1131" t="s">
        <v>4180</v>
      </c>
      <c r="N1131" t="s">
        <v>59</v>
      </c>
      <c r="O1131" t="s">
        <v>47</v>
      </c>
      <c r="P1131" t="s">
        <v>47</v>
      </c>
      <c r="Y1131" t="s">
        <v>4187</v>
      </c>
      <c r="AG1131" t="s">
        <v>48</v>
      </c>
    </row>
    <row r="1132" spans="1:33">
      <c r="A1132" t="s">
        <v>4188</v>
      </c>
      <c r="B1132" t="s">
        <v>4189</v>
      </c>
      <c r="D1132" t="s">
        <v>40</v>
      </c>
      <c r="E1132" t="s">
        <v>41</v>
      </c>
      <c r="J1132" t="s">
        <v>86</v>
      </c>
      <c r="K1132" t="s">
        <v>87</v>
      </c>
      <c r="L1132">
        <v>5</v>
      </c>
      <c r="M1132" t="s">
        <v>4180</v>
      </c>
      <c r="N1132" t="s">
        <v>192</v>
      </c>
      <c r="O1132" t="s">
        <v>47</v>
      </c>
      <c r="P1132" t="s">
        <v>47</v>
      </c>
      <c r="Y1132" t="s">
        <v>4190</v>
      </c>
      <c r="AG1132" t="s">
        <v>48</v>
      </c>
    </row>
    <row r="1133" spans="1:33">
      <c r="A1133" t="s">
        <v>4191</v>
      </c>
      <c r="B1133" t="s">
        <v>4192</v>
      </c>
      <c r="D1133" t="s">
        <v>40</v>
      </c>
      <c r="E1133" t="s">
        <v>41</v>
      </c>
      <c r="J1133" t="s">
        <v>114</v>
      </c>
      <c r="K1133" t="s">
        <v>115</v>
      </c>
      <c r="L1133">
        <v>5</v>
      </c>
      <c r="M1133" t="s">
        <v>4180</v>
      </c>
      <c r="N1133" t="s">
        <v>59</v>
      </c>
      <c r="O1133" t="s">
        <v>47</v>
      </c>
      <c r="P1133" t="s">
        <v>47</v>
      </c>
      <c r="Y1133" t="s">
        <v>4193</v>
      </c>
      <c r="AG1133" t="s">
        <v>48</v>
      </c>
    </row>
    <row r="1134" spans="1:33">
      <c r="A1134" t="s">
        <v>4194</v>
      </c>
      <c r="B1134" t="s">
        <v>4195</v>
      </c>
      <c r="D1134" t="s">
        <v>40</v>
      </c>
      <c r="E1134" t="s">
        <v>41</v>
      </c>
      <c r="J1134" t="s">
        <v>290</v>
      </c>
      <c r="K1134" t="s">
        <v>291</v>
      </c>
      <c r="L1134">
        <v>5</v>
      </c>
      <c r="M1134" t="s">
        <v>4196</v>
      </c>
      <c r="N1134" t="s">
        <v>59</v>
      </c>
      <c r="O1134" t="s">
        <v>47</v>
      </c>
      <c r="P1134" t="s">
        <v>47</v>
      </c>
      <c r="Y1134" t="s">
        <v>4197</v>
      </c>
      <c r="AG1134" t="s">
        <v>48</v>
      </c>
    </row>
    <row r="1135" spans="1:33">
      <c r="A1135" t="s">
        <v>4198</v>
      </c>
      <c r="B1135" t="s">
        <v>4199</v>
      </c>
      <c r="D1135" t="s">
        <v>40</v>
      </c>
      <c r="E1135" t="s">
        <v>41</v>
      </c>
      <c r="J1135" t="s">
        <v>108</v>
      </c>
      <c r="K1135" t="s">
        <v>109</v>
      </c>
      <c r="L1135">
        <v>5</v>
      </c>
      <c r="M1135" t="s">
        <v>4200</v>
      </c>
      <c r="N1135" t="s">
        <v>59</v>
      </c>
      <c r="O1135" t="s">
        <v>47</v>
      </c>
      <c r="P1135" t="s">
        <v>47</v>
      </c>
      <c r="Y1135" t="s">
        <v>4201</v>
      </c>
      <c r="AG1135" t="s">
        <v>48</v>
      </c>
    </row>
    <row r="1136" spans="1:33">
      <c r="A1136" t="s">
        <v>4202</v>
      </c>
      <c r="B1136" t="s">
        <v>4203</v>
      </c>
      <c r="D1136" t="s">
        <v>40</v>
      </c>
      <c r="E1136" t="s">
        <v>41</v>
      </c>
      <c r="H1136" t="s">
        <v>4204</v>
      </c>
      <c r="J1136" t="s">
        <v>123</v>
      </c>
      <c r="K1136" t="s">
        <v>124</v>
      </c>
      <c r="L1136">
        <v>5</v>
      </c>
      <c r="M1136" t="s">
        <v>4205</v>
      </c>
      <c r="N1136" t="s">
        <v>218</v>
      </c>
      <c r="O1136" t="s">
        <v>47</v>
      </c>
      <c r="P1136" t="s">
        <v>47</v>
      </c>
      <c r="Y1136" t="s">
        <v>4204</v>
      </c>
      <c r="AG1136" t="s">
        <v>48</v>
      </c>
    </row>
    <row r="1137" spans="1:33">
      <c r="A1137" t="s">
        <v>4206</v>
      </c>
      <c r="B1137" t="s">
        <v>4207</v>
      </c>
      <c r="D1137" t="s">
        <v>40</v>
      </c>
      <c r="E1137" t="s">
        <v>41</v>
      </c>
      <c r="J1137" t="s">
        <v>290</v>
      </c>
      <c r="K1137" t="s">
        <v>291</v>
      </c>
      <c r="L1137">
        <v>5</v>
      </c>
      <c r="M1137" t="s">
        <v>4208</v>
      </c>
      <c r="N1137" t="s">
        <v>59</v>
      </c>
      <c r="O1137" t="s">
        <v>47</v>
      </c>
      <c r="P1137" t="s">
        <v>47</v>
      </c>
      <c r="Y1137" t="s">
        <v>4209</v>
      </c>
      <c r="AG1137" t="s">
        <v>48</v>
      </c>
    </row>
    <row r="1138" spans="1:33">
      <c r="A1138" t="s">
        <v>4210</v>
      </c>
      <c r="B1138" t="s">
        <v>4211</v>
      </c>
      <c r="D1138" t="s">
        <v>40</v>
      </c>
      <c r="E1138" t="s">
        <v>41</v>
      </c>
      <c r="J1138" t="s">
        <v>108</v>
      </c>
      <c r="K1138" t="s">
        <v>109</v>
      </c>
      <c r="L1138">
        <v>5</v>
      </c>
      <c r="M1138" t="s">
        <v>4212</v>
      </c>
      <c r="N1138" t="s">
        <v>59</v>
      </c>
      <c r="O1138" t="s">
        <v>47</v>
      </c>
      <c r="P1138" t="s">
        <v>47</v>
      </c>
      <c r="Y1138" t="s">
        <v>4213</v>
      </c>
      <c r="AG1138" t="s">
        <v>48</v>
      </c>
    </row>
    <row r="1139" spans="1:33">
      <c r="A1139" t="s">
        <v>4214</v>
      </c>
      <c r="B1139" t="s">
        <v>4215</v>
      </c>
      <c r="D1139" t="s">
        <v>40</v>
      </c>
      <c r="E1139" t="s">
        <v>41</v>
      </c>
      <c r="J1139" t="s">
        <v>162</v>
      </c>
      <c r="K1139" t="s">
        <v>163</v>
      </c>
      <c r="L1139">
        <v>5</v>
      </c>
      <c r="M1139" t="s">
        <v>4216</v>
      </c>
      <c r="N1139" t="s">
        <v>59</v>
      </c>
      <c r="O1139" t="s">
        <v>47</v>
      </c>
      <c r="P1139" t="s">
        <v>47</v>
      </c>
      <c r="Y1139" t="s">
        <v>4217</v>
      </c>
      <c r="AG1139" t="s">
        <v>48</v>
      </c>
    </row>
    <row r="1140" spans="1:33">
      <c r="A1140" t="s">
        <v>4218</v>
      </c>
      <c r="B1140" t="s">
        <v>4219</v>
      </c>
      <c r="D1140" t="s">
        <v>40</v>
      </c>
      <c r="E1140" t="s">
        <v>41</v>
      </c>
      <c r="J1140" t="s">
        <v>43</v>
      </c>
      <c r="K1140" t="s">
        <v>44</v>
      </c>
      <c r="L1140">
        <v>5</v>
      </c>
      <c r="M1140" t="s">
        <v>4216</v>
      </c>
      <c r="N1140" t="s">
        <v>192</v>
      </c>
      <c r="O1140" t="s">
        <v>47</v>
      </c>
      <c r="P1140" t="s">
        <v>47</v>
      </c>
      <c r="Y1140" t="s">
        <v>4220</v>
      </c>
      <c r="AG1140" t="s">
        <v>48</v>
      </c>
    </row>
    <row r="1141" spans="1:33">
      <c r="A1141" t="s">
        <v>4221</v>
      </c>
      <c r="B1141" t="s">
        <v>4222</v>
      </c>
      <c r="D1141" t="s">
        <v>40</v>
      </c>
      <c r="E1141" t="s">
        <v>41</v>
      </c>
      <c r="J1141" t="s">
        <v>108</v>
      </c>
      <c r="K1141" t="s">
        <v>109</v>
      </c>
      <c r="L1141">
        <v>5</v>
      </c>
      <c r="M1141" t="s">
        <v>4216</v>
      </c>
      <c r="N1141" t="s">
        <v>59</v>
      </c>
      <c r="O1141" t="s">
        <v>47</v>
      </c>
      <c r="P1141" t="s">
        <v>47</v>
      </c>
      <c r="Y1141" t="s">
        <v>4223</v>
      </c>
      <c r="AG1141" t="s">
        <v>48</v>
      </c>
    </row>
    <row r="1142" spans="1:33">
      <c r="A1142" t="s">
        <v>4224</v>
      </c>
      <c r="B1142" t="s">
        <v>4225</v>
      </c>
      <c r="D1142" t="s">
        <v>40</v>
      </c>
      <c r="E1142" t="s">
        <v>41</v>
      </c>
      <c r="J1142" t="s">
        <v>290</v>
      </c>
      <c r="K1142" t="s">
        <v>291</v>
      </c>
      <c r="L1142">
        <v>5</v>
      </c>
      <c r="M1142" t="s">
        <v>4226</v>
      </c>
      <c r="N1142" t="s">
        <v>59</v>
      </c>
      <c r="O1142" t="s">
        <v>47</v>
      </c>
      <c r="P1142" t="s">
        <v>47</v>
      </c>
      <c r="Y1142" t="s">
        <v>4227</v>
      </c>
      <c r="AG1142" t="s">
        <v>48</v>
      </c>
    </row>
    <row r="1143" spans="1:33">
      <c r="A1143" t="s">
        <v>4228</v>
      </c>
      <c r="B1143" t="s">
        <v>4229</v>
      </c>
      <c r="D1143" t="s">
        <v>40</v>
      </c>
      <c r="E1143" t="s">
        <v>41</v>
      </c>
      <c r="J1143" t="s">
        <v>162</v>
      </c>
      <c r="K1143" t="s">
        <v>163</v>
      </c>
      <c r="L1143">
        <v>5</v>
      </c>
      <c r="M1143" t="s">
        <v>4226</v>
      </c>
      <c r="N1143" t="s">
        <v>59</v>
      </c>
      <c r="O1143" t="s">
        <v>47</v>
      </c>
      <c r="P1143" t="s">
        <v>47</v>
      </c>
      <c r="Y1143" t="s">
        <v>4230</v>
      </c>
      <c r="AG1143" t="s">
        <v>48</v>
      </c>
    </row>
    <row r="1144" spans="1:33">
      <c r="A1144" t="s">
        <v>4231</v>
      </c>
      <c r="B1144" t="s">
        <v>4232</v>
      </c>
      <c r="D1144" t="s">
        <v>40</v>
      </c>
      <c r="E1144" t="s">
        <v>41</v>
      </c>
      <c r="J1144" t="s">
        <v>123</v>
      </c>
      <c r="K1144" t="s">
        <v>124</v>
      </c>
      <c r="L1144">
        <v>5</v>
      </c>
      <c r="M1144" t="s">
        <v>4233</v>
      </c>
      <c r="N1144" t="s">
        <v>218</v>
      </c>
      <c r="O1144" t="s">
        <v>47</v>
      </c>
      <c r="P1144" t="s">
        <v>47</v>
      </c>
      <c r="Y1144" t="s">
        <v>4234</v>
      </c>
      <c r="AG1144" t="s">
        <v>48</v>
      </c>
    </row>
    <row r="1145" spans="1:33">
      <c r="A1145" t="s">
        <v>4235</v>
      </c>
      <c r="B1145" t="s">
        <v>4236</v>
      </c>
      <c r="D1145" t="s">
        <v>40</v>
      </c>
      <c r="E1145" t="s">
        <v>41</v>
      </c>
      <c r="J1145" t="s">
        <v>290</v>
      </c>
      <c r="K1145" t="s">
        <v>291</v>
      </c>
      <c r="L1145">
        <v>5</v>
      </c>
      <c r="M1145" t="s">
        <v>4237</v>
      </c>
      <c r="N1145" t="s">
        <v>59</v>
      </c>
      <c r="O1145" t="s">
        <v>47</v>
      </c>
      <c r="P1145" t="s">
        <v>47</v>
      </c>
      <c r="Y1145" t="s">
        <v>4238</v>
      </c>
      <c r="AG1145" t="s">
        <v>48</v>
      </c>
    </row>
    <row r="1146" spans="1:33">
      <c r="A1146" t="s">
        <v>4239</v>
      </c>
      <c r="B1146" t="s">
        <v>4240</v>
      </c>
      <c r="D1146" t="s">
        <v>40</v>
      </c>
      <c r="E1146" t="s">
        <v>41</v>
      </c>
      <c r="H1146" t="s">
        <v>4241</v>
      </c>
      <c r="J1146" t="s">
        <v>162</v>
      </c>
      <c r="K1146" t="s">
        <v>163</v>
      </c>
      <c r="L1146">
        <v>5</v>
      </c>
      <c r="M1146" t="s">
        <v>4237</v>
      </c>
      <c r="N1146" t="s">
        <v>59</v>
      </c>
      <c r="O1146" t="s">
        <v>47</v>
      </c>
      <c r="P1146" t="s">
        <v>47</v>
      </c>
      <c r="Y1146" t="s">
        <v>4241</v>
      </c>
      <c r="AG1146" t="s">
        <v>48</v>
      </c>
    </row>
    <row r="1147" spans="1:33">
      <c r="A1147" t="s">
        <v>4242</v>
      </c>
      <c r="B1147" t="s">
        <v>4243</v>
      </c>
      <c r="D1147" t="s">
        <v>40</v>
      </c>
      <c r="E1147" t="s">
        <v>41</v>
      </c>
      <c r="J1147" t="s">
        <v>270</v>
      </c>
      <c r="K1147" t="s">
        <v>271</v>
      </c>
      <c r="L1147">
        <v>5</v>
      </c>
      <c r="M1147" t="s">
        <v>4244</v>
      </c>
      <c r="N1147" t="s">
        <v>59</v>
      </c>
      <c r="O1147" t="s">
        <v>47</v>
      </c>
      <c r="P1147" t="s">
        <v>47</v>
      </c>
      <c r="Y1147" t="s">
        <v>4245</v>
      </c>
      <c r="AG1147" t="s">
        <v>48</v>
      </c>
    </row>
    <row r="1148" spans="1:33">
      <c r="A1148" t="s">
        <v>4246</v>
      </c>
      <c r="B1148" t="s">
        <v>4247</v>
      </c>
      <c r="D1148" t="s">
        <v>40</v>
      </c>
      <c r="E1148" t="s">
        <v>41</v>
      </c>
      <c r="J1148" t="s">
        <v>1052</v>
      </c>
      <c r="K1148" t="s">
        <v>1053</v>
      </c>
      <c r="L1148">
        <v>5</v>
      </c>
      <c r="M1148" t="s">
        <v>4248</v>
      </c>
      <c r="N1148" t="s">
        <v>46</v>
      </c>
      <c r="O1148" t="s">
        <v>47</v>
      </c>
      <c r="P1148" t="s">
        <v>47</v>
      </c>
      <c r="Y1148" t="s">
        <v>4249</v>
      </c>
      <c r="AG1148" t="s">
        <v>48</v>
      </c>
    </row>
    <row r="1149" spans="1:33">
      <c r="A1149" t="s">
        <v>4250</v>
      </c>
      <c r="B1149" t="s">
        <v>4251</v>
      </c>
      <c r="D1149" t="s">
        <v>40</v>
      </c>
      <c r="E1149" t="s">
        <v>41</v>
      </c>
      <c r="J1149" t="s">
        <v>129</v>
      </c>
      <c r="K1149" t="s">
        <v>130</v>
      </c>
      <c r="L1149">
        <v>5</v>
      </c>
      <c r="M1149" t="s">
        <v>4252</v>
      </c>
      <c r="N1149" t="s">
        <v>192</v>
      </c>
      <c r="O1149" t="s">
        <v>47</v>
      </c>
      <c r="P1149" t="s">
        <v>47</v>
      </c>
      <c r="Y1149" t="s">
        <v>4253</v>
      </c>
      <c r="AG1149" t="s">
        <v>48</v>
      </c>
    </row>
    <row r="1150" spans="1:33">
      <c r="A1150" t="s">
        <v>4254</v>
      </c>
      <c r="B1150" t="s">
        <v>4255</v>
      </c>
      <c r="D1150" t="s">
        <v>40</v>
      </c>
      <c r="E1150" t="s">
        <v>41</v>
      </c>
      <c r="H1150" t="s">
        <v>4256</v>
      </c>
      <c r="J1150" t="s">
        <v>114</v>
      </c>
      <c r="K1150" t="s">
        <v>115</v>
      </c>
      <c r="L1150">
        <v>5</v>
      </c>
      <c r="M1150" t="s">
        <v>4252</v>
      </c>
      <c r="N1150" t="s">
        <v>59</v>
      </c>
      <c r="O1150" t="s">
        <v>47</v>
      </c>
      <c r="P1150" t="s">
        <v>47</v>
      </c>
      <c r="Y1150" t="s">
        <v>4256</v>
      </c>
      <c r="AG1150" t="s">
        <v>48</v>
      </c>
    </row>
    <row r="1151" spans="1:33">
      <c r="A1151" t="s">
        <v>4257</v>
      </c>
      <c r="B1151" t="s">
        <v>4258</v>
      </c>
      <c r="D1151" t="s">
        <v>40</v>
      </c>
      <c r="E1151" t="s">
        <v>41</v>
      </c>
      <c r="J1151" t="s">
        <v>270</v>
      </c>
      <c r="K1151" t="s">
        <v>271</v>
      </c>
      <c r="L1151">
        <v>5</v>
      </c>
      <c r="M1151" t="s">
        <v>4259</v>
      </c>
      <c r="N1151" t="s">
        <v>59</v>
      </c>
      <c r="O1151" t="s">
        <v>47</v>
      </c>
      <c r="P1151" t="s">
        <v>47</v>
      </c>
      <c r="Y1151" t="s">
        <v>4260</v>
      </c>
      <c r="AG1151" t="s">
        <v>48</v>
      </c>
    </row>
    <row r="1152" spans="1:33">
      <c r="A1152" t="s">
        <v>4261</v>
      </c>
      <c r="B1152" t="s">
        <v>4262</v>
      </c>
      <c r="D1152" t="s">
        <v>40</v>
      </c>
      <c r="E1152" t="s">
        <v>41</v>
      </c>
      <c r="J1152" t="s">
        <v>290</v>
      </c>
      <c r="K1152" t="s">
        <v>291</v>
      </c>
      <c r="L1152">
        <v>5</v>
      </c>
      <c r="M1152" t="s">
        <v>4263</v>
      </c>
      <c r="N1152" t="s">
        <v>59</v>
      </c>
      <c r="O1152" t="s">
        <v>47</v>
      </c>
      <c r="P1152" t="s">
        <v>47</v>
      </c>
      <c r="Y1152" t="s">
        <v>4264</v>
      </c>
      <c r="AG1152" t="s">
        <v>48</v>
      </c>
    </row>
    <row r="1153" spans="1:33">
      <c r="A1153" t="s">
        <v>4265</v>
      </c>
      <c r="B1153" t="s">
        <v>4266</v>
      </c>
      <c r="D1153" t="s">
        <v>40</v>
      </c>
      <c r="E1153" t="s">
        <v>41</v>
      </c>
      <c r="J1153" t="s">
        <v>129</v>
      </c>
      <c r="K1153" t="s">
        <v>130</v>
      </c>
      <c r="L1153">
        <v>5</v>
      </c>
      <c r="M1153" t="s">
        <v>4263</v>
      </c>
      <c r="N1153" t="s">
        <v>46</v>
      </c>
      <c r="O1153" t="s">
        <v>47</v>
      </c>
      <c r="P1153" t="s">
        <v>47</v>
      </c>
      <c r="Y1153" t="s">
        <v>4267</v>
      </c>
      <c r="AG1153" t="s">
        <v>48</v>
      </c>
    </row>
    <row r="1154" spans="1:33">
      <c r="A1154" t="s">
        <v>4268</v>
      </c>
      <c r="B1154" t="s">
        <v>4269</v>
      </c>
      <c r="D1154" t="s">
        <v>40</v>
      </c>
      <c r="E1154" t="s">
        <v>41</v>
      </c>
      <c r="J1154" t="s">
        <v>290</v>
      </c>
      <c r="K1154" t="s">
        <v>291</v>
      </c>
      <c r="L1154">
        <v>5</v>
      </c>
      <c r="M1154" t="s">
        <v>4263</v>
      </c>
      <c r="N1154" t="s">
        <v>59</v>
      </c>
      <c r="O1154" t="s">
        <v>47</v>
      </c>
      <c r="P1154" t="s">
        <v>47</v>
      </c>
      <c r="Y1154" t="s">
        <v>4270</v>
      </c>
      <c r="AG1154" t="s">
        <v>48</v>
      </c>
    </row>
    <row r="1155" spans="1:33">
      <c r="A1155" t="s">
        <v>4271</v>
      </c>
      <c r="B1155" t="s">
        <v>4272</v>
      </c>
      <c r="D1155" t="s">
        <v>40</v>
      </c>
      <c r="E1155" t="s">
        <v>41</v>
      </c>
      <c r="J1155" t="s">
        <v>290</v>
      </c>
      <c r="K1155" t="s">
        <v>291</v>
      </c>
      <c r="L1155">
        <v>5</v>
      </c>
      <c r="M1155" t="s">
        <v>4273</v>
      </c>
      <c r="N1155" t="s">
        <v>59</v>
      </c>
      <c r="O1155" t="s">
        <v>47</v>
      </c>
      <c r="P1155" t="s">
        <v>47</v>
      </c>
      <c r="Y1155" t="s">
        <v>4274</v>
      </c>
      <c r="AG1155" t="s">
        <v>48</v>
      </c>
    </row>
    <row r="1156" spans="1:33">
      <c r="A1156" t="s">
        <v>4275</v>
      </c>
      <c r="B1156" t="s">
        <v>4276</v>
      </c>
      <c r="D1156" t="s">
        <v>40</v>
      </c>
      <c r="E1156" t="s">
        <v>41</v>
      </c>
      <c r="J1156" t="s">
        <v>312</v>
      </c>
      <c r="K1156" t="s">
        <v>313</v>
      </c>
      <c r="L1156">
        <v>5</v>
      </c>
      <c r="M1156" t="s">
        <v>4277</v>
      </c>
      <c r="N1156" t="s">
        <v>218</v>
      </c>
      <c r="O1156" t="s">
        <v>47</v>
      </c>
      <c r="P1156" t="s">
        <v>47</v>
      </c>
      <c r="Y1156" t="s">
        <v>4278</v>
      </c>
      <c r="AG1156" t="s">
        <v>48</v>
      </c>
    </row>
    <row r="1157" spans="1:33">
      <c r="A1157" t="s">
        <v>4279</v>
      </c>
      <c r="B1157" t="s">
        <v>4280</v>
      </c>
      <c r="D1157" t="s">
        <v>40</v>
      </c>
      <c r="E1157" t="s">
        <v>41</v>
      </c>
      <c r="J1157" t="s">
        <v>162</v>
      </c>
      <c r="K1157" t="s">
        <v>163</v>
      </c>
      <c r="L1157">
        <v>5</v>
      </c>
      <c r="M1157" t="s">
        <v>4281</v>
      </c>
      <c r="N1157" t="s">
        <v>59</v>
      </c>
      <c r="O1157" t="s">
        <v>47</v>
      </c>
      <c r="P1157" t="s">
        <v>47</v>
      </c>
      <c r="Y1157" t="s">
        <v>4282</v>
      </c>
      <c r="AG1157" t="s">
        <v>48</v>
      </c>
    </row>
    <row r="1158" spans="1:33">
      <c r="A1158" t="s">
        <v>4283</v>
      </c>
      <c r="B1158" t="s">
        <v>4284</v>
      </c>
      <c r="D1158" t="s">
        <v>40</v>
      </c>
      <c r="E1158" t="s">
        <v>41</v>
      </c>
      <c r="H1158" t="s">
        <v>4285</v>
      </c>
      <c r="J1158" t="s">
        <v>290</v>
      </c>
      <c r="K1158" t="s">
        <v>291</v>
      </c>
      <c r="L1158">
        <v>5</v>
      </c>
      <c r="M1158" t="s">
        <v>4286</v>
      </c>
      <c r="N1158" t="s">
        <v>59</v>
      </c>
      <c r="O1158" t="s">
        <v>47</v>
      </c>
      <c r="P1158" t="s">
        <v>47</v>
      </c>
      <c r="Y1158" t="s">
        <v>4285</v>
      </c>
      <c r="AG1158" t="s">
        <v>48</v>
      </c>
    </row>
    <row r="1159" spans="1:33">
      <c r="A1159" t="s">
        <v>4287</v>
      </c>
      <c r="B1159" t="s">
        <v>4288</v>
      </c>
      <c r="D1159" t="s">
        <v>40</v>
      </c>
      <c r="E1159" t="s">
        <v>41</v>
      </c>
      <c r="J1159" t="s">
        <v>114</v>
      </c>
      <c r="K1159" t="s">
        <v>115</v>
      </c>
      <c r="L1159">
        <v>5</v>
      </c>
      <c r="M1159" t="s">
        <v>4289</v>
      </c>
      <c r="N1159" t="s">
        <v>59</v>
      </c>
      <c r="O1159" t="s">
        <v>47</v>
      </c>
      <c r="P1159" t="s">
        <v>47</v>
      </c>
      <c r="Y1159" t="s">
        <v>4290</v>
      </c>
      <c r="AG1159" t="s">
        <v>48</v>
      </c>
    </row>
    <row r="1160" spans="1:33">
      <c r="A1160" t="s">
        <v>4291</v>
      </c>
      <c r="B1160" t="s">
        <v>4292</v>
      </c>
      <c r="D1160" t="s">
        <v>40</v>
      </c>
      <c r="E1160" t="s">
        <v>41</v>
      </c>
      <c r="J1160" t="s">
        <v>290</v>
      </c>
      <c r="K1160" t="s">
        <v>291</v>
      </c>
      <c r="L1160">
        <v>5</v>
      </c>
      <c r="M1160" t="s">
        <v>4293</v>
      </c>
      <c r="N1160" t="s">
        <v>59</v>
      </c>
      <c r="O1160" t="s">
        <v>47</v>
      </c>
      <c r="P1160" t="s">
        <v>47</v>
      </c>
      <c r="Y1160" t="s">
        <v>4294</v>
      </c>
      <c r="AG1160" t="s">
        <v>48</v>
      </c>
    </row>
    <row r="1161" spans="1:33">
      <c r="A1161" t="s">
        <v>4295</v>
      </c>
      <c r="B1161" t="s">
        <v>4296</v>
      </c>
      <c r="D1161" t="s">
        <v>40</v>
      </c>
      <c r="E1161" t="s">
        <v>41</v>
      </c>
      <c r="H1161" t="s">
        <v>4297</v>
      </c>
      <c r="J1161" t="s">
        <v>123</v>
      </c>
      <c r="K1161" t="s">
        <v>124</v>
      </c>
      <c r="L1161">
        <v>5</v>
      </c>
      <c r="M1161" t="s">
        <v>4293</v>
      </c>
      <c r="N1161" t="s">
        <v>46</v>
      </c>
      <c r="O1161" t="s">
        <v>47</v>
      </c>
      <c r="P1161" t="s">
        <v>47</v>
      </c>
      <c r="Y1161" t="s">
        <v>4297</v>
      </c>
      <c r="AG1161" t="s">
        <v>48</v>
      </c>
    </row>
    <row r="1162" spans="1:33">
      <c r="A1162" t="s">
        <v>4298</v>
      </c>
      <c r="B1162" t="s">
        <v>4299</v>
      </c>
      <c r="D1162" t="s">
        <v>40</v>
      </c>
      <c r="E1162" t="s">
        <v>41</v>
      </c>
      <c r="J1162" t="s">
        <v>290</v>
      </c>
      <c r="K1162" t="s">
        <v>291</v>
      </c>
      <c r="L1162">
        <v>5</v>
      </c>
      <c r="M1162" t="s">
        <v>4293</v>
      </c>
      <c r="N1162" t="s">
        <v>59</v>
      </c>
      <c r="O1162" t="s">
        <v>47</v>
      </c>
      <c r="P1162" t="s">
        <v>47</v>
      </c>
      <c r="Y1162" t="s">
        <v>4300</v>
      </c>
      <c r="AG1162" t="s">
        <v>48</v>
      </c>
    </row>
    <row r="1163" spans="1:33">
      <c r="A1163" t="s">
        <v>4301</v>
      </c>
      <c r="B1163" t="s">
        <v>4302</v>
      </c>
      <c r="D1163" t="s">
        <v>40</v>
      </c>
      <c r="E1163" t="s">
        <v>41</v>
      </c>
      <c r="J1163" t="s">
        <v>129</v>
      </c>
      <c r="K1163" t="s">
        <v>130</v>
      </c>
      <c r="L1163">
        <v>5</v>
      </c>
      <c r="M1163" t="s">
        <v>4303</v>
      </c>
      <c r="N1163" t="s">
        <v>218</v>
      </c>
      <c r="O1163" t="s">
        <v>47</v>
      </c>
      <c r="P1163" t="s">
        <v>47</v>
      </c>
      <c r="Y1163" t="s">
        <v>4304</v>
      </c>
      <c r="AG1163" t="s">
        <v>48</v>
      </c>
    </row>
    <row r="1164" spans="1:33">
      <c r="A1164" t="s">
        <v>4305</v>
      </c>
      <c r="B1164" t="s">
        <v>4306</v>
      </c>
      <c r="D1164" t="s">
        <v>40</v>
      </c>
      <c r="E1164" t="s">
        <v>41</v>
      </c>
      <c r="J1164" t="s">
        <v>162</v>
      </c>
      <c r="K1164" t="s">
        <v>163</v>
      </c>
      <c r="L1164">
        <v>5</v>
      </c>
      <c r="M1164" t="s">
        <v>4307</v>
      </c>
      <c r="N1164" t="s">
        <v>59</v>
      </c>
      <c r="O1164" t="s">
        <v>47</v>
      </c>
      <c r="P1164" t="s">
        <v>47</v>
      </c>
      <c r="Y1164" t="s">
        <v>4308</v>
      </c>
      <c r="AG1164" t="s">
        <v>48</v>
      </c>
    </row>
    <row r="1165" spans="1:33">
      <c r="A1165" t="s">
        <v>4309</v>
      </c>
      <c r="B1165" t="s">
        <v>4310</v>
      </c>
      <c r="D1165" t="s">
        <v>40</v>
      </c>
      <c r="E1165" t="s">
        <v>41</v>
      </c>
      <c r="J1165" t="s">
        <v>108</v>
      </c>
      <c r="K1165" t="s">
        <v>109</v>
      </c>
      <c r="L1165">
        <v>5</v>
      </c>
      <c r="M1165" t="s">
        <v>4307</v>
      </c>
      <c r="N1165" t="s">
        <v>59</v>
      </c>
      <c r="O1165" t="s">
        <v>47</v>
      </c>
      <c r="P1165" t="s">
        <v>47</v>
      </c>
      <c r="Y1165" t="s">
        <v>4311</v>
      </c>
      <c r="AG1165" t="s">
        <v>48</v>
      </c>
    </row>
    <row r="1166" spans="1:33">
      <c r="A1166" t="s">
        <v>4312</v>
      </c>
      <c r="B1166" t="s">
        <v>4313</v>
      </c>
      <c r="D1166" t="s">
        <v>40</v>
      </c>
      <c r="E1166" t="s">
        <v>41</v>
      </c>
      <c r="J1166" t="s">
        <v>114</v>
      </c>
      <c r="K1166" t="s">
        <v>115</v>
      </c>
      <c r="L1166">
        <v>5</v>
      </c>
      <c r="M1166" t="s">
        <v>4307</v>
      </c>
      <c r="N1166" t="s">
        <v>59</v>
      </c>
      <c r="O1166" t="s">
        <v>47</v>
      </c>
      <c r="P1166" t="s">
        <v>47</v>
      </c>
      <c r="Y1166" t="s">
        <v>4314</v>
      </c>
      <c r="AG1166" t="s">
        <v>48</v>
      </c>
    </row>
    <row r="1167" spans="1:33">
      <c r="A1167" t="s">
        <v>4315</v>
      </c>
      <c r="B1167" t="s">
        <v>4316</v>
      </c>
      <c r="D1167" t="s">
        <v>40</v>
      </c>
      <c r="E1167" t="s">
        <v>41</v>
      </c>
      <c r="H1167" t="s">
        <v>4317</v>
      </c>
      <c r="J1167" t="s">
        <v>63</v>
      </c>
      <c r="K1167" t="s">
        <v>64</v>
      </c>
      <c r="L1167">
        <v>5</v>
      </c>
      <c r="M1167" t="s">
        <v>4318</v>
      </c>
      <c r="N1167" t="s">
        <v>59</v>
      </c>
      <c r="O1167" t="s">
        <v>47</v>
      </c>
      <c r="P1167" t="s">
        <v>47</v>
      </c>
      <c r="Y1167" t="s">
        <v>4317</v>
      </c>
      <c r="AG1167" t="s">
        <v>48</v>
      </c>
    </row>
    <row r="1168" spans="1:33">
      <c r="A1168" t="s">
        <v>117</v>
      </c>
      <c r="B1168" t="s">
        <v>4319</v>
      </c>
      <c r="D1168" t="s">
        <v>40</v>
      </c>
      <c r="E1168" t="s">
        <v>41</v>
      </c>
      <c r="J1168" t="s">
        <v>108</v>
      </c>
      <c r="K1168" t="s">
        <v>109</v>
      </c>
      <c r="L1168">
        <v>5</v>
      </c>
      <c r="M1168" t="s">
        <v>4320</v>
      </c>
      <c r="N1168" t="s">
        <v>59</v>
      </c>
      <c r="O1168" t="s">
        <v>47</v>
      </c>
      <c r="P1168" t="s">
        <v>47</v>
      </c>
      <c r="Y1168" t="s">
        <v>4321</v>
      </c>
      <c r="AG1168" t="s">
        <v>48</v>
      </c>
    </row>
    <row r="1169" spans="1:33">
      <c r="A1169" t="s">
        <v>4322</v>
      </c>
      <c r="B1169" t="s">
        <v>4323</v>
      </c>
      <c r="D1169" t="s">
        <v>40</v>
      </c>
      <c r="E1169" t="s">
        <v>41</v>
      </c>
      <c r="J1169" t="s">
        <v>290</v>
      </c>
      <c r="K1169" t="s">
        <v>291</v>
      </c>
      <c r="L1169">
        <v>5</v>
      </c>
      <c r="M1169" t="s">
        <v>4324</v>
      </c>
      <c r="N1169" t="s">
        <v>59</v>
      </c>
      <c r="O1169" t="s">
        <v>47</v>
      </c>
      <c r="P1169" t="s">
        <v>47</v>
      </c>
      <c r="Y1169" t="s">
        <v>4325</v>
      </c>
      <c r="AG1169" t="s">
        <v>48</v>
      </c>
    </row>
    <row r="1170" spans="1:33">
      <c r="A1170" t="s">
        <v>4326</v>
      </c>
      <c r="B1170" t="s">
        <v>4327</v>
      </c>
      <c r="D1170" t="s">
        <v>40</v>
      </c>
      <c r="E1170" t="s">
        <v>41</v>
      </c>
      <c r="J1170" t="s">
        <v>270</v>
      </c>
      <c r="K1170" t="s">
        <v>271</v>
      </c>
      <c r="L1170">
        <v>5</v>
      </c>
      <c r="M1170" t="s">
        <v>4328</v>
      </c>
      <c r="N1170" t="s">
        <v>59</v>
      </c>
      <c r="O1170" t="s">
        <v>47</v>
      </c>
      <c r="P1170" t="s">
        <v>47</v>
      </c>
      <c r="Y1170" t="s">
        <v>4329</v>
      </c>
      <c r="AG1170" t="s">
        <v>48</v>
      </c>
    </row>
    <row r="1171" spans="1:33">
      <c r="A1171" t="s">
        <v>4330</v>
      </c>
      <c r="B1171" t="s">
        <v>4331</v>
      </c>
      <c r="D1171" t="s">
        <v>40</v>
      </c>
      <c r="E1171" t="s">
        <v>41</v>
      </c>
      <c r="J1171" t="s">
        <v>162</v>
      </c>
      <c r="K1171" t="s">
        <v>163</v>
      </c>
      <c r="L1171">
        <v>5</v>
      </c>
      <c r="M1171" t="s">
        <v>4332</v>
      </c>
      <c r="N1171" t="s">
        <v>59</v>
      </c>
      <c r="O1171" t="s">
        <v>47</v>
      </c>
      <c r="P1171" t="s">
        <v>47</v>
      </c>
      <c r="Y1171" t="s">
        <v>4333</v>
      </c>
      <c r="AG1171" t="s">
        <v>48</v>
      </c>
    </row>
    <row r="1172" spans="1:33">
      <c r="A1172" t="s">
        <v>117</v>
      </c>
      <c r="B1172" t="s">
        <v>4334</v>
      </c>
      <c r="D1172" t="s">
        <v>40</v>
      </c>
      <c r="E1172" t="s">
        <v>41</v>
      </c>
      <c r="J1172" t="s">
        <v>129</v>
      </c>
      <c r="K1172" t="s">
        <v>130</v>
      </c>
      <c r="L1172">
        <v>5</v>
      </c>
      <c r="M1172" t="s">
        <v>4335</v>
      </c>
      <c r="N1172" t="s">
        <v>218</v>
      </c>
      <c r="O1172" t="s">
        <v>47</v>
      </c>
      <c r="P1172" t="s">
        <v>47</v>
      </c>
      <c r="Y1172" t="s">
        <v>4336</v>
      </c>
      <c r="AG1172" t="s">
        <v>48</v>
      </c>
    </row>
    <row r="1173" spans="1:33">
      <c r="A1173" t="s">
        <v>4337</v>
      </c>
      <c r="B1173" t="s">
        <v>4338</v>
      </c>
      <c r="D1173" t="s">
        <v>40</v>
      </c>
      <c r="E1173" t="s">
        <v>41</v>
      </c>
      <c r="J1173" t="s">
        <v>270</v>
      </c>
      <c r="K1173" t="s">
        <v>271</v>
      </c>
      <c r="L1173">
        <v>5</v>
      </c>
      <c r="M1173" t="s">
        <v>4335</v>
      </c>
      <c r="N1173" t="s">
        <v>59</v>
      </c>
      <c r="O1173" t="s">
        <v>47</v>
      </c>
      <c r="P1173" t="s">
        <v>47</v>
      </c>
      <c r="Y1173" t="s">
        <v>4339</v>
      </c>
      <c r="AG1173" t="s">
        <v>48</v>
      </c>
    </row>
    <row r="1174" spans="1:33">
      <c r="A1174" t="s">
        <v>4340</v>
      </c>
      <c r="B1174" t="s">
        <v>4341</v>
      </c>
      <c r="D1174" t="s">
        <v>40</v>
      </c>
      <c r="E1174" t="s">
        <v>41</v>
      </c>
      <c r="J1174" t="s">
        <v>270</v>
      </c>
      <c r="K1174" t="s">
        <v>271</v>
      </c>
      <c r="L1174">
        <v>5</v>
      </c>
      <c r="M1174" t="s">
        <v>4335</v>
      </c>
      <c r="N1174" t="s">
        <v>59</v>
      </c>
      <c r="O1174" t="s">
        <v>47</v>
      </c>
      <c r="P1174" t="s">
        <v>47</v>
      </c>
      <c r="Y1174" t="s">
        <v>4342</v>
      </c>
      <c r="AG1174" t="s">
        <v>48</v>
      </c>
    </row>
    <row r="1175" spans="1:33">
      <c r="A1175" t="s">
        <v>4343</v>
      </c>
      <c r="B1175" t="s">
        <v>4344</v>
      </c>
      <c r="D1175" t="s">
        <v>40</v>
      </c>
      <c r="E1175" t="s">
        <v>41</v>
      </c>
      <c r="J1175" t="s">
        <v>129</v>
      </c>
      <c r="K1175" t="s">
        <v>130</v>
      </c>
      <c r="L1175">
        <v>5</v>
      </c>
      <c r="M1175" t="s">
        <v>4345</v>
      </c>
      <c r="N1175" t="s">
        <v>46</v>
      </c>
      <c r="O1175" t="s">
        <v>47</v>
      </c>
      <c r="P1175" t="s">
        <v>47</v>
      </c>
      <c r="Y1175" t="s">
        <v>4346</v>
      </c>
      <c r="AG1175" t="s">
        <v>48</v>
      </c>
    </row>
    <row r="1176" spans="1:33">
      <c r="A1176" t="s">
        <v>4347</v>
      </c>
      <c r="B1176" t="s">
        <v>4348</v>
      </c>
      <c r="D1176" t="s">
        <v>40</v>
      </c>
      <c r="E1176" t="s">
        <v>41</v>
      </c>
      <c r="J1176" t="s">
        <v>290</v>
      </c>
      <c r="K1176" t="s">
        <v>291</v>
      </c>
      <c r="L1176">
        <v>5</v>
      </c>
      <c r="M1176" t="s">
        <v>4349</v>
      </c>
      <c r="N1176" t="s">
        <v>59</v>
      </c>
      <c r="O1176" t="s">
        <v>47</v>
      </c>
      <c r="P1176" t="s">
        <v>47</v>
      </c>
      <c r="Y1176" t="s">
        <v>4350</v>
      </c>
      <c r="AG1176" t="s">
        <v>48</v>
      </c>
    </row>
    <row r="1177" spans="1:33">
      <c r="A1177" t="s">
        <v>4351</v>
      </c>
      <c r="B1177" t="s">
        <v>4352</v>
      </c>
      <c r="D1177" t="s">
        <v>40</v>
      </c>
      <c r="E1177" t="s">
        <v>41</v>
      </c>
      <c r="J1177" t="s">
        <v>162</v>
      </c>
      <c r="K1177" t="s">
        <v>163</v>
      </c>
      <c r="L1177">
        <v>5</v>
      </c>
      <c r="M1177" t="s">
        <v>4353</v>
      </c>
      <c r="N1177" t="s">
        <v>59</v>
      </c>
      <c r="O1177" t="s">
        <v>47</v>
      </c>
      <c r="P1177" t="s">
        <v>47</v>
      </c>
      <c r="Y1177" t="s">
        <v>4354</v>
      </c>
      <c r="AG1177" t="s">
        <v>48</v>
      </c>
    </row>
    <row r="1178" spans="1:33">
      <c r="A1178" t="s">
        <v>4355</v>
      </c>
      <c r="B1178" t="s">
        <v>4356</v>
      </c>
      <c r="D1178" t="s">
        <v>40</v>
      </c>
      <c r="E1178" t="s">
        <v>41</v>
      </c>
      <c r="J1178" t="s">
        <v>162</v>
      </c>
      <c r="K1178" t="s">
        <v>163</v>
      </c>
      <c r="L1178">
        <v>5</v>
      </c>
      <c r="M1178" t="s">
        <v>4357</v>
      </c>
      <c r="N1178" t="s">
        <v>59</v>
      </c>
      <c r="O1178" t="s">
        <v>47</v>
      </c>
      <c r="P1178" t="s">
        <v>47</v>
      </c>
      <c r="Y1178" t="s">
        <v>4358</v>
      </c>
      <c r="AG1178" t="s">
        <v>48</v>
      </c>
    </row>
    <row r="1179" spans="1:33">
      <c r="A1179" t="s">
        <v>4359</v>
      </c>
      <c r="B1179" t="s">
        <v>4360</v>
      </c>
      <c r="D1179" t="s">
        <v>40</v>
      </c>
      <c r="E1179" t="s">
        <v>41</v>
      </c>
      <c r="J1179" t="s">
        <v>123</v>
      </c>
      <c r="K1179" t="s">
        <v>124</v>
      </c>
      <c r="L1179">
        <v>5</v>
      </c>
      <c r="M1179" t="s">
        <v>4361</v>
      </c>
      <c r="N1179" t="s">
        <v>218</v>
      </c>
      <c r="O1179" t="s">
        <v>47</v>
      </c>
      <c r="P1179" t="s">
        <v>47</v>
      </c>
      <c r="Y1179" t="s">
        <v>4362</v>
      </c>
      <c r="AG1179" t="s">
        <v>48</v>
      </c>
    </row>
    <row r="1180" spans="1:33">
      <c r="A1180" t="s">
        <v>4363</v>
      </c>
      <c r="B1180" t="s">
        <v>4364</v>
      </c>
      <c r="D1180" t="s">
        <v>40</v>
      </c>
      <c r="E1180" t="s">
        <v>41</v>
      </c>
      <c r="J1180" t="s">
        <v>312</v>
      </c>
      <c r="K1180" t="s">
        <v>313</v>
      </c>
      <c r="L1180">
        <v>5</v>
      </c>
      <c r="M1180" t="s">
        <v>4365</v>
      </c>
      <c r="N1180" t="s">
        <v>192</v>
      </c>
      <c r="O1180" t="s">
        <v>47</v>
      </c>
      <c r="P1180" t="s">
        <v>47</v>
      </c>
      <c r="Y1180" t="s">
        <v>4366</v>
      </c>
      <c r="AG1180" t="s">
        <v>48</v>
      </c>
    </row>
    <row r="1181" spans="1:33">
      <c r="A1181" t="s">
        <v>4367</v>
      </c>
      <c r="B1181" t="s">
        <v>4368</v>
      </c>
      <c r="D1181" t="s">
        <v>40</v>
      </c>
      <c r="E1181" t="s">
        <v>41</v>
      </c>
      <c r="J1181" t="s">
        <v>162</v>
      </c>
      <c r="K1181" t="s">
        <v>163</v>
      </c>
      <c r="L1181">
        <v>5</v>
      </c>
      <c r="M1181" t="s">
        <v>4369</v>
      </c>
      <c r="N1181" t="s">
        <v>59</v>
      </c>
      <c r="O1181" t="s">
        <v>47</v>
      </c>
      <c r="P1181" t="s">
        <v>47</v>
      </c>
      <c r="Y1181" t="s">
        <v>4370</v>
      </c>
      <c r="AG1181" t="s">
        <v>48</v>
      </c>
    </row>
    <row r="1182" spans="1:33">
      <c r="A1182" t="s">
        <v>117</v>
      </c>
      <c r="B1182" t="s">
        <v>4371</v>
      </c>
      <c r="D1182" t="s">
        <v>40</v>
      </c>
      <c r="E1182" t="s">
        <v>41</v>
      </c>
      <c r="J1182" t="s">
        <v>162</v>
      </c>
      <c r="K1182" t="s">
        <v>163</v>
      </c>
      <c r="L1182">
        <v>5</v>
      </c>
      <c r="M1182" t="s">
        <v>4372</v>
      </c>
      <c r="N1182" t="s">
        <v>59</v>
      </c>
      <c r="O1182" t="s">
        <v>47</v>
      </c>
      <c r="P1182" t="s">
        <v>47</v>
      </c>
      <c r="Y1182" t="s">
        <v>4373</v>
      </c>
      <c r="AG1182" t="s">
        <v>48</v>
      </c>
    </row>
    <row r="1183" spans="1:33">
      <c r="A1183" t="s">
        <v>4374</v>
      </c>
      <c r="B1183" t="s">
        <v>4375</v>
      </c>
      <c r="D1183" t="s">
        <v>40</v>
      </c>
      <c r="E1183" t="s">
        <v>41</v>
      </c>
      <c r="J1183" t="s">
        <v>290</v>
      </c>
      <c r="K1183" t="s">
        <v>291</v>
      </c>
      <c r="L1183">
        <v>5</v>
      </c>
      <c r="M1183" t="s">
        <v>4376</v>
      </c>
      <c r="N1183" t="s">
        <v>59</v>
      </c>
      <c r="O1183" t="s">
        <v>47</v>
      </c>
      <c r="P1183" t="s">
        <v>47</v>
      </c>
      <c r="Y1183" t="s">
        <v>4377</v>
      </c>
      <c r="AG1183" t="s">
        <v>48</v>
      </c>
    </row>
    <row r="1184" spans="1:33">
      <c r="A1184" t="s">
        <v>4378</v>
      </c>
      <c r="B1184" t="s">
        <v>4379</v>
      </c>
      <c r="D1184" t="s">
        <v>40</v>
      </c>
      <c r="E1184" t="s">
        <v>41</v>
      </c>
      <c r="J1184" t="s">
        <v>108</v>
      </c>
      <c r="K1184" t="s">
        <v>109</v>
      </c>
      <c r="L1184">
        <v>5</v>
      </c>
      <c r="M1184" t="s">
        <v>4376</v>
      </c>
      <c r="N1184" t="s">
        <v>59</v>
      </c>
      <c r="O1184" t="s">
        <v>47</v>
      </c>
      <c r="P1184" t="s">
        <v>47</v>
      </c>
      <c r="Y1184" t="s">
        <v>4380</v>
      </c>
      <c r="AG1184" t="s">
        <v>48</v>
      </c>
    </row>
    <row r="1185" spans="1:33">
      <c r="A1185" t="s">
        <v>4381</v>
      </c>
      <c r="B1185" t="s">
        <v>4382</v>
      </c>
      <c r="D1185" t="s">
        <v>40</v>
      </c>
      <c r="E1185" t="s">
        <v>41</v>
      </c>
      <c r="J1185" t="s">
        <v>290</v>
      </c>
      <c r="K1185" t="s">
        <v>291</v>
      </c>
      <c r="L1185">
        <v>5</v>
      </c>
      <c r="M1185" t="s">
        <v>4383</v>
      </c>
      <c r="N1185" t="s">
        <v>59</v>
      </c>
      <c r="O1185" t="s">
        <v>47</v>
      </c>
      <c r="P1185" t="s">
        <v>47</v>
      </c>
      <c r="Y1185" t="s">
        <v>4384</v>
      </c>
      <c r="AG1185" t="s">
        <v>48</v>
      </c>
    </row>
    <row r="1186" spans="1:33">
      <c r="A1186" t="s">
        <v>4385</v>
      </c>
      <c r="B1186" t="s">
        <v>4386</v>
      </c>
      <c r="D1186" t="s">
        <v>40</v>
      </c>
      <c r="E1186" t="s">
        <v>41</v>
      </c>
      <c r="H1186" t="s">
        <v>4387</v>
      </c>
      <c r="J1186" t="s">
        <v>129</v>
      </c>
      <c r="K1186" t="s">
        <v>130</v>
      </c>
      <c r="L1186">
        <v>6</v>
      </c>
      <c r="M1186" t="s">
        <v>4388</v>
      </c>
      <c r="N1186" t="s">
        <v>218</v>
      </c>
      <c r="O1186" t="s">
        <v>47</v>
      </c>
      <c r="P1186" t="s">
        <v>47</v>
      </c>
      <c r="Y1186" t="s">
        <v>4387</v>
      </c>
      <c r="AG1186" t="s">
        <v>48</v>
      </c>
    </row>
    <row r="1187" spans="1:33">
      <c r="A1187" t="s">
        <v>4389</v>
      </c>
      <c r="B1187" t="s">
        <v>4390</v>
      </c>
      <c r="D1187" t="s">
        <v>40</v>
      </c>
      <c r="E1187" t="s">
        <v>41</v>
      </c>
      <c r="J1187" t="s">
        <v>290</v>
      </c>
      <c r="K1187" t="s">
        <v>291</v>
      </c>
      <c r="L1187">
        <v>5</v>
      </c>
      <c r="M1187" t="s">
        <v>4388</v>
      </c>
      <c r="N1187" t="s">
        <v>59</v>
      </c>
      <c r="O1187" t="s">
        <v>47</v>
      </c>
      <c r="P1187" t="s">
        <v>47</v>
      </c>
      <c r="Y1187" t="s">
        <v>4391</v>
      </c>
      <c r="AG1187" t="s">
        <v>48</v>
      </c>
    </row>
    <row r="1188" spans="1:33">
      <c r="A1188" t="s">
        <v>4392</v>
      </c>
      <c r="B1188" t="s">
        <v>4393</v>
      </c>
      <c r="D1188" t="s">
        <v>40</v>
      </c>
      <c r="E1188" t="s">
        <v>41</v>
      </c>
      <c r="J1188" t="s">
        <v>290</v>
      </c>
      <c r="K1188" t="s">
        <v>291</v>
      </c>
      <c r="L1188">
        <v>5</v>
      </c>
      <c r="M1188" t="s">
        <v>4388</v>
      </c>
      <c r="N1188" t="s">
        <v>59</v>
      </c>
      <c r="O1188" t="s">
        <v>47</v>
      </c>
      <c r="P1188" t="s">
        <v>47</v>
      </c>
      <c r="Y1188" t="s">
        <v>4394</v>
      </c>
      <c r="AG1188" t="s">
        <v>48</v>
      </c>
    </row>
    <row r="1189" spans="1:33">
      <c r="A1189" t="s">
        <v>4395</v>
      </c>
      <c r="B1189" t="s">
        <v>4396</v>
      </c>
      <c r="D1189" t="s">
        <v>40</v>
      </c>
      <c r="E1189" t="s">
        <v>41</v>
      </c>
      <c r="J1189" t="s">
        <v>162</v>
      </c>
      <c r="K1189" t="s">
        <v>163</v>
      </c>
      <c r="L1189">
        <v>5</v>
      </c>
      <c r="M1189" t="s">
        <v>4388</v>
      </c>
      <c r="N1189" t="s">
        <v>59</v>
      </c>
      <c r="O1189" t="s">
        <v>47</v>
      </c>
      <c r="P1189" t="s">
        <v>47</v>
      </c>
      <c r="Y1189" t="s">
        <v>4397</v>
      </c>
      <c r="AG1189" t="s">
        <v>48</v>
      </c>
    </row>
    <row r="1190" spans="1:33">
      <c r="A1190" t="s">
        <v>4398</v>
      </c>
      <c r="B1190" t="s">
        <v>4399</v>
      </c>
      <c r="D1190" t="s">
        <v>40</v>
      </c>
      <c r="E1190" t="s">
        <v>41</v>
      </c>
      <c r="J1190" t="s">
        <v>162</v>
      </c>
      <c r="K1190" t="s">
        <v>163</v>
      </c>
      <c r="L1190">
        <v>5</v>
      </c>
      <c r="M1190" t="s">
        <v>4400</v>
      </c>
      <c r="N1190" t="s">
        <v>59</v>
      </c>
      <c r="O1190" t="s">
        <v>47</v>
      </c>
      <c r="P1190" t="s">
        <v>47</v>
      </c>
      <c r="Y1190" t="s">
        <v>4401</v>
      </c>
      <c r="AG1190" t="s">
        <v>48</v>
      </c>
    </row>
    <row r="1191" spans="1:33">
      <c r="A1191" t="s">
        <v>4402</v>
      </c>
      <c r="B1191" t="s">
        <v>4403</v>
      </c>
      <c r="D1191" t="s">
        <v>40</v>
      </c>
      <c r="E1191" t="s">
        <v>41</v>
      </c>
      <c r="J1191" t="s">
        <v>290</v>
      </c>
      <c r="K1191" t="s">
        <v>291</v>
      </c>
      <c r="L1191">
        <v>5</v>
      </c>
      <c r="M1191" t="s">
        <v>4400</v>
      </c>
      <c r="N1191" t="s">
        <v>59</v>
      </c>
      <c r="O1191" t="s">
        <v>47</v>
      </c>
      <c r="P1191" t="s">
        <v>47</v>
      </c>
      <c r="Y1191" t="s">
        <v>4404</v>
      </c>
      <c r="AG1191" t="s">
        <v>48</v>
      </c>
    </row>
    <row r="1192" spans="1:33">
      <c r="A1192" t="s">
        <v>4405</v>
      </c>
      <c r="B1192" t="s">
        <v>4406</v>
      </c>
      <c r="D1192" t="s">
        <v>40</v>
      </c>
      <c r="E1192" t="s">
        <v>41</v>
      </c>
      <c r="J1192" t="s">
        <v>108</v>
      </c>
      <c r="K1192" t="s">
        <v>109</v>
      </c>
      <c r="L1192">
        <v>5</v>
      </c>
      <c r="M1192" t="s">
        <v>4407</v>
      </c>
      <c r="N1192" t="s">
        <v>59</v>
      </c>
      <c r="O1192" t="s">
        <v>47</v>
      </c>
      <c r="P1192" t="s">
        <v>47</v>
      </c>
      <c r="Y1192" t="s">
        <v>4408</v>
      </c>
      <c r="AG1192" t="s">
        <v>48</v>
      </c>
    </row>
    <row r="1193" spans="1:33">
      <c r="A1193" t="s">
        <v>4409</v>
      </c>
      <c r="B1193" t="s">
        <v>4410</v>
      </c>
      <c r="D1193" t="s">
        <v>40</v>
      </c>
      <c r="E1193" t="s">
        <v>41</v>
      </c>
      <c r="J1193" t="s">
        <v>162</v>
      </c>
      <c r="K1193" t="s">
        <v>163</v>
      </c>
      <c r="L1193">
        <v>5</v>
      </c>
      <c r="M1193" t="s">
        <v>4411</v>
      </c>
      <c r="N1193" t="s">
        <v>59</v>
      </c>
      <c r="O1193" t="s">
        <v>47</v>
      </c>
      <c r="P1193" t="s">
        <v>47</v>
      </c>
      <c r="Y1193" t="s">
        <v>4412</v>
      </c>
      <c r="AG1193" t="s">
        <v>48</v>
      </c>
    </row>
    <row r="1194" spans="1:33">
      <c r="A1194" t="s">
        <v>4413</v>
      </c>
      <c r="B1194" t="s">
        <v>4414</v>
      </c>
      <c r="D1194" t="s">
        <v>40</v>
      </c>
      <c r="E1194" t="s">
        <v>41</v>
      </c>
      <c r="J1194" t="s">
        <v>123</v>
      </c>
      <c r="K1194" t="s">
        <v>124</v>
      </c>
      <c r="L1194">
        <v>5</v>
      </c>
      <c r="M1194" t="s">
        <v>4415</v>
      </c>
      <c r="N1194" t="s">
        <v>46</v>
      </c>
      <c r="O1194" t="s">
        <v>47</v>
      </c>
      <c r="P1194" t="s">
        <v>47</v>
      </c>
      <c r="Y1194" t="s">
        <v>4416</v>
      </c>
      <c r="AG1194" t="s">
        <v>48</v>
      </c>
    </row>
    <row r="1195" spans="1:33">
      <c r="A1195" t="s">
        <v>4417</v>
      </c>
      <c r="B1195" t="s">
        <v>4418</v>
      </c>
      <c r="D1195" t="s">
        <v>40</v>
      </c>
      <c r="E1195" t="s">
        <v>41</v>
      </c>
      <c r="J1195" t="s">
        <v>290</v>
      </c>
      <c r="K1195" t="s">
        <v>291</v>
      </c>
      <c r="L1195">
        <v>5</v>
      </c>
      <c r="M1195" t="s">
        <v>4419</v>
      </c>
      <c r="N1195" t="s">
        <v>59</v>
      </c>
      <c r="O1195" t="s">
        <v>47</v>
      </c>
      <c r="P1195" t="s">
        <v>47</v>
      </c>
      <c r="Y1195" t="s">
        <v>4420</v>
      </c>
      <c r="AG1195" t="s">
        <v>48</v>
      </c>
    </row>
    <row r="1196" spans="1:33">
      <c r="A1196" t="s">
        <v>4421</v>
      </c>
      <c r="B1196" t="s">
        <v>4422</v>
      </c>
      <c r="D1196" t="s">
        <v>40</v>
      </c>
      <c r="E1196" t="s">
        <v>41</v>
      </c>
      <c r="J1196" t="s">
        <v>162</v>
      </c>
      <c r="K1196" t="s">
        <v>163</v>
      </c>
      <c r="L1196">
        <v>5</v>
      </c>
      <c r="M1196" t="s">
        <v>4423</v>
      </c>
      <c r="N1196" t="s">
        <v>59</v>
      </c>
      <c r="O1196" t="s">
        <v>47</v>
      </c>
      <c r="P1196" t="s">
        <v>47</v>
      </c>
      <c r="Y1196" t="s">
        <v>4424</v>
      </c>
      <c r="AG1196" t="s">
        <v>48</v>
      </c>
    </row>
    <row r="1197" spans="1:33">
      <c r="A1197" t="s">
        <v>4425</v>
      </c>
      <c r="B1197" t="s">
        <v>4426</v>
      </c>
      <c r="D1197" t="s">
        <v>40</v>
      </c>
      <c r="E1197" t="s">
        <v>41</v>
      </c>
      <c r="J1197" t="s">
        <v>108</v>
      </c>
      <c r="K1197" t="s">
        <v>109</v>
      </c>
      <c r="L1197">
        <v>5</v>
      </c>
      <c r="M1197" t="s">
        <v>4427</v>
      </c>
      <c r="N1197" t="s">
        <v>59</v>
      </c>
      <c r="O1197" t="s">
        <v>47</v>
      </c>
      <c r="P1197" t="s">
        <v>47</v>
      </c>
      <c r="Y1197" t="s">
        <v>4428</v>
      </c>
      <c r="AG1197" t="s">
        <v>48</v>
      </c>
    </row>
    <row r="1198" spans="1:33">
      <c r="A1198" t="s">
        <v>4429</v>
      </c>
      <c r="B1198" t="s">
        <v>4430</v>
      </c>
      <c r="D1198" t="s">
        <v>40</v>
      </c>
      <c r="E1198" t="s">
        <v>41</v>
      </c>
      <c r="J1198" t="s">
        <v>290</v>
      </c>
      <c r="K1198" t="s">
        <v>291</v>
      </c>
      <c r="L1198">
        <v>5</v>
      </c>
      <c r="M1198" t="s">
        <v>4427</v>
      </c>
      <c r="N1198" t="s">
        <v>59</v>
      </c>
      <c r="O1198" t="s">
        <v>47</v>
      </c>
      <c r="P1198" t="s">
        <v>47</v>
      </c>
      <c r="Y1198" t="s">
        <v>4431</v>
      </c>
      <c r="AG1198" t="s">
        <v>48</v>
      </c>
    </row>
    <row r="1199" spans="1:33">
      <c r="A1199" t="s">
        <v>4432</v>
      </c>
      <c r="B1199" t="s">
        <v>4433</v>
      </c>
      <c r="D1199" t="s">
        <v>40</v>
      </c>
      <c r="E1199" t="s">
        <v>41</v>
      </c>
      <c r="J1199" t="s">
        <v>114</v>
      </c>
      <c r="K1199" t="s">
        <v>115</v>
      </c>
      <c r="L1199">
        <v>5</v>
      </c>
      <c r="M1199" t="s">
        <v>4434</v>
      </c>
      <c r="N1199" t="s">
        <v>59</v>
      </c>
      <c r="O1199" t="s">
        <v>47</v>
      </c>
      <c r="P1199" t="s">
        <v>47</v>
      </c>
      <c r="Y1199" t="s">
        <v>4435</v>
      </c>
      <c r="AG1199" t="s">
        <v>48</v>
      </c>
    </row>
    <row r="1200" spans="1:33">
      <c r="A1200" t="s">
        <v>4436</v>
      </c>
      <c r="B1200" t="s">
        <v>4437</v>
      </c>
      <c r="D1200" t="s">
        <v>40</v>
      </c>
      <c r="E1200" t="s">
        <v>41</v>
      </c>
      <c r="J1200" t="s">
        <v>290</v>
      </c>
      <c r="K1200" t="s">
        <v>291</v>
      </c>
      <c r="L1200">
        <v>5</v>
      </c>
      <c r="M1200" t="s">
        <v>4434</v>
      </c>
      <c r="N1200" t="s">
        <v>59</v>
      </c>
      <c r="O1200" t="s">
        <v>47</v>
      </c>
      <c r="P1200" t="s">
        <v>47</v>
      </c>
      <c r="Y1200" t="s">
        <v>4438</v>
      </c>
      <c r="AG1200" t="s">
        <v>48</v>
      </c>
    </row>
    <row r="1201" spans="1:33">
      <c r="A1201" t="s">
        <v>117</v>
      </c>
      <c r="B1201" t="s">
        <v>4439</v>
      </c>
      <c r="D1201" t="s">
        <v>40</v>
      </c>
      <c r="E1201" t="s">
        <v>41</v>
      </c>
      <c r="J1201" t="s">
        <v>290</v>
      </c>
      <c r="K1201" t="s">
        <v>291</v>
      </c>
      <c r="L1201">
        <v>5</v>
      </c>
      <c r="M1201" t="s">
        <v>4440</v>
      </c>
      <c r="N1201" t="s">
        <v>59</v>
      </c>
      <c r="O1201" t="s">
        <v>47</v>
      </c>
      <c r="P1201" t="s">
        <v>47</v>
      </c>
      <c r="Y1201" t="s">
        <v>4441</v>
      </c>
      <c r="AG1201" t="s">
        <v>48</v>
      </c>
    </row>
    <row r="1202" spans="1:33">
      <c r="A1202" t="s">
        <v>4442</v>
      </c>
      <c r="B1202" t="s">
        <v>4443</v>
      </c>
      <c r="D1202" t="s">
        <v>40</v>
      </c>
      <c r="E1202" t="s">
        <v>41</v>
      </c>
      <c r="J1202" t="s">
        <v>108</v>
      </c>
      <c r="K1202" t="s">
        <v>109</v>
      </c>
      <c r="L1202">
        <v>5</v>
      </c>
      <c r="M1202" t="s">
        <v>4444</v>
      </c>
      <c r="N1202" t="s">
        <v>59</v>
      </c>
      <c r="O1202" t="s">
        <v>47</v>
      </c>
      <c r="P1202" t="s">
        <v>47</v>
      </c>
      <c r="Y1202" t="s">
        <v>4445</v>
      </c>
      <c r="AG1202" t="s">
        <v>48</v>
      </c>
    </row>
    <row r="1203" spans="1:33">
      <c r="A1203" t="s">
        <v>4446</v>
      </c>
      <c r="B1203" t="s">
        <v>4447</v>
      </c>
      <c r="D1203" t="s">
        <v>40</v>
      </c>
      <c r="E1203" t="s">
        <v>41</v>
      </c>
      <c r="J1203" t="s">
        <v>129</v>
      </c>
      <c r="K1203" t="s">
        <v>130</v>
      </c>
      <c r="L1203">
        <v>5</v>
      </c>
      <c r="M1203" t="s">
        <v>4448</v>
      </c>
      <c r="N1203" t="s">
        <v>46</v>
      </c>
      <c r="O1203" t="s">
        <v>47</v>
      </c>
      <c r="P1203" t="s">
        <v>47</v>
      </c>
      <c r="Y1203" t="s">
        <v>4449</v>
      </c>
      <c r="AG1203" t="s">
        <v>48</v>
      </c>
    </row>
    <row r="1204" spans="1:33">
      <c r="A1204" t="s">
        <v>4450</v>
      </c>
      <c r="B1204" t="s">
        <v>4451</v>
      </c>
      <c r="D1204" t="s">
        <v>40</v>
      </c>
      <c r="E1204" t="s">
        <v>41</v>
      </c>
      <c r="J1204" t="s">
        <v>290</v>
      </c>
      <c r="K1204" t="s">
        <v>291</v>
      </c>
      <c r="L1204">
        <v>5</v>
      </c>
      <c r="M1204" t="s">
        <v>4452</v>
      </c>
      <c r="N1204" t="s">
        <v>59</v>
      </c>
      <c r="O1204" t="s">
        <v>47</v>
      </c>
      <c r="P1204" t="s">
        <v>47</v>
      </c>
      <c r="Y1204" t="s">
        <v>4453</v>
      </c>
      <c r="AG1204" t="s">
        <v>48</v>
      </c>
    </row>
    <row r="1205" spans="1:33">
      <c r="A1205" t="s">
        <v>4454</v>
      </c>
      <c r="B1205" t="s">
        <v>4455</v>
      </c>
      <c r="D1205" t="s">
        <v>40</v>
      </c>
      <c r="E1205" t="s">
        <v>41</v>
      </c>
      <c r="J1205" t="s">
        <v>290</v>
      </c>
      <c r="K1205" t="s">
        <v>291</v>
      </c>
      <c r="L1205">
        <v>5</v>
      </c>
      <c r="M1205" t="s">
        <v>4456</v>
      </c>
      <c r="N1205" t="s">
        <v>59</v>
      </c>
      <c r="O1205" t="s">
        <v>47</v>
      </c>
      <c r="P1205" t="s">
        <v>47</v>
      </c>
      <c r="Y1205" t="s">
        <v>4457</v>
      </c>
      <c r="AG1205" t="s">
        <v>48</v>
      </c>
    </row>
    <row r="1206" spans="1:33">
      <c r="A1206" t="s">
        <v>4458</v>
      </c>
      <c r="B1206" t="s">
        <v>4459</v>
      </c>
      <c r="D1206" t="s">
        <v>40</v>
      </c>
      <c r="E1206" t="s">
        <v>41</v>
      </c>
      <c r="J1206" t="s">
        <v>270</v>
      </c>
      <c r="K1206" t="s">
        <v>271</v>
      </c>
      <c r="L1206">
        <v>5</v>
      </c>
      <c r="M1206" t="s">
        <v>4460</v>
      </c>
      <c r="N1206" t="s">
        <v>59</v>
      </c>
      <c r="O1206" t="s">
        <v>47</v>
      </c>
      <c r="P1206" t="s">
        <v>47</v>
      </c>
      <c r="Y1206" t="s">
        <v>4461</v>
      </c>
      <c r="AG1206" t="s">
        <v>48</v>
      </c>
    </row>
    <row r="1207" spans="1:33">
      <c r="A1207" t="s">
        <v>4462</v>
      </c>
      <c r="B1207" t="s">
        <v>4463</v>
      </c>
      <c r="D1207" t="s">
        <v>40</v>
      </c>
      <c r="E1207" t="s">
        <v>41</v>
      </c>
      <c r="J1207" t="s">
        <v>290</v>
      </c>
      <c r="K1207" t="s">
        <v>291</v>
      </c>
      <c r="L1207">
        <v>5</v>
      </c>
      <c r="M1207" t="s">
        <v>4464</v>
      </c>
      <c r="N1207" t="s">
        <v>59</v>
      </c>
      <c r="O1207" t="s">
        <v>47</v>
      </c>
      <c r="P1207" t="s">
        <v>47</v>
      </c>
      <c r="Y1207" t="s">
        <v>4465</v>
      </c>
      <c r="AG1207" t="s">
        <v>48</v>
      </c>
    </row>
    <row r="1208" spans="1:33">
      <c r="A1208" t="s">
        <v>4466</v>
      </c>
      <c r="B1208" t="s">
        <v>4467</v>
      </c>
      <c r="D1208" t="s">
        <v>40</v>
      </c>
      <c r="E1208" t="s">
        <v>41</v>
      </c>
      <c r="J1208" t="s">
        <v>290</v>
      </c>
      <c r="K1208" t="s">
        <v>291</v>
      </c>
      <c r="L1208">
        <v>5</v>
      </c>
      <c r="M1208" t="s">
        <v>4464</v>
      </c>
      <c r="N1208" t="s">
        <v>59</v>
      </c>
      <c r="O1208" t="s">
        <v>47</v>
      </c>
      <c r="P1208" t="s">
        <v>47</v>
      </c>
      <c r="Y1208" t="s">
        <v>4468</v>
      </c>
      <c r="AG1208" t="s">
        <v>48</v>
      </c>
    </row>
    <row r="1209" spans="1:33">
      <c r="A1209" t="s">
        <v>4469</v>
      </c>
      <c r="B1209" t="s">
        <v>4470</v>
      </c>
      <c r="D1209" t="s">
        <v>40</v>
      </c>
      <c r="E1209" t="s">
        <v>41</v>
      </c>
      <c r="J1209" t="s">
        <v>108</v>
      </c>
      <c r="K1209" t="s">
        <v>109</v>
      </c>
      <c r="L1209">
        <v>5</v>
      </c>
      <c r="M1209" t="s">
        <v>4464</v>
      </c>
      <c r="N1209" t="s">
        <v>59</v>
      </c>
      <c r="O1209" t="s">
        <v>47</v>
      </c>
      <c r="P1209" t="s">
        <v>47</v>
      </c>
      <c r="Y1209" t="s">
        <v>4471</v>
      </c>
      <c r="AG1209" t="s">
        <v>48</v>
      </c>
    </row>
    <row r="1210" spans="1:33">
      <c r="A1210" t="s">
        <v>4472</v>
      </c>
      <c r="B1210" t="s">
        <v>4473</v>
      </c>
      <c r="D1210" t="s">
        <v>40</v>
      </c>
      <c r="E1210" t="s">
        <v>41</v>
      </c>
      <c r="J1210" t="s">
        <v>290</v>
      </c>
      <c r="K1210" t="s">
        <v>291</v>
      </c>
      <c r="L1210">
        <v>5</v>
      </c>
      <c r="M1210" t="s">
        <v>4474</v>
      </c>
      <c r="N1210" t="s">
        <v>59</v>
      </c>
      <c r="O1210" t="s">
        <v>47</v>
      </c>
      <c r="P1210" t="s">
        <v>47</v>
      </c>
      <c r="Y1210" t="s">
        <v>4475</v>
      </c>
      <c r="AG1210" t="s">
        <v>48</v>
      </c>
    </row>
    <row r="1211" spans="1:33">
      <c r="A1211" t="s">
        <v>117</v>
      </c>
      <c r="B1211" t="s">
        <v>4476</v>
      </c>
      <c r="D1211" t="s">
        <v>40</v>
      </c>
      <c r="E1211" t="s">
        <v>41</v>
      </c>
      <c r="J1211" t="s">
        <v>290</v>
      </c>
      <c r="K1211" t="s">
        <v>291</v>
      </c>
      <c r="L1211">
        <v>5</v>
      </c>
      <c r="M1211" t="s">
        <v>4477</v>
      </c>
      <c r="N1211" t="s">
        <v>59</v>
      </c>
      <c r="O1211" t="s">
        <v>47</v>
      </c>
      <c r="P1211" t="s">
        <v>47</v>
      </c>
      <c r="Y1211" t="s">
        <v>4478</v>
      </c>
      <c r="AG1211" t="s">
        <v>48</v>
      </c>
    </row>
    <row r="1212" spans="1:33">
      <c r="A1212" t="s">
        <v>4479</v>
      </c>
      <c r="B1212" t="s">
        <v>4480</v>
      </c>
      <c r="D1212" t="s">
        <v>40</v>
      </c>
      <c r="E1212" t="s">
        <v>41</v>
      </c>
      <c r="J1212" t="s">
        <v>270</v>
      </c>
      <c r="K1212" t="s">
        <v>271</v>
      </c>
      <c r="L1212">
        <v>5</v>
      </c>
      <c r="M1212" t="s">
        <v>4481</v>
      </c>
      <c r="N1212" t="s">
        <v>59</v>
      </c>
      <c r="O1212" t="s">
        <v>47</v>
      </c>
      <c r="P1212" t="s">
        <v>47</v>
      </c>
      <c r="Y1212" t="s">
        <v>4482</v>
      </c>
      <c r="AG1212" t="s">
        <v>48</v>
      </c>
    </row>
    <row r="1213" spans="1:33">
      <c r="A1213" t="s">
        <v>4483</v>
      </c>
      <c r="B1213" t="s">
        <v>4484</v>
      </c>
      <c r="D1213" t="s">
        <v>40</v>
      </c>
      <c r="E1213" t="s">
        <v>41</v>
      </c>
      <c r="J1213" t="s">
        <v>162</v>
      </c>
      <c r="K1213" t="s">
        <v>163</v>
      </c>
      <c r="L1213">
        <v>5</v>
      </c>
      <c r="M1213" t="s">
        <v>4485</v>
      </c>
      <c r="N1213" t="s">
        <v>59</v>
      </c>
      <c r="O1213" t="s">
        <v>47</v>
      </c>
      <c r="P1213" t="s">
        <v>47</v>
      </c>
      <c r="Y1213" t="s">
        <v>4486</v>
      </c>
      <c r="AG1213" t="s">
        <v>48</v>
      </c>
    </row>
    <row r="1214" spans="1:33">
      <c r="A1214" t="s">
        <v>4487</v>
      </c>
      <c r="B1214" t="s">
        <v>4488</v>
      </c>
      <c r="D1214" t="s">
        <v>40</v>
      </c>
      <c r="E1214" t="s">
        <v>41</v>
      </c>
      <c r="J1214" t="s">
        <v>123</v>
      </c>
      <c r="K1214" t="s">
        <v>124</v>
      </c>
      <c r="L1214">
        <v>5</v>
      </c>
      <c r="M1214" t="s">
        <v>4489</v>
      </c>
      <c r="N1214" t="s">
        <v>218</v>
      </c>
      <c r="O1214" t="s">
        <v>47</v>
      </c>
      <c r="P1214" t="s">
        <v>47</v>
      </c>
      <c r="Y1214" t="s">
        <v>4490</v>
      </c>
      <c r="AG1214" t="s">
        <v>48</v>
      </c>
    </row>
    <row r="1215" spans="1:33">
      <c r="A1215" t="s">
        <v>4491</v>
      </c>
      <c r="B1215" t="s">
        <v>4492</v>
      </c>
      <c r="D1215" t="s">
        <v>40</v>
      </c>
      <c r="E1215" t="s">
        <v>41</v>
      </c>
      <c r="J1215" t="s">
        <v>270</v>
      </c>
      <c r="K1215" t="s">
        <v>271</v>
      </c>
      <c r="L1215">
        <v>5</v>
      </c>
      <c r="M1215" t="s">
        <v>4493</v>
      </c>
      <c r="N1215" t="s">
        <v>59</v>
      </c>
      <c r="O1215" t="s">
        <v>47</v>
      </c>
      <c r="P1215" t="s">
        <v>47</v>
      </c>
      <c r="Y1215" t="s">
        <v>4494</v>
      </c>
      <c r="AG1215" t="s">
        <v>48</v>
      </c>
    </row>
    <row r="1216" spans="1:33">
      <c r="A1216" t="s">
        <v>4495</v>
      </c>
      <c r="B1216" t="s">
        <v>4496</v>
      </c>
      <c r="D1216" t="s">
        <v>40</v>
      </c>
      <c r="E1216" t="s">
        <v>41</v>
      </c>
      <c r="J1216" t="s">
        <v>290</v>
      </c>
      <c r="K1216" t="s">
        <v>291</v>
      </c>
      <c r="L1216">
        <v>5</v>
      </c>
      <c r="M1216" t="s">
        <v>4493</v>
      </c>
      <c r="N1216" t="s">
        <v>59</v>
      </c>
      <c r="O1216" t="s">
        <v>47</v>
      </c>
      <c r="P1216" t="s">
        <v>47</v>
      </c>
      <c r="Y1216" t="s">
        <v>4497</v>
      </c>
      <c r="AG1216" t="s">
        <v>48</v>
      </c>
    </row>
    <row r="1217" spans="1:33">
      <c r="A1217" t="s">
        <v>4498</v>
      </c>
      <c r="B1217" t="s">
        <v>4499</v>
      </c>
      <c r="D1217" t="s">
        <v>40</v>
      </c>
      <c r="E1217" t="s">
        <v>41</v>
      </c>
      <c r="H1217" t="s">
        <v>4500</v>
      </c>
      <c r="J1217" t="s">
        <v>63</v>
      </c>
      <c r="K1217" t="s">
        <v>64</v>
      </c>
      <c r="L1217">
        <v>5</v>
      </c>
      <c r="M1217" t="s">
        <v>4501</v>
      </c>
      <c r="N1217" t="s">
        <v>59</v>
      </c>
      <c r="O1217" t="s">
        <v>47</v>
      </c>
      <c r="P1217" t="s">
        <v>47</v>
      </c>
      <c r="Y1217" t="s">
        <v>4500</v>
      </c>
      <c r="AG1217" t="s">
        <v>48</v>
      </c>
    </row>
    <row r="1218" spans="1:33">
      <c r="A1218" t="s">
        <v>4502</v>
      </c>
      <c r="B1218" t="s">
        <v>4503</v>
      </c>
      <c r="D1218" t="s">
        <v>40</v>
      </c>
      <c r="E1218" t="s">
        <v>41</v>
      </c>
      <c r="H1218" t="s">
        <v>4504</v>
      </c>
      <c r="J1218" t="s">
        <v>123</v>
      </c>
      <c r="K1218" t="s">
        <v>124</v>
      </c>
      <c r="L1218">
        <v>5</v>
      </c>
      <c r="M1218" t="s">
        <v>4505</v>
      </c>
      <c r="N1218" t="s">
        <v>218</v>
      </c>
      <c r="O1218" t="s">
        <v>47</v>
      </c>
      <c r="P1218" t="s">
        <v>47</v>
      </c>
      <c r="Y1218" t="s">
        <v>4504</v>
      </c>
      <c r="AG1218" t="s">
        <v>48</v>
      </c>
    </row>
    <row r="1219" spans="1:33">
      <c r="A1219" t="s">
        <v>4506</v>
      </c>
      <c r="B1219" t="s">
        <v>4507</v>
      </c>
      <c r="D1219" t="s">
        <v>40</v>
      </c>
      <c r="E1219" t="s">
        <v>41</v>
      </c>
      <c r="J1219" t="s">
        <v>290</v>
      </c>
      <c r="K1219" t="s">
        <v>291</v>
      </c>
      <c r="L1219">
        <v>5</v>
      </c>
      <c r="M1219" t="s">
        <v>4508</v>
      </c>
      <c r="N1219" t="s">
        <v>59</v>
      </c>
      <c r="O1219" t="s">
        <v>47</v>
      </c>
      <c r="P1219" t="s">
        <v>47</v>
      </c>
      <c r="Y1219" t="s">
        <v>4509</v>
      </c>
      <c r="AG1219" t="s">
        <v>48</v>
      </c>
    </row>
    <row r="1220" spans="1:33">
      <c r="A1220" t="s">
        <v>4510</v>
      </c>
      <c r="B1220" t="s">
        <v>4511</v>
      </c>
      <c r="D1220" t="s">
        <v>40</v>
      </c>
      <c r="E1220" t="s">
        <v>41</v>
      </c>
      <c r="J1220" t="s">
        <v>290</v>
      </c>
      <c r="K1220" t="s">
        <v>291</v>
      </c>
      <c r="L1220">
        <v>5</v>
      </c>
      <c r="M1220" t="s">
        <v>4512</v>
      </c>
      <c r="N1220" t="s">
        <v>59</v>
      </c>
      <c r="O1220" t="s">
        <v>47</v>
      </c>
      <c r="P1220" t="s">
        <v>47</v>
      </c>
      <c r="Y1220" t="s">
        <v>4513</v>
      </c>
      <c r="AG1220" t="s">
        <v>48</v>
      </c>
    </row>
    <row r="1221" spans="1:33">
      <c r="A1221" t="s">
        <v>4514</v>
      </c>
      <c r="B1221" t="s">
        <v>4515</v>
      </c>
      <c r="D1221" t="s">
        <v>40</v>
      </c>
      <c r="E1221" t="s">
        <v>41</v>
      </c>
      <c r="J1221" t="s">
        <v>290</v>
      </c>
      <c r="K1221" t="s">
        <v>291</v>
      </c>
      <c r="L1221">
        <v>5</v>
      </c>
      <c r="M1221" t="s">
        <v>4516</v>
      </c>
      <c r="N1221" t="s">
        <v>59</v>
      </c>
      <c r="O1221" t="s">
        <v>47</v>
      </c>
      <c r="P1221" t="s">
        <v>47</v>
      </c>
      <c r="Y1221" t="s">
        <v>4517</v>
      </c>
      <c r="AG1221" t="s">
        <v>48</v>
      </c>
    </row>
    <row r="1222" spans="1:33">
      <c r="A1222" t="s">
        <v>4518</v>
      </c>
      <c r="B1222" t="s">
        <v>4519</v>
      </c>
      <c r="D1222" t="s">
        <v>40</v>
      </c>
      <c r="E1222" t="s">
        <v>41</v>
      </c>
      <c r="J1222" t="s">
        <v>290</v>
      </c>
      <c r="K1222" t="s">
        <v>291</v>
      </c>
      <c r="L1222">
        <v>5</v>
      </c>
      <c r="M1222" t="s">
        <v>4520</v>
      </c>
      <c r="N1222" t="s">
        <v>59</v>
      </c>
      <c r="O1222" t="s">
        <v>47</v>
      </c>
      <c r="P1222" t="s">
        <v>47</v>
      </c>
      <c r="Y1222" t="s">
        <v>4521</v>
      </c>
      <c r="AG1222" t="s">
        <v>48</v>
      </c>
    </row>
    <row r="1223" spans="1:33">
      <c r="A1223" t="s">
        <v>4522</v>
      </c>
      <c r="B1223" t="s">
        <v>4523</v>
      </c>
      <c r="D1223" t="s">
        <v>40</v>
      </c>
      <c r="E1223" t="s">
        <v>41</v>
      </c>
      <c r="J1223" t="s">
        <v>123</v>
      </c>
      <c r="K1223" t="s">
        <v>124</v>
      </c>
      <c r="L1223">
        <v>5</v>
      </c>
      <c r="M1223" t="s">
        <v>4524</v>
      </c>
      <c r="N1223" t="s">
        <v>218</v>
      </c>
      <c r="O1223" t="s">
        <v>47</v>
      </c>
      <c r="P1223" t="s">
        <v>47</v>
      </c>
      <c r="Y1223" t="s">
        <v>4525</v>
      </c>
      <c r="AG1223" t="s">
        <v>48</v>
      </c>
    </row>
    <row r="1224" spans="1:33">
      <c r="A1224" t="s">
        <v>4526</v>
      </c>
      <c r="B1224" t="s">
        <v>4527</v>
      </c>
      <c r="D1224" t="s">
        <v>40</v>
      </c>
      <c r="E1224" t="s">
        <v>41</v>
      </c>
      <c r="H1224" t="s">
        <v>4528</v>
      </c>
      <c r="J1224" t="s">
        <v>129</v>
      </c>
      <c r="K1224" t="s">
        <v>130</v>
      </c>
      <c r="L1224">
        <v>5</v>
      </c>
      <c r="M1224" t="s">
        <v>4529</v>
      </c>
      <c r="N1224" t="s">
        <v>46</v>
      </c>
      <c r="O1224" t="s">
        <v>47</v>
      </c>
      <c r="P1224" t="s">
        <v>47</v>
      </c>
      <c r="Y1224" t="s">
        <v>4528</v>
      </c>
      <c r="AG1224" t="s">
        <v>48</v>
      </c>
    </row>
    <row r="1225" spans="1:33">
      <c r="A1225" t="s">
        <v>4530</v>
      </c>
      <c r="B1225" t="s">
        <v>4531</v>
      </c>
      <c r="D1225" t="s">
        <v>40</v>
      </c>
      <c r="E1225" t="s">
        <v>41</v>
      </c>
      <c r="J1225" t="s">
        <v>123</v>
      </c>
      <c r="K1225" t="s">
        <v>124</v>
      </c>
      <c r="L1225">
        <v>5</v>
      </c>
      <c r="M1225" t="s">
        <v>4532</v>
      </c>
      <c r="N1225" t="s">
        <v>218</v>
      </c>
      <c r="O1225" t="s">
        <v>47</v>
      </c>
      <c r="P1225" t="s">
        <v>47</v>
      </c>
      <c r="Y1225" t="s">
        <v>4533</v>
      </c>
      <c r="AG1225" t="s">
        <v>48</v>
      </c>
    </row>
    <row r="1226" spans="1:33">
      <c r="A1226" t="s">
        <v>4534</v>
      </c>
      <c r="B1226" t="s">
        <v>4535</v>
      </c>
      <c r="D1226" t="s">
        <v>40</v>
      </c>
      <c r="E1226" t="s">
        <v>41</v>
      </c>
      <c r="J1226" t="s">
        <v>162</v>
      </c>
      <c r="K1226" t="s">
        <v>163</v>
      </c>
      <c r="L1226">
        <v>5</v>
      </c>
      <c r="M1226" t="s">
        <v>4532</v>
      </c>
      <c r="N1226" t="s">
        <v>59</v>
      </c>
      <c r="O1226" t="s">
        <v>47</v>
      </c>
      <c r="P1226" t="s">
        <v>47</v>
      </c>
      <c r="Y1226" t="s">
        <v>4536</v>
      </c>
      <c r="AG1226" t="s">
        <v>48</v>
      </c>
    </row>
    <row r="1227" spans="1:33">
      <c r="A1227" t="s">
        <v>4537</v>
      </c>
      <c r="B1227" t="s">
        <v>4538</v>
      </c>
      <c r="D1227" t="s">
        <v>40</v>
      </c>
      <c r="E1227" t="s">
        <v>41</v>
      </c>
      <c r="H1227" t="s">
        <v>4539</v>
      </c>
      <c r="J1227" t="s">
        <v>270</v>
      </c>
      <c r="K1227" t="s">
        <v>271</v>
      </c>
      <c r="L1227">
        <v>5</v>
      </c>
      <c r="M1227" t="s">
        <v>4532</v>
      </c>
      <c r="N1227" t="s">
        <v>59</v>
      </c>
      <c r="O1227" t="s">
        <v>47</v>
      </c>
      <c r="P1227" t="s">
        <v>47</v>
      </c>
      <c r="Y1227" t="s">
        <v>4539</v>
      </c>
      <c r="AG1227" t="s">
        <v>48</v>
      </c>
    </row>
    <row r="1228" spans="1:33">
      <c r="A1228" t="s">
        <v>4540</v>
      </c>
      <c r="B1228" t="s">
        <v>4541</v>
      </c>
      <c r="D1228" t="s">
        <v>40</v>
      </c>
      <c r="E1228" t="s">
        <v>41</v>
      </c>
      <c r="J1228" t="s">
        <v>290</v>
      </c>
      <c r="K1228" t="s">
        <v>291</v>
      </c>
      <c r="L1228">
        <v>5</v>
      </c>
      <c r="M1228" t="s">
        <v>4532</v>
      </c>
      <c r="N1228" t="s">
        <v>59</v>
      </c>
      <c r="O1228" t="s">
        <v>47</v>
      </c>
      <c r="P1228" t="s">
        <v>47</v>
      </c>
      <c r="Y1228" t="s">
        <v>4542</v>
      </c>
      <c r="AG1228" t="s">
        <v>48</v>
      </c>
    </row>
    <row r="1229" spans="1:33">
      <c r="A1229" t="s">
        <v>4543</v>
      </c>
      <c r="B1229" t="s">
        <v>4544</v>
      </c>
      <c r="D1229" t="s">
        <v>40</v>
      </c>
      <c r="E1229" t="s">
        <v>41</v>
      </c>
      <c r="J1229" t="s">
        <v>290</v>
      </c>
      <c r="K1229" t="s">
        <v>291</v>
      </c>
      <c r="L1229">
        <v>5</v>
      </c>
      <c r="M1229" t="s">
        <v>4532</v>
      </c>
      <c r="N1229" t="s">
        <v>59</v>
      </c>
      <c r="O1229" t="s">
        <v>47</v>
      </c>
      <c r="P1229" t="s">
        <v>47</v>
      </c>
      <c r="Y1229" t="s">
        <v>4545</v>
      </c>
      <c r="AG1229" t="s">
        <v>48</v>
      </c>
    </row>
    <row r="1230" spans="1:33">
      <c r="A1230" t="s">
        <v>4546</v>
      </c>
      <c r="B1230" t="s">
        <v>4547</v>
      </c>
      <c r="D1230" t="s">
        <v>40</v>
      </c>
      <c r="E1230" t="s">
        <v>41</v>
      </c>
      <c r="J1230" t="s">
        <v>108</v>
      </c>
      <c r="K1230" t="s">
        <v>109</v>
      </c>
      <c r="L1230">
        <v>5</v>
      </c>
      <c r="M1230" t="s">
        <v>4548</v>
      </c>
      <c r="N1230" t="s">
        <v>59</v>
      </c>
      <c r="O1230" t="s">
        <v>47</v>
      </c>
      <c r="P1230" t="s">
        <v>47</v>
      </c>
      <c r="Y1230" t="s">
        <v>4549</v>
      </c>
      <c r="AG1230" t="s">
        <v>48</v>
      </c>
    </row>
    <row r="1231" spans="1:33">
      <c r="A1231" t="s">
        <v>4550</v>
      </c>
      <c r="B1231" t="s">
        <v>4551</v>
      </c>
      <c r="D1231" t="s">
        <v>40</v>
      </c>
      <c r="E1231" t="s">
        <v>41</v>
      </c>
      <c r="J1231" t="s">
        <v>290</v>
      </c>
      <c r="K1231" t="s">
        <v>291</v>
      </c>
      <c r="L1231">
        <v>5</v>
      </c>
      <c r="M1231" t="s">
        <v>4548</v>
      </c>
      <c r="N1231" t="s">
        <v>59</v>
      </c>
      <c r="O1231" t="s">
        <v>47</v>
      </c>
      <c r="P1231" t="s">
        <v>47</v>
      </c>
      <c r="Y1231" t="s">
        <v>4552</v>
      </c>
      <c r="AG1231" t="s">
        <v>48</v>
      </c>
    </row>
    <row r="1232" spans="1:33">
      <c r="A1232" t="s">
        <v>4553</v>
      </c>
      <c r="B1232" t="s">
        <v>4554</v>
      </c>
      <c r="D1232" t="s">
        <v>40</v>
      </c>
      <c r="E1232" t="s">
        <v>41</v>
      </c>
      <c r="J1232" t="s">
        <v>1418</v>
      </c>
      <c r="K1232" t="s">
        <v>1419</v>
      </c>
      <c r="L1232">
        <v>5</v>
      </c>
      <c r="M1232" t="s">
        <v>4548</v>
      </c>
      <c r="N1232" t="s">
        <v>192</v>
      </c>
      <c r="O1232" t="s">
        <v>47</v>
      </c>
      <c r="P1232" t="s">
        <v>47</v>
      </c>
      <c r="Y1232" t="s">
        <v>4555</v>
      </c>
      <c r="AG1232" t="s">
        <v>48</v>
      </c>
    </row>
    <row r="1233" spans="1:33">
      <c r="A1233" t="s">
        <v>4556</v>
      </c>
      <c r="B1233" t="s">
        <v>4557</v>
      </c>
      <c r="D1233" t="s">
        <v>40</v>
      </c>
      <c r="E1233" t="s">
        <v>41</v>
      </c>
      <c r="H1233" t="s">
        <v>4558</v>
      </c>
      <c r="J1233" t="s">
        <v>129</v>
      </c>
      <c r="K1233" t="s">
        <v>130</v>
      </c>
      <c r="L1233">
        <v>6</v>
      </c>
      <c r="M1233" t="s">
        <v>4559</v>
      </c>
      <c r="N1233" t="s">
        <v>192</v>
      </c>
      <c r="O1233" t="s">
        <v>47</v>
      </c>
      <c r="P1233" t="s">
        <v>47</v>
      </c>
      <c r="Y1233" t="s">
        <v>4558</v>
      </c>
      <c r="AG1233" t="s">
        <v>48</v>
      </c>
    </row>
    <row r="1234" spans="1:33">
      <c r="A1234" t="s">
        <v>4560</v>
      </c>
      <c r="B1234" t="s">
        <v>4561</v>
      </c>
      <c r="D1234" t="s">
        <v>40</v>
      </c>
      <c r="E1234" t="s">
        <v>41</v>
      </c>
      <c r="H1234" t="s">
        <v>4562</v>
      </c>
      <c r="J1234" t="s">
        <v>162</v>
      </c>
      <c r="K1234" t="s">
        <v>163</v>
      </c>
      <c r="L1234">
        <v>5</v>
      </c>
      <c r="M1234" t="s">
        <v>4563</v>
      </c>
      <c r="N1234" t="s">
        <v>59</v>
      </c>
      <c r="O1234" t="s">
        <v>47</v>
      </c>
      <c r="P1234" t="s">
        <v>47</v>
      </c>
      <c r="Y1234" t="s">
        <v>4562</v>
      </c>
      <c r="AG1234" t="s">
        <v>48</v>
      </c>
    </row>
    <row r="1235" spans="1:33">
      <c r="A1235" t="s">
        <v>4564</v>
      </c>
      <c r="B1235" t="s">
        <v>4565</v>
      </c>
      <c r="D1235" t="s">
        <v>40</v>
      </c>
      <c r="E1235" t="s">
        <v>41</v>
      </c>
      <c r="J1235" t="s">
        <v>290</v>
      </c>
      <c r="K1235" t="s">
        <v>291</v>
      </c>
      <c r="L1235">
        <v>5</v>
      </c>
      <c r="M1235" t="s">
        <v>4566</v>
      </c>
      <c r="N1235" t="s">
        <v>59</v>
      </c>
      <c r="O1235" t="s">
        <v>47</v>
      </c>
      <c r="P1235" t="s">
        <v>47</v>
      </c>
      <c r="Y1235" t="s">
        <v>4567</v>
      </c>
      <c r="AG1235" t="s">
        <v>48</v>
      </c>
    </row>
    <row r="1236" spans="1:33">
      <c r="A1236" t="s">
        <v>4568</v>
      </c>
      <c r="B1236" t="s">
        <v>4569</v>
      </c>
      <c r="D1236" t="s">
        <v>40</v>
      </c>
      <c r="E1236" t="s">
        <v>41</v>
      </c>
      <c r="J1236" t="s">
        <v>129</v>
      </c>
      <c r="K1236" t="s">
        <v>130</v>
      </c>
      <c r="L1236">
        <v>5</v>
      </c>
      <c r="M1236" t="s">
        <v>4566</v>
      </c>
      <c r="N1236" t="s">
        <v>46</v>
      </c>
      <c r="O1236" t="s">
        <v>47</v>
      </c>
      <c r="P1236" t="s">
        <v>47</v>
      </c>
      <c r="Y1236" t="s">
        <v>4570</v>
      </c>
      <c r="AG1236" t="s">
        <v>48</v>
      </c>
    </row>
    <row r="1237" spans="1:33">
      <c r="A1237" t="s">
        <v>4571</v>
      </c>
      <c r="B1237" t="s">
        <v>4572</v>
      </c>
      <c r="D1237" t="s">
        <v>40</v>
      </c>
      <c r="E1237" t="s">
        <v>41</v>
      </c>
      <c r="J1237" t="s">
        <v>108</v>
      </c>
      <c r="K1237" t="s">
        <v>109</v>
      </c>
      <c r="L1237">
        <v>5</v>
      </c>
      <c r="M1237" t="s">
        <v>4566</v>
      </c>
      <c r="N1237" t="s">
        <v>59</v>
      </c>
      <c r="O1237" t="s">
        <v>47</v>
      </c>
      <c r="P1237" t="s">
        <v>47</v>
      </c>
      <c r="Y1237" t="s">
        <v>4573</v>
      </c>
      <c r="AG1237" t="s">
        <v>48</v>
      </c>
    </row>
    <row r="1238" spans="1:33">
      <c r="A1238" t="s">
        <v>4574</v>
      </c>
      <c r="B1238" t="s">
        <v>4575</v>
      </c>
      <c r="D1238" t="s">
        <v>40</v>
      </c>
      <c r="E1238" t="s">
        <v>41</v>
      </c>
      <c r="J1238" t="s">
        <v>270</v>
      </c>
      <c r="K1238" t="s">
        <v>271</v>
      </c>
      <c r="L1238">
        <v>5</v>
      </c>
      <c r="M1238" t="s">
        <v>4576</v>
      </c>
      <c r="N1238" t="s">
        <v>59</v>
      </c>
      <c r="O1238" t="s">
        <v>47</v>
      </c>
      <c r="P1238" t="s">
        <v>4577</v>
      </c>
      <c r="Y1238" t="s">
        <v>4578</v>
      </c>
      <c r="AG1238" t="s">
        <v>48</v>
      </c>
    </row>
    <row r="1239" spans="1:33">
      <c r="A1239" t="s">
        <v>4579</v>
      </c>
      <c r="B1239" t="s">
        <v>4580</v>
      </c>
      <c r="D1239" t="s">
        <v>40</v>
      </c>
      <c r="E1239" t="s">
        <v>41</v>
      </c>
      <c r="J1239" t="s">
        <v>123</v>
      </c>
      <c r="K1239" t="s">
        <v>124</v>
      </c>
      <c r="L1239">
        <v>5</v>
      </c>
      <c r="M1239" t="s">
        <v>4576</v>
      </c>
      <c r="N1239" t="s">
        <v>218</v>
      </c>
      <c r="O1239" t="s">
        <v>47</v>
      </c>
      <c r="P1239" t="s">
        <v>47</v>
      </c>
      <c r="Y1239" t="s">
        <v>4581</v>
      </c>
      <c r="AG1239" t="s">
        <v>48</v>
      </c>
    </row>
    <row r="1240" spans="1:33">
      <c r="A1240" t="s">
        <v>4582</v>
      </c>
      <c r="B1240" t="s">
        <v>4583</v>
      </c>
      <c r="D1240" t="s">
        <v>40</v>
      </c>
      <c r="E1240" t="s">
        <v>41</v>
      </c>
      <c r="H1240" t="s">
        <v>4584</v>
      </c>
      <c r="J1240" t="s">
        <v>129</v>
      </c>
      <c r="K1240" t="s">
        <v>130</v>
      </c>
      <c r="L1240">
        <v>5</v>
      </c>
      <c r="M1240" t="s">
        <v>4585</v>
      </c>
      <c r="N1240" t="s">
        <v>192</v>
      </c>
      <c r="O1240" t="s">
        <v>47</v>
      </c>
      <c r="P1240" t="s">
        <v>47</v>
      </c>
      <c r="Y1240" t="s">
        <v>4584</v>
      </c>
      <c r="AG1240" t="s">
        <v>48</v>
      </c>
    </row>
    <row r="1241" spans="1:33">
      <c r="A1241" t="s">
        <v>4586</v>
      </c>
      <c r="B1241" t="s">
        <v>4587</v>
      </c>
      <c r="D1241" t="s">
        <v>40</v>
      </c>
      <c r="E1241" t="s">
        <v>41</v>
      </c>
      <c r="J1241" t="s">
        <v>270</v>
      </c>
      <c r="K1241" t="s">
        <v>271</v>
      </c>
      <c r="L1241">
        <v>5</v>
      </c>
      <c r="M1241" t="s">
        <v>4588</v>
      </c>
      <c r="N1241" t="s">
        <v>59</v>
      </c>
      <c r="O1241" t="s">
        <v>47</v>
      </c>
      <c r="P1241" t="s">
        <v>47</v>
      </c>
      <c r="Y1241" t="s">
        <v>4589</v>
      </c>
      <c r="AG1241" t="s">
        <v>48</v>
      </c>
    </row>
    <row r="1242" spans="1:33">
      <c r="A1242" t="s">
        <v>117</v>
      </c>
      <c r="B1242" t="s">
        <v>4590</v>
      </c>
      <c r="D1242" t="s">
        <v>40</v>
      </c>
      <c r="E1242" t="s">
        <v>41</v>
      </c>
      <c r="H1242" t="s">
        <v>4591</v>
      </c>
      <c r="J1242" t="s">
        <v>129</v>
      </c>
      <c r="K1242" t="s">
        <v>130</v>
      </c>
      <c r="L1242">
        <v>5</v>
      </c>
      <c r="M1242" t="s">
        <v>4592</v>
      </c>
      <c r="N1242" t="s">
        <v>192</v>
      </c>
      <c r="O1242" t="s">
        <v>47</v>
      </c>
      <c r="P1242" t="s">
        <v>47</v>
      </c>
      <c r="Y1242" t="s">
        <v>4591</v>
      </c>
      <c r="AG1242" t="s">
        <v>48</v>
      </c>
    </row>
    <row r="1243" spans="1:33">
      <c r="A1243" t="s">
        <v>4593</v>
      </c>
      <c r="B1243" t="s">
        <v>4594</v>
      </c>
      <c r="D1243" t="s">
        <v>40</v>
      </c>
      <c r="E1243" t="s">
        <v>41</v>
      </c>
      <c r="H1243" t="s">
        <v>4595</v>
      </c>
      <c r="J1243" t="s">
        <v>270</v>
      </c>
      <c r="K1243" t="s">
        <v>271</v>
      </c>
      <c r="L1243">
        <v>5</v>
      </c>
      <c r="M1243" t="s">
        <v>4596</v>
      </c>
      <c r="N1243" t="s">
        <v>59</v>
      </c>
      <c r="O1243" t="s">
        <v>47</v>
      </c>
      <c r="P1243" t="s">
        <v>47</v>
      </c>
      <c r="Y1243" t="s">
        <v>4595</v>
      </c>
      <c r="AG1243" t="s">
        <v>48</v>
      </c>
    </row>
    <row r="1244" spans="1:33">
      <c r="A1244" t="s">
        <v>4597</v>
      </c>
      <c r="B1244" t="s">
        <v>4598</v>
      </c>
      <c r="D1244" t="s">
        <v>40</v>
      </c>
      <c r="E1244" t="s">
        <v>41</v>
      </c>
      <c r="J1244" t="s">
        <v>290</v>
      </c>
      <c r="K1244" t="s">
        <v>291</v>
      </c>
      <c r="L1244">
        <v>5</v>
      </c>
      <c r="M1244" t="s">
        <v>4599</v>
      </c>
      <c r="N1244" t="s">
        <v>59</v>
      </c>
      <c r="O1244" t="s">
        <v>47</v>
      </c>
      <c r="P1244" t="s">
        <v>47</v>
      </c>
      <c r="Y1244" t="s">
        <v>4600</v>
      </c>
      <c r="AG1244" t="s">
        <v>48</v>
      </c>
    </row>
    <row r="1245" spans="1:33">
      <c r="A1245" t="s">
        <v>4601</v>
      </c>
      <c r="B1245" t="s">
        <v>4602</v>
      </c>
      <c r="D1245" t="s">
        <v>40</v>
      </c>
      <c r="E1245" t="s">
        <v>41</v>
      </c>
      <c r="J1245" t="s">
        <v>108</v>
      </c>
      <c r="K1245" t="s">
        <v>109</v>
      </c>
      <c r="L1245">
        <v>5</v>
      </c>
      <c r="M1245" t="s">
        <v>4603</v>
      </c>
      <c r="N1245" t="s">
        <v>59</v>
      </c>
      <c r="O1245" t="s">
        <v>47</v>
      </c>
      <c r="P1245" t="s">
        <v>47</v>
      </c>
      <c r="Y1245" t="s">
        <v>4604</v>
      </c>
      <c r="AG1245" t="s">
        <v>48</v>
      </c>
    </row>
    <row r="1246" spans="1:33">
      <c r="A1246" t="s">
        <v>4605</v>
      </c>
      <c r="B1246" t="s">
        <v>4606</v>
      </c>
      <c r="D1246" t="s">
        <v>40</v>
      </c>
      <c r="E1246" t="s">
        <v>41</v>
      </c>
      <c r="J1246" t="s">
        <v>290</v>
      </c>
      <c r="K1246" t="s">
        <v>291</v>
      </c>
      <c r="L1246">
        <v>5</v>
      </c>
      <c r="M1246" t="s">
        <v>4607</v>
      </c>
      <c r="N1246" t="s">
        <v>59</v>
      </c>
      <c r="O1246" t="s">
        <v>47</v>
      </c>
      <c r="P1246" t="s">
        <v>47</v>
      </c>
      <c r="Y1246" t="s">
        <v>4608</v>
      </c>
      <c r="AG1246" t="s">
        <v>48</v>
      </c>
    </row>
    <row r="1247" spans="1:33">
      <c r="A1247" t="s">
        <v>4609</v>
      </c>
      <c r="B1247" t="s">
        <v>4610</v>
      </c>
      <c r="D1247" t="s">
        <v>40</v>
      </c>
      <c r="E1247" t="s">
        <v>41</v>
      </c>
      <c r="J1247" t="s">
        <v>108</v>
      </c>
      <c r="K1247" t="s">
        <v>109</v>
      </c>
      <c r="L1247">
        <v>5</v>
      </c>
      <c r="M1247" t="s">
        <v>4611</v>
      </c>
      <c r="N1247" t="s">
        <v>59</v>
      </c>
      <c r="O1247" t="s">
        <v>47</v>
      </c>
      <c r="P1247" t="s">
        <v>47</v>
      </c>
      <c r="Y1247" t="s">
        <v>4612</v>
      </c>
      <c r="AG1247" t="s">
        <v>48</v>
      </c>
    </row>
    <row r="1248" spans="1:33">
      <c r="A1248" t="s">
        <v>4613</v>
      </c>
      <c r="B1248" t="s">
        <v>4614</v>
      </c>
      <c r="D1248" t="s">
        <v>40</v>
      </c>
      <c r="E1248" t="s">
        <v>41</v>
      </c>
      <c r="J1248" t="s">
        <v>129</v>
      </c>
      <c r="K1248" t="s">
        <v>130</v>
      </c>
      <c r="L1248">
        <v>5</v>
      </c>
      <c r="M1248" t="s">
        <v>4611</v>
      </c>
      <c r="N1248" t="s">
        <v>192</v>
      </c>
      <c r="O1248" t="s">
        <v>47</v>
      </c>
      <c r="P1248" t="s">
        <v>47</v>
      </c>
      <c r="Y1248" t="s">
        <v>4615</v>
      </c>
      <c r="AG1248" t="s">
        <v>48</v>
      </c>
    </row>
    <row r="1249" spans="1:33">
      <c r="A1249" t="s">
        <v>4616</v>
      </c>
      <c r="B1249" t="s">
        <v>4617</v>
      </c>
      <c r="D1249" t="s">
        <v>40</v>
      </c>
      <c r="E1249" t="s">
        <v>41</v>
      </c>
      <c r="J1249" t="s">
        <v>162</v>
      </c>
      <c r="K1249" t="s">
        <v>163</v>
      </c>
      <c r="L1249">
        <v>5</v>
      </c>
      <c r="M1249" t="s">
        <v>4618</v>
      </c>
      <c r="N1249" t="s">
        <v>59</v>
      </c>
      <c r="O1249" t="s">
        <v>47</v>
      </c>
      <c r="P1249" t="s">
        <v>47</v>
      </c>
      <c r="Y1249" t="s">
        <v>4619</v>
      </c>
      <c r="AG1249" t="s">
        <v>48</v>
      </c>
    </row>
    <row r="1250" spans="1:33">
      <c r="A1250" t="s">
        <v>4620</v>
      </c>
      <c r="B1250" t="s">
        <v>4621</v>
      </c>
      <c r="D1250" t="s">
        <v>40</v>
      </c>
      <c r="E1250" t="s">
        <v>41</v>
      </c>
      <c r="J1250" t="s">
        <v>123</v>
      </c>
      <c r="K1250" t="s">
        <v>124</v>
      </c>
      <c r="L1250">
        <v>5</v>
      </c>
      <c r="M1250" t="s">
        <v>4622</v>
      </c>
      <c r="N1250" t="s">
        <v>218</v>
      </c>
      <c r="O1250" t="s">
        <v>47</v>
      </c>
      <c r="P1250" t="s">
        <v>47</v>
      </c>
      <c r="Y1250" t="s">
        <v>4623</v>
      </c>
      <c r="AG1250" t="s">
        <v>48</v>
      </c>
    </row>
    <row r="1251" spans="1:33">
      <c r="A1251" t="s">
        <v>4624</v>
      </c>
      <c r="B1251" t="s">
        <v>4625</v>
      </c>
      <c r="D1251" t="s">
        <v>40</v>
      </c>
      <c r="E1251" t="s">
        <v>41</v>
      </c>
      <c r="J1251" t="s">
        <v>162</v>
      </c>
      <c r="K1251" t="s">
        <v>163</v>
      </c>
      <c r="L1251">
        <v>5</v>
      </c>
      <c r="M1251" t="s">
        <v>4622</v>
      </c>
      <c r="N1251" t="s">
        <v>59</v>
      </c>
      <c r="O1251" t="s">
        <v>47</v>
      </c>
      <c r="P1251" t="s">
        <v>47</v>
      </c>
      <c r="Y1251" t="s">
        <v>4626</v>
      </c>
      <c r="AG1251" t="s">
        <v>48</v>
      </c>
    </row>
    <row r="1252" spans="1:33">
      <c r="A1252" t="s">
        <v>4627</v>
      </c>
      <c r="B1252" t="s">
        <v>4628</v>
      </c>
      <c r="D1252" t="s">
        <v>40</v>
      </c>
      <c r="E1252" t="s">
        <v>41</v>
      </c>
      <c r="J1252" t="s">
        <v>290</v>
      </c>
      <c r="K1252" t="s">
        <v>291</v>
      </c>
      <c r="L1252">
        <v>5</v>
      </c>
      <c r="M1252" t="s">
        <v>4622</v>
      </c>
      <c r="N1252" t="s">
        <v>59</v>
      </c>
      <c r="O1252" t="s">
        <v>47</v>
      </c>
      <c r="P1252" t="s">
        <v>47</v>
      </c>
      <c r="Y1252" t="s">
        <v>4629</v>
      </c>
      <c r="AG1252" t="s">
        <v>48</v>
      </c>
    </row>
    <row r="1253" spans="1:33">
      <c r="A1253" t="s">
        <v>4630</v>
      </c>
      <c r="B1253" t="s">
        <v>4631</v>
      </c>
      <c r="D1253" t="s">
        <v>40</v>
      </c>
      <c r="E1253" t="s">
        <v>41</v>
      </c>
      <c r="J1253" t="s">
        <v>114</v>
      </c>
      <c r="K1253" t="s">
        <v>115</v>
      </c>
      <c r="L1253">
        <v>5</v>
      </c>
      <c r="M1253" t="s">
        <v>4632</v>
      </c>
      <c r="N1253" t="s">
        <v>59</v>
      </c>
      <c r="O1253" t="s">
        <v>47</v>
      </c>
      <c r="P1253" t="s">
        <v>47</v>
      </c>
      <c r="Y1253" t="s">
        <v>4633</v>
      </c>
      <c r="AG1253" t="s">
        <v>48</v>
      </c>
    </row>
    <row r="1254" spans="1:33">
      <c r="A1254" t="s">
        <v>4634</v>
      </c>
      <c r="B1254" t="s">
        <v>4635</v>
      </c>
      <c r="D1254" t="s">
        <v>40</v>
      </c>
      <c r="E1254" t="s">
        <v>41</v>
      </c>
      <c r="J1254" t="s">
        <v>290</v>
      </c>
      <c r="K1254" t="s">
        <v>291</v>
      </c>
      <c r="L1254">
        <v>5</v>
      </c>
      <c r="M1254" t="s">
        <v>4636</v>
      </c>
      <c r="N1254" t="s">
        <v>59</v>
      </c>
      <c r="O1254" t="s">
        <v>47</v>
      </c>
      <c r="P1254" t="s">
        <v>47</v>
      </c>
      <c r="Y1254" t="s">
        <v>4637</v>
      </c>
      <c r="AG1254" t="s">
        <v>48</v>
      </c>
    </row>
    <row r="1255" spans="1:33">
      <c r="A1255" t="s">
        <v>4638</v>
      </c>
      <c r="B1255" t="s">
        <v>4639</v>
      </c>
      <c r="D1255" t="s">
        <v>40</v>
      </c>
      <c r="E1255" t="s">
        <v>41</v>
      </c>
      <c r="J1255" t="s">
        <v>290</v>
      </c>
      <c r="K1255" t="s">
        <v>291</v>
      </c>
      <c r="L1255">
        <v>5</v>
      </c>
      <c r="M1255" t="s">
        <v>4640</v>
      </c>
      <c r="N1255" t="s">
        <v>59</v>
      </c>
      <c r="O1255" t="s">
        <v>47</v>
      </c>
      <c r="P1255" t="s">
        <v>47</v>
      </c>
      <c r="Y1255" t="s">
        <v>4641</v>
      </c>
      <c r="AG1255" t="s">
        <v>48</v>
      </c>
    </row>
    <row r="1256" spans="1:33">
      <c r="A1256" t="s">
        <v>4642</v>
      </c>
      <c r="B1256" t="s">
        <v>4643</v>
      </c>
      <c r="D1256" t="s">
        <v>40</v>
      </c>
      <c r="E1256" t="s">
        <v>41</v>
      </c>
      <c r="J1256" t="s">
        <v>290</v>
      </c>
      <c r="K1256" t="s">
        <v>291</v>
      </c>
      <c r="L1256">
        <v>5</v>
      </c>
      <c r="M1256" t="s">
        <v>4644</v>
      </c>
      <c r="N1256" t="s">
        <v>59</v>
      </c>
      <c r="O1256" t="s">
        <v>47</v>
      </c>
      <c r="P1256" t="s">
        <v>47</v>
      </c>
      <c r="Y1256" t="s">
        <v>4645</v>
      </c>
      <c r="AG1256" t="s">
        <v>48</v>
      </c>
    </row>
    <row r="1257" spans="1:33">
      <c r="A1257" t="s">
        <v>4646</v>
      </c>
      <c r="B1257" t="s">
        <v>4647</v>
      </c>
      <c r="D1257" t="s">
        <v>40</v>
      </c>
      <c r="E1257" t="s">
        <v>41</v>
      </c>
      <c r="J1257" t="s">
        <v>162</v>
      </c>
      <c r="K1257" t="s">
        <v>163</v>
      </c>
      <c r="L1257">
        <v>5</v>
      </c>
      <c r="M1257" t="s">
        <v>4648</v>
      </c>
      <c r="N1257" t="s">
        <v>59</v>
      </c>
      <c r="O1257" t="s">
        <v>47</v>
      </c>
      <c r="P1257" t="s">
        <v>47</v>
      </c>
      <c r="Y1257" t="s">
        <v>4649</v>
      </c>
      <c r="AG1257" t="s">
        <v>48</v>
      </c>
    </row>
    <row r="1258" spans="1:33">
      <c r="A1258" t="s">
        <v>4650</v>
      </c>
      <c r="B1258" t="s">
        <v>4651</v>
      </c>
      <c r="D1258" t="s">
        <v>40</v>
      </c>
      <c r="E1258" t="s">
        <v>41</v>
      </c>
      <c r="J1258" t="s">
        <v>114</v>
      </c>
      <c r="K1258" t="s">
        <v>115</v>
      </c>
      <c r="L1258">
        <v>5</v>
      </c>
      <c r="M1258" t="s">
        <v>4652</v>
      </c>
      <c r="N1258" t="s">
        <v>59</v>
      </c>
      <c r="O1258" t="s">
        <v>47</v>
      </c>
      <c r="P1258" t="s">
        <v>47</v>
      </c>
      <c r="Y1258" t="s">
        <v>4653</v>
      </c>
      <c r="AG1258" t="s">
        <v>48</v>
      </c>
    </row>
    <row r="1259" spans="1:33">
      <c r="A1259" t="s">
        <v>4654</v>
      </c>
      <c r="B1259" t="s">
        <v>4655</v>
      </c>
      <c r="D1259" t="s">
        <v>40</v>
      </c>
      <c r="E1259" t="s">
        <v>41</v>
      </c>
      <c r="J1259" t="s">
        <v>290</v>
      </c>
      <c r="K1259" t="s">
        <v>291</v>
      </c>
      <c r="L1259">
        <v>5</v>
      </c>
      <c r="M1259" t="s">
        <v>4656</v>
      </c>
      <c r="N1259" t="s">
        <v>59</v>
      </c>
      <c r="O1259" t="s">
        <v>47</v>
      </c>
      <c r="P1259" t="s">
        <v>47</v>
      </c>
      <c r="Y1259" t="s">
        <v>4657</v>
      </c>
      <c r="AG1259" t="s">
        <v>48</v>
      </c>
    </row>
    <row r="1260" spans="1:33">
      <c r="A1260" t="s">
        <v>4658</v>
      </c>
      <c r="B1260" t="s">
        <v>4659</v>
      </c>
      <c r="D1260" t="s">
        <v>40</v>
      </c>
      <c r="E1260" t="s">
        <v>41</v>
      </c>
      <c r="J1260" t="s">
        <v>162</v>
      </c>
      <c r="K1260" t="s">
        <v>163</v>
      </c>
      <c r="L1260">
        <v>5</v>
      </c>
      <c r="M1260" t="s">
        <v>4656</v>
      </c>
      <c r="N1260" t="s">
        <v>59</v>
      </c>
      <c r="O1260" t="s">
        <v>47</v>
      </c>
      <c r="P1260" t="s">
        <v>47</v>
      </c>
      <c r="Y1260" t="s">
        <v>4660</v>
      </c>
      <c r="AG1260" t="s">
        <v>48</v>
      </c>
    </row>
    <row r="1261" spans="1:33">
      <c r="A1261" t="s">
        <v>4661</v>
      </c>
      <c r="B1261" t="s">
        <v>4662</v>
      </c>
      <c r="D1261" t="s">
        <v>40</v>
      </c>
      <c r="E1261" t="s">
        <v>41</v>
      </c>
      <c r="J1261" t="s">
        <v>123</v>
      </c>
      <c r="K1261" t="s">
        <v>124</v>
      </c>
      <c r="L1261">
        <v>5</v>
      </c>
      <c r="M1261" t="s">
        <v>4656</v>
      </c>
      <c r="N1261" t="s">
        <v>218</v>
      </c>
      <c r="O1261" t="s">
        <v>47</v>
      </c>
      <c r="P1261" t="s">
        <v>47</v>
      </c>
      <c r="Y1261" t="s">
        <v>4663</v>
      </c>
      <c r="AG1261" t="s">
        <v>48</v>
      </c>
    </row>
    <row r="1262" spans="1:33">
      <c r="A1262" t="s">
        <v>4664</v>
      </c>
      <c r="B1262" t="s">
        <v>4665</v>
      </c>
      <c r="D1262" t="s">
        <v>40</v>
      </c>
      <c r="E1262" t="s">
        <v>41</v>
      </c>
      <c r="J1262" t="s">
        <v>290</v>
      </c>
      <c r="K1262" t="s">
        <v>291</v>
      </c>
      <c r="L1262">
        <v>5</v>
      </c>
      <c r="M1262" t="s">
        <v>4656</v>
      </c>
      <c r="N1262" t="s">
        <v>59</v>
      </c>
      <c r="O1262" t="s">
        <v>47</v>
      </c>
      <c r="P1262" t="s">
        <v>47</v>
      </c>
      <c r="Y1262" t="s">
        <v>4666</v>
      </c>
      <c r="AG1262" t="s">
        <v>48</v>
      </c>
    </row>
    <row r="1263" spans="1:33">
      <c r="A1263" t="s">
        <v>4667</v>
      </c>
      <c r="B1263" t="s">
        <v>4668</v>
      </c>
      <c r="D1263" t="s">
        <v>40</v>
      </c>
      <c r="E1263" t="s">
        <v>41</v>
      </c>
      <c r="J1263" t="s">
        <v>290</v>
      </c>
      <c r="K1263" t="s">
        <v>291</v>
      </c>
      <c r="L1263">
        <v>5</v>
      </c>
      <c r="M1263" t="s">
        <v>4669</v>
      </c>
      <c r="N1263" t="s">
        <v>59</v>
      </c>
      <c r="O1263" t="s">
        <v>47</v>
      </c>
      <c r="P1263" t="s">
        <v>47</v>
      </c>
      <c r="Y1263" t="s">
        <v>4670</v>
      </c>
      <c r="AG1263" t="s">
        <v>48</v>
      </c>
    </row>
    <row r="1264" spans="1:33">
      <c r="A1264" t="s">
        <v>4671</v>
      </c>
      <c r="B1264" t="s">
        <v>4672</v>
      </c>
      <c r="D1264" t="s">
        <v>40</v>
      </c>
      <c r="E1264" t="s">
        <v>41</v>
      </c>
      <c r="J1264" t="s">
        <v>270</v>
      </c>
      <c r="K1264" t="s">
        <v>271</v>
      </c>
      <c r="L1264">
        <v>5</v>
      </c>
      <c r="M1264" t="s">
        <v>4669</v>
      </c>
      <c r="N1264" t="s">
        <v>59</v>
      </c>
      <c r="O1264" t="s">
        <v>47</v>
      </c>
      <c r="P1264" t="s">
        <v>47</v>
      </c>
      <c r="Y1264" t="s">
        <v>4673</v>
      </c>
      <c r="AG1264" t="s">
        <v>48</v>
      </c>
    </row>
    <row r="1265" spans="1:33">
      <c r="A1265" t="s">
        <v>4674</v>
      </c>
      <c r="B1265" t="s">
        <v>4675</v>
      </c>
      <c r="D1265" t="s">
        <v>40</v>
      </c>
      <c r="E1265" t="s">
        <v>41</v>
      </c>
      <c r="J1265" t="s">
        <v>270</v>
      </c>
      <c r="K1265" t="s">
        <v>271</v>
      </c>
      <c r="L1265">
        <v>5</v>
      </c>
      <c r="M1265" t="s">
        <v>4669</v>
      </c>
      <c r="N1265" t="s">
        <v>59</v>
      </c>
      <c r="O1265" t="s">
        <v>47</v>
      </c>
      <c r="P1265" t="s">
        <v>47</v>
      </c>
      <c r="Y1265" t="s">
        <v>4676</v>
      </c>
      <c r="AG1265" t="s">
        <v>48</v>
      </c>
    </row>
    <row r="1266" spans="1:33">
      <c r="A1266" t="s">
        <v>117</v>
      </c>
      <c r="B1266" t="s">
        <v>4677</v>
      </c>
      <c r="D1266" t="s">
        <v>40</v>
      </c>
      <c r="E1266" t="s">
        <v>41</v>
      </c>
      <c r="J1266" t="s">
        <v>290</v>
      </c>
      <c r="K1266" t="s">
        <v>291</v>
      </c>
      <c r="L1266">
        <v>5</v>
      </c>
      <c r="M1266" t="s">
        <v>4678</v>
      </c>
      <c r="N1266" t="s">
        <v>59</v>
      </c>
      <c r="O1266" t="s">
        <v>47</v>
      </c>
      <c r="P1266" t="s">
        <v>47</v>
      </c>
      <c r="Y1266" t="s">
        <v>4679</v>
      </c>
      <c r="AG1266" t="s">
        <v>48</v>
      </c>
    </row>
    <row r="1267" spans="1:33">
      <c r="A1267" t="s">
        <v>117</v>
      </c>
      <c r="B1267" t="s">
        <v>4680</v>
      </c>
      <c r="D1267" t="s">
        <v>40</v>
      </c>
      <c r="E1267" t="s">
        <v>41</v>
      </c>
      <c r="H1267" t="s">
        <v>4681</v>
      </c>
      <c r="J1267" t="s">
        <v>114</v>
      </c>
      <c r="K1267" t="s">
        <v>115</v>
      </c>
      <c r="L1267">
        <v>5</v>
      </c>
      <c r="M1267" t="s">
        <v>4678</v>
      </c>
      <c r="N1267" t="s">
        <v>59</v>
      </c>
      <c r="O1267" t="s">
        <v>47</v>
      </c>
      <c r="P1267" t="s">
        <v>47</v>
      </c>
      <c r="Y1267" t="s">
        <v>4681</v>
      </c>
      <c r="AG1267" t="s">
        <v>48</v>
      </c>
    </row>
    <row r="1268" spans="1:33">
      <c r="A1268" t="s">
        <v>4682</v>
      </c>
      <c r="B1268" t="s">
        <v>4683</v>
      </c>
      <c r="D1268" t="s">
        <v>40</v>
      </c>
      <c r="E1268" t="s">
        <v>41</v>
      </c>
      <c r="J1268" t="s">
        <v>290</v>
      </c>
      <c r="K1268" t="s">
        <v>291</v>
      </c>
      <c r="L1268">
        <v>5</v>
      </c>
      <c r="M1268" t="s">
        <v>4678</v>
      </c>
      <c r="N1268" t="s">
        <v>59</v>
      </c>
      <c r="O1268" t="s">
        <v>47</v>
      </c>
      <c r="P1268" t="s">
        <v>47</v>
      </c>
      <c r="Y1268" t="s">
        <v>4684</v>
      </c>
      <c r="AG1268" t="s">
        <v>48</v>
      </c>
    </row>
    <row r="1269" spans="1:33">
      <c r="A1269" t="s">
        <v>4685</v>
      </c>
      <c r="B1269" t="s">
        <v>4686</v>
      </c>
      <c r="D1269" t="s">
        <v>40</v>
      </c>
      <c r="E1269" t="s">
        <v>41</v>
      </c>
      <c r="J1269" t="s">
        <v>290</v>
      </c>
      <c r="K1269" t="s">
        <v>291</v>
      </c>
      <c r="L1269">
        <v>5</v>
      </c>
      <c r="M1269" t="s">
        <v>4687</v>
      </c>
      <c r="N1269" t="s">
        <v>59</v>
      </c>
      <c r="O1269" t="s">
        <v>47</v>
      </c>
      <c r="P1269" t="s">
        <v>47</v>
      </c>
      <c r="Y1269" t="s">
        <v>4688</v>
      </c>
      <c r="AG1269" t="s">
        <v>48</v>
      </c>
    </row>
    <row r="1270" spans="1:33">
      <c r="A1270" t="s">
        <v>4689</v>
      </c>
      <c r="B1270" t="s">
        <v>4690</v>
      </c>
      <c r="D1270" t="s">
        <v>40</v>
      </c>
      <c r="E1270" t="s">
        <v>41</v>
      </c>
      <c r="J1270" t="s">
        <v>108</v>
      </c>
      <c r="K1270" t="s">
        <v>109</v>
      </c>
      <c r="L1270">
        <v>5</v>
      </c>
      <c r="M1270" t="s">
        <v>4691</v>
      </c>
      <c r="N1270" t="s">
        <v>59</v>
      </c>
      <c r="O1270" t="s">
        <v>47</v>
      </c>
      <c r="P1270" t="s">
        <v>47</v>
      </c>
      <c r="Y1270" t="s">
        <v>4692</v>
      </c>
      <c r="AG1270" t="s">
        <v>48</v>
      </c>
    </row>
    <row r="1271" spans="1:33">
      <c r="A1271" t="s">
        <v>117</v>
      </c>
      <c r="B1271" t="s">
        <v>4693</v>
      </c>
      <c r="D1271" t="s">
        <v>40</v>
      </c>
      <c r="E1271" t="s">
        <v>41</v>
      </c>
      <c r="J1271" t="s">
        <v>129</v>
      </c>
      <c r="K1271" t="s">
        <v>130</v>
      </c>
      <c r="L1271">
        <v>5</v>
      </c>
      <c r="M1271" t="s">
        <v>4691</v>
      </c>
      <c r="N1271" t="s">
        <v>192</v>
      </c>
      <c r="O1271" t="s">
        <v>47</v>
      </c>
      <c r="P1271" t="s">
        <v>47</v>
      </c>
      <c r="Y1271" t="s">
        <v>4694</v>
      </c>
      <c r="AG1271" t="s">
        <v>48</v>
      </c>
    </row>
    <row r="1272" spans="1:33">
      <c r="A1272" t="s">
        <v>4695</v>
      </c>
      <c r="B1272" t="s">
        <v>4696</v>
      </c>
      <c r="D1272" t="s">
        <v>40</v>
      </c>
      <c r="E1272" t="s">
        <v>41</v>
      </c>
      <c r="H1272" t="s">
        <v>4697</v>
      </c>
      <c r="J1272" t="s">
        <v>43</v>
      </c>
      <c r="K1272" t="s">
        <v>44</v>
      </c>
      <c r="L1272">
        <v>5</v>
      </c>
      <c r="M1272" t="s">
        <v>4698</v>
      </c>
      <c r="N1272" t="s">
        <v>192</v>
      </c>
      <c r="O1272" t="s">
        <v>47</v>
      </c>
      <c r="P1272" t="s">
        <v>47</v>
      </c>
      <c r="Y1272" t="s">
        <v>4697</v>
      </c>
      <c r="AG1272" t="s">
        <v>48</v>
      </c>
    </row>
    <row r="1273" spans="1:33">
      <c r="A1273" t="s">
        <v>4699</v>
      </c>
      <c r="B1273" t="s">
        <v>4700</v>
      </c>
      <c r="D1273" t="s">
        <v>40</v>
      </c>
      <c r="E1273" t="s">
        <v>41</v>
      </c>
      <c r="J1273" t="s">
        <v>270</v>
      </c>
      <c r="K1273" t="s">
        <v>271</v>
      </c>
      <c r="L1273">
        <v>5</v>
      </c>
      <c r="M1273" t="s">
        <v>4701</v>
      </c>
      <c r="N1273" t="s">
        <v>59</v>
      </c>
      <c r="O1273" t="s">
        <v>47</v>
      </c>
      <c r="P1273" t="s">
        <v>47</v>
      </c>
      <c r="Y1273" t="s">
        <v>4702</v>
      </c>
      <c r="AG1273" t="s">
        <v>48</v>
      </c>
    </row>
    <row r="1274" spans="1:33">
      <c r="A1274" t="s">
        <v>4703</v>
      </c>
      <c r="B1274" t="s">
        <v>4704</v>
      </c>
      <c r="D1274" t="s">
        <v>40</v>
      </c>
      <c r="E1274" t="s">
        <v>41</v>
      </c>
      <c r="J1274" t="s">
        <v>290</v>
      </c>
      <c r="K1274" t="s">
        <v>291</v>
      </c>
      <c r="L1274">
        <v>5</v>
      </c>
      <c r="M1274" t="s">
        <v>4705</v>
      </c>
      <c r="N1274" t="s">
        <v>59</v>
      </c>
      <c r="O1274" t="s">
        <v>47</v>
      </c>
      <c r="P1274" t="s">
        <v>47</v>
      </c>
      <c r="Y1274" t="s">
        <v>4706</v>
      </c>
      <c r="AG1274" t="s">
        <v>48</v>
      </c>
    </row>
    <row r="1275" spans="1:33">
      <c r="A1275" t="s">
        <v>4707</v>
      </c>
      <c r="B1275" t="s">
        <v>4708</v>
      </c>
      <c r="D1275" t="s">
        <v>40</v>
      </c>
      <c r="E1275" t="s">
        <v>41</v>
      </c>
      <c r="J1275" t="s">
        <v>129</v>
      </c>
      <c r="K1275" t="s">
        <v>130</v>
      </c>
      <c r="L1275">
        <v>5</v>
      </c>
      <c r="M1275" t="s">
        <v>4709</v>
      </c>
      <c r="N1275" t="s">
        <v>46</v>
      </c>
      <c r="O1275" t="s">
        <v>47</v>
      </c>
      <c r="P1275" t="s">
        <v>47</v>
      </c>
      <c r="Y1275" t="s">
        <v>4710</v>
      </c>
      <c r="AG1275" t="s">
        <v>48</v>
      </c>
    </row>
    <row r="1276" spans="1:33">
      <c r="A1276" t="s">
        <v>4711</v>
      </c>
      <c r="B1276" t="s">
        <v>4712</v>
      </c>
      <c r="D1276" t="s">
        <v>40</v>
      </c>
      <c r="E1276" t="s">
        <v>41</v>
      </c>
      <c r="H1276" t="s">
        <v>4713</v>
      </c>
      <c r="J1276" t="s">
        <v>290</v>
      </c>
      <c r="K1276" t="s">
        <v>291</v>
      </c>
      <c r="L1276">
        <v>5</v>
      </c>
      <c r="M1276" t="s">
        <v>4714</v>
      </c>
      <c r="N1276" t="s">
        <v>59</v>
      </c>
      <c r="O1276" t="s">
        <v>47</v>
      </c>
      <c r="P1276" t="s">
        <v>47</v>
      </c>
      <c r="Y1276" t="s">
        <v>4713</v>
      </c>
      <c r="AG1276" t="s">
        <v>48</v>
      </c>
    </row>
    <row r="1277" spans="1:33">
      <c r="A1277" t="s">
        <v>4715</v>
      </c>
      <c r="B1277" t="s">
        <v>4716</v>
      </c>
      <c r="D1277" t="s">
        <v>40</v>
      </c>
      <c r="E1277" t="s">
        <v>41</v>
      </c>
      <c r="J1277" t="s">
        <v>290</v>
      </c>
      <c r="K1277" t="s">
        <v>291</v>
      </c>
      <c r="L1277">
        <v>5</v>
      </c>
      <c r="M1277" t="s">
        <v>4714</v>
      </c>
      <c r="N1277" t="s">
        <v>59</v>
      </c>
      <c r="O1277" t="s">
        <v>47</v>
      </c>
      <c r="P1277" t="s">
        <v>47</v>
      </c>
      <c r="Y1277" t="s">
        <v>4717</v>
      </c>
      <c r="AG1277" t="s">
        <v>48</v>
      </c>
    </row>
    <row r="1278" spans="1:33">
      <c r="A1278" t="s">
        <v>4718</v>
      </c>
      <c r="B1278" t="s">
        <v>4719</v>
      </c>
      <c r="D1278" t="s">
        <v>40</v>
      </c>
      <c r="E1278" t="s">
        <v>41</v>
      </c>
      <c r="J1278" t="s">
        <v>270</v>
      </c>
      <c r="K1278" t="s">
        <v>271</v>
      </c>
      <c r="L1278">
        <v>5</v>
      </c>
      <c r="M1278" t="s">
        <v>4714</v>
      </c>
      <c r="N1278" t="s">
        <v>59</v>
      </c>
      <c r="O1278" t="s">
        <v>47</v>
      </c>
      <c r="P1278" t="s">
        <v>47</v>
      </c>
      <c r="Y1278" t="s">
        <v>4720</v>
      </c>
      <c r="AG1278" t="s">
        <v>48</v>
      </c>
    </row>
    <row r="1279" spans="1:33">
      <c r="A1279" t="s">
        <v>4721</v>
      </c>
      <c r="B1279" t="s">
        <v>4722</v>
      </c>
      <c r="D1279" t="s">
        <v>40</v>
      </c>
      <c r="E1279" t="s">
        <v>41</v>
      </c>
      <c r="J1279" t="s">
        <v>108</v>
      </c>
      <c r="K1279" t="s">
        <v>109</v>
      </c>
      <c r="L1279">
        <v>5</v>
      </c>
      <c r="M1279" t="s">
        <v>4714</v>
      </c>
      <c r="N1279" t="s">
        <v>59</v>
      </c>
      <c r="O1279" t="s">
        <v>47</v>
      </c>
      <c r="P1279" t="s">
        <v>47</v>
      </c>
      <c r="Y1279" t="s">
        <v>4723</v>
      </c>
      <c r="AG1279" t="s">
        <v>48</v>
      </c>
    </row>
    <row r="1280" spans="1:33">
      <c r="A1280" t="s">
        <v>4724</v>
      </c>
      <c r="B1280" t="s">
        <v>4725</v>
      </c>
      <c r="D1280" t="s">
        <v>40</v>
      </c>
      <c r="E1280" t="s">
        <v>41</v>
      </c>
      <c r="J1280" t="s">
        <v>43</v>
      </c>
      <c r="K1280" t="s">
        <v>44</v>
      </c>
      <c r="L1280">
        <v>5</v>
      </c>
      <c r="M1280" t="s">
        <v>4726</v>
      </c>
      <c r="N1280" t="s">
        <v>192</v>
      </c>
      <c r="O1280" t="s">
        <v>47</v>
      </c>
      <c r="P1280" t="s">
        <v>47</v>
      </c>
      <c r="Y1280" t="s">
        <v>4727</v>
      </c>
      <c r="AG1280" t="s">
        <v>48</v>
      </c>
    </row>
    <row r="1281" spans="1:33">
      <c r="A1281" t="s">
        <v>4728</v>
      </c>
      <c r="B1281" t="s">
        <v>4729</v>
      </c>
      <c r="D1281" t="s">
        <v>40</v>
      </c>
      <c r="E1281" t="s">
        <v>41</v>
      </c>
      <c r="J1281" t="s">
        <v>290</v>
      </c>
      <c r="K1281" t="s">
        <v>291</v>
      </c>
      <c r="L1281">
        <v>5</v>
      </c>
      <c r="M1281" t="s">
        <v>4726</v>
      </c>
      <c r="N1281" t="s">
        <v>59</v>
      </c>
      <c r="O1281" t="s">
        <v>47</v>
      </c>
      <c r="P1281" t="s">
        <v>47</v>
      </c>
      <c r="Y1281" t="s">
        <v>4730</v>
      </c>
      <c r="AG1281" t="s">
        <v>48</v>
      </c>
    </row>
    <row r="1282" spans="1:33">
      <c r="A1282" t="s">
        <v>4731</v>
      </c>
      <c r="B1282" t="s">
        <v>4732</v>
      </c>
      <c r="D1282" t="s">
        <v>40</v>
      </c>
      <c r="E1282" t="s">
        <v>41</v>
      </c>
      <c r="J1282" t="s">
        <v>114</v>
      </c>
      <c r="K1282" t="s">
        <v>115</v>
      </c>
      <c r="L1282">
        <v>5</v>
      </c>
      <c r="M1282" t="s">
        <v>4726</v>
      </c>
      <c r="N1282" t="s">
        <v>59</v>
      </c>
      <c r="O1282" t="s">
        <v>47</v>
      </c>
      <c r="P1282" t="s">
        <v>47</v>
      </c>
      <c r="Y1282" t="s">
        <v>4733</v>
      </c>
      <c r="AG1282" t="s">
        <v>48</v>
      </c>
    </row>
    <row r="1283" spans="1:33">
      <c r="A1283" t="s">
        <v>4734</v>
      </c>
      <c r="B1283" t="s">
        <v>4735</v>
      </c>
      <c r="D1283" t="s">
        <v>40</v>
      </c>
      <c r="E1283" t="s">
        <v>41</v>
      </c>
      <c r="H1283" t="s">
        <v>4736</v>
      </c>
      <c r="J1283" t="s">
        <v>4737</v>
      </c>
      <c r="K1283" t="s">
        <v>4738</v>
      </c>
      <c r="L1283">
        <v>6</v>
      </c>
      <c r="M1283" t="s">
        <v>4739</v>
      </c>
      <c r="N1283" t="s">
        <v>218</v>
      </c>
      <c r="O1283" t="s">
        <v>47</v>
      </c>
      <c r="P1283" t="s">
        <v>47</v>
      </c>
      <c r="Y1283" t="s">
        <v>4736</v>
      </c>
      <c r="AG1283" t="s">
        <v>48</v>
      </c>
    </row>
    <row r="1284" spans="1:33">
      <c r="A1284" t="s">
        <v>4740</v>
      </c>
      <c r="B1284" t="s">
        <v>4741</v>
      </c>
      <c r="D1284" t="s">
        <v>40</v>
      </c>
      <c r="E1284" t="s">
        <v>41</v>
      </c>
      <c r="H1284" t="s">
        <v>4742</v>
      </c>
      <c r="J1284" t="s">
        <v>290</v>
      </c>
      <c r="K1284" t="s">
        <v>291</v>
      </c>
      <c r="L1284">
        <v>5</v>
      </c>
      <c r="M1284" t="s">
        <v>4743</v>
      </c>
      <c r="N1284" t="s">
        <v>59</v>
      </c>
      <c r="O1284" t="s">
        <v>47</v>
      </c>
      <c r="P1284" t="s">
        <v>47</v>
      </c>
      <c r="Y1284" t="s">
        <v>4742</v>
      </c>
      <c r="AG1284" t="s">
        <v>48</v>
      </c>
    </row>
    <row r="1285" spans="1:33">
      <c r="A1285" t="s">
        <v>4744</v>
      </c>
      <c r="B1285" t="s">
        <v>4745</v>
      </c>
      <c r="D1285" t="s">
        <v>40</v>
      </c>
      <c r="E1285" t="s">
        <v>41</v>
      </c>
      <c r="H1285" t="s">
        <v>4746</v>
      </c>
      <c r="J1285" t="s">
        <v>270</v>
      </c>
      <c r="K1285" t="s">
        <v>271</v>
      </c>
      <c r="L1285">
        <v>5</v>
      </c>
      <c r="M1285" t="s">
        <v>4747</v>
      </c>
      <c r="N1285" t="s">
        <v>59</v>
      </c>
      <c r="O1285" t="s">
        <v>47</v>
      </c>
      <c r="P1285" t="s">
        <v>47</v>
      </c>
      <c r="Y1285" t="s">
        <v>4746</v>
      </c>
      <c r="AG1285" t="s">
        <v>48</v>
      </c>
    </row>
    <row r="1286" spans="1:33">
      <c r="A1286" t="s">
        <v>4748</v>
      </c>
      <c r="B1286" t="s">
        <v>4749</v>
      </c>
      <c r="D1286" t="s">
        <v>40</v>
      </c>
      <c r="E1286" t="s">
        <v>41</v>
      </c>
      <c r="J1286" t="s">
        <v>290</v>
      </c>
      <c r="K1286" t="s">
        <v>291</v>
      </c>
      <c r="L1286">
        <v>5</v>
      </c>
      <c r="M1286" t="s">
        <v>4750</v>
      </c>
      <c r="N1286" t="s">
        <v>59</v>
      </c>
      <c r="O1286" t="s">
        <v>47</v>
      </c>
      <c r="P1286" t="s">
        <v>47</v>
      </c>
      <c r="Y1286" t="s">
        <v>4751</v>
      </c>
      <c r="AG1286" t="s">
        <v>48</v>
      </c>
    </row>
    <row r="1287" spans="1:33">
      <c r="A1287" t="s">
        <v>4752</v>
      </c>
      <c r="B1287" t="s">
        <v>4753</v>
      </c>
      <c r="D1287" t="s">
        <v>40</v>
      </c>
      <c r="E1287" t="s">
        <v>41</v>
      </c>
      <c r="H1287" t="s">
        <v>4754</v>
      </c>
      <c r="J1287" t="s">
        <v>108</v>
      </c>
      <c r="K1287" t="s">
        <v>109</v>
      </c>
      <c r="L1287">
        <v>5</v>
      </c>
      <c r="M1287" t="s">
        <v>4755</v>
      </c>
      <c r="N1287" t="s">
        <v>218</v>
      </c>
      <c r="O1287" t="s">
        <v>47</v>
      </c>
      <c r="P1287" t="s">
        <v>47</v>
      </c>
      <c r="Y1287" t="s">
        <v>4754</v>
      </c>
      <c r="AG1287" t="s">
        <v>48</v>
      </c>
    </row>
    <row r="1288" spans="1:33">
      <c r="A1288" t="s">
        <v>4756</v>
      </c>
      <c r="B1288" t="s">
        <v>4757</v>
      </c>
      <c r="D1288" t="s">
        <v>40</v>
      </c>
      <c r="E1288" t="s">
        <v>41</v>
      </c>
      <c r="J1288" t="s">
        <v>270</v>
      </c>
      <c r="K1288" t="s">
        <v>271</v>
      </c>
      <c r="L1288">
        <v>5</v>
      </c>
      <c r="M1288" t="s">
        <v>4758</v>
      </c>
      <c r="N1288" t="s">
        <v>59</v>
      </c>
      <c r="O1288" t="s">
        <v>47</v>
      </c>
      <c r="P1288" t="s">
        <v>47</v>
      </c>
      <c r="Y1288" t="s">
        <v>4759</v>
      </c>
      <c r="AG1288" t="s">
        <v>48</v>
      </c>
    </row>
    <row r="1289" spans="1:33">
      <c r="A1289" t="s">
        <v>4760</v>
      </c>
      <c r="B1289" t="s">
        <v>4761</v>
      </c>
      <c r="D1289" t="s">
        <v>40</v>
      </c>
      <c r="E1289" t="s">
        <v>41</v>
      </c>
      <c r="H1289" t="s">
        <v>4762</v>
      </c>
      <c r="J1289" t="s">
        <v>108</v>
      </c>
      <c r="K1289" t="s">
        <v>109</v>
      </c>
      <c r="L1289">
        <v>5</v>
      </c>
      <c r="M1289" t="s">
        <v>4758</v>
      </c>
      <c r="N1289" t="s">
        <v>59</v>
      </c>
      <c r="O1289" t="s">
        <v>47</v>
      </c>
      <c r="P1289" t="s">
        <v>47</v>
      </c>
      <c r="Y1289" t="s">
        <v>4762</v>
      </c>
      <c r="AG1289" t="s">
        <v>48</v>
      </c>
    </row>
    <row r="1290" spans="1:33">
      <c r="A1290" t="s">
        <v>4763</v>
      </c>
      <c r="B1290" t="s">
        <v>4764</v>
      </c>
      <c r="D1290" t="s">
        <v>40</v>
      </c>
      <c r="E1290" t="s">
        <v>41</v>
      </c>
      <c r="J1290" t="s">
        <v>2439</v>
      </c>
      <c r="K1290" t="s">
        <v>2440</v>
      </c>
      <c r="L1290">
        <v>5</v>
      </c>
      <c r="M1290" t="s">
        <v>4758</v>
      </c>
      <c r="N1290" t="s">
        <v>59</v>
      </c>
      <c r="O1290" t="s">
        <v>47</v>
      </c>
      <c r="P1290" t="s">
        <v>47</v>
      </c>
      <c r="Y1290" t="s">
        <v>4765</v>
      </c>
      <c r="AG1290" t="s">
        <v>48</v>
      </c>
    </row>
    <row r="1291" spans="1:33">
      <c r="A1291" t="s">
        <v>4766</v>
      </c>
      <c r="B1291" t="s">
        <v>4767</v>
      </c>
      <c r="D1291" t="s">
        <v>40</v>
      </c>
      <c r="E1291" t="s">
        <v>41</v>
      </c>
      <c r="H1291" t="s">
        <v>4768</v>
      </c>
      <c r="J1291" t="s">
        <v>290</v>
      </c>
      <c r="K1291" t="s">
        <v>291</v>
      </c>
      <c r="L1291">
        <v>5</v>
      </c>
      <c r="M1291" t="s">
        <v>4769</v>
      </c>
      <c r="N1291" t="s">
        <v>59</v>
      </c>
      <c r="O1291" t="s">
        <v>47</v>
      </c>
      <c r="P1291" t="s">
        <v>47</v>
      </c>
      <c r="Y1291" t="s">
        <v>4768</v>
      </c>
      <c r="AG1291" t="s">
        <v>48</v>
      </c>
    </row>
    <row r="1292" spans="1:33">
      <c r="A1292" t="s">
        <v>4770</v>
      </c>
      <c r="B1292" t="s">
        <v>4771</v>
      </c>
      <c r="D1292" t="s">
        <v>40</v>
      </c>
      <c r="E1292" t="s">
        <v>41</v>
      </c>
      <c r="H1292" t="s">
        <v>4772</v>
      </c>
      <c r="J1292" t="s">
        <v>270</v>
      </c>
      <c r="K1292" t="s">
        <v>271</v>
      </c>
      <c r="L1292">
        <v>5</v>
      </c>
      <c r="M1292" t="s">
        <v>4773</v>
      </c>
      <c r="N1292" t="s">
        <v>59</v>
      </c>
      <c r="O1292" t="s">
        <v>47</v>
      </c>
      <c r="P1292" t="s">
        <v>47</v>
      </c>
      <c r="Y1292" t="s">
        <v>4772</v>
      </c>
      <c r="AG1292" t="s">
        <v>48</v>
      </c>
    </row>
    <row r="1293" spans="1:33">
      <c r="A1293" t="s">
        <v>4774</v>
      </c>
      <c r="B1293" t="s">
        <v>4775</v>
      </c>
      <c r="D1293" t="s">
        <v>40</v>
      </c>
      <c r="E1293" t="s">
        <v>41</v>
      </c>
      <c r="J1293" t="s">
        <v>312</v>
      </c>
      <c r="K1293" t="s">
        <v>313</v>
      </c>
      <c r="L1293">
        <v>5</v>
      </c>
      <c r="M1293" t="s">
        <v>4776</v>
      </c>
      <c r="N1293" t="s">
        <v>46</v>
      </c>
      <c r="O1293" t="s">
        <v>47</v>
      </c>
      <c r="P1293" t="s">
        <v>47</v>
      </c>
      <c r="Y1293" t="s">
        <v>4777</v>
      </c>
      <c r="AG1293" t="s">
        <v>48</v>
      </c>
    </row>
    <row r="1294" spans="1:33">
      <c r="A1294" t="s">
        <v>4778</v>
      </c>
      <c r="B1294" t="s">
        <v>4779</v>
      </c>
      <c r="D1294" t="s">
        <v>40</v>
      </c>
      <c r="E1294" t="s">
        <v>41</v>
      </c>
      <c r="J1294" t="s">
        <v>270</v>
      </c>
      <c r="K1294" t="s">
        <v>271</v>
      </c>
      <c r="L1294">
        <v>5</v>
      </c>
      <c r="M1294" t="s">
        <v>4780</v>
      </c>
      <c r="N1294" t="s">
        <v>59</v>
      </c>
      <c r="O1294" t="s">
        <v>47</v>
      </c>
      <c r="P1294" t="s">
        <v>47</v>
      </c>
      <c r="Y1294" t="s">
        <v>4781</v>
      </c>
      <c r="AG1294" t="s">
        <v>48</v>
      </c>
    </row>
    <row r="1295" spans="1:33">
      <c r="A1295" t="s">
        <v>4782</v>
      </c>
      <c r="B1295" t="s">
        <v>4783</v>
      </c>
      <c r="D1295" t="s">
        <v>40</v>
      </c>
      <c r="E1295" t="s">
        <v>41</v>
      </c>
      <c r="J1295" t="s">
        <v>162</v>
      </c>
      <c r="K1295" t="s">
        <v>163</v>
      </c>
      <c r="L1295">
        <v>5</v>
      </c>
      <c r="M1295" t="s">
        <v>4780</v>
      </c>
      <c r="N1295" t="s">
        <v>59</v>
      </c>
      <c r="O1295" t="s">
        <v>47</v>
      </c>
      <c r="P1295" t="s">
        <v>47</v>
      </c>
      <c r="Y1295" t="s">
        <v>4784</v>
      </c>
      <c r="AG1295" t="s">
        <v>48</v>
      </c>
    </row>
    <row r="1296" spans="1:33">
      <c r="A1296" t="s">
        <v>4785</v>
      </c>
      <c r="B1296" t="s">
        <v>4786</v>
      </c>
      <c r="D1296" t="s">
        <v>40</v>
      </c>
      <c r="E1296" t="s">
        <v>41</v>
      </c>
      <c r="J1296" t="s">
        <v>162</v>
      </c>
      <c r="K1296" t="s">
        <v>163</v>
      </c>
      <c r="L1296">
        <v>5</v>
      </c>
      <c r="M1296" t="s">
        <v>4780</v>
      </c>
      <c r="N1296" t="s">
        <v>59</v>
      </c>
      <c r="O1296" t="s">
        <v>47</v>
      </c>
      <c r="P1296" t="s">
        <v>47</v>
      </c>
      <c r="Y1296" t="s">
        <v>4787</v>
      </c>
      <c r="AG1296" t="s">
        <v>48</v>
      </c>
    </row>
    <row r="1297" spans="1:33">
      <c r="A1297" t="s">
        <v>4788</v>
      </c>
      <c r="B1297" t="s">
        <v>4789</v>
      </c>
      <c r="D1297" t="s">
        <v>40</v>
      </c>
      <c r="E1297" t="s">
        <v>41</v>
      </c>
      <c r="H1297" t="s">
        <v>4790</v>
      </c>
      <c r="J1297" t="s">
        <v>63</v>
      </c>
      <c r="K1297" t="s">
        <v>64</v>
      </c>
      <c r="L1297">
        <v>5</v>
      </c>
      <c r="M1297" t="s">
        <v>4791</v>
      </c>
      <c r="N1297" t="s">
        <v>59</v>
      </c>
      <c r="O1297" t="s">
        <v>47</v>
      </c>
      <c r="P1297" t="s">
        <v>47</v>
      </c>
      <c r="Y1297" t="s">
        <v>4790</v>
      </c>
      <c r="AG1297" t="s">
        <v>48</v>
      </c>
    </row>
    <row r="1298" spans="1:33">
      <c r="A1298" t="s">
        <v>4792</v>
      </c>
      <c r="B1298" t="s">
        <v>4793</v>
      </c>
      <c r="D1298" t="s">
        <v>40</v>
      </c>
      <c r="E1298" t="s">
        <v>41</v>
      </c>
      <c r="J1298" t="s">
        <v>290</v>
      </c>
      <c r="K1298" t="s">
        <v>291</v>
      </c>
      <c r="L1298">
        <v>5</v>
      </c>
      <c r="M1298" t="s">
        <v>4794</v>
      </c>
      <c r="N1298" t="s">
        <v>59</v>
      </c>
      <c r="O1298" t="s">
        <v>47</v>
      </c>
      <c r="P1298" t="s">
        <v>47</v>
      </c>
      <c r="Y1298" t="s">
        <v>4795</v>
      </c>
      <c r="AG1298" t="s">
        <v>48</v>
      </c>
    </row>
    <row r="1299" spans="1:33">
      <c r="A1299" t="s">
        <v>4796</v>
      </c>
      <c r="B1299" t="s">
        <v>4797</v>
      </c>
      <c r="D1299" t="s">
        <v>40</v>
      </c>
      <c r="E1299" t="s">
        <v>41</v>
      </c>
      <c r="J1299" t="s">
        <v>290</v>
      </c>
      <c r="K1299" t="s">
        <v>291</v>
      </c>
      <c r="L1299">
        <v>5</v>
      </c>
      <c r="M1299" t="s">
        <v>4798</v>
      </c>
      <c r="N1299" t="s">
        <v>59</v>
      </c>
      <c r="O1299" t="s">
        <v>47</v>
      </c>
      <c r="P1299" t="s">
        <v>47</v>
      </c>
      <c r="Y1299" t="s">
        <v>4799</v>
      </c>
      <c r="AG1299" t="s">
        <v>48</v>
      </c>
    </row>
    <row r="1300" spans="1:33">
      <c r="A1300" t="s">
        <v>4800</v>
      </c>
      <c r="B1300" t="s">
        <v>4801</v>
      </c>
      <c r="D1300" t="s">
        <v>40</v>
      </c>
      <c r="E1300" t="s">
        <v>41</v>
      </c>
      <c r="H1300" t="s">
        <v>4802</v>
      </c>
      <c r="J1300" t="s">
        <v>129</v>
      </c>
      <c r="K1300" t="s">
        <v>130</v>
      </c>
      <c r="L1300">
        <v>5</v>
      </c>
      <c r="M1300" t="s">
        <v>4803</v>
      </c>
      <c r="N1300" t="s">
        <v>46</v>
      </c>
      <c r="O1300" t="s">
        <v>47</v>
      </c>
      <c r="P1300" t="s">
        <v>47</v>
      </c>
      <c r="Y1300" t="s">
        <v>4802</v>
      </c>
      <c r="AG1300" t="s">
        <v>48</v>
      </c>
    </row>
    <row r="1301" spans="1:33">
      <c r="A1301" t="s">
        <v>4804</v>
      </c>
      <c r="B1301" t="s">
        <v>4805</v>
      </c>
      <c r="D1301" t="s">
        <v>40</v>
      </c>
      <c r="E1301" t="s">
        <v>41</v>
      </c>
      <c r="J1301" t="s">
        <v>270</v>
      </c>
      <c r="K1301" t="s">
        <v>271</v>
      </c>
      <c r="L1301">
        <v>5</v>
      </c>
      <c r="M1301" t="s">
        <v>4803</v>
      </c>
      <c r="N1301" t="s">
        <v>59</v>
      </c>
      <c r="O1301" t="s">
        <v>47</v>
      </c>
      <c r="P1301" t="s">
        <v>47</v>
      </c>
      <c r="Y1301" t="s">
        <v>4806</v>
      </c>
      <c r="AG1301" t="s">
        <v>48</v>
      </c>
    </row>
    <row r="1302" spans="1:33">
      <c r="A1302" t="s">
        <v>4807</v>
      </c>
      <c r="B1302" t="s">
        <v>4808</v>
      </c>
      <c r="D1302" t="s">
        <v>40</v>
      </c>
      <c r="E1302" t="s">
        <v>41</v>
      </c>
      <c r="J1302" t="s">
        <v>114</v>
      </c>
      <c r="K1302" t="s">
        <v>115</v>
      </c>
      <c r="L1302">
        <v>5</v>
      </c>
      <c r="M1302" t="s">
        <v>4803</v>
      </c>
      <c r="N1302" t="s">
        <v>59</v>
      </c>
      <c r="O1302" t="s">
        <v>47</v>
      </c>
      <c r="P1302" t="s">
        <v>47</v>
      </c>
      <c r="Y1302" t="s">
        <v>4809</v>
      </c>
      <c r="AG1302" t="s">
        <v>48</v>
      </c>
    </row>
    <row r="1303" spans="1:33">
      <c r="A1303" t="s">
        <v>4810</v>
      </c>
      <c r="B1303" t="s">
        <v>4811</v>
      </c>
      <c r="D1303" t="s">
        <v>40</v>
      </c>
      <c r="E1303" t="s">
        <v>41</v>
      </c>
      <c r="J1303" t="s">
        <v>270</v>
      </c>
      <c r="K1303" t="s">
        <v>271</v>
      </c>
      <c r="L1303">
        <v>5</v>
      </c>
      <c r="M1303" t="s">
        <v>4812</v>
      </c>
      <c r="N1303" t="s">
        <v>59</v>
      </c>
      <c r="O1303" t="s">
        <v>47</v>
      </c>
      <c r="P1303" t="s">
        <v>47</v>
      </c>
      <c r="Y1303" t="s">
        <v>4813</v>
      </c>
      <c r="AG1303" t="s">
        <v>48</v>
      </c>
    </row>
    <row r="1304" spans="1:33">
      <c r="A1304" t="s">
        <v>4814</v>
      </c>
      <c r="B1304" t="s">
        <v>4815</v>
      </c>
      <c r="D1304" t="s">
        <v>40</v>
      </c>
      <c r="E1304" t="s">
        <v>41</v>
      </c>
      <c r="J1304" t="s">
        <v>129</v>
      </c>
      <c r="K1304" t="s">
        <v>130</v>
      </c>
      <c r="L1304">
        <v>5</v>
      </c>
      <c r="M1304" t="s">
        <v>4816</v>
      </c>
      <c r="N1304" t="s">
        <v>218</v>
      </c>
      <c r="O1304" t="s">
        <v>47</v>
      </c>
      <c r="P1304" t="s">
        <v>47</v>
      </c>
      <c r="Y1304" t="s">
        <v>4817</v>
      </c>
      <c r="AG1304" t="s">
        <v>48</v>
      </c>
    </row>
    <row r="1305" spans="1:33">
      <c r="A1305" t="s">
        <v>4818</v>
      </c>
      <c r="B1305" t="s">
        <v>4819</v>
      </c>
      <c r="D1305" t="s">
        <v>40</v>
      </c>
      <c r="E1305" t="s">
        <v>41</v>
      </c>
      <c r="J1305" t="s">
        <v>43</v>
      </c>
      <c r="K1305" t="s">
        <v>44</v>
      </c>
      <c r="L1305">
        <v>5</v>
      </c>
      <c r="M1305" t="s">
        <v>4820</v>
      </c>
      <c r="N1305" t="s">
        <v>192</v>
      </c>
      <c r="O1305" t="s">
        <v>47</v>
      </c>
      <c r="P1305" t="s">
        <v>47</v>
      </c>
      <c r="Y1305" t="s">
        <v>4821</v>
      </c>
      <c r="AG1305" t="s">
        <v>48</v>
      </c>
    </row>
    <row r="1306" spans="1:33">
      <c r="A1306" t="s">
        <v>4822</v>
      </c>
      <c r="B1306" t="s">
        <v>4823</v>
      </c>
      <c r="D1306" t="s">
        <v>40</v>
      </c>
      <c r="E1306" t="s">
        <v>41</v>
      </c>
      <c r="H1306" t="s">
        <v>4824</v>
      </c>
      <c r="J1306" t="s">
        <v>312</v>
      </c>
      <c r="K1306" t="s">
        <v>313</v>
      </c>
      <c r="L1306">
        <v>5</v>
      </c>
      <c r="M1306" t="s">
        <v>4825</v>
      </c>
      <c r="N1306" t="s">
        <v>218</v>
      </c>
      <c r="O1306" t="s">
        <v>47</v>
      </c>
      <c r="P1306" t="s">
        <v>47</v>
      </c>
      <c r="Y1306" t="s">
        <v>4824</v>
      </c>
      <c r="AG1306" t="s">
        <v>48</v>
      </c>
    </row>
    <row r="1307" spans="1:33">
      <c r="A1307" t="s">
        <v>4826</v>
      </c>
      <c r="B1307" t="s">
        <v>4827</v>
      </c>
      <c r="D1307" t="s">
        <v>40</v>
      </c>
      <c r="E1307" t="s">
        <v>41</v>
      </c>
      <c r="H1307" t="s">
        <v>4828</v>
      </c>
      <c r="J1307" t="s">
        <v>290</v>
      </c>
      <c r="K1307" t="s">
        <v>291</v>
      </c>
      <c r="L1307">
        <v>5</v>
      </c>
      <c r="M1307" t="s">
        <v>4829</v>
      </c>
      <c r="N1307" t="s">
        <v>59</v>
      </c>
      <c r="O1307" t="s">
        <v>47</v>
      </c>
      <c r="P1307" t="s">
        <v>47</v>
      </c>
      <c r="Y1307" t="s">
        <v>4828</v>
      </c>
      <c r="AG1307" t="s">
        <v>48</v>
      </c>
    </row>
    <row r="1308" spans="1:33">
      <c r="A1308" t="s">
        <v>4830</v>
      </c>
      <c r="B1308" t="s">
        <v>4831</v>
      </c>
      <c r="D1308" t="s">
        <v>40</v>
      </c>
      <c r="E1308" t="s">
        <v>41</v>
      </c>
      <c r="J1308" t="s">
        <v>290</v>
      </c>
      <c r="K1308" t="s">
        <v>291</v>
      </c>
      <c r="L1308">
        <v>5</v>
      </c>
      <c r="M1308" t="s">
        <v>4832</v>
      </c>
      <c r="N1308" t="s">
        <v>59</v>
      </c>
      <c r="O1308" t="s">
        <v>47</v>
      </c>
      <c r="P1308" t="s">
        <v>47</v>
      </c>
      <c r="Y1308" t="s">
        <v>4833</v>
      </c>
      <c r="AG1308" t="s">
        <v>48</v>
      </c>
    </row>
    <row r="1309" spans="1:33">
      <c r="A1309" t="s">
        <v>4834</v>
      </c>
      <c r="B1309" t="s">
        <v>4835</v>
      </c>
      <c r="D1309" t="s">
        <v>40</v>
      </c>
      <c r="E1309" t="s">
        <v>41</v>
      </c>
      <c r="J1309" t="s">
        <v>290</v>
      </c>
      <c r="K1309" t="s">
        <v>291</v>
      </c>
      <c r="L1309">
        <v>5</v>
      </c>
      <c r="M1309" t="s">
        <v>4836</v>
      </c>
      <c r="N1309" t="s">
        <v>59</v>
      </c>
      <c r="O1309" t="s">
        <v>47</v>
      </c>
      <c r="P1309" t="s">
        <v>47</v>
      </c>
      <c r="Y1309" t="s">
        <v>4837</v>
      </c>
      <c r="AG1309" t="s">
        <v>48</v>
      </c>
    </row>
    <row r="1310" spans="1:33">
      <c r="A1310" t="s">
        <v>4838</v>
      </c>
      <c r="B1310" t="s">
        <v>4839</v>
      </c>
      <c r="D1310" t="s">
        <v>40</v>
      </c>
      <c r="E1310" t="s">
        <v>41</v>
      </c>
      <c r="J1310" t="s">
        <v>108</v>
      </c>
      <c r="K1310" t="s">
        <v>109</v>
      </c>
      <c r="L1310">
        <v>5</v>
      </c>
      <c r="M1310" t="s">
        <v>4840</v>
      </c>
      <c r="N1310" t="s">
        <v>59</v>
      </c>
      <c r="O1310" t="s">
        <v>47</v>
      </c>
      <c r="P1310" t="s">
        <v>47</v>
      </c>
      <c r="Y1310" t="s">
        <v>4841</v>
      </c>
      <c r="AG1310" t="s">
        <v>48</v>
      </c>
    </row>
    <row r="1311" spans="1:33">
      <c r="A1311" t="s">
        <v>4842</v>
      </c>
      <c r="B1311" t="s">
        <v>4843</v>
      </c>
      <c r="D1311" t="s">
        <v>40</v>
      </c>
      <c r="E1311" t="s">
        <v>41</v>
      </c>
      <c r="J1311" t="s">
        <v>290</v>
      </c>
      <c r="K1311" t="s">
        <v>291</v>
      </c>
      <c r="L1311">
        <v>5</v>
      </c>
      <c r="M1311" t="s">
        <v>4844</v>
      </c>
      <c r="N1311" t="s">
        <v>59</v>
      </c>
      <c r="O1311" t="s">
        <v>47</v>
      </c>
      <c r="P1311" t="s">
        <v>47</v>
      </c>
      <c r="Y1311" t="s">
        <v>4845</v>
      </c>
      <c r="AG1311" t="s">
        <v>48</v>
      </c>
    </row>
    <row r="1312" spans="1:33">
      <c r="A1312" t="s">
        <v>4846</v>
      </c>
      <c r="B1312" t="s">
        <v>4847</v>
      </c>
      <c r="D1312" t="s">
        <v>40</v>
      </c>
      <c r="E1312" t="s">
        <v>41</v>
      </c>
      <c r="J1312" t="s">
        <v>290</v>
      </c>
      <c r="K1312" t="s">
        <v>291</v>
      </c>
      <c r="L1312">
        <v>5</v>
      </c>
      <c r="M1312" t="s">
        <v>4844</v>
      </c>
      <c r="N1312" t="s">
        <v>59</v>
      </c>
      <c r="O1312" t="s">
        <v>47</v>
      </c>
      <c r="P1312" t="s">
        <v>47</v>
      </c>
      <c r="Y1312" t="s">
        <v>4848</v>
      </c>
      <c r="AG1312" t="s">
        <v>48</v>
      </c>
    </row>
    <row r="1313" spans="1:33">
      <c r="A1313" t="s">
        <v>4849</v>
      </c>
      <c r="B1313" t="s">
        <v>4850</v>
      </c>
      <c r="D1313" t="s">
        <v>40</v>
      </c>
      <c r="E1313" t="s">
        <v>41</v>
      </c>
      <c r="J1313" t="s">
        <v>162</v>
      </c>
      <c r="K1313" t="s">
        <v>163</v>
      </c>
      <c r="L1313">
        <v>5</v>
      </c>
      <c r="M1313" t="s">
        <v>4844</v>
      </c>
      <c r="N1313" t="s">
        <v>59</v>
      </c>
      <c r="O1313" t="s">
        <v>47</v>
      </c>
      <c r="P1313" t="s">
        <v>47</v>
      </c>
      <c r="Y1313" t="s">
        <v>4851</v>
      </c>
      <c r="AG1313" t="s">
        <v>48</v>
      </c>
    </row>
    <row r="1314" spans="1:33">
      <c r="A1314" t="s">
        <v>4852</v>
      </c>
      <c r="B1314" t="s">
        <v>4853</v>
      </c>
      <c r="D1314" t="s">
        <v>40</v>
      </c>
      <c r="E1314" t="s">
        <v>41</v>
      </c>
      <c r="H1314" t="s">
        <v>4854</v>
      </c>
      <c r="J1314" t="s">
        <v>108</v>
      </c>
      <c r="K1314" t="s">
        <v>109</v>
      </c>
      <c r="L1314">
        <v>5</v>
      </c>
      <c r="M1314" t="s">
        <v>4844</v>
      </c>
      <c r="N1314" t="s">
        <v>59</v>
      </c>
      <c r="O1314" t="s">
        <v>47</v>
      </c>
      <c r="P1314" t="s">
        <v>47</v>
      </c>
      <c r="Y1314" t="s">
        <v>4854</v>
      </c>
      <c r="AG1314" t="s">
        <v>48</v>
      </c>
    </row>
    <row r="1315" spans="1:33">
      <c r="A1315" t="s">
        <v>4855</v>
      </c>
      <c r="B1315" t="s">
        <v>4856</v>
      </c>
      <c r="D1315" t="s">
        <v>40</v>
      </c>
      <c r="E1315" t="s">
        <v>41</v>
      </c>
      <c r="J1315" t="s">
        <v>290</v>
      </c>
      <c r="K1315" t="s">
        <v>291</v>
      </c>
      <c r="L1315">
        <v>5</v>
      </c>
      <c r="M1315" t="s">
        <v>4857</v>
      </c>
      <c r="N1315" t="s">
        <v>59</v>
      </c>
      <c r="O1315" t="s">
        <v>47</v>
      </c>
      <c r="P1315" t="s">
        <v>47</v>
      </c>
      <c r="Y1315" t="s">
        <v>4858</v>
      </c>
      <c r="AG1315" t="s">
        <v>48</v>
      </c>
    </row>
    <row r="1316" spans="1:33">
      <c r="A1316" t="s">
        <v>4859</v>
      </c>
      <c r="B1316" t="s">
        <v>4860</v>
      </c>
      <c r="D1316" t="s">
        <v>40</v>
      </c>
      <c r="E1316" t="s">
        <v>41</v>
      </c>
      <c r="J1316" t="s">
        <v>290</v>
      </c>
      <c r="K1316" t="s">
        <v>291</v>
      </c>
      <c r="L1316">
        <v>5</v>
      </c>
      <c r="M1316" t="s">
        <v>4861</v>
      </c>
      <c r="N1316" t="s">
        <v>59</v>
      </c>
      <c r="O1316" t="s">
        <v>47</v>
      </c>
      <c r="P1316" t="s">
        <v>47</v>
      </c>
      <c r="Y1316" t="s">
        <v>4862</v>
      </c>
      <c r="AG1316" t="s">
        <v>48</v>
      </c>
    </row>
    <row r="1317" spans="1:33">
      <c r="A1317" t="s">
        <v>4863</v>
      </c>
      <c r="B1317" t="s">
        <v>4864</v>
      </c>
      <c r="D1317" t="s">
        <v>40</v>
      </c>
      <c r="E1317" t="s">
        <v>41</v>
      </c>
      <c r="J1317" t="s">
        <v>108</v>
      </c>
      <c r="K1317" t="s">
        <v>109</v>
      </c>
      <c r="L1317">
        <v>5</v>
      </c>
      <c r="M1317" t="s">
        <v>4865</v>
      </c>
      <c r="N1317" t="s">
        <v>59</v>
      </c>
      <c r="O1317" t="s">
        <v>47</v>
      </c>
      <c r="P1317" t="s">
        <v>47</v>
      </c>
      <c r="Y1317" t="s">
        <v>4866</v>
      </c>
      <c r="AG1317" t="s">
        <v>48</v>
      </c>
    </row>
    <row r="1318" spans="1:33">
      <c r="A1318" t="s">
        <v>4867</v>
      </c>
      <c r="B1318" t="s">
        <v>4868</v>
      </c>
      <c r="D1318" t="s">
        <v>40</v>
      </c>
      <c r="E1318" t="s">
        <v>41</v>
      </c>
      <c r="J1318" t="s">
        <v>290</v>
      </c>
      <c r="K1318" t="s">
        <v>291</v>
      </c>
      <c r="L1318">
        <v>5</v>
      </c>
      <c r="M1318" t="s">
        <v>4865</v>
      </c>
      <c r="N1318" t="s">
        <v>59</v>
      </c>
      <c r="O1318" t="s">
        <v>47</v>
      </c>
      <c r="P1318" t="s">
        <v>47</v>
      </c>
      <c r="Y1318" t="s">
        <v>4869</v>
      </c>
      <c r="AG1318" t="s">
        <v>48</v>
      </c>
    </row>
    <row r="1319" spans="1:33">
      <c r="A1319" t="s">
        <v>4870</v>
      </c>
      <c r="B1319" t="s">
        <v>4871</v>
      </c>
      <c r="D1319" t="s">
        <v>40</v>
      </c>
      <c r="E1319" t="s">
        <v>41</v>
      </c>
      <c r="J1319" t="s">
        <v>290</v>
      </c>
      <c r="K1319" t="s">
        <v>291</v>
      </c>
      <c r="L1319">
        <v>5</v>
      </c>
      <c r="M1319" t="s">
        <v>4865</v>
      </c>
      <c r="N1319" t="s">
        <v>59</v>
      </c>
      <c r="O1319" t="s">
        <v>47</v>
      </c>
      <c r="P1319" t="s">
        <v>47</v>
      </c>
      <c r="Y1319" t="s">
        <v>4872</v>
      </c>
      <c r="AG1319" t="s">
        <v>48</v>
      </c>
    </row>
    <row r="1320" spans="1:33">
      <c r="A1320" t="s">
        <v>4873</v>
      </c>
      <c r="B1320" t="s">
        <v>4874</v>
      </c>
      <c r="D1320" t="s">
        <v>40</v>
      </c>
      <c r="E1320" t="s">
        <v>41</v>
      </c>
      <c r="J1320" t="s">
        <v>290</v>
      </c>
      <c r="K1320" t="s">
        <v>291</v>
      </c>
      <c r="L1320">
        <v>5</v>
      </c>
      <c r="M1320" t="s">
        <v>4875</v>
      </c>
      <c r="N1320" t="s">
        <v>59</v>
      </c>
      <c r="O1320" t="s">
        <v>47</v>
      </c>
      <c r="P1320" t="s">
        <v>47</v>
      </c>
      <c r="Y1320" t="s">
        <v>4876</v>
      </c>
      <c r="AG1320" t="s">
        <v>48</v>
      </c>
    </row>
    <row r="1321" spans="1:33">
      <c r="A1321" t="s">
        <v>4877</v>
      </c>
      <c r="B1321" t="s">
        <v>4878</v>
      </c>
      <c r="D1321" t="s">
        <v>40</v>
      </c>
      <c r="E1321" t="s">
        <v>41</v>
      </c>
      <c r="H1321" t="s">
        <v>4879</v>
      </c>
      <c r="J1321" t="s">
        <v>290</v>
      </c>
      <c r="K1321" t="s">
        <v>291</v>
      </c>
      <c r="L1321">
        <v>5</v>
      </c>
      <c r="M1321" t="s">
        <v>4880</v>
      </c>
      <c r="N1321" t="s">
        <v>59</v>
      </c>
      <c r="O1321" t="s">
        <v>47</v>
      </c>
      <c r="P1321" t="s">
        <v>47</v>
      </c>
      <c r="Y1321" t="s">
        <v>4879</v>
      </c>
      <c r="AG1321" t="s">
        <v>48</v>
      </c>
    </row>
    <row r="1322" spans="1:33">
      <c r="A1322" t="s">
        <v>4881</v>
      </c>
      <c r="B1322" t="s">
        <v>4882</v>
      </c>
      <c r="D1322" t="s">
        <v>40</v>
      </c>
      <c r="E1322" t="s">
        <v>41</v>
      </c>
      <c r="J1322" t="s">
        <v>162</v>
      </c>
      <c r="K1322" t="s">
        <v>163</v>
      </c>
      <c r="L1322">
        <v>5</v>
      </c>
      <c r="M1322" t="s">
        <v>4883</v>
      </c>
      <c r="N1322" t="s">
        <v>59</v>
      </c>
      <c r="O1322" t="s">
        <v>47</v>
      </c>
      <c r="P1322" t="s">
        <v>47</v>
      </c>
      <c r="Y1322" t="s">
        <v>4884</v>
      </c>
      <c r="AG1322" t="s">
        <v>48</v>
      </c>
    </row>
    <row r="1323" spans="1:33">
      <c r="A1323" t="s">
        <v>4885</v>
      </c>
      <c r="B1323" t="s">
        <v>4886</v>
      </c>
      <c r="D1323" t="s">
        <v>40</v>
      </c>
      <c r="E1323" t="s">
        <v>41</v>
      </c>
      <c r="J1323" t="s">
        <v>123</v>
      </c>
      <c r="K1323" t="s">
        <v>124</v>
      </c>
      <c r="L1323">
        <v>5</v>
      </c>
      <c r="M1323" t="s">
        <v>4883</v>
      </c>
      <c r="N1323" t="s">
        <v>218</v>
      </c>
      <c r="O1323" t="s">
        <v>47</v>
      </c>
      <c r="P1323" t="s">
        <v>47</v>
      </c>
      <c r="Y1323" t="s">
        <v>4887</v>
      </c>
      <c r="AG1323" t="s">
        <v>48</v>
      </c>
    </row>
    <row r="1324" spans="1:33">
      <c r="A1324" t="s">
        <v>4888</v>
      </c>
      <c r="B1324" t="s">
        <v>4889</v>
      </c>
      <c r="D1324" t="s">
        <v>40</v>
      </c>
      <c r="E1324" t="s">
        <v>41</v>
      </c>
      <c r="J1324" t="s">
        <v>114</v>
      </c>
      <c r="K1324" t="s">
        <v>115</v>
      </c>
      <c r="L1324">
        <v>5</v>
      </c>
      <c r="M1324" t="s">
        <v>4883</v>
      </c>
      <c r="N1324" t="s">
        <v>59</v>
      </c>
      <c r="O1324" t="s">
        <v>47</v>
      </c>
      <c r="P1324" t="s">
        <v>47</v>
      </c>
      <c r="Y1324" t="s">
        <v>4890</v>
      </c>
      <c r="AG1324" t="s">
        <v>48</v>
      </c>
    </row>
    <row r="1325" spans="1:33">
      <c r="A1325" t="s">
        <v>4891</v>
      </c>
      <c r="B1325" t="s">
        <v>4892</v>
      </c>
      <c r="D1325" t="s">
        <v>40</v>
      </c>
      <c r="E1325" t="s">
        <v>41</v>
      </c>
      <c r="J1325" t="s">
        <v>290</v>
      </c>
      <c r="K1325" t="s">
        <v>291</v>
      </c>
      <c r="L1325">
        <v>5</v>
      </c>
      <c r="M1325" t="s">
        <v>4883</v>
      </c>
      <c r="N1325" t="s">
        <v>59</v>
      </c>
      <c r="O1325" t="s">
        <v>47</v>
      </c>
      <c r="P1325" t="s">
        <v>47</v>
      </c>
      <c r="Y1325" t="s">
        <v>4893</v>
      </c>
      <c r="AG1325" t="s">
        <v>48</v>
      </c>
    </row>
    <row r="1326" spans="1:33">
      <c r="A1326" t="s">
        <v>4894</v>
      </c>
      <c r="B1326" t="s">
        <v>4895</v>
      </c>
      <c r="D1326" t="s">
        <v>40</v>
      </c>
      <c r="E1326" t="s">
        <v>41</v>
      </c>
      <c r="J1326" t="s">
        <v>290</v>
      </c>
      <c r="K1326" t="s">
        <v>291</v>
      </c>
      <c r="L1326">
        <v>5</v>
      </c>
      <c r="M1326" t="s">
        <v>4896</v>
      </c>
      <c r="N1326" t="s">
        <v>59</v>
      </c>
      <c r="O1326" t="s">
        <v>47</v>
      </c>
      <c r="P1326" t="s">
        <v>47</v>
      </c>
      <c r="Y1326" t="s">
        <v>4897</v>
      </c>
      <c r="AG1326" t="s">
        <v>48</v>
      </c>
    </row>
    <row r="1327" spans="1:33">
      <c r="A1327" t="s">
        <v>4898</v>
      </c>
      <c r="B1327" t="s">
        <v>4899</v>
      </c>
      <c r="D1327" t="s">
        <v>40</v>
      </c>
      <c r="E1327" t="s">
        <v>41</v>
      </c>
      <c r="J1327" t="s">
        <v>129</v>
      </c>
      <c r="K1327" t="s">
        <v>130</v>
      </c>
      <c r="L1327">
        <v>5</v>
      </c>
      <c r="M1327" t="s">
        <v>4900</v>
      </c>
      <c r="N1327" t="s">
        <v>46</v>
      </c>
      <c r="O1327" t="s">
        <v>47</v>
      </c>
      <c r="P1327" t="s">
        <v>47</v>
      </c>
      <c r="Y1327" t="s">
        <v>4901</v>
      </c>
      <c r="AG1327" t="s">
        <v>48</v>
      </c>
    </row>
    <row r="1328" spans="1:33">
      <c r="A1328" t="s">
        <v>4902</v>
      </c>
      <c r="B1328" t="s">
        <v>4903</v>
      </c>
      <c r="D1328" t="s">
        <v>40</v>
      </c>
      <c r="E1328" t="s">
        <v>41</v>
      </c>
      <c r="J1328" t="s">
        <v>108</v>
      </c>
      <c r="K1328" t="s">
        <v>109</v>
      </c>
      <c r="L1328">
        <v>5</v>
      </c>
      <c r="M1328" t="s">
        <v>4904</v>
      </c>
      <c r="N1328" t="s">
        <v>59</v>
      </c>
      <c r="O1328" t="s">
        <v>47</v>
      </c>
      <c r="P1328" t="s">
        <v>47</v>
      </c>
      <c r="Y1328" t="s">
        <v>4905</v>
      </c>
      <c r="AG1328" t="s">
        <v>48</v>
      </c>
    </row>
    <row r="1329" spans="1:33">
      <c r="A1329" t="s">
        <v>4906</v>
      </c>
      <c r="B1329" t="s">
        <v>4907</v>
      </c>
      <c r="D1329" t="s">
        <v>40</v>
      </c>
      <c r="E1329" t="s">
        <v>41</v>
      </c>
      <c r="J1329" t="s">
        <v>290</v>
      </c>
      <c r="K1329" t="s">
        <v>291</v>
      </c>
      <c r="L1329">
        <v>5</v>
      </c>
      <c r="M1329" t="s">
        <v>4908</v>
      </c>
      <c r="N1329" t="s">
        <v>59</v>
      </c>
      <c r="O1329" t="s">
        <v>47</v>
      </c>
      <c r="P1329" t="s">
        <v>47</v>
      </c>
      <c r="Y1329" t="s">
        <v>4909</v>
      </c>
      <c r="AG1329" t="s">
        <v>48</v>
      </c>
    </row>
    <row r="1330" spans="1:33">
      <c r="A1330" t="s">
        <v>4910</v>
      </c>
      <c r="B1330" t="s">
        <v>4911</v>
      </c>
      <c r="D1330" t="s">
        <v>40</v>
      </c>
      <c r="E1330" t="s">
        <v>41</v>
      </c>
      <c r="J1330" t="s">
        <v>290</v>
      </c>
      <c r="K1330" t="s">
        <v>291</v>
      </c>
      <c r="L1330">
        <v>5</v>
      </c>
      <c r="M1330" t="s">
        <v>4908</v>
      </c>
      <c r="N1330" t="s">
        <v>59</v>
      </c>
      <c r="O1330" t="s">
        <v>47</v>
      </c>
      <c r="P1330" t="s">
        <v>47</v>
      </c>
      <c r="Y1330" t="s">
        <v>4912</v>
      </c>
      <c r="AG1330" t="s">
        <v>48</v>
      </c>
    </row>
    <row r="1331" spans="1:33">
      <c r="A1331" t="s">
        <v>4913</v>
      </c>
      <c r="B1331" t="s">
        <v>4914</v>
      </c>
      <c r="D1331" t="s">
        <v>40</v>
      </c>
      <c r="E1331" t="s">
        <v>41</v>
      </c>
      <c r="J1331" t="s">
        <v>290</v>
      </c>
      <c r="K1331" t="s">
        <v>291</v>
      </c>
      <c r="L1331">
        <v>5</v>
      </c>
      <c r="M1331" t="s">
        <v>4908</v>
      </c>
      <c r="N1331" t="s">
        <v>59</v>
      </c>
      <c r="O1331" t="s">
        <v>47</v>
      </c>
      <c r="P1331" t="s">
        <v>47</v>
      </c>
      <c r="Y1331" t="s">
        <v>4915</v>
      </c>
      <c r="AG1331" t="s">
        <v>48</v>
      </c>
    </row>
    <row r="1332" spans="1:33">
      <c r="A1332" t="s">
        <v>4916</v>
      </c>
      <c r="B1332" t="s">
        <v>4917</v>
      </c>
      <c r="D1332" t="s">
        <v>40</v>
      </c>
      <c r="E1332" t="s">
        <v>41</v>
      </c>
      <c r="J1332" t="s">
        <v>162</v>
      </c>
      <c r="K1332" t="s">
        <v>163</v>
      </c>
      <c r="L1332">
        <v>5</v>
      </c>
      <c r="M1332" t="s">
        <v>4918</v>
      </c>
      <c r="N1332" t="s">
        <v>59</v>
      </c>
      <c r="O1332" t="s">
        <v>47</v>
      </c>
      <c r="P1332" t="s">
        <v>47</v>
      </c>
      <c r="Y1332" t="s">
        <v>4919</v>
      </c>
      <c r="AG1332" t="s">
        <v>48</v>
      </c>
    </row>
    <row r="1333" spans="1:33">
      <c r="A1333" t="s">
        <v>4920</v>
      </c>
      <c r="B1333" t="s">
        <v>4921</v>
      </c>
      <c r="D1333" t="s">
        <v>40</v>
      </c>
      <c r="E1333" t="s">
        <v>41</v>
      </c>
      <c r="H1333" t="s">
        <v>4922</v>
      </c>
      <c r="J1333" t="s">
        <v>129</v>
      </c>
      <c r="K1333" t="s">
        <v>130</v>
      </c>
      <c r="L1333">
        <v>5</v>
      </c>
      <c r="M1333" t="s">
        <v>4923</v>
      </c>
      <c r="N1333" t="s">
        <v>192</v>
      </c>
      <c r="O1333" t="s">
        <v>47</v>
      </c>
      <c r="P1333" t="s">
        <v>47</v>
      </c>
      <c r="Y1333" t="s">
        <v>4922</v>
      </c>
      <c r="AG1333" t="s">
        <v>48</v>
      </c>
    </row>
    <row r="1334" spans="1:33">
      <c r="A1334" t="s">
        <v>4924</v>
      </c>
      <c r="B1334" t="s">
        <v>4925</v>
      </c>
      <c r="D1334" t="s">
        <v>40</v>
      </c>
      <c r="E1334" t="s">
        <v>41</v>
      </c>
      <c r="H1334" t="s">
        <v>4926</v>
      </c>
      <c r="J1334" t="s">
        <v>270</v>
      </c>
      <c r="K1334" t="s">
        <v>271</v>
      </c>
      <c r="L1334">
        <v>5</v>
      </c>
      <c r="M1334" t="s">
        <v>4923</v>
      </c>
      <c r="N1334" t="s">
        <v>59</v>
      </c>
      <c r="O1334" t="s">
        <v>47</v>
      </c>
      <c r="P1334" t="s">
        <v>47</v>
      </c>
      <c r="Y1334" t="s">
        <v>4926</v>
      </c>
      <c r="AG1334" t="s">
        <v>48</v>
      </c>
    </row>
    <row r="1335" spans="1:33">
      <c r="A1335" t="s">
        <v>4927</v>
      </c>
      <c r="B1335" t="s">
        <v>4928</v>
      </c>
      <c r="D1335" t="s">
        <v>40</v>
      </c>
      <c r="E1335" t="s">
        <v>41</v>
      </c>
      <c r="J1335" t="s">
        <v>270</v>
      </c>
      <c r="K1335" t="s">
        <v>271</v>
      </c>
      <c r="L1335">
        <v>5</v>
      </c>
      <c r="M1335" t="s">
        <v>4923</v>
      </c>
      <c r="N1335" t="s">
        <v>59</v>
      </c>
      <c r="O1335" t="s">
        <v>47</v>
      </c>
      <c r="P1335" t="s">
        <v>47</v>
      </c>
      <c r="Y1335" t="s">
        <v>4929</v>
      </c>
      <c r="AG1335" t="s">
        <v>48</v>
      </c>
    </row>
    <row r="1336" spans="1:33">
      <c r="A1336" t="s">
        <v>4930</v>
      </c>
      <c r="B1336" t="s">
        <v>4931</v>
      </c>
      <c r="D1336" t="s">
        <v>40</v>
      </c>
      <c r="E1336" t="s">
        <v>41</v>
      </c>
      <c r="H1336" t="s">
        <v>4932</v>
      </c>
      <c r="J1336" t="s">
        <v>108</v>
      </c>
      <c r="K1336" t="s">
        <v>109</v>
      </c>
      <c r="L1336">
        <v>5</v>
      </c>
      <c r="M1336" t="s">
        <v>4923</v>
      </c>
      <c r="N1336" t="s">
        <v>192</v>
      </c>
      <c r="O1336" t="s">
        <v>47</v>
      </c>
      <c r="P1336" t="s">
        <v>47</v>
      </c>
      <c r="Y1336" t="s">
        <v>4932</v>
      </c>
      <c r="AG1336" t="s">
        <v>48</v>
      </c>
    </row>
    <row r="1337" spans="1:33">
      <c r="A1337" t="s">
        <v>4933</v>
      </c>
      <c r="B1337" t="s">
        <v>4934</v>
      </c>
      <c r="D1337" t="s">
        <v>40</v>
      </c>
      <c r="E1337" t="s">
        <v>41</v>
      </c>
      <c r="H1337" t="s">
        <v>4935</v>
      </c>
      <c r="J1337" t="s">
        <v>43</v>
      </c>
      <c r="K1337" t="s">
        <v>44</v>
      </c>
      <c r="L1337">
        <v>5</v>
      </c>
      <c r="M1337" t="s">
        <v>4936</v>
      </c>
      <c r="N1337" t="s">
        <v>192</v>
      </c>
      <c r="O1337" t="s">
        <v>47</v>
      </c>
      <c r="P1337" t="s">
        <v>47</v>
      </c>
      <c r="Y1337" t="s">
        <v>4935</v>
      </c>
      <c r="AG1337" t="s">
        <v>48</v>
      </c>
    </row>
    <row r="1338" spans="1:33">
      <c r="A1338" t="s">
        <v>4937</v>
      </c>
      <c r="B1338" t="s">
        <v>4938</v>
      </c>
      <c r="D1338" t="s">
        <v>40</v>
      </c>
      <c r="E1338" t="s">
        <v>41</v>
      </c>
      <c r="J1338" t="s">
        <v>290</v>
      </c>
      <c r="K1338" t="s">
        <v>291</v>
      </c>
      <c r="L1338">
        <v>5</v>
      </c>
      <c r="M1338" t="s">
        <v>4939</v>
      </c>
      <c r="N1338" t="s">
        <v>59</v>
      </c>
      <c r="O1338" t="s">
        <v>47</v>
      </c>
      <c r="P1338" t="s">
        <v>47</v>
      </c>
      <c r="Y1338" t="s">
        <v>4940</v>
      </c>
      <c r="AG1338" t="s">
        <v>48</v>
      </c>
    </row>
    <row r="1339" spans="1:33">
      <c r="A1339" t="s">
        <v>4941</v>
      </c>
      <c r="B1339" t="s">
        <v>4942</v>
      </c>
      <c r="D1339" t="s">
        <v>40</v>
      </c>
      <c r="E1339" t="s">
        <v>41</v>
      </c>
      <c r="J1339" t="s">
        <v>129</v>
      </c>
      <c r="K1339" t="s">
        <v>130</v>
      </c>
      <c r="L1339">
        <v>5</v>
      </c>
      <c r="M1339" t="s">
        <v>4939</v>
      </c>
      <c r="N1339" t="s">
        <v>46</v>
      </c>
      <c r="O1339" t="s">
        <v>47</v>
      </c>
      <c r="P1339" t="s">
        <v>47</v>
      </c>
      <c r="Y1339" t="s">
        <v>4943</v>
      </c>
      <c r="AG1339" t="s">
        <v>48</v>
      </c>
    </row>
    <row r="1340" spans="1:33">
      <c r="A1340" t="s">
        <v>4944</v>
      </c>
      <c r="B1340" t="s">
        <v>4945</v>
      </c>
      <c r="D1340" t="s">
        <v>40</v>
      </c>
      <c r="E1340" t="s">
        <v>41</v>
      </c>
      <c r="J1340" t="s">
        <v>162</v>
      </c>
      <c r="K1340" t="s">
        <v>163</v>
      </c>
      <c r="L1340">
        <v>5</v>
      </c>
      <c r="M1340" t="s">
        <v>4946</v>
      </c>
      <c r="N1340" t="s">
        <v>59</v>
      </c>
      <c r="O1340" t="s">
        <v>47</v>
      </c>
      <c r="P1340" t="s">
        <v>47</v>
      </c>
      <c r="Y1340" t="s">
        <v>4947</v>
      </c>
      <c r="AG1340" t="s">
        <v>48</v>
      </c>
    </row>
    <row r="1341" spans="1:33">
      <c r="A1341" t="s">
        <v>4948</v>
      </c>
      <c r="B1341" t="s">
        <v>4949</v>
      </c>
      <c r="D1341" t="s">
        <v>40</v>
      </c>
      <c r="E1341" t="s">
        <v>41</v>
      </c>
      <c r="J1341" t="s">
        <v>290</v>
      </c>
      <c r="K1341" t="s">
        <v>291</v>
      </c>
      <c r="L1341">
        <v>5</v>
      </c>
      <c r="M1341" t="s">
        <v>4950</v>
      </c>
      <c r="N1341" t="s">
        <v>59</v>
      </c>
      <c r="O1341" t="s">
        <v>47</v>
      </c>
      <c r="P1341" t="s">
        <v>47</v>
      </c>
      <c r="Y1341" t="s">
        <v>4951</v>
      </c>
      <c r="AG1341" t="s">
        <v>48</v>
      </c>
    </row>
    <row r="1342" spans="1:33">
      <c r="A1342" t="s">
        <v>4952</v>
      </c>
      <c r="B1342" t="s">
        <v>4953</v>
      </c>
      <c r="D1342" t="s">
        <v>40</v>
      </c>
      <c r="E1342" t="s">
        <v>41</v>
      </c>
      <c r="J1342" t="s">
        <v>108</v>
      </c>
      <c r="K1342" t="s">
        <v>109</v>
      </c>
      <c r="L1342">
        <v>5</v>
      </c>
      <c r="M1342" t="s">
        <v>4954</v>
      </c>
      <c r="N1342" t="s">
        <v>59</v>
      </c>
      <c r="O1342" t="s">
        <v>47</v>
      </c>
      <c r="P1342" t="s">
        <v>47</v>
      </c>
      <c r="Y1342" t="s">
        <v>4955</v>
      </c>
      <c r="AG1342" t="s">
        <v>48</v>
      </c>
    </row>
    <row r="1343" spans="1:33">
      <c r="A1343" t="s">
        <v>4956</v>
      </c>
      <c r="B1343" t="s">
        <v>4957</v>
      </c>
      <c r="D1343" t="s">
        <v>40</v>
      </c>
      <c r="E1343" t="s">
        <v>41</v>
      </c>
      <c r="J1343" t="s">
        <v>114</v>
      </c>
      <c r="K1343" t="s">
        <v>115</v>
      </c>
      <c r="L1343">
        <v>5</v>
      </c>
      <c r="M1343" t="s">
        <v>4958</v>
      </c>
      <c r="N1343" t="s">
        <v>59</v>
      </c>
      <c r="O1343" t="s">
        <v>47</v>
      </c>
      <c r="P1343" t="s">
        <v>47</v>
      </c>
      <c r="Y1343" t="s">
        <v>4959</v>
      </c>
      <c r="AG1343" t="s">
        <v>48</v>
      </c>
    </row>
    <row r="1344" spans="1:33">
      <c r="A1344" t="s">
        <v>4960</v>
      </c>
      <c r="B1344" t="s">
        <v>4961</v>
      </c>
      <c r="D1344" t="s">
        <v>40</v>
      </c>
      <c r="E1344" t="s">
        <v>41</v>
      </c>
      <c r="J1344" t="s">
        <v>290</v>
      </c>
      <c r="K1344" t="s">
        <v>291</v>
      </c>
      <c r="L1344">
        <v>5</v>
      </c>
      <c r="M1344" t="s">
        <v>4958</v>
      </c>
      <c r="N1344" t="s">
        <v>59</v>
      </c>
      <c r="O1344" t="s">
        <v>47</v>
      </c>
      <c r="P1344" t="s">
        <v>47</v>
      </c>
      <c r="Y1344" t="s">
        <v>4962</v>
      </c>
      <c r="AG1344" t="s">
        <v>48</v>
      </c>
    </row>
    <row r="1345" spans="1:33">
      <c r="A1345" t="s">
        <v>4963</v>
      </c>
      <c r="B1345" t="s">
        <v>4964</v>
      </c>
      <c r="D1345" t="s">
        <v>40</v>
      </c>
      <c r="E1345" t="s">
        <v>41</v>
      </c>
      <c r="J1345" t="s">
        <v>290</v>
      </c>
      <c r="K1345" t="s">
        <v>291</v>
      </c>
      <c r="L1345">
        <v>5</v>
      </c>
      <c r="M1345" t="s">
        <v>4958</v>
      </c>
      <c r="N1345" t="s">
        <v>59</v>
      </c>
      <c r="O1345" t="s">
        <v>47</v>
      </c>
      <c r="P1345" t="s">
        <v>47</v>
      </c>
      <c r="Y1345" t="s">
        <v>4965</v>
      </c>
      <c r="AG1345" t="s">
        <v>48</v>
      </c>
    </row>
    <row r="1346" spans="1:33">
      <c r="A1346" t="s">
        <v>4966</v>
      </c>
      <c r="B1346" t="s">
        <v>4967</v>
      </c>
      <c r="D1346" t="s">
        <v>40</v>
      </c>
      <c r="E1346" t="s">
        <v>41</v>
      </c>
      <c r="J1346" t="s">
        <v>270</v>
      </c>
      <c r="K1346" t="s">
        <v>271</v>
      </c>
      <c r="L1346">
        <v>5</v>
      </c>
      <c r="M1346" t="s">
        <v>4968</v>
      </c>
      <c r="N1346" t="s">
        <v>59</v>
      </c>
      <c r="O1346" t="s">
        <v>47</v>
      </c>
      <c r="P1346" t="s">
        <v>47</v>
      </c>
      <c r="Y1346" t="s">
        <v>4969</v>
      </c>
      <c r="AG1346" t="s">
        <v>48</v>
      </c>
    </row>
    <row r="1347" spans="1:33">
      <c r="A1347" t="s">
        <v>4970</v>
      </c>
      <c r="B1347" t="s">
        <v>4971</v>
      </c>
      <c r="D1347" t="s">
        <v>40</v>
      </c>
      <c r="E1347" t="s">
        <v>41</v>
      </c>
      <c r="J1347" t="s">
        <v>129</v>
      </c>
      <c r="K1347" t="s">
        <v>130</v>
      </c>
      <c r="L1347">
        <v>5</v>
      </c>
      <c r="M1347" t="s">
        <v>4972</v>
      </c>
      <c r="N1347" t="s">
        <v>218</v>
      </c>
      <c r="O1347" t="s">
        <v>47</v>
      </c>
      <c r="P1347" t="s">
        <v>47</v>
      </c>
      <c r="Y1347" t="s">
        <v>4973</v>
      </c>
      <c r="AG1347" t="s">
        <v>48</v>
      </c>
    </row>
    <row r="1348" spans="1:33">
      <c r="A1348" t="s">
        <v>4974</v>
      </c>
      <c r="B1348" t="s">
        <v>4975</v>
      </c>
      <c r="D1348" t="s">
        <v>40</v>
      </c>
      <c r="E1348" t="s">
        <v>41</v>
      </c>
      <c r="J1348" t="s">
        <v>290</v>
      </c>
      <c r="K1348" t="s">
        <v>291</v>
      </c>
      <c r="L1348">
        <v>5</v>
      </c>
      <c r="M1348" t="s">
        <v>4972</v>
      </c>
      <c r="N1348" t="s">
        <v>59</v>
      </c>
      <c r="O1348" t="s">
        <v>47</v>
      </c>
      <c r="P1348" t="s">
        <v>47</v>
      </c>
      <c r="Y1348" t="s">
        <v>4976</v>
      </c>
      <c r="AG1348" t="s">
        <v>48</v>
      </c>
    </row>
    <row r="1349" spans="1:33">
      <c r="A1349" t="s">
        <v>4977</v>
      </c>
      <c r="B1349" t="s">
        <v>4978</v>
      </c>
      <c r="D1349" t="s">
        <v>40</v>
      </c>
      <c r="E1349" t="s">
        <v>41</v>
      </c>
      <c r="H1349" t="s">
        <v>4979</v>
      </c>
      <c r="J1349" t="s">
        <v>63</v>
      </c>
      <c r="K1349" t="s">
        <v>64</v>
      </c>
      <c r="L1349">
        <v>5</v>
      </c>
      <c r="M1349" t="s">
        <v>4980</v>
      </c>
      <c r="N1349" t="s">
        <v>59</v>
      </c>
      <c r="O1349" t="s">
        <v>47</v>
      </c>
      <c r="P1349" t="s">
        <v>47</v>
      </c>
      <c r="Y1349" t="s">
        <v>4979</v>
      </c>
      <c r="AG1349" t="s">
        <v>48</v>
      </c>
    </row>
    <row r="1350" spans="1:33">
      <c r="A1350" t="s">
        <v>4981</v>
      </c>
      <c r="B1350" t="s">
        <v>4982</v>
      </c>
      <c r="D1350" t="s">
        <v>40</v>
      </c>
      <c r="E1350" t="s">
        <v>41</v>
      </c>
      <c r="J1350" t="s">
        <v>162</v>
      </c>
      <c r="K1350" t="s">
        <v>163</v>
      </c>
      <c r="L1350">
        <v>5</v>
      </c>
      <c r="M1350" t="s">
        <v>4983</v>
      </c>
      <c r="N1350" t="s">
        <v>59</v>
      </c>
      <c r="O1350" t="s">
        <v>47</v>
      </c>
      <c r="P1350" t="s">
        <v>47</v>
      </c>
      <c r="Y1350" t="s">
        <v>4984</v>
      </c>
      <c r="AG1350" t="s">
        <v>48</v>
      </c>
    </row>
    <row r="1351" spans="1:33">
      <c r="A1351" t="s">
        <v>4985</v>
      </c>
      <c r="B1351" t="s">
        <v>4986</v>
      </c>
      <c r="D1351" t="s">
        <v>40</v>
      </c>
      <c r="E1351" t="s">
        <v>41</v>
      </c>
      <c r="J1351" t="s">
        <v>290</v>
      </c>
      <c r="K1351" t="s">
        <v>291</v>
      </c>
      <c r="L1351">
        <v>5</v>
      </c>
      <c r="M1351" t="s">
        <v>4987</v>
      </c>
      <c r="N1351" t="s">
        <v>59</v>
      </c>
      <c r="O1351" t="s">
        <v>47</v>
      </c>
      <c r="P1351" t="s">
        <v>47</v>
      </c>
      <c r="Y1351" t="s">
        <v>4988</v>
      </c>
      <c r="AG1351" t="s">
        <v>48</v>
      </c>
    </row>
    <row r="1352" spans="1:33">
      <c r="A1352" t="s">
        <v>4989</v>
      </c>
      <c r="B1352" t="s">
        <v>4990</v>
      </c>
      <c r="D1352" t="s">
        <v>40</v>
      </c>
      <c r="E1352" t="s">
        <v>41</v>
      </c>
      <c r="J1352" t="s">
        <v>290</v>
      </c>
      <c r="K1352" t="s">
        <v>291</v>
      </c>
      <c r="L1352">
        <v>5</v>
      </c>
      <c r="M1352" t="s">
        <v>4991</v>
      </c>
      <c r="N1352" t="s">
        <v>59</v>
      </c>
      <c r="O1352" t="s">
        <v>47</v>
      </c>
      <c r="P1352" t="s">
        <v>47</v>
      </c>
      <c r="Y1352" t="s">
        <v>4992</v>
      </c>
      <c r="AG1352" t="s">
        <v>48</v>
      </c>
    </row>
    <row r="1353" spans="1:33">
      <c r="A1353" t="s">
        <v>4993</v>
      </c>
      <c r="B1353" t="s">
        <v>4994</v>
      </c>
      <c r="D1353" t="s">
        <v>40</v>
      </c>
      <c r="E1353" t="s">
        <v>41</v>
      </c>
      <c r="J1353" t="s">
        <v>290</v>
      </c>
      <c r="K1353" t="s">
        <v>291</v>
      </c>
      <c r="L1353">
        <v>5</v>
      </c>
      <c r="M1353" t="s">
        <v>4995</v>
      </c>
      <c r="N1353" t="s">
        <v>59</v>
      </c>
      <c r="O1353" t="s">
        <v>47</v>
      </c>
      <c r="P1353" t="s">
        <v>47</v>
      </c>
      <c r="Y1353" t="s">
        <v>4996</v>
      </c>
      <c r="AG1353" t="s">
        <v>48</v>
      </c>
    </row>
    <row r="1354" spans="1:33">
      <c r="A1354" t="s">
        <v>4997</v>
      </c>
      <c r="B1354" t="s">
        <v>4998</v>
      </c>
      <c r="D1354" t="s">
        <v>40</v>
      </c>
      <c r="E1354" t="s">
        <v>41</v>
      </c>
      <c r="J1354" t="s">
        <v>270</v>
      </c>
      <c r="K1354" t="s">
        <v>271</v>
      </c>
      <c r="L1354">
        <v>5</v>
      </c>
      <c r="M1354" t="s">
        <v>4999</v>
      </c>
      <c r="N1354" t="s">
        <v>59</v>
      </c>
      <c r="O1354" t="s">
        <v>47</v>
      </c>
      <c r="P1354" t="s">
        <v>47</v>
      </c>
      <c r="Y1354" t="s">
        <v>5000</v>
      </c>
      <c r="AG1354" t="s">
        <v>48</v>
      </c>
    </row>
    <row r="1355" spans="1:33">
      <c r="A1355" t="s">
        <v>5001</v>
      </c>
      <c r="B1355" t="s">
        <v>5002</v>
      </c>
      <c r="D1355" t="s">
        <v>40</v>
      </c>
      <c r="E1355" t="s">
        <v>41</v>
      </c>
      <c r="J1355" t="s">
        <v>290</v>
      </c>
      <c r="K1355" t="s">
        <v>291</v>
      </c>
      <c r="L1355">
        <v>5</v>
      </c>
      <c r="M1355" t="s">
        <v>5003</v>
      </c>
      <c r="N1355" t="s">
        <v>59</v>
      </c>
      <c r="O1355" t="s">
        <v>47</v>
      </c>
      <c r="P1355" t="s">
        <v>47</v>
      </c>
      <c r="Y1355" t="s">
        <v>5004</v>
      </c>
      <c r="AG1355" t="s">
        <v>48</v>
      </c>
    </row>
    <row r="1356" spans="1:33">
      <c r="A1356" t="s">
        <v>5005</v>
      </c>
      <c r="B1356" t="s">
        <v>5006</v>
      </c>
      <c r="D1356" t="s">
        <v>40</v>
      </c>
      <c r="E1356" t="s">
        <v>41</v>
      </c>
      <c r="J1356" t="s">
        <v>129</v>
      </c>
      <c r="K1356" t="s">
        <v>130</v>
      </c>
      <c r="L1356">
        <v>5</v>
      </c>
      <c r="M1356" t="s">
        <v>5007</v>
      </c>
      <c r="N1356" t="s">
        <v>218</v>
      </c>
      <c r="O1356" t="s">
        <v>47</v>
      </c>
      <c r="P1356" t="s">
        <v>47</v>
      </c>
      <c r="Y1356" t="s">
        <v>5008</v>
      </c>
      <c r="AG1356" t="s">
        <v>48</v>
      </c>
    </row>
    <row r="1357" spans="1:33">
      <c r="A1357" t="s">
        <v>5009</v>
      </c>
      <c r="B1357" t="s">
        <v>5010</v>
      </c>
      <c r="D1357" t="s">
        <v>40</v>
      </c>
      <c r="E1357" t="s">
        <v>41</v>
      </c>
      <c r="J1357" t="s">
        <v>162</v>
      </c>
      <c r="K1357" t="s">
        <v>163</v>
      </c>
      <c r="L1357">
        <v>5</v>
      </c>
      <c r="M1357" t="s">
        <v>5011</v>
      </c>
      <c r="N1357" t="s">
        <v>59</v>
      </c>
      <c r="O1357" t="s">
        <v>47</v>
      </c>
      <c r="P1357" t="s">
        <v>47</v>
      </c>
      <c r="Y1357" t="s">
        <v>5012</v>
      </c>
      <c r="AG1357" t="s">
        <v>48</v>
      </c>
    </row>
    <row r="1358" spans="1:33">
      <c r="A1358" t="s">
        <v>5013</v>
      </c>
      <c r="B1358" t="s">
        <v>5014</v>
      </c>
      <c r="D1358" t="s">
        <v>40</v>
      </c>
      <c r="E1358" t="s">
        <v>41</v>
      </c>
      <c r="H1358" t="s">
        <v>5015</v>
      </c>
      <c r="J1358" t="s">
        <v>270</v>
      </c>
      <c r="K1358" t="s">
        <v>271</v>
      </c>
      <c r="L1358">
        <v>5</v>
      </c>
      <c r="M1358" t="s">
        <v>5016</v>
      </c>
      <c r="N1358" t="s">
        <v>59</v>
      </c>
      <c r="O1358" t="s">
        <v>47</v>
      </c>
      <c r="P1358" t="s">
        <v>47</v>
      </c>
      <c r="Y1358" t="s">
        <v>5015</v>
      </c>
      <c r="AG1358" t="s">
        <v>48</v>
      </c>
    </row>
    <row r="1359" spans="1:33">
      <c r="A1359" t="s">
        <v>5017</v>
      </c>
      <c r="B1359" t="s">
        <v>5018</v>
      </c>
      <c r="D1359" t="s">
        <v>40</v>
      </c>
      <c r="E1359" t="s">
        <v>41</v>
      </c>
      <c r="J1359" t="s">
        <v>290</v>
      </c>
      <c r="K1359" t="s">
        <v>291</v>
      </c>
      <c r="L1359">
        <v>5</v>
      </c>
      <c r="M1359" t="s">
        <v>5016</v>
      </c>
      <c r="N1359" t="s">
        <v>59</v>
      </c>
      <c r="O1359" t="s">
        <v>47</v>
      </c>
      <c r="P1359" t="s">
        <v>47</v>
      </c>
      <c r="Y1359" t="s">
        <v>5019</v>
      </c>
      <c r="AG1359" t="s">
        <v>48</v>
      </c>
    </row>
    <row r="1360" spans="1:33">
      <c r="A1360" t="s">
        <v>5020</v>
      </c>
      <c r="B1360" t="s">
        <v>5021</v>
      </c>
      <c r="D1360" t="s">
        <v>40</v>
      </c>
      <c r="E1360" t="s">
        <v>41</v>
      </c>
      <c r="J1360" t="s">
        <v>162</v>
      </c>
      <c r="K1360" t="s">
        <v>163</v>
      </c>
      <c r="L1360">
        <v>5</v>
      </c>
      <c r="M1360" t="s">
        <v>5022</v>
      </c>
      <c r="N1360" t="s">
        <v>59</v>
      </c>
      <c r="O1360" t="s">
        <v>47</v>
      </c>
      <c r="P1360" t="s">
        <v>47</v>
      </c>
      <c r="Y1360" t="s">
        <v>5023</v>
      </c>
      <c r="AG1360" t="s">
        <v>48</v>
      </c>
    </row>
    <row r="1361" spans="1:33">
      <c r="A1361" t="s">
        <v>5024</v>
      </c>
      <c r="B1361" t="s">
        <v>5025</v>
      </c>
      <c r="D1361" t="s">
        <v>40</v>
      </c>
      <c r="E1361" t="s">
        <v>41</v>
      </c>
      <c r="J1361" t="s">
        <v>162</v>
      </c>
      <c r="K1361" t="s">
        <v>163</v>
      </c>
      <c r="L1361">
        <v>5</v>
      </c>
      <c r="M1361" t="s">
        <v>5022</v>
      </c>
      <c r="N1361" t="s">
        <v>59</v>
      </c>
      <c r="O1361" t="s">
        <v>47</v>
      </c>
      <c r="P1361" t="s">
        <v>47</v>
      </c>
      <c r="Y1361" t="s">
        <v>5026</v>
      </c>
      <c r="AG1361" t="s">
        <v>48</v>
      </c>
    </row>
    <row r="1362" spans="1:33">
      <c r="A1362" t="s">
        <v>5027</v>
      </c>
      <c r="B1362" t="s">
        <v>5028</v>
      </c>
      <c r="D1362" t="s">
        <v>40</v>
      </c>
      <c r="E1362" t="s">
        <v>41</v>
      </c>
      <c r="H1362" t="s">
        <v>5029</v>
      </c>
      <c r="J1362" t="s">
        <v>129</v>
      </c>
      <c r="K1362" t="s">
        <v>130</v>
      </c>
      <c r="L1362">
        <v>5</v>
      </c>
      <c r="M1362" t="s">
        <v>5022</v>
      </c>
      <c r="N1362" t="s">
        <v>192</v>
      </c>
      <c r="O1362" t="s">
        <v>47</v>
      </c>
      <c r="P1362" t="s">
        <v>47</v>
      </c>
      <c r="Y1362" t="s">
        <v>5029</v>
      </c>
      <c r="AG1362" t="s">
        <v>48</v>
      </c>
    </row>
    <row r="1363" spans="1:33">
      <c r="A1363" t="s">
        <v>5030</v>
      </c>
      <c r="B1363" t="s">
        <v>5031</v>
      </c>
      <c r="D1363" t="s">
        <v>40</v>
      </c>
      <c r="E1363" t="s">
        <v>41</v>
      </c>
      <c r="J1363" t="s">
        <v>290</v>
      </c>
      <c r="K1363" t="s">
        <v>291</v>
      </c>
      <c r="L1363">
        <v>5</v>
      </c>
      <c r="M1363" t="s">
        <v>5022</v>
      </c>
      <c r="N1363" t="s">
        <v>59</v>
      </c>
      <c r="O1363" t="s">
        <v>47</v>
      </c>
      <c r="P1363" t="s">
        <v>47</v>
      </c>
      <c r="Y1363" t="s">
        <v>5032</v>
      </c>
      <c r="AG1363" t="s">
        <v>48</v>
      </c>
    </row>
    <row r="1364" spans="1:33">
      <c r="A1364" t="s">
        <v>5033</v>
      </c>
      <c r="B1364" t="s">
        <v>5034</v>
      </c>
      <c r="D1364" t="s">
        <v>40</v>
      </c>
      <c r="E1364" t="s">
        <v>41</v>
      </c>
      <c r="J1364" t="s">
        <v>129</v>
      </c>
      <c r="K1364" t="s">
        <v>130</v>
      </c>
      <c r="L1364">
        <v>5</v>
      </c>
      <c r="M1364" t="s">
        <v>5022</v>
      </c>
      <c r="N1364" t="s">
        <v>46</v>
      </c>
      <c r="O1364" t="s">
        <v>47</v>
      </c>
      <c r="P1364" t="s">
        <v>47</v>
      </c>
      <c r="Y1364" t="s">
        <v>5035</v>
      </c>
      <c r="AG1364" t="s">
        <v>48</v>
      </c>
    </row>
    <row r="1365" spans="1:33">
      <c r="A1365" t="s">
        <v>5036</v>
      </c>
      <c r="B1365" t="s">
        <v>5037</v>
      </c>
      <c r="D1365" t="s">
        <v>40</v>
      </c>
      <c r="E1365" t="s">
        <v>41</v>
      </c>
      <c r="H1365" t="s">
        <v>5038</v>
      </c>
      <c r="J1365" t="s">
        <v>108</v>
      </c>
      <c r="K1365" t="s">
        <v>109</v>
      </c>
      <c r="L1365">
        <v>5</v>
      </c>
      <c r="M1365" t="s">
        <v>5039</v>
      </c>
      <c r="N1365" t="s">
        <v>59</v>
      </c>
      <c r="O1365" t="s">
        <v>47</v>
      </c>
      <c r="P1365" t="s">
        <v>47</v>
      </c>
      <c r="Y1365" t="s">
        <v>5038</v>
      </c>
      <c r="AG1365" t="s">
        <v>48</v>
      </c>
    </row>
    <row r="1366" spans="1:33">
      <c r="A1366" t="s">
        <v>5040</v>
      </c>
      <c r="B1366" t="s">
        <v>5041</v>
      </c>
      <c r="D1366" t="s">
        <v>40</v>
      </c>
      <c r="E1366" t="s">
        <v>41</v>
      </c>
      <c r="H1366" t="s">
        <v>5042</v>
      </c>
      <c r="J1366" t="s">
        <v>290</v>
      </c>
      <c r="K1366" t="s">
        <v>291</v>
      </c>
      <c r="L1366">
        <v>5</v>
      </c>
      <c r="M1366" t="s">
        <v>5043</v>
      </c>
      <c r="N1366" t="s">
        <v>59</v>
      </c>
      <c r="O1366" t="s">
        <v>47</v>
      </c>
      <c r="P1366" t="s">
        <v>47</v>
      </c>
      <c r="Y1366" t="s">
        <v>5042</v>
      </c>
      <c r="AG1366" t="s">
        <v>48</v>
      </c>
    </row>
    <row r="1367" spans="1:33">
      <c r="A1367" t="s">
        <v>5044</v>
      </c>
      <c r="B1367" t="s">
        <v>5045</v>
      </c>
      <c r="D1367" t="s">
        <v>40</v>
      </c>
      <c r="E1367" t="s">
        <v>41</v>
      </c>
      <c r="H1367" t="s">
        <v>5046</v>
      </c>
      <c r="J1367" t="s">
        <v>129</v>
      </c>
      <c r="K1367" t="s">
        <v>130</v>
      </c>
      <c r="L1367">
        <v>5</v>
      </c>
      <c r="M1367" t="s">
        <v>5047</v>
      </c>
      <c r="N1367" t="s">
        <v>192</v>
      </c>
      <c r="O1367" t="s">
        <v>47</v>
      </c>
      <c r="P1367" t="s">
        <v>47</v>
      </c>
      <c r="Y1367" t="s">
        <v>5046</v>
      </c>
      <c r="AG1367" t="s">
        <v>48</v>
      </c>
    </row>
    <row r="1368" spans="1:33">
      <c r="A1368" t="s">
        <v>5048</v>
      </c>
      <c r="B1368" t="s">
        <v>5049</v>
      </c>
      <c r="D1368" t="s">
        <v>40</v>
      </c>
      <c r="E1368" t="s">
        <v>41</v>
      </c>
      <c r="J1368" t="s">
        <v>162</v>
      </c>
      <c r="K1368" t="s">
        <v>163</v>
      </c>
      <c r="L1368">
        <v>5</v>
      </c>
      <c r="M1368" t="s">
        <v>5050</v>
      </c>
      <c r="N1368" t="s">
        <v>59</v>
      </c>
      <c r="O1368" t="s">
        <v>47</v>
      </c>
      <c r="P1368" t="s">
        <v>47</v>
      </c>
      <c r="Y1368" t="s">
        <v>5051</v>
      </c>
      <c r="AG1368" t="s">
        <v>48</v>
      </c>
    </row>
    <row r="1369" spans="1:33">
      <c r="A1369" t="s">
        <v>5052</v>
      </c>
      <c r="B1369" t="s">
        <v>5053</v>
      </c>
      <c r="D1369" t="s">
        <v>40</v>
      </c>
      <c r="E1369" t="s">
        <v>41</v>
      </c>
      <c r="J1369" t="s">
        <v>162</v>
      </c>
      <c r="K1369" t="s">
        <v>163</v>
      </c>
      <c r="L1369">
        <v>5</v>
      </c>
      <c r="M1369" t="s">
        <v>5050</v>
      </c>
      <c r="N1369" t="s">
        <v>59</v>
      </c>
      <c r="O1369" t="s">
        <v>47</v>
      </c>
      <c r="P1369" t="s">
        <v>47</v>
      </c>
      <c r="Y1369" t="s">
        <v>5054</v>
      </c>
      <c r="AG1369" t="s">
        <v>48</v>
      </c>
    </row>
    <row r="1370" spans="1:33">
      <c r="A1370" t="s">
        <v>5055</v>
      </c>
      <c r="B1370" t="s">
        <v>5056</v>
      </c>
      <c r="D1370" t="s">
        <v>40</v>
      </c>
      <c r="E1370" t="s">
        <v>41</v>
      </c>
      <c r="J1370" t="s">
        <v>290</v>
      </c>
      <c r="K1370" t="s">
        <v>291</v>
      </c>
      <c r="L1370">
        <v>5</v>
      </c>
      <c r="M1370" t="s">
        <v>5050</v>
      </c>
      <c r="N1370" t="s">
        <v>59</v>
      </c>
      <c r="O1370" t="s">
        <v>47</v>
      </c>
      <c r="P1370" t="s">
        <v>47</v>
      </c>
      <c r="Y1370" t="s">
        <v>5057</v>
      </c>
      <c r="AG1370" t="s">
        <v>48</v>
      </c>
    </row>
    <row r="1371" spans="1:33">
      <c r="A1371" t="s">
        <v>5058</v>
      </c>
      <c r="B1371" t="s">
        <v>5059</v>
      </c>
      <c r="D1371" t="s">
        <v>40</v>
      </c>
      <c r="E1371" t="s">
        <v>41</v>
      </c>
      <c r="J1371" t="s">
        <v>108</v>
      </c>
      <c r="K1371" t="s">
        <v>109</v>
      </c>
      <c r="L1371">
        <v>5</v>
      </c>
      <c r="M1371" t="s">
        <v>5050</v>
      </c>
      <c r="N1371" t="s">
        <v>59</v>
      </c>
      <c r="O1371" t="s">
        <v>47</v>
      </c>
      <c r="P1371" t="s">
        <v>47</v>
      </c>
      <c r="Y1371" t="s">
        <v>5060</v>
      </c>
      <c r="AG1371" t="s">
        <v>48</v>
      </c>
    </row>
    <row r="1372" spans="1:33">
      <c r="A1372" t="s">
        <v>5061</v>
      </c>
      <c r="B1372" t="s">
        <v>5062</v>
      </c>
      <c r="D1372" t="s">
        <v>40</v>
      </c>
      <c r="E1372" t="s">
        <v>41</v>
      </c>
      <c r="J1372" t="s">
        <v>162</v>
      </c>
      <c r="K1372" t="s">
        <v>163</v>
      </c>
      <c r="L1372">
        <v>5</v>
      </c>
      <c r="M1372" t="s">
        <v>5063</v>
      </c>
      <c r="N1372" t="s">
        <v>59</v>
      </c>
      <c r="O1372" t="s">
        <v>47</v>
      </c>
      <c r="P1372" t="s">
        <v>47</v>
      </c>
      <c r="Y1372" t="s">
        <v>5064</v>
      </c>
      <c r="AG1372" t="s">
        <v>48</v>
      </c>
    </row>
    <row r="1373" spans="1:33">
      <c r="A1373" t="s">
        <v>5065</v>
      </c>
      <c r="B1373" t="s">
        <v>5066</v>
      </c>
      <c r="D1373" t="s">
        <v>40</v>
      </c>
      <c r="E1373" t="s">
        <v>41</v>
      </c>
      <c r="J1373" t="s">
        <v>290</v>
      </c>
      <c r="K1373" t="s">
        <v>291</v>
      </c>
      <c r="L1373">
        <v>5</v>
      </c>
      <c r="M1373" t="s">
        <v>5067</v>
      </c>
      <c r="N1373" t="s">
        <v>59</v>
      </c>
      <c r="O1373" t="s">
        <v>47</v>
      </c>
      <c r="P1373" t="s">
        <v>47</v>
      </c>
      <c r="Y1373" t="s">
        <v>5068</v>
      </c>
      <c r="AG1373" t="s">
        <v>48</v>
      </c>
    </row>
    <row r="1374" spans="1:33">
      <c r="A1374" t="s">
        <v>5069</v>
      </c>
      <c r="B1374" t="s">
        <v>5070</v>
      </c>
      <c r="D1374" t="s">
        <v>40</v>
      </c>
      <c r="E1374" t="s">
        <v>41</v>
      </c>
      <c r="J1374" t="s">
        <v>290</v>
      </c>
      <c r="K1374" t="s">
        <v>291</v>
      </c>
      <c r="L1374">
        <v>5</v>
      </c>
      <c r="M1374" t="s">
        <v>5071</v>
      </c>
      <c r="N1374" t="s">
        <v>59</v>
      </c>
      <c r="O1374" t="s">
        <v>47</v>
      </c>
      <c r="P1374" t="s">
        <v>47</v>
      </c>
      <c r="Y1374" t="s">
        <v>5072</v>
      </c>
      <c r="AG1374" t="s">
        <v>48</v>
      </c>
    </row>
    <row r="1375" spans="1:33">
      <c r="A1375" t="s">
        <v>5073</v>
      </c>
      <c r="B1375" t="s">
        <v>5074</v>
      </c>
      <c r="D1375" t="s">
        <v>40</v>
      </c>
      <c r="E1375" t="s">
        <v>41</v>
      </c>
      <c r="J1375" t="s">
        <v>290</v>
      </c>
      <c r="K1375" t="s">
        <v>291</v>
      </c>
      <c r="L1375">
        <v>5</v>
      </c>
      <c r="M1375" t="s">
        <v>5071</v>
      </c>
      <c r="N1375" t="s">
        <v>59</v>
      </c>
      <c r="O1375" t="s">
        <v>47</v>
      </c>
      <c r="P1375" t="s">
        <v>47</v>
      </c>
      <c r="Y1375" t="s">
        <v>5075</v>
      </c>
      <c r="AG1375" t="s">
        <v>48</v>
      </c>
    </row>
    <row r="1376" spans="1:33">
      <c r="A1376" t="s">
        <v>5076</v>
      </c>
      <c r="B1376" t="s">
        <v>5077</v>
      </c>
      <c r="D1376" t="s">
        <v>40</v>
      </c>
      <c r="E1376" t="s">
        <v>41</v>
      </c>
      <c r="H1376" t="s">
        <v>5078</v>
      </c>
      <c r="J1376" t="s">
        <v>63</v>
      </c>
      <c r="K1376" t="s">
        <v>64</v>
      </c>
      <c r="L1376">
        <v>5</v>
      </c>
      <c r="M1376" t="s">
        <v>5079</v>
      </c>
      <c r="N1376" t="s">
        <v>59</v>
      </c>
      <c r="O1376" t="s">
        <v>47</v>
      </c>
      <c r="P1376" t="s">
        <v>47</v>
      </c>
      <c r="Y1376" t="s">
        <v>5078</v>
      </c>
      <c r="AG1376" t="s">
        <v>48</v>
      </c>
    </row>
    <row r="1377" spans="1:33">
      <c r="A1377" t="s">
        <v>5080</v>
      </c>
      <c r="B1377" t="s">
        <v>5081</v>
      </c>
      <c r="D1377" t="s">
        <v>40</v>
      </c>
      <c r="E1377" t="s">
        <v>41</v>
      </c>
      <c r="J1377" t="s">
        <v>290</v>
      </c>
      <c r="K1377" t="s">
        <v>291</v>
      </c>
      <c r="L1377">
        <v>5</v>
      </c>
      <c r="M1377" t="s">
        <v>5082</v>
      </c>
      <c r="N1377" t="s">
        <v>59</v>
      </c>
      <c r="O1377" t="s">
        <v>47</v>
      </c>
      <c r="P1377" t="s">
        <v>47</v>
      </c>
      <c r="Y1377" t="s">
        <v>5083</v>
      </c>
      <c r="AG1377" t="s">
        <v>48</v>
      </c>
    </row>
    <row r="1378" spans="1:33">
      <c r="A1378" t="s">
        <v>5084</v>
      </c>
      <c r="B1378" t="s">
        <v>5085</v>
      </c>
      <c r="D1378" t="s">
        <v>40</v>
      </c>
      <c r="E1378" t="s">
        <v>41</v>
      </c>
      <c r="J1378" t="s">
        <v>290</v>
      </c>
      <c r="K1378" t="s">
        <v>291</v>
      </c>
      <c r="L1378">
        <v>5</v>
      </c>
      <c r="M1378" t="s">
        <v>5086</v>
      </c>
      <c r="N1378" t="s">
        <v>59</v>
      </c>
      <c r="O1378" t="s">
        <v>47</v>
      </c>
      <c r="P1378" t="s">
        <v>47</v>
      </c>
      <c r="Y1378" t="s">
        <v>5087</v>
      </c>
      <c r="AG1378" t="s">
        <v>48</v>
      </c>
    </row>
    <row r="1379" spans="1:33">
      <c r="A1379" t="s">
        <v>117</v>
      </c>
      <c r="B1379" t="s">
        <v>5088</v>
      </c>
      <c r="D1379" t="s">
        <v>40</v>
      </c>
      <c r="E1379" t="s">
        <v>41</v>
      </c>
      <c r="J1379" t="s">
        <v>290</v>
      </c>
      <c r="K1379" t="s">
        <v>291</v>
      </c>
      <c r="L1379">
        <v>5</v>
      </c>
      <c r="M1379" t="s">
        <v>5089</v>
      </c>
      <c r="N1379" t="s">
        <v>59</v>
      </c>
      <c r="O1379" t="s">
        <v>47</v>
      </c>
      <c r="P1379" t="s">
        <v>47</v>
      </c>
      <c r="Y1379" t="s">
        <v>5090</v>
      </c>
      <c r="AG1379" t="s">
        <v>48</v>
      </c>
    </row>
    <row r="1380" spans="1:33">
      <c r="A1380" t="s">
        <v>5091</v>
      </c>
      <c r="B1380" t="s">
        <v>5092</v>
      </c>
      <c r="D1380" t="s">
        <v>40</v>
      </c>
      <c r="E1380" t="s">
        <v>41</v>
      </c>
      <c r="J1380" t="s">
        <v>290</v>
      </c>
      <c r="K1380" t="s">
        <v>291</v>
      </c>
      <c r="L1380">
        <v>5</v>
      </c>
      <c r="M1380" t="s">
        <v>5093</v>
      </c>
      <c r="N1380" t="s">
        <v>59</v>
      </c>
      <c r="O1380" t="s">
        <v>47</v>
      </c>
      <c r="P1380" t="s">
        <v>47</v>
      </c>
      <c r="Y1380" t="s">
        <v>5094</v>
      </c>
      <c r="AG1380" t="s">
        <v>48</v>
      </c>
    </row>
    <row r="1381" spans="1:33">
      <c r="A1381" t="s">
        <v>5095</v>
      </c>
      <c r="B1381" t="s">
        <v>5096</v>
      </c>
      <c r="D1381" t="s">
        <v>40</v>
      </c>
      <c r="E1381" t="s">
        <v>41</v>
      </c>
      <c r="J1381" t="s">
        <v>108</v>
      </c>
      <c r="K1381" t="s">
        <v>109</v>
      </c>
      <c r="L1381">
        <v>5</v>
      </c>
      <c r="M1381" t="s">
        <v>5097</v>
      </c>
      <c r="N1381" t="s">
        <v>59</v>
      </c>
      <c r="O1381" t="s">
        <v>47</v>
      </c>
      <c r="P1381" t="s">
        <v>47</v>
      </c>
      <c r="Y1381" t="s">
        <v>5098</v>
      </c>
      <c r="AG1381" t="s">
        <v>48</v>
      </c>
    </row>
    <row r="1382" spans="1:33">
      <c r="A1382" t="s">
        <v>5099</v>
      </c>
      <c r="B1382" t="s">
        <v>5100</v>
      </c>
      <c r="D1382" t="s">
        <v>40</v>
      </c>
      <c r="E1382" t="s">
        <v>41</v>
      </c>
      <c r="J1382" t="s">
        <v>290</v>
      </c>
      <c r="K1382" t="s">
        <v>291</v>
      </c>
      <c r="L1382">
        <v>5</v>
      </c>
      <c r="M1382" t="s">
        <v>5101</v>
      </c>
      <c r="N1382" t="s">
        <v>59</v>
      </c>
      <c r="O1382" t="s">
        <v>47</v>
      </c>
      <c r="P1382" t="s">
        <v>47</v>
      </c>
      <c r="Y1382" t="s">
        <v>5102</v>
      </c>
      <c r="AG1382" t="s">
        <v>48</v>
      </c>
    </row>
    <row r="1383" spans="1:33">
      <c r="A1383" t="s">
        <v>5103</v>
      </c>
      <c r="B1383" t="s">
        <v>5104</v>
      </c>
      <c r="D1383" t="s">
        <v>40</v>
      </c>
      <c r="E1383" t="s">
        <v>41</v>
      </c>
      <c r="J1383" t="s">
        <v>162</v>
      </c>
      <c r="K1383" t="s">
        <v>163</v>
      </c>
      <c r="L1383">
        <v>5</v>
      </c>
      <c r="M1383" t="s">
        <v>5105</v>
      </c>
      <c r="N1383" t="s">
        <v>59</v>
      </c>
      <c r="O1383" t="s">
        <v>47</v>
      </c>
      <c r="P1383" t="s">
        <v>47</v>
      </c>
      <c r="Y1383" t="s">
        <v>5106</v>
      </c>
      <c r="AG1383" t="s">
        <v>48</v>
      </c>
    </row>
    <row r="1384" spans="1:33">
      <c r="A1384" t="s">
        <v>5107</v>
      </c>
      <c r="B1384" t="s">
        <v>5108</v>
      </c>
      <c r="D1384" t="s">
        <v>40</v>
      </c>
      <c r="E1384" t="s">
        <v>41</v>
      </c>
      <c r="J1384" t="s">
        <v>108</v>
      </c>
      <c r="K1384" t="s">
        <v>109</v>
      </c>
      <c r="L1384">
        <v>5</v>
      </c>
      <c r="M1384" t="s">
        <v>5109</v>
      </c>
      <c r="N1384" t="s">
        <v>59</v>
      </c>
      <c r="O1384" t="s">
        <v>47</v>
      </c>
      <c r="P1384" t="s">
        <v>47</v>
      </c>
      <c r="Y1384" t="s">
        <v>5110</v>
      </c>
      <c r="AG1384" t="s">
        <v>48</v>
      </c>
    </row>
    <row r="1385" spans="1:33">
      <c r="A1385" t="s">
        <v>5111</v>
      </c>
      <c r="B1385" t="s">
        <v>5112</v>
      </c>
      <c r="D1385" t="s">
        <v>40</v>
      </c>
      <c r="E1385" t="s">
        <v>41</v>
      </c>
      <c r="J1385" t="s">
        <v>290</v>
      </c>
      <c r="K1385" t="s">
        <v>291</v>
      </c>
      <c r="L1385">
        <v>5</v>
      </c>
      <c r="M1385" t="s">
        <v>5109</v>
      </c>
      <c r="N1385" t="s">
        <v>59</v>
      </c>
      <c r="O1385" t="s">
        <v>47</v>
      </c>
      <c r="P1385" t="s">
        <v>47</v>
      </c>
      <c r="Y1385" t="s">
        <v>5113</v>
      </c>
      <c r="AG1385" t="s">
        <v>48</v>
      </c>
    </row>
    <row r="1386" spans="1:33">
      <c r="A1386" t="s">
        <v>5114</v>
      </c>
      <c r="B1386" t="s">
        <v>5115</v>
      </c>
      <c r="D1386" t="s">
        <v>40</v>
      </c>
      <c r="E1386" t="s">
        <v>41</v>
      </c>
      <c r="H1386" t="s">
        <v>5116</v>
      </c>
      <c r="J1386" t="s">
        <v>63</v>
      </c>
      <c r="K1386" t="s">
        <v>64</v>
      </c>
      <c r="L1386">
        <v>5</v>
      </c>
      <c r="M1386" t="s">
        <v>5117</v>
      </c>
      <c r="N1386" t="s">
        <v>59</v>
      </c>
      <c r="O1386" t="s">
        <v>47</v>
      </c>
      <c r="P1386" t="s">
        <v>47</v>
      </c>
      <c r="Y1386" t="s">
        <v>5116</v>
      </c>
      <c r="AG1386" t="s">
        <v>48</v>
      </c>
    </row>
    <row r="1387" spans="1:33">
      <c r="A1387" t="s">
        <v>5118</v>
      </c>
      <c r="B1387" t="s">
        <v>5119</v>
      </c>
      <c r="D1387" t="s">
        <v>40</v>
      </c>
      <c r="E1387" t="s">
        <v>41</v>
      </c>
      <c r="J1387" t="s">
        <v>290</v>
      </c>
      <c r="K1387" t="s">
        <v>291</v>
      </c>
      <c r="L1387">
        <v>5</v>
      </c>
      <c r="M1387" t="s">
        <v>5120</v>
      </c>
      <c r="N1387" t="s">
        <v>59</v>
      </c>
      <c r="O1387" t="s">
        <v>47</v>
      </c>
      <c r="P1387" t="s">
        <v>47</v>
      </c>
      <c r="Y1387" t="s">
        <v>5121</v>
      </c>
      <c r="AG1387" t="s">
        <v>48</v>
      </c>
    </row>
    <row r="1388" spans="1:33">
      <c r="A1388" t="s">
        <v>5122</v>
      </c>
      <c r="B1388" t="s">
        <v>5123</v>
      </c>
      <c r="D1388" t="s">
        <v>40</v>
      </c>
      <c r="E1388" t="s">
        <v>41</v>
      </c>
      <c r="J1388" t="s">
        <v>129</v>
      </c>
      <c r="K1388" t="s">
        <v>130</v>
      </c>
      <c r="L1388">
        <v>5</v>
      </c>
      <c r="M1388" t="s">
        <v>5124</v>
      </c>
      <c r="N1388" t="s">
        <v>218</v>
      </c>
      <c r="O1388" t="s">
        <v>47</v>
      </c>
      <c r="P1388" t="s">
        <v>47</v>
      </c>
      <c r="Y1388" t="s">
        <v>5125</v>
      </c>
      <c r="AG1388" t="s">
        <v>48</v>
      </c>
    </row>
    <row r="1389" spans="1:33">
      <c r="A1389" t="s">
        <v>5126</v>
      </c>
      <c r="B1389" t="s">
        <v>5127</v>
      </c>
      <c r="D1389" t="s">
        <v>40</v>
      </c>
      <c r="E1389" t="s">
        <v>41</v>
      </c>
      <c r="J1389" t="s">
        <v>108</v>
      </c>
      <c r="K1389" t="s">
        <v>109</v>
      </c>
      <c r="L1389">
        <v>5</v>
      </c>
      <c r="M1389" t="s">
        <v>5128</v>
      </c>
      <c r="N1389" t="s">
        <v>59</v>
      </c>
      <c r="O1389" t="s">
        <v>47</v>
      </c>
      <c r="P1389" t="s">
        <v>47</v>
      </c>
      <c r="Y1389" t="s">
        <v>5129</v>
      </c>
      <c r="AG1389" t="s">
        <v>48</v>
      </c>
    </row>
    <row r="1390" spans="1:33">
      <c r="A1390" t="s">
        <v>5130</v>
      </c>
      <c r="B1390" t="s">
        <v>5131</v>
      </c>
      <c r="D1390" t="s">
        <v>40</v>
      </c>
      <c r="E1390" t="s">
        <v>41</v>
      </c>
      <c r="J1390" t="s">
        <v>162</v>
      </c>
      <c r="K1390" t="s">
        <v>163</v>
      </c>
      <c r="L1390">
        <v>5</v>
      </c>
      <c r="M1390" t="s">
        <v>5128</v>
      </c>
      <c r="N1390" t="s">
        <v>59</v>
      </c>
      <c r="O1390" t="s">
        <v>47</v>
      </c>
      <c r="P1390" t="s">
        <v>47</v>
      </c>
      <c r="Y1390" t="s">
        <v>5132</v>
      </c>
      <c r="AG1390" t="s">
        <v>48</v>
      </c>
    </row>
    <row r="1391" spans="1:33">
      <c r="A1391" t="s">
        <v>5133</v>
      </c>
      <c r="B1391" t="s">
        <v>5134</v>
      </c>
      <c r="D1391" t="s">
        <v>40</v>
      </c>
      <c r="E1391" t="s">
        <v>41</v>
      </c>
      <c r="J1391" t="s">
        <v>290</v>
      </c>
      <c r="K1391" t="s">
        <v>291</v>
      </c>
      <c r="L1391">
        <v>5</v>
      </c>
      <c r="M1391" t="s">
        <v>5128</v>
      </c>
      <c r="N1391" t="s">
        <v>59</v>
      </c>
      <c r="O1391" t="s">
        <v>47</v>
      </c>
      <c r="P1391" t="s">
        <v>47</v>
      </c>
      <c r="Y1391" t="s">
        <v>5135</v>
      </c>
      <c r="AG1391" t="s">
        <v>48</v>
      </c>
    </row>
    <row r="1392" spans="1:33">
      <c r="A1392" t="s">
        <v>5136</v>
      </c>
      <c r="B1392" t="s">
        <v>5137</v>
      </c>
      <c r="D1392" t="s">
        <v>40</v>
      </c>
      <c r="E1392" t="s">
        <v>41</v>
      </c>
      <c r="H1392" t="s">
        <v>5138</v>
      </c>
      <c r="J1392" t="s">
        <v>129</v>
      </c>
      <c r="K1392" t="s">
        <v>130</v>
      </c>
      <c r="L1392">
        <v>5</v>
      </c>
      <c r="M1392" t="s">
        <v>5139</v>
      </c>
      <c r="N1392" t="s">
        <v>192</v>
      </c>
      <c r="O1392" t="s">
        <v>47</v>
      </c>
      <c r="P1392" t="s">
        <v>47</v>
      </c>
      <c r="Y1392" t="s">
        <v>5138</v>
      </c>
      <c r="AG1392" t="s">
        <v>48</v>
      </c>
    </row>
    <row r="1393" spans="1:33">
      <c r="A1393" t="s">
        <v>5140</v>
      </c>
      <c r="B1393" t="s">
        <v>5141</v>
      </c>
      <c r="D1393" t="s">
        <v>40</v>
      </c>
      <c r="E1393" t="s">
        <v>41</v>
      </c>
      <c r="J1393" t="s">
        <v>290</v>
      </c>
      <c r="K1393" t="s">
        <v>291</v>
      </c>
      <c r="L1393">
        <v>5</v>
      </c>
      <c r="M1393" t="s">
        <v>5142</v>
      </c>
      <c r="N1393" t="s">
        <v>59</v>
      </c>
      <c r="O1393" t="s">
        <v>47</v>
      </c>
      <c r="P1393" t="s">
        <v>47</v>
      </c>
      <c r="Y1393" t="s">
        <v>5143</v>
      </c>
      <c r="AG1393" t="s">
        <v>48</v>
      </c>
    </row>
    <row r="1394" spans="1:33">
      <c r="A1394" t="s">
        <v>5144</v>
      </c>
      <c r="B1394" t="s">
        <v>5145</v>
      </c>
      <c r="D1394" t="s">
        <v>40</v>
      </c>
      <c r="E1394" t="s">
        <v>41</v>
      </c>
      <c r="J1394" t="s">
        <v>108</v>
      </c>
      <c r="K1394" t="s">
        <v>109</v>
      </c>
      <c r="L1394">
        <v>5</v>
      </c>
      <c r="M1394" t="s">
        <v>5146</v>
      </c>
      <c r="N1394" t="s">
        <v>59</v>
      </c>
      <c r="O1394" t="s">
        <v>47</v>
      </c>
      <c r="P1394" t="s">
        <v>47</v>
      </c>
      <c r="Y1394" t="s">
        <v>5147</v>
      </c>
      <c r="AG1394" t="s">
        <v>48</v>
      </c>
    </row>
    <row r="1395" spans="1:33">
      <c r="A1395" t="s">
        <v>5148</v>
      </c>
      <c r="B1395" t="s">
        <v>5149</v>
      </c>
      <c r="D1395" t="s">
        <v>40</v>
      </c>
      <c r="E1395" t="s">
        <v>41</v>
      </c>
      <c r="J1395" t="s">
        <v>114</v>
      </c>
      <c r="K1395" t="s">
        <v>115</v>
      </c>
      <c r="L1395">
        <v>5</v>
      </c>
      <c r="M1395" t="s">
        <v>5150</v>
      </c>
      <c r="N1395" t="s">
        <v>59</v>
      </c>
      <c r="O1395" t="s">
        <v>47</v>
      </c>
      <c r="P1395" t="s">
        <v>47</v>
      </c>
      <c r="Y1395" t="s">
        <v>5151</v>
      </c>
      <c r="AG1395" t="s">
        <v>48</v>
      </c>
    </row>
    <row r="1396" spans="1:33">
      <c r="A1396" t="s">
        <v>5152</v>
      </c>
      <c r="B1396" t="s">
        <v>5153</v>
      </c>
      <c r="D1396" t="s">
        <v>40</v>
      </c>
      <c r="E1396" t="s">
        <v>41</v>
      </c>
      <c r="J1396" t="s">
        <v>290</v>
      </c>
      <c r="K1396" t="s">
        <v>291</v>
      </c>
      <c r="L1396">
        <v>5</v>
      </c>
      <c r="M1396" t="s">
        <v>5154</v>
      </c>
      <c r="N1396" t="s">
        <v>59</v>
      </c>
      <c r="O1396" t="s">
        <v>47</v>
      </c>
      <c r="P1396" t="s">
        <v>47</v>
      </c>
      <c r="Y1396" t="s">
        <v>5155</v>
      </c>
      <c r="AG1396" t="s">
        <v>48</v>
      </c>
    </row>
    <row r="1397" spans="1:33">
      <c r="A1397" t="s">
        <v>5156</v>
      </c>
      <c r="B1397" t="s">
        <v>5157</v>
      </c>
      <c r="D1397" t="s">
        <v>40</v>
      </c>
      <c r="E1397" t="s">
        <v>41</v>
      </c>
      <c r="J1397" t="s">
        <v>108</v>
      </c>
      <c r="K1397" t="s">
        <v>109</v>
      </c>
      <c r="L1397">
        <v>5</v>
      </c>
      <c r="M1397" t="s">
        <v>5154</v>
      </c>
      <c r="N1397" t="s">
        <v>59</v>
      </c>
      <c r="O1397" t="s">
        <v>47</v>
      </c>
      <c r="P1397" t="s">
        <v>47</v>
      </c>
      <c r="Y1397" t="s">
        <v>5158</v>
      </c>
      <c r="AG1397" t="s">
        <v>48</v>
      </c>
    </row>
    <row r="1398" spans="1:33">
      <c r="A1398" t="s">
        <v>5159</v>
      </c>
      <c r="B1398" t="s">
        <v>5160</v>
      </c>
      <c r="D1398" t="s">
        <v>40</v>
      </c>
      <c r="E1398" t="s">
        <v>41</v>
      </c>
      <c r="J1398" t="s">
        <v>290</v>
      </c>
      <c r="K1398" t="s">
        <v>291</v>
      </c>
      <c r="L1398">
        <v>5</v>
      </c>
      <c r="M1398" t="s">
        <v>5161</v>
      </c>
      <c r="N1398" t="s">
        <v>59</v>
      </c>
      <c r="O1398" t="s">
        <v>47</v>
      </c>
      <c r="P1398" t="s">
        <v>47</v>
      </c>
      <c r="Y1398" t="s">
        <v>5162</v>
      </c>
      <c r="AG1398" t="s">
        <v>48</v>
      </c>
    </row>
    <row r="1399" spans="1:33">
      <c r="A1399" t="s">
        <v>5163</v>
      </c>
      <c r="B1399" t="s">
        <v>5164</v>
      </c>
      <c r="D1399" t="s">
        <v>40</v>
      </c>
      <c r="E1399" t="s">
        <v>41</v>
      </c>
      <c r="J1399" t="s">
        <v>290</v>
      </c>
      <c r="K1399" t="s">
        <v>291</v>
      </c>
      <c r="L1399">
        <v>5</v>
      </c>
      <c r="M1399" t="s">
        <v>5165</v>
      </c>
      <c r="N1399" t="s">
        <v>59</v>
      </c>
      <c r="O1399" t="s">
        <v>47</v>
      </c>
      <c r="P1399" t="s">
        <v>47</v>
      </c>
      <c r="Y1399" t="s">
        <v>5166</v>
      </c>
      <c r="AG1399" t="s">
        <v>48</v>
      </c>
    </row>
    <row r="1400" spans="1:33">
      <c r="A1400" t="s">
        <v>5167</v>
      </c>
      <c r="B1400" t="s">
        <v>5168</v>
      </c>
      <c r="D1400" t="s">
        <v>40</v>
      </c>
      <c r="E1400" t="s">
        <v>41</v>
      </c>
      <c r="J1400" t="s">
        <v>290</v>
      </c>
      <c r="K1400" t="s">
        <v>291</v>
      </c>
      <c r="L1400">
        <v>5</v>
      </c>
      <c r="M1400" t="s">
        <v>5169</v>
      </c>
      <c r="N1400" t="s">
        <v>59</v>
      </c>
      <c r="O1400" t="s">
        <v>47</v>
      </c>
      <c r="P1400" t="s">
        <v>47</v>
      </c>
      <c r="Y1400" t="s">
        <v>5170</v>
      </c>
      <c r="AG1400" t="s">
        <v>48</v>
      </c>
    </row>
    <row r="1401" spans="1:33">
      <c r="A1401" t="s">
        <v>5171</v>
      </c>
      <c r="B1401" t="s">
        <v>5172</v>
      </c>
      <c r="D1401" t="s">
        <v>40</v>
      </c>
      <c r="E1401" t="s">
        <v>41</v>
      </c>
      <c r="H1401" t="s">
        <v>5173</v>
      </c>
      <c r="J1401" t="s">
        <v>290</v>
      </c>
      <c r="K1401" t="s">
        <v>291</v>
      </c>
      <c r="L1401">
        <v>5</v>
      </c>
      <c r="M1401" t="s">
        <v>5174</v>
      </c>
      <c r="N1401" t="s">
        <v>59</v>
      </c>
      <c r="O1401" t="s">
        <v>47</v>
      </c>
      <c r="P1401" t="s">
        <v>47</v>
      </c>
      <c r="Y1401" t="s">
        <v>5173</v>
      </c>
      <c r="AG1401" t="s">
        <v>48</v>
      </c>
    </row>
    <row r="1402" spans="1:33">
      <c r="A1402" t="s">
        <v>5175</v>
      </c>
      <c r="B1402" t="s">
        <v>5176</v>
      </c>
      <c r="D1402" t="s">
        <v>40</v>
      </c>
      <c r="E1402" t="s">
        <v>41</v>
      </c>
      <c r="J1402" t="s">
        <v>290</v>
      </c>
      <c r="K1402" t="s">
        <v>291</v>
      </c>
      <c r="L1402">
        <v>5</v>
      </c>
      <c r="M1402" t="s">
        <v>5177</v>
      </c>
      <c r="N1402" t="s">
        <v>59</v>
      </c>
      <c r="O1402" t="s">
        <v>47</v>
      </c>
      <c r="P1402" t="s">
        <v>47</v>
      </c>
      <c r="Y1402" t="s">
        <v>5178</v>
      </c>
      <c r="AG1402" t="s">
        <v>48</v>
      </c>
    </row>
    <row r="1403" spans="1:33">
      <c r="A1403" t="s">
        <v>5179</v>
      </c>
      <c r="B1403" t="s">
        <v>5180</v>
      </c>
      <c r="D1403" t="s">
        <v>40</v>
      </c>
      <c r="E1403" t="s">
        <v>41</v>
      </c>
      <c r="J1403" t="s">
        <v>129</v>
      </c>
      <c r="K1403" t="s">
        <v>130</v>
      </c>
      <c r="L1403">
        <v>5</v>
      </c>
      <c r="M1403" t="s">
        <v>5181</v>
      </c>
      <c r="N1403" t="s">
        <v>192</v>
      </c>
      <c r="O1403" t="s">
        <v>47</v>
      </c>
      <c r="P1403" t="s">
        <v>47</v>
      </c>
      <c r="Y1403" t="s">
        <v>5182</v>
      </c>
      <c r="AG1403" t="s">
        <v>48</v>
      </c>
    </row>
    <row r="1404" spans="1:33">
      <c r="A1404" t="s">
        <v>5183</v>
      </c>
      <c r="B1404" t="s">
        <v>5184</v>
      </c>
      <c r="D1404" t="s">
        <v>40</v>
      </c>
      <c r="E1404" t="s">
        <v>41</v>
      </c>
      <c r="J1404" t="s">
        <v>162</v>
      </c>
      <c r="K1404" t="s">
        <v>163</v>
      </c>
      <c r="L1404">
        <v>5</v>
      </c>
      <c r="M1404" t="s">
        <v>5185</v>
      </c>
      <c r="N1404" t="s">
        <v>59</v>
      </c>
      <c r="O1404" t="s">
        <v>47</v>
      </c>
      <c r="P1404" t="s">
        <v>47</v>
      </c>
      <c r="Y1404" t="s">
        <v>5186</v>
      </c>
      <c r="AG1404" t="s">
        <v>48</v>
      </c>
    </row>
    <row r="1405" spans="1:33">
      <c r="A1405" t="s">
        <v>5187</v>
      </c>
      <c r="B1405" t="s">
        <v>5188</v>
      </c>
      <c r="D1405" t="s">
        <v>40</v>
      </c>
      <c r="E1405" t="s">
        <v>41</v>
      </c>
      <c r="J1405" t="s">
        <v>290</v>
      </c>
      <c r="K1405" t="s">
        <v>291</v>
      </c>
      <c r="L1405">
        <v>5</v>
      </c>
      <c r="M1405" t="s">
        <v>5189</v>
      </c>
      <c r="N1405" t="s">
        <v>59</v>
      </c>
      <c r="O1405" t="s">
        <v>47</v>
      </c>
      <c r="P1405" t="s">
        <v>47</v>
      </c>
      <c r="Y1405" t="s">
        <v>5190</v>
      </c>
      <c r="AG1405" t="s">
        <v>48</v>
      </c>
    </row>
    <row r="1406" spans="1:33">
      <c r="A1406" t="s">
        <v>5191</v>
      </c>
      <c r="B1406" t="s">
        <v>5192</v>
      </c>
      <c r="D1406" t="s">
        <v>40</v>
      </c>
      <c r="E1406" t="s">
        <v>41</v>
      </c>
      <c r="J1406" t="s">
        <v>129</v>
      </c>
      <c r="K1406" t="s">
        <v>130</v>
      </c>
      <c r="L1406">
        <v>5</v>
      </c>
      <c r="M1406" t="s">
        <v>5193</v>
      </c>
      <c r="N1406" t="s">
        <v>46</v>
      </c>
      <c r="O1406" t="s">
        <v>47</v>
      </c>
      <c r="P1406" t="s">
        <v>47</v>
      </c>
      <c r="Y1406" t="s">
        <v>5194</v>
      </c>
      <c r="AG1406" t="s">
        <v>48</v>
      </c>
    </row>
    <row r="1407" spans="1:33">
      <c r="A1407" t="s">
        <v>5195</v>
      </c>
      <c r="B1407" t="s">
        <v>5196</v>
      </c>
      <c r="D1407" t="s">
        <v>40</v>
      </c>
      <c r="E1407" t="s">
        <v>41</v>
      </c>
      <c r="J1407" t="s">
        <v>290</v>
      </c>
      <c r="K1407" t="s">
        <v>291</v>
      </c>
      <c r="L1407">
        <v>5</v>
      </c>
      <c r="M1407" t="s">
        <v>5197</v>
      </c>
      <c r="N1407" t="s">
        <v>59</v>
      </c>
      <c r="O1407" t="s">
        <v>47</v>
      </c>
      <c r="P1407" t="s">
        <v>47</v>
      </c>
      <c r="Y1407" t="s">
        <v>5198</v>
      </c>
      <c r="AG1407" t="s">
        <v>48</v>
      </c>
    </row>
    <row r="1408" spans="1:33">
      <c r="A1408" t="s">
        <v>5199</v>
      </c>
      <c r="B1408" t="s">
        <v>5200</v>
      </c>
      <c r="D1408" t="s">
        <v>40</v>
      </c>
      <c r="E1408" t="s">
        <v>41</v>
      </c>
      <c r="H1408" t="s">
        <v>5201</v>
      </c>
      <c r="J1408" t="s">
        <v>290</v>
      </c>
      <c r="K1408" t="s">
        <v>291</v>
      </c>
      <c r="L1408">
        <v>5</v>
      </c>
      <c r="M1408" t="s">
        <v>5202</v>
      </c>
      <c r="N1408" t="s">
        <v>59</v>
      </c>
      <c r="O1408" t="s">
        <v>47</v>
      </c>
      <c r="P1408" t="s">
        <v>47</v>
      </c>
      <c r="Y1408" t="s">
        <v>5201</v>
      </c>
      <c r="AG1408" t="s">
        <v>48</v>
      </c>
    </row>
    <row r="1409" spans="1:33">
      <c r="A1409" t="s">
        <v>5203</v>
      </c>
      <c r="B1409" t="s">
        <v>5204</v>
      </c>
      <c r="D1409" t="s">
        <v>40</v>
      </c>
      <c r="E1409" t="s">
        <v>41</v>
      </c>
      <c r="J1409" t="s">
        <v>290</v>
      </c>
      <c r="K1409" t="s">
        <v>291</v>
      </c>
      <c r="L1409">
        <v>5</v>
      </c>
      <c r="M1409" t="s">
        <v>5202</v>
      </c>
      <c r="N1409" t="s">
        <v>59</v>
      </c>
      <c r="O1409" t="s">
        <v>47</v>
      </c>
      <c r="P1409" t="s">
        <v>47</v>
      </c>
      <c r="Y1409" t="s">
        <v>5205</v>
      </c>
      <c r="AG1409" t="s">
        <v>48</v>
      </c>
    </row>
    <row r="1410" spans="1:33">
      <c r="A1410" t="s">
        <v>5206</v>
      </c>
      <c r="B1410" t="s">
        <v>5207</v>
      </c>
      <c r="D1410" t="s">
        <v>40</v>
      </c>
      <c r="E1410" t="s">
        <v>41</v>
      </c>
      <c r="H1410" t="s">
        <v>5208</v>
      </c>
      <c r="J1410" t="s">
        <v>63</v>
      </c>
      <c r="K1410" t="s">
        <v>64</v>
      </c>
      <c r="L1410">
        <v>5</v>
      </c>
      <c r="M1410" t="s">
        <v>5209</v>
      </c>
      <c r="N1410" t="s">
        <v>59</v>
      </c>
      <c r="O1410" t="s">
        <v>47</v>
      </c>
      <c r="P1410" t="s">
        <v>47</v>
      </c>
      <c r="Y1410" t="s">
        <v>5208</v>
      </c>
      <c r="AG1410" t="s">
        <v>48</v>
      </c>
    </row>
    <row r="1411" spans="1:33">
      <c r="A1411" t="s">
        <v>5210</v>
      </c>
      <c r="B1411" t="s">
        <v>5211</v>
      </c>
      <c r="D1411" t="s">
        <v>40</v>
      </c>
      <c r="E1411" t="s">
        <v>41</v>
      </c>
      <c r="H1411" t="s">
        <v>5212</v>
      </c>
      <c r="J1411" t="s">
        <v>63</v>
      </c>
      <c r="K1411" t="s">
        <v>64</v>
      </c>
      <c r="L1411">
        <v>5</v>
      </c>
      <c r="M1411" t="s">
        <v>5213</v>
      </c>
      <c r="N1411" t="s">
        <v>59</v>
      </c>
      <c r="O1411" t="s">
        <v>47</v>
      </c>
      <c r="P1411" t="s">
        <v>47</v>
      </c>
      <c r="Y1411" t="s">
        <v>5212</v>
      </c>
      <c r="AG1411" t="s">
        <v>48</v>
      </c>
    </row>
    <row r="1412" spans="1:33">
      <c r="A1412" t="s">
        <v>117</v>
      </c>
      <c r="B1412" t="s">
        <v>5214</v>
      </c>
      <c r="D1412" t="s">
        <v>40</v>
      </c>
      <c r="E1412" t="s">
        <v>41</v>
      </c>
      <c r="J1412" t="s">
        <v>162</v>
      </c>
      <c r="K1412" t="s">
        <v>163</v>
      </c>
      <c r="L1412">
        <v>5</v>
      </c>
      <c r="M1412" t="s">
        <v>5215</v>
      </c>
      <c r="N1412" t="s">
        <v>59</v>
      </c>
      <c r="O1412" t="s">
        <v>47</v>
      </c>
      <c r="P1412" t="s">
        <v>47</v>
      </c>
      <c r="Y1412" t="s">
        <v>5216</v>
      </c>
      <c r="AG1412" t="s">
        <v>48</v>
      </c>
    </row>
    <row r="1413" spans="1:33">
      <c r="A1413" t="s">
        <v>5217</v>
      </c>
      <c r="B1413" t="s">
        <v>5218</v>
      </c>
      <c r="D1413" t="s">
        <v>40</v>
      </c>
      <c r="E1413" t="s">
        <v>41</v>
      </c>
      <c r="J1413" t="s">
        <v>114</v>
      </c>
      <c r="K1413" t="s">
        <v>115</v>
      </c>
      <c r="L1413">
        <v>5</v>
      </c>
      <c r="M1413" t="s">
        <v>5219</v>
      </c>
      <c r="N1413" t="s">
        <v>59</v>
      </c>
      <c r="O1413" t="s">
        <v>47</v>
      </c>
      <c r="P1413" t="s">
        <v>47</v>
      </c>
      <c r="Y1413" t="s">
        <v>5220</v>
      </c>
      <c r="AG1413" t="s">
        <v>48</v>
      </c>
    </row>
    <row r="1414" spans="1:33">
      <c r="A1414" t="s">
        <v>5221</v>
      </c>
      <c r="B1414" t="s">
        <v>5222</v>
      </c>
      <c r="D1414" t="s">
        <v>40</v>
      </c>
      <c r="E1414" t="s">
        <v>41</v>
      </c>
      <c r="J1414" t="s">
        <v>129</v>
      </c>
      <c r="K1414" t="s">
        <v>130</v>
      </c>
      <c r="L1414">
        <v>5</v>
      </c>
      <c r="M1414" t="s">
        <v>5219</v>
      </c>
      <c r="N1414" t="s">
        <v>46</v>
      </c>
      <c r="O1414" t="s">
        <v>47</v>
      </c>
      <c r="P1414" t="s">
        <v>47</v>
      </c>
      <c r="Y1414" t="s">
        <v>5223</v>
      </c>
      <c r="AG1414" t="s">
        <v>48</v>
      </c>
    </row>
    <row r="1415" spans="1:33">
      <c r="A1415" t="s">
        <v>5224</v>
      </c>
      <c r="B1415" t="s">
        <v>5225</v>
      </c>
      <c r="D1415" t="s">
        <v>40</v>
      </c>
      <c r="E1415" t="s">
        <v>41</v>
      </c>
      <c r="J1415" t="s">
        <v>108</v>
      </c>
      <c r="K1415" t="s">
        <v>109</v>
      </c>
      <c r="L1415">
        <v>5</v>
      </c>
      <c r="M1415" t="s">
        <v>5219</v>
      </c>
      <c r="N1415" t="s">
        <v>59</v>
      </c>
      <c r="O1415" t="s">
        <v>47</v>
      </c>
      <c r="P1415" t="s">
        <v>47</v>
      </c>
      <c r="Y1415" t="s">
        <v>5226</v>
      </c>
      <c r="AG1415" t="s">
        <v>48</v>
      </c>
    </row>
    <row r="1416" spans="1:33">
      <c r="A1416" t="s">
        <v>5227</v>
      </c>
      <c r="B1416" t="s">
        <v>5228</v>
      </c>
      <c r="D1416" t="s">
        <v>40</v>
      </c>
      <c r="E1416" t="s">
        <v>41</v>
      </c>
      <c r="J1416" t="s">
        <v>108</v>
      </c>
      <c r="K1416" t="s">
        <v>109</v>
      </c>
      <c r="L1416">
        <v>5</v>
      </c>
      <c r="M1416" t="s">
        <v>5229</v>
      </c>
      <c r="N1416" t="s">
        <v>59</v>
      </c>
      <c r="O1416" t="s">
        <v>47</v>
      </c>
      <c r="P1416" t="s">
        <v>47</v>
      </c>
      <c r="Y1416" t="s">
        <v>5230</v>
      </c>
      <c r="AG1416" t="s">
        <v>48</v>
      </c>
    </row>
    <row r="1417" spans="1:33">
      <c r="A1417" t="s">
        <v>5231</v>
      </c>
      <c r="B1417" t="s">
        <v>5232</v>
      </c>
      <c r="D1417" t="s">
        <v>40</v>
      </c>
      <c r="E1417" t="s">
        <v>41</v>
      </c>
      <c r="J1417" t="s">
        <v>290</v>
      </c>
      <c r="K1417" t="s">
        <v>291</v>
      </c>
      <c r="L1417">
        <v>5</v>
      </c>
      <c r="M1417" t="s">
        <v>5233</v>
      </c>
      <c r="N1417" t="s">
        <v>59</v>
      </c>
      <c r="O1417" t="s">
        <v>47</v>
      </c>
      <c r="P1417" t="s">
        <v>47</v>
      </c>
      <c r="Y1417" t="s">
        <v>5234</v>
      </c>
      <c r="AG1417" t="s">
        <v>48</v>
      </c>
    </row>
    <row r="1418" spans="1:33">
      <c r="A1418" t="s">
        <v>5235</v>
      </c>
      <c r="B1418" t="s">
        <v>5236</v>
      </c>
      <c r="D1418" t="s">
        <v>40</v>
      </c>
      <c r="E1418" t="s">
        <v>41</v>
      </c>
      <c r="J1418" t="s">
        <v>290</v>
      </c>
      <c r="K1418" t="s">
        <v>291</v>
      </c>
      <c r="L1418">
        <v>5</v>
      </c>
      <c r="M1418" t="s">
        <v>5233</v>
      </c>
      <c r="N1418" t="s">
        <v>59</v>
      </c>
      <c r="O1418" t="s">
        <v>47</v>
      </c>
      <c r="P1418" t="s">
        <v>47</v>
      </c>
      <c r="Y1418" t="s">
        <v>5237</v>
      </c>
      <c r="AG1418" t="s">
        <v>48</v>
      </c>
    </row>
    <row r="1419" spans="1:33">
      <c r="A1419" t="s">
        <v>5238</v>
      </c>
      <c r="B1419" t="s">
        <v>5239</v>
      </c>
      <c r="D1419" t="s">
        <v>40</v>
      </c>
      <c r="E1419" t="s">
        <v>41</v>
      </c>
      <c r="J1419" t="s">
        <v>290</v>
      </c>
      <c r="K1419" t="s">
        <v>291</v>
      </c>
      <c r="L1419">
        <v>5</v>
      </c>
      <c r="M1419" t="s">
        <v>5240</v>
      </c>
      <c r="N1419" t="s">
        <v>59</v>
      </c>
      <c r="O1419" t="s">
        <v>47</v>
      </c>
      <c r="P1419" t="s">
        <v>47</v>
      </c>
      <c r="Y1419" t="s">
        <v>5241</v>
      </c>
      <c r="AG1419" t="s">
        <v>48</v>
      </c>
    </row>
    <row r="1420" spans="1:33">
      <c r="A1420" t="s">
        <v>5242</v>
      </c>
      <c r="B1420" t="s">
        <v>5243</v>
      </c>
      <c r="D1420" t="s">
        <v>40</v>
      </c>
      <c r="E1420" t="s">
        <v>41</v>
      </c>
      <c r="J1420" t="s">
        <v>290</v>
      </c>
      <c r="K1420" t="s">
        <v>291</v>
      </c>
      <c r="L1420">
        <v>5</v>
      </c>
      <c r="M1420" t="s">
        <v>5240</v>
      </c>
      <c r="N1420" t="s">
        <v>59</v>
      </c>
      <c r="O1420" t="s">
        <v>47</v>
      </c>
      <c r="P1420" t="s">
        <v>47</v>
      </c>
      <c r="Y1420" t="s">
        <v>5244</v>
      </c>
      <c r="AG1420" t="s">
        <v>48</v>
      </c>
    </row>
    <row r="1421" spans="1:33">
      <c r="A1421" t="s">
        <v>5245</v>
      </c>
      <c r="B1421" t="s">
        <v>5246</v>
      </c>
      <c r="D1421" t="s">
        <v>40</v>
      </c>
      <c r="E1421" t="s">
        <v>41</v>
      </c>
      <c r="J1421" t="s">
        <v>290</v>
      </c>
      <c r="K1421" t="s">
        <v>291</v>
      </c>
      <c r="L1421">
        <v>5</v>
      </c>
      <c r="M1421" t="s">
        <v>5247</v>
      </c>
      <c r="N1421" t="s">
        <v>59</v>
      </c>
      <c r="O1421" t="s">
        <v>47</v>
      </c>
      <c r="P1421" t="s">
        <v>47</v>
      </c>
      <c r="Y1421" t="s">
        <v>5248</v>
      </c>
      <c r="AG1421" t="s">
        <v>48</v>
      </c>
    </row>
    <row r="1422" spans="1:33">
      <c r="A1422" t="s">
        <v>5249</v>
      </c>
      <c r="B1422" t="s">
        <v>5250</v>
      </c>
      <c r="D1422" t="s">
        <v>40</v>
      </c>
      <c r="E1422" t="s">
        <v>41</v>
      </c>
      <c r="J1422" t="s">
        <v>290</v>
      </c>
      <c r="K1422" t="s">
        <v>291</v>
      </c>
      <c r="L1422">
        <v>5</v>
      </c>
      <c r="M1422" t="s">
        <v>5247</v>
      </c>
      <c r="N1422" t="s">
        <v>59</v>
      </c>
      <c r="O1422" t="s">
        <v>47</v>
      </c>
      <c r="P1422" t="s">
        <v>47</v>
      </c>
      <c r="Y1422" t="s">
        <v>5251</v>
      </c>
      <c r="AG1422" t="s">
        <v>48</v>
      </c>
    </row>
    <row r="1423" spans="1:33">
      <c r="A1423" t="s">
        <v>5252</v>
      </c>
      <c r="B1423" t="s">
        <v>5253</v>
      </c>
      <c r="D1423" t="s">
        <v>40</v>
      </c>
      <c r="E1423" t="s">
        <v>41</v>
      </c>
      <c r="J1423" t="s">
        <v>290</v>
      </c>
      <c r="K1423" t="s">
        <v>291</v>
      </c>
      <c r="L1423">
        <v>5</v>
      </c>
      <c r="M1423" t="s">
        <v>5247</v>
      </c>
      <c r="N1423" t="s">
        <v>59</v>
      </c>
      <c r="O1423" t="s">
        <v>47</v>
      </c>
      <c r="P1423" t="s">
        <v>47</v>
      </c>
      <c r="Y1423" t="s">
        <v>5254</v>
      </c>
      <c r="AG1423" t="s">
        <v>48</v>
      </c>
    </row>
    <row r="1424" spans="1:33">
      <c r="A1424" t="s">
        <v>5255</v>
      </c>
      <c r="B1424" t="s">
        <v>5256</v>
      </c>
      <c r="D1424" t="s">
        <v>40</v>
      </c>
      <c r="E1424" t="s">
        <v>41</v>
      </c>
      <c r="J1424" t="s">
        <v>290</v>
      </c>
      <c r="K1424" t="s">
        <v>291</v>
      </c>
      <c r="L1424">
        <v>5</v>
      </c>
      <c r="M1424" t="s">
        <v>5257</v>
      </c>
      <c r="N1424" t="s">
        <v>59</v>
      </c>
      <c r="O1424" t="s">
        <v>47</v>
      </c>
      <c r="P1424" t="s">
        <v>47</v>
      </c>
      <c r="Y1424" t="s">
        <v>5258</v>
      </c>
      <c r="AG1424" t="s">
        <v>48</v>
      </c>
    </row>
    <row r="1425" spans="1:33">
      <c r="A1425" t="s">
        <v>5259</v>
      </c>
      <c r="B1425" t="s">
        <v>5260</v>
      </c>
      <c r="D1425" t="s">
        <v>40</v>
      </c>
      <c r="E1425" t="s">
        <v>41</v>
      </c>
      <c r="J1425" t="s">
        <v>290</v>
      </c>
      <c r="K1425" t="s">
        <v>291</v>
      </c>
      <c r="L1425">
        <v>5</v>
      </c>
      <c r="M1425" t="s">
        <v>5261</v>
      </c>
      <c r="N1425" t="s">
        <v>59</v>
      </c>
      <c r="O1425" t="s">
        <v>47</v>
      </c>
      <c r="P1425" t="s">
        <v>47</v>
      </c>
      <c r="Y1425" t="s">
        <v>5262</v>
      </c>
      <c r="AG1425" t="s">
        <v>48</v>
      </c>
    </row>
    <row r="1426" spans="1:33">
      <c r="A1426" t="s">
        <v>5263</v>
      </c>
      <c r="B1426" t="s">
        <v>5264</v>
      </c>
      <c r="D1426" t="s">
        <v>40</v>
      </c>
      <c r="E1426" t="s">
        <v>41</v>
      </c>
      <c r="J1426" t="s">
        <v>162</v>
      </c>
      <c r="K1426" t="s">
        <v>163</v>
      </c>
      <c r="L1426">
        <v>5</v>
      </c>
      <c r="M1426" t="s">
        <v>5265</v>
      </c>
      <c r="N1426" t="s">
        <v>59</v>
      </c>
      <c r="O1426" t="s">
        <v>47</v>
      </c>
      <c r="P1426" t="s">
        <v>47</v>
      </c>
      <c r="Y1426" t="s">
        <v>5266</v>
      </c>
      <c r="AG1426" t="s">
        <v>48</v>
      </c>
    </row>
    <row r="1427" spans="1:33">
      <c r="A1427" t="s">
        <v>5267</v>
      </c>
      <c r="B1427" t="s">
        <v>5268</v>
      </c>
      <c r="D1427" t="s">
        <v>40</v>
      </c>
      <c r="E1427" t="s">
        <v>41</v>
      </c>
      <c r="J1427" t="s">
        <v>129</v>
      </c>
      <c r="K1427" t="s">
        <v>130</v>
      </c>
      <c r="L1427">
        <v>5</v>
      </c>
      <c r="M1427" t="s">
        <v>5269</v>
      </c>
      <c r="N1427" t="s">
        <v>46</v>
      </c>
      <c r="O1427" t="s">
        <v>47</v>
      </c>
      <c r="P1427" t="s">
        <v>47</v>
      </c>
      <c r="Y1427" t="s">
        <v>5270</v>
      </c>
      <c r="AG1427" t="s">
        <v>48</v>
      </c>
    </row>
    <row r="1428" spans="1:33">
      <c r="A1428" t="s">
        <v>5271</v>
      </c>
      <c r="B1428" t="s">
        <v>5272</v>
      </c>
      <c r="D1428" t="s">
        <v>40</v>
      </c>
      <c r="E1428" t="s">
        <v>41</v>
      </c>
      <c r="J1428" t="s">
        <v>129</v>
      </c>
      <c r="K1428" t="s">
        <v>130</v>
      </c>
      <c r="L1428">
        <v>5</v>
      </c>
      <c r="M1428" t="s">
        <v>5269</v>
      </c>
      <c r="N1428" t="s">
        <v>218</v>
      </c>
      <c r="O1428" t="s">
        <v>47</v>
      </c>
      <c r="P1428" t="s">
        <v>47</v>
      </c>
      <c r="Y1428" t="s">
        <v>5273</v>
      </c>
      <c r="AG1428" t="s">
        <v>48</v>
      </c>
    </row>
    <row r="1429" spans="1:33">
      <c r="A1429" t="s">
        <v>5274</v>
      </c>
      <c r="B1429" t="s">
        <v>5275</v>
      </c>
      <c r="D1429" t="s">
        <v>40</v>
      </c>
      <c r="E1429" t="s">
        <v>41</v>
      </c>
      <c r="J1429" t="s">
        <v>290</v>
      </c>
      <c r="K1429" t="s">
        <v>291</v>
      </c>
      <c r="L1429">
        <v>5</v>
      </c>
      <c r="M1429" t="s">
        <v>5276</v>
      </c>
      <c r="N1429" t="s">
        <v>59</v>
      </c>
      <c r="O1429" t="s">
        <v>47</v>
      </c>
      <c r="P1429" t="s">
        <v>47</v>
      </c>
      <c r="Y1429" t="s">
        <v>5277</v>
      </c>
      <c r="AG1429" t="s">
        <v>48</v>
      </c>
    </row>
    <row r="1430" spans="1:33">
      <c r="A1430" t="s">
        <v>5278</v>
      </c>
      <c r="B1430" t="s">
        <v>5279</v>
      </c>
      <c r="D1430" t="s">
        <v>40</v>
      </c>
      <c r="E1430" t="s">
        <v>41</v>
      </c>
      <c r="J1430" t="s">
        <v>129</v>
      </c>
      <c r="K1430" t="s">
        <v>130</v>
      </c>
      <c r="L1430">
        <v>5</v>
      </c>
      <c r="M1430" t="s">
        <v>5280</v>
      </c>
      <c r="N1430" t="s">
        <v>192</v>
      </c>
      <c r="O1430" t="s">
        <v>47</v>
      </c>
      <c r="P1430" t="s">
        <v>47</v>
      </c>
      <c r="Y1430" t="s">
        <v>5281</v>
      </c>
      <c r="AG1430" t="s">
        <v>48</v>
      </c>
    </row>
    <row r="1431" spans="1:33">
      <c r="A1431" t="s">
        <v>5282</v>
      </c>
      <c r="B1431" t="s">
        <v>5283</v>
      </c>
      <c r="D1431" t="s">
        <v>40</v>
      </c>
      <c r="E1431" t="s">
        <v>41</v>
      </c>
      <c r="J1431" t="s">
        <v>108</v>
      </c>
      <c r="K1431" t="s">
        <v>109</v>
      </c>
      <c r="L1431">
        <v>5</v>
      </c>
      <c r="M1431" t="s">
        <v>5284</v>
      </c>
      <c r="N1431" t="s">
        <v>59</v>
      </c>
      <c r="O1431" t="s">
        <v>47</v>
      </c>
      <c r="P1431" t="s">
        <v>47</v>
      </c>
      <c r="Y1431" t="s">
        <v>5285</v>
      </c>
      <c r="AG1431" t="s">
        <v>48</v>
      </c>
    </row>
    <row r="1432" spans="1:33">
      <c r="A1432" t="s">
        <v>117</v>
      </c>
      <c r="B1432" t="s">
        <v>5286</v>
      </c>
      <c r="D1432" t="s">
        <v>40</v>
      </c>
      <c r="E1432" t="s">
        <v>41</v>
      </c>
      <c r="J1432" t="s">
        <v>290</v>
      </c>
      <c r="K1432" t="s">
        <v>291</v>
      </c>
      <c r="L1432">
        <v>5</v>
      </c>
      <c r="M1432" t="s">
        <v>5287</v>
      </c>
      <c r="N1432" t="s">
        <v>59</v>
      </c>
      <c r="O1432" t="s">
        <v>47</v>
      </c>
      <c r="P1432" t="s">
        <v>47</v>
      </c>
      <c r="Y1432" t="s">
        <v>5288</v>
      </c>
      <c r="AG1432" t="s">
        <v>48</v>
      </c>
    </row>
    <row r="1433" spans="1:33">
      <c r="A1433" t="s">
        <v>5289</v>
      </c>
      <c r="B1433" t="s">
        <v>5290</v>
      </c>
      <c r="D1433" t="s">
        <v>40</v>
      </c>
      <c r="E1433" t="s">
        <v>41</v>
      </c>
      <c r="J1433" t="s">
        <v>2439</v>
      </c>
      <c r="K1433" t="s">
        <v>2440</v>
      </c>
      <c r="L1433">
        <v>5</v>
      </c>
      <c r="M1433" t="s">
        <v>5287</v>
      </c>
      <c r="N1433" t="s">
        <v>59</v>
      </c>
      <c r="O1433" t="s">
        <v>47</v>
      </c>
      <c r="P1433" t="s">
        <v>47</v>
      </c>
      <c r="Y1433" t="s">
        <v>5291</v>
      </c>
      <c r="AG1433" t="s">
        <v>48</v>
      </c>
    </row>
    <row r="1434" spans="1:33">
      <c r="A1434" t="s">
        <v>5292</v>
      </c>
      <c r="B1434" t="s">
        <v>5293</v>
      </c>
      <c r="D1434" t="s">
        <v>40</v>
      </c>
      <c r="E1434" t="s">
        <v>41</v>
      </c>
      <c r="J1434" t="s">
        <v>290</v>
      </c>
      <c r="K1434" t="s">
        <v>291</v>
      </c>
      <c r="L1434">
        <v>5</v>
      </c>
      <c r="M1434" t="s">
        <v>5294</v>
      </c>
      <c r="N1434" t="s">
        <v>59</v>
      </c>
      <c r="O1434" t="s">
        <v>47</v>
      </c>
      <c r="P1434" t="s">
        <v>47</v>
      </c>
      <c r="Y1434" t="s">
        <v>5295</v>
      </c>
      <c r="AG1434" t="s">
        <v>48</v>
      </c>
    </row>
    <row r="1435" spans="1:33">
      <c r="A1435" t="s">
        <v>5296</v>
      </c>
      <c r="B1435" t="s">
        <v>5297</v>
      </c>
      <c r="D1435" t="s">
        <v>40</v>
      </c>
      <c r="E1435" t="s">
        <v>41</v>
      </c>
      <c r="J1435" t="s">
        <v>270</v>
      </c>
      <c r="K1435" t="s">
        <v>271</v>
      </c>
      <c r="L1435">
        <v>5</v>
      </c>
      <c r="M1435" t="s">
        <v>5298</v>
      </c>
      <c r="N1435" t="s">
        <v>59</v>
      </c>
      <c r="O1435" t="s">
        <v>47</v>
      </c>
      <c r="P1435" t="s">
        <v>47</v>
      </c>
      <c r="Y1435" t="s">
        <v>5299</v>
      </c>
      <c r="AG1435" t="s">
        <v>48</v>
      </c>
    </row>
    <row r="1436" spans="1:33">
      <c r="A1436" t="s">
        <v>5300</v>
      </c>
      <c r="B1436" t="s">
        <v>5301</v>
      </c>
      <c r="D1436" t="s">
        <v>40</v>
      </c>
      <c r="E1436" t="s">
        <v>41</v>
      </c>
      <c r="J1436" t="s">
        <v>290</v>
      </c>
      <c r="K1436" t="s">
        <v>291</v>
      </c>
      <c r="L1436">
        <v>5</v>
      </c>
      <c r="M1436" t="s">
        <v>5298</v>
      </c>
      <c r="N1436" t="s">
        <v>59</v>
      </c>
      <c r="O1436" t="s">
        <v>47</v>
      </c>
      <c r="P1436" t="s">
        <v>47</v>
      </c>
      <c r="Y1436" t="s">
        <v>5302</v>
      </c>
      <c r="AG1436" t="s">
        <v>48</v>
      </c>
    </row>
    <row r="1437" spans="1:33">
      <c r="A1437" t="s">
        <v>5303</v>
      </c>
      <c r="B1437" t="s">
        <v>5304</v>
      </c>
      <c r="D1437" t="s">
        <v>40</v>
      </c>
      <c r="E1437" t="s">
        <v>41</v>
      </c>
      <c r="J1437" t="s">
        <v>129</v>
      </c>
      <c r="K1437" t="s">
        <v>130</v>
      </c>
      <c r="L1437">
        <v>5</v>
      </c>
      <c r="M1437" t="s">
        <v>5298</v>
      </c>
      <c r="N1437" t="s">
        <v>46</v>
      </c>
      <c r="O1437" t="s">
        <v>47</v>
      </c>
      <c r="P1437" t="s">
        <v>47</v>
      </c>
      <c r="Y1437" t="s">
        <v>5305</v>
      </c>
      <c r="AG1437" t="s">
        <v>48</v>
      </c>
    </row>
    <row r="1438" spans="1:33">
      <c r="A1438" t="s">
        <v>5306</v>
      </c>
      <c r="B1438" t="s">
        <v>5307</v>
      </c>
      <c r="D1438" t="s">
        <v>40</v>
      </c>
      <c r="E1438" t="s">
        <v>41</v>
      </c>
      <c r="J1438" t="s">
        <v>290</v>
      </c>
      <c r="K1438" t="s">
        <v>291</v>
      </c>
      <c r="L1438">
        <v>5</v>
      </c>
      <c r="M1438" t="s">
        <v>5308</v>
      </c>
      <c r="N1438" t="s">
        <v>59</v>
      </c>
      <c r="O1438" t="s">
        <v>47</v>
      </c>
      <c r="P1438" t="s">
        <v>47</v>
      </c>
      <c r="Y1438" t="s">
        <v>5309</v>
      </c>
      <c r="AG1438" t="s">
        <v>48</v>
      </c>
    </row>
    <row r="1439" spans="1:33">
      <c r="A1439" t="s">
        <v>5310</v>
      </c>
      <c r="B1439" t="s">
        <v>5311</v>
      </c>
      <c r="D1439" t="s">
        <v>40</v>
      </c>
      <c r="E1439" t="s">
        <v>41</v>
      </c>
      <c r="J1439" t="s">
        <v>290</v>
      </c>
      <c r="K1439" t="s">
        <v>291</v>
      </c>
      <c r="L1439">
        <v>5</v>
      </c>
      <c r="M1439" t="s">
        <v>5312</v>
      </c>
      <c r="N1439" t="s">
        <v>59</v>
      </c>
      <c r="O1439" t="s">
        <v>47</v>
      </c>
      <c r="P1439" t="s">
        <v>47</v>
      </c>
      <c r="Y1439" t="s">
        <v>5313</v>
      </c>
      <c r="AG1439" t="s">
        <v>48</v>
      </c>
    </row>
    <row r="1440" spans="1:33">
      <c r="A1440" t="s">
        <v>5314</v>
      </c>
      <c r="B1440" t="s">
        <v>5315</v>
      </c>
      <c r="D1440" t="s">
        <v>40</v>
      </c>
      <c r="E1440" t="s">
        <v>41</v>
      </c>
      <c r="J1440" t="s">
        <v>108</v>
      </c>
      <c r="K1440" t="s">
        <v>109</v>
      </c>
      <c r="L1440">
        <v>5</v>
      </c>
      <c r="M1440" t="s">
        <v>5316</v>
      </c>
      <c r="N1440" t="s">
        <v>59</v>
      </c>
      <c r="O1440" t="s">
        <v>47</v>
      </c>
      <c r="P1440" t="s">
        <v>47</v>
      </c>
      <c r="Y1440" t="s">
        <v>5317</v>
      </c>
      <c r="AG1440" t="s">
        <v>48</v>
      </c>
    </row>
    <row r="1441" spans="1:33">
      <c r="A1441" t="s">
        <v>5318</v>
      </c>
      <c r="B1441" t="s">
        <v>5319</v>
      </c>
      <c r="D1441" t="s">
        <v>40</v>
      </c>
      <c r="E1441" t="s">
        <v>41</v>
      </c>
      <c r="J1441" t="s">
        <v>290</v>
      </c>
      <c r="K1441" t="s">
        <v>291</v>
      </c>
      <c r="L1441">
        <v>5</v>
      </c>
      <c r="M1441" t="s">
        <v>5316</v>
      </c>
      <c r="N1441" t="s">
        <v>59</v>
      </c>
      <c r="O1441" t="s">
        <v>47</v>
      </c>
      <c r="P1441" t="s">
        <v>47</v>
      </c>
      <c r="Y1441" t="s">
        <v>5320</v>
      </c>
      <c r="AG1441" t="s">
        <v>48</v>
      </c>
    </row>
    <row r="1442" spans="1:33">
      <c r="A1442" t="s">
        <v>5321</v>
      </c>
      <c r="B1442" t="s">
        <v>5322</v>
      </c>
      <c r="D1442" t="s">
        <v>40</v>
      </c>
      <c r="E1442" t="s">
        <v>41</v>
      </c>
      <c r="J1442" t="s">
        <v>162</v>
      </c>
      <c r="K1442" t="s">
        <v>163</v>
      </c>
      <c r="L1442">
        <v>5</v>
      </c>
      <c r="M1442" t="s">
        <v>5323</v>
      </c>
      <c r="N1442" t="s">
        <v>59</v>
      </c>
      <c r="O1442" t="s">
        <v>47</v>
      </c>
      <c r="P1442" t="s">
        <v>47</v>
      </c>
      <c r="Y1442" t="s">
        <v>5324</v>
      </c>
      <c r="AG1442" t="s">
        <v>48</v>
      </c>
    </row>
    <row r="1443" spans="1:33">
      <c r="A1443" t="s">
        <v>5325</v>
      </c>
      <c r="B1443" t="s">
        <v>5326</v>
      </c>
      <c r="D1443" t="s">
        <v>40</v>
      </c>
      <c r="E1443" t="s">
        <v>41</v>
      </c>
      <c r="J1443" t="s">
        <v>270</v>
      </c>
      <c r="K1443" t="s">
        <v>271</v>
      </c>
      <c r="L1443">
        <v>5</v>
      </c>
      <c r="M1443" t="s">
        <v>5327</v>
      </c>
      <c r="N1443" t="s">
        <v>59</v>
      </c>
      <c r="O1443" t="s">
        <v>47</v>
      </c>
      <c r="P1443" t="s">
        <v>47</v>
      </c>
      <c r="Y1443" t="s">
        <v>5328</v>
      </c>
      <c r="AG1443" t="s">
        <v>48</v>
      </c>
    </row>
    <row r="1444" spans="1:33">
      <c r="A1444" t="s">
        <v>5329</v>
      </c>
      <c r="B1444" t="s">
        <v>5330</v>
      </c>
      <c r="D1444" t="s">
        <v>40</v>
      </c>
      <c r="E1444" t="s">
        <v>41</v>
      </c>
      <c r="J1444" t="s">
        <v>290</v>
      </c>
      <c r="K1444" t="s">
        <v>291</v>
      </c>
      <c r="L1444">
        <v>5</v>
      </c>
      <c r="M1444" t="s">
        <v>5331</v>
      </c>
      <c r="N1444" t="s">
        <v>59</v>
      </c>
      <c r="O1444" t="s">
        <v>47</v>
      </c>
      <c r="P1444" t="s">
        <v>47</v>
      </c>
      <c r="Y1444" t="s">
        <v>5332</v>
      </c>
      <c r="AG1444" t="s">
        <v>48</v>
      </c>
    </row>
    <row r="1445" spans="1:33">
      <c r="A1445" t="s">
        <v>5333</v>
      </c>
      <c r="B1445" t="s">
        <v>5334</v>
      </c>
      <c r="D1445" t="s">
        <v>40</v>
      </c>
      <c r="E1445" t="s">
        <v>41</v>
      </c>
      <c r="J1445" t="s">
        <v>290</v>
      </c>
      <c r="K1445" t="s">
        <v>291</v>
      </c>
      <c r="L1445">
        <v>5</v>
      </c>
      <c r="M1445" t="s">
        <v>5335</v>
      </c>
      <c r="N1445" t="s">
        <v>59</v>
      </c>
      <c r="O1445" t="s">
        <v>47</v>
      </c>
      <c r="P1445" t="s">
        <v>47</v>
      </c>
      <c r="Y1445" t="s">
        <v>5336</v>
      </c>
      <c r="AG1445" t="s">
        <v>48</v>
      </c>
    </row>
    <row r="1446" spans="1:33">
      <c r="A1446" t="s">
        <v>5337</v>
      </c>
      <c r="B1446" t="s">
        <v>5338</v>
      </c>
      <c r="D1446" t="s">
        <v>40</v>
      </c>
      <c r="E1446" t="s">
        <v>41</v>
      </c>
      <c r="H1446" t="s">
        <v>5339</v>
      </c>
      <c r="J1446" t="s">
        <v>129</v>
      </c>
      <c r="K1446" t="s">
        <v>130</v>
      </c>
      <c r="L1446">
        <v>5</v>
      </c>
      <c r="M1446" t="s">
        <v>5335</v>
      </c>
      <c r="N1446" t="s">
        <v>192</v>
      </c>
      <c r="O1446" t="s">
        <v>47</v>
      </c>
      <c r="P1446" t="s">
        <v>47</v>
      </c>
      <c r="Y1446" t="s">
        <v>5339</v>
      </c>
      <c r="AG1446" t="s">
        <v>48</v>
      </c>
    </row>
    <row r="1447" spans="1:33">
      <c r="A1447" t="s">
        <v>5340</v>
      </c>
      <c r="B1447" t="s">
        <v>5341</v>
      </c>
      <c r="D1447" t="s">
        <v>40</v>
      </c>
      <c r="E1447" t="s">
        <v>41</v>
      </c>
      <c r="J1447" t="s">
        <v>129</v>
      </c>
      <c r="K1447" t="s">
        <v>130</v>
      </c>
      <c r="L1447">
        <v>5</v>
      </c>
      <c r="M1447" t="s">
        <v>5335</v>
      </c>
      <c r="N1447" t="s">
        <v>46</v>
      </c>
      <c r="O1447" t="s">
        <v>47</v>
      </c>
      <c r="P1447" t="s">
        <v>47</v>
      </c>
      <c r="Y1447" t="s">
        <v>5342</v>
      </c>
      <c r="AG1447" t="s">
        <v>48</v>
      </c>
    </row>
    <row r="1448" spans="1:33">
      <c r="A1448" t="s">
        <v>5343</v>
      </c>
      <c r="B1448" t="s">
        <v>5344</v>
      </c>
      <c r="D1448" t="s">
        <v>40</v>
      </c>
      <c r="E1448" t="s">
        <v>41</v>
      </c>
      <c r="J1448" t="s">
        <v>270</v>
      </c>
      <c r="K1448" t="s">
        <v>271</v>
      </c>
      <c r="L1448">
        <v>5</v>
      </c>
      <c r="M1448" t="s">
        <v>5345</v>
      </c>
      <c r="N1448" t="s">
        <v>59</v>
      </c>
      <c r="O1448" t="s">
        <v>47</v>
      </c>
      <c r="P1448" t="s">
        <v>47</v>
      </c>
      <c r="Y1448" t="s">
        <v>5346</v>
      </c>
      <c r="AG1448" t="s">
        <v>48</v>
      </c>
    </row>
    <row r="1449" spans="1:33">
      <c r="A1449" t="s">
        <v>5347</v>
      </c>
      <c r="B1449" t="s">
        <v>5348</v>
      </c>
      <c r="D1449" t="s">
        <v>40</v>
      </c>
      <c r="E1449" t="s">
        <v>41</v>
      </c>
      <c r="J1449" t="s">
        <v>108</v>
      </c>
      <c r="K1449" t="s">
        <v>109</v>
      </c>
      <c r="L1449">
        <v>5</v>
      </c>
      <c r="M1449" t="s">
        <v>5349</v>
      </c>
      <c r="N1449" t="s">
        <v>59</v>
      </c>
      <c r="O1449" t="s">
        <v>47</v>
      </c>
      <c r="P1449" t="s">
        <v>47</v>
      </c>
      <c r="Y1449" t="s">
        <v>5350</v>
      </c>
      <c r="AG1449" t="s">
        <v>48</v>
      </c>
    </row>
    <row r="1450" spans="1:33">
      <c r="A1450" t="s">
        <v>5351</v>
      </c>
      <c r="B1450" t="s">
        <v>5352</v>
      </c>
      <c r="D1450" t="s">
        <v>40</v>
      </c>
      <c r="E1450" t="s">
        <v>41</v>
      </c>
      <c r="H1450" t="s">
        <v>5353</v>
      </c>
      <c r="J1450" t="s">
        <v>129</v>
      </c>
      <c r="K1450" t="s">
        <v>130</v>
      </c>
      <c r="L1450">
        <v>5</v>
      </c>
      <c r="M1450" t="s">
        <v>5349</v>
      </c>
      <c r="N1450" t="s">
        <v>192</v>
      </c>
      <c r="O1450" t="s">
        <v>47</v>
      </c>
      <c r="P1450" t="s">
        <v>47</v>
      </c>
      <c r="Y1450" t="s">
        <v>5353</v>
      </c>
      <c r="AG1450" t="s">
        <v>48</v>
      </c>
    </row>
    <row r="1451" spans="1:33">
      <c r="A1451" t="s">
        <v>5354</v>
      </c>
      <c r="B1451" t="s">
        <v>5355</v>
      </c>
      <c r="D1451" t="s">
        <v>40</v>
      </c>
      <c r="E1451" t="s">
        <v>41</v>
      </c>
      <c r="H1451" t="s">
        <v>5356</v>
      </c>
      <c r="J1451" t="s">
        <v>162</v>
      </c>
      <c r="K1451" t="s">
        <v>163</v>
      </c>
      <c r="L1451">
        <v>5</v>
      </c>
      <c r="M1451" t="s">
        <v>5349</v>
      </c>
      <c r="N1451" t="s">
        <v>59</v>
      </c>
      <c r="O1451" t="s">
        <v>47</v>
      </c>
      <c r="P1451" t="s">
        <v>47</v>
      </c>
      <c r="Y1451" t="s">
        <v>5356</v>
      </c>
      <c r="AG1451" t="s">
        <v>48</v>
      </c>
    </row>
    <row r="1452" spans="1:33">
      <c r="A1452" t="s">
        <v>5357</v>
      </c>
      <c r="B1452" t="s">
        <v>5358</v>
      </c>
      <c r="D1452" t="s">
        <v>40</v>
      </c>
      <c r="E1452" t="s">
        <v>41</v>
      </c>
      <c r="J1452" t="s">
        <v>129</v>
      </c>
      <c r="K1452" t="s">
        <v>130</v>
      </c>
      <c r="L1452">
        <v>5</v>
      </c>
      <c r="M1452" t="s">
        <v>5349</v>
      </c>
      <c r="N1452" t="s">
        <v>218</v>
      </c>
      <c r="O1452" t="s">
        <v>47</v>
      </c>
      <c r="P1452" t="s">
        <v>47</v>
      </c>
      <c r="Y1452" t="s">
        <v>5359</v>
      </c>
      <c r="AG1452" t="s">
        <v>48</v>
      </c>
    </row>
    <row r="1453" spans="1:33">
      <c r="A1453" t="s">
        <v>5360</v>
      </c>
      <c r="B1453" t="s">
        <v>5361</v>
      </c>
      <c r="D1453" t="s">
        <v>40</v>
      </c>
      <c r="E1453" t="s">
        <v>41</v>
      </c>
      <c r="J1453" t="s">
        <v>162</v>
      </c>
      <c r="K1453" t="s">
        <v>163</v>
      </c>
      <c r="L1453">
        <v>5</v>
      </c>
      <c r="M1453" t="s">
        <v>5362</v>
      </c>
      <c r="N1453" t="s">
        <v>59</v>
      </c>
      <c r="O1453" t="s">
        <v>47</v>
      </c>
      <c r="P1453" t="s">
        <v>47</v>
      </c>
      <c r="Y1453" t="s">
        <v>5363</v>
      </c>
      <c r="AG1453" t="s">
        <v>48</v>
      </c>
    </row>
    <row r="1454" spans="1:33">
      <c r="A1454" t="s">
        <v>5364</v>
      </c>
      <c r="B1454" t="s">
        <v>5365</v>
      </c>
      <c r="D1454" t="s">
        <v>40</v>
      </c>
      <c r="E1454" t="s">
        <v>41</v>
      </c>
      <c r="J1454" t="s">
        <v>290</v>
      </c>
      <c r="K1454" t="s">
        <v>291</v>
      </c>
      <c r="L1454">
        <v>5</v>
      </c>
      <c r="M1454" t="s">
        <v>5362</v>
      </c>
      <c r="N1454" t="s">
        <v>59</v>
      </c>
      <c r="O1454" t="s">
        <v>47</v>
      </c>
      <c r="P1454" t="s">
        <v>47</v>
      </c>
      <c r="Y1454" t="s">
        <v>5366</v>
      </c>
      <c r="AG1454" t="s">
        <v>48</v>
      </c>
    </row>
    <row r="1455" spans="1:33">
      <c r="A1455" t="s">
        <v>5367</v>
      </c>
      <c r="B1455" t="s">
        <v>5368</v>
      </c>
      <c r="D1455" t="s">
        <v>40</v>
      </c>
      <c r="E1455" t="s">
        <v>41</v>
      </c>
      <c r="H1455" t="s">
        <v>5369</v>
      </c>
      <c r="J1455" t="s">
        <v>129</v>
      </c>
      <c r="K1455" t="s">
        <v>130</v>
      </c>
      <c r="L1455">
        <v>5</v>
      </c>
      <c r="M1455" t="s">
        <v>5370</v>
      </c>
      <c r="N1455" t="s">
        <v>192</v>
      </c>
      <c r="O1455" t="s">
        <v>47</v>
      </c>
      <c r="P1455" t="s">
        <v>47</v>
      </c>
      <c r="Y1455" t="s">
        <v>5369</v>
      </c>
      <c r="AG1455" t="s">
        <v>48</v>
      </c>
    </row>
    <row r="1456" spans="1:33">
      <c r="A1456" t="s">
        <v>5371</v>
      </c>
      <c r="B1456" t="s">
        <v>5372</v>
      </c>
      <c r="D1456" t="s">
        <v>40</v>
      </c>
      <c r="E1456" t="s">
        <v>41</v>
      </c>
      <c r="H1456" t="s">
        <v>5373</v>
      </c>
      <c r="J1456" t="s">
        <v>63</v>
      </c>
      <c r="K1456" t="s">
        <v>64</v>
      </c>
      <c r="L1456">
        <v>5</v>
      </c>
      <c r="M1456" t="s">
        <v>5370</v>
      </c>
      <c r="N1456" t="s">
        <v>59</v>
      </c>
      <c r="O1456" t="s">
        <v>47</v>
      </c>
      <c r="P1456" t="s">
        <v>47</v>
      </c>
      <c r="Y1456" t="s">
        <v>5373</v>
      </c>
      <c r="AG1456" t="s">
        <v>48</v>
      </c>
    </row>
    <row r="1457" spans="1:33">
      <c r="A1457" t="s">
        <v>5374</v>
      </c>
      <c r="B1457" t="s">
        <v>5375</v>
      </c>
      <c r="D1457" t="s">
        <v>40</v>
      </c>
      <c r="E1457" t="s">
        <v>41</v>
      </c>
      <c r="J1457" t="s">
        <v>162</v>
      </c>
      <c r="K1457" t="s">
        <v>163</v>
      </c>
      <c r="L1457">
        <v>5</v>
      </c>
      <c r="M1457" t="s">
        <v>5376</v>
      </c>
      <c r="N1457" t="s">
        <v>59</v>
      </c>
      <c r="O1457" t="s">
        <v>47</v>
      </c>
      <c r="P1457" t="s">
        <v>47</v>
      </c>
      <c r="Y1457" t="s">
        <v>5377</v>
      </c>
      <c r="AG1457" t="s">
        <v>48</v>
      </c>
    </row>
    <row r="1458" spans="1:33">
      <c r="A1458" t="s">
        <v>5378</v>
      </c>
      <c r="B1458" t="s">
        <v>5379</v>
      </c>
      <c r="D1458" t="s">
        <v>40</v>
      </c>
      <c r="E1458" t="s">
        <v>41</v>
      </c>
      <c r="J1458" t="s">
        <v>290</v>
      </c>
      <c r="K1458" t="s">
        <v>291</v>
      </c>
      <c r="L1458">
        <v>5</v>
      </c>
      <c r="M1458" t="s">
        <v>5380</v>
      </c>
      <c r="N1458" t="s">
        <v>59</v>
      </c>
      <c r="O1458" t="s">
        <v>47</v>
      </c>
      <c r="P1458" t="s">
        <v>47</v>
      </c>
      <c r="Y1458" t="s">
        <v>5381</v>
      </c>
      <c r="AG1458" t="s">
        <v>48</v>
      </c>
    </row>
    <row r="1459" spans="1:33">
      <c r="A1459" t="s">
        <v>5382</v>
      </c>
      <c r="B1459" t="s">
        <v>5383</v>
      </c>
      <c r="D1459" t="s">
        <v>40</v>
      </c>
      <c r="E1459" t="s">
        <v>41</v>
      </c>
      <c r="J1459" t="s">
        <v>290</v>
      </c>
      <c r="K1459" t="s">
        <v>291</v>
      </c>
      <c r="L1459">
        <v>5</v>
      </c>
      <c r="M1459" t="s">
        <v>5380</v>
      </c>
      <c r="N1459" t="s">
        <v>59</v>
      </c>
      <c r="O1459" t="s">
        <v>47</v>
      </c>
      <c r="P1459" t="s">
        <v>47</v>
      </c>
      <c r="Y1459" t="s">
        <v>5384</v>
      </c>
      <c r="AG1459" t="s">
        <v>48</v>
      </c>
    </row>
    <row r="1460" spans="1:33">
      <c r="A1460" t="s">
        <v>5385</v>
      </c>
      <c r="B1460" t="s">
        <v>5386</v>
      </c>
      <c r="D1460" t="s">
        <v>40</v>
      </c>
      <c r="E1460" t="s">
        <v>41</v>
      </c>
      <c r="J1460" t="s">
        <v>162</v>
      </c>
      <c r="K1460" t="s">
        <v>163</v>
      </c>
      <c r="L1460">
        <v>5</v>
      </c>
      <c r="M1460" t="s">
        <v>5387</v>
      </c>
      <c r="N1460" t="s">
        <v>59</v>
      </c>
      <c r="O1460" t="s">
        <v>47</v>
      </c>
      <c r="P1460" t="s">
        <v>47</v>
      </c>
      <c r="Y1460" t="s">
        <v>5388</v>
      </c>
      <c r="AG1460" t="s">
        <v>48</v>
      </c>
    </row>
    <row r="1461" spans="1:33">
      <c r="A1461" t="s">
        <v>5389</v>
      </c>
      <c r="B1461" t="s">
        <v>5390</v>
      </c>
      <c r="D1461" t="s">
        <v>40</v>
      </c>
      <c r="E1461" t="s">
        <v>41</v>
      </c>
      <c r="J1461" t="s">
        <v>69</v>
      </c>
      <c r="K1461" t="s">
        <v>70</v>
      </c>
      <c r="L1461">
        <v>5</v>
      </c>
      <c r="M1461" t="s">
        <v>5387</v>
      </c>
      <c r="N1461" t="s">
        <v>192</v>
      </c>
      <c r="O1461" t="s">
        <v>47</v>
      </c>
      <c r="P1461" t="s">
        <v>47</v>
      </c>
      <c r="Y1461" t="s">
        <v>5391</v>
      </c>
      <c r="AG1461" t="s">
        <v>48</v>
      </c>
    </row>
    <row r="1462" spans="1:33">
      <c r="A1462" t="s">
        <v>5392</v>
      </c>
      <c r="B1462" t="s">
        <v>5393</v>
      </c>
      <c r="D1462" t="s">
        <v>40</v>
      </c>
      <c r="E1462" t="s">
        <v>41</v>
      </c>
      <c r="J1462" t="s">
        <v>108</v>
      </c>
      <c r="K1462" t="s">
        <v>109</v>
      </c>
      <c r="L1462">
        <v>5</v>
      </c>
      <c r="M1462" t="s">
        <v>5394</v>
      </c>
      <c r="N1462" t="s">
        <v>59</v>
      </c>
      <c r="O1462" t="s">
        <v>47</v>
      </c>
      <c r="P1462" t="s">
        <v>47</v>
      </c>
      <c r="Y1462" t="s">
        <v>5395</v>
      </c>
      <c r="AG1462" t="s">
        <v>48</v>
      </c>
    </row>
    <row r="1463" spans="1:33">
      <c r="A1463" t="s">
        <v>5396</v>
      </c>
      <c r="B1463" t="s">
        <v>5397</v>
      </c>
      <c r="D1463" t="s">
        <v>40</v>
      </c>
      <c r="E1463" t="s">
        <v>41</v>
      </c>
      <c r="J1463" t="s">
        <v>270</v>
      </c>
      <c r="K1463" t="s">
        <v>271</v>
      </c>
      <c r="L1463">
        <v>5</v>
      </c>
      <c r="M1463" t="s">
        <v>5394</v>
      </c>
      <c r="N1463" t="s">
        <v>59</v>
      </c>
      <c r="O1463" t="s">
        <v>47</v>
      </c>
      <c r="P1463" t="s">
        <v>47</v>
      </c>
      <c r="Y1463" t="s">
        <v>5398</v>
      </c>
      <c r="AG1463" t="s">
        <v>48</v>
      </c>
    </row>
    <row r="1464" spans="1:33">
      <c r="A1464" t="s">
        <v>5399</v>
      </c>
      <c r="B1464" t="s">
        <v>5400</v>
      </c>
      <c r="D1464" t="s">
        <v>40</v>
      </c>
      <c r="E1464" t="s">
        <v>41</v>
      </c>
      <c r="J1464" t="s">
        <v>270</v>
      </c>
      <c r="K1464" t="s">
        <v>271</v>
      </c>
      <c r="L1464">
        <v>5</v>
      </c>
      <c r="M1464" t="s">
        <v>5401</v>
      </c>
      <c r="N1464" t="s">
        <v>59</v>
      </c>
      <c r="O1464" t="s">
        <v>47</v>
      </c>
      <c r="P1464" t="s">
        <v>47</v>
      </c>
      <c r="Y1464" t="s">
        <v>5402</v>
      </c>
      <c r="AG1464" t="s">
        <v>48</v>
      </c>
    </row>
    <row r="1465" spans="1:33">
      <c r="A1465" t="s">
        <v>5403</v>
      </c>
      <c r="B1465" t="s">
        <v>5404</v>
      </c>
      <c r="D1465" t="s">
        <v>40</v>
      </c>
      <c r="E1465" t="s">
        <v>41</v>
      </c>
      <c r="J1465" t="s">
        <v>290</v>
      </c>
      <c r="K1465" t="s">
        <v>291</v>
      </c>
      <c r="L1465">
        <v>5</v>
      </c>
      <c r="M1465" t="s">
        <v>5405</v>
      </c>
      <c r="N1465" t="s">
        <v>59</v>
      </c>
      <c r="O1465" t="s">
        <v>47</v>
      </c>
      <c r="P1465" t="s">
        <v>47</v>
      </c>
      <c r="Y1465" t="s">
        <v>5406</v>
      </c>
      <c r="AG1465" t="s">
        <v>48</v>
      </c>
    </row>
    <row r="1466" spans="1:33">
      <c r="A1466" t="s">
        <v>5407</v>
      </c>
      <c r="B1466" t="s">
        <v>5408</v>
      </c>
      <c r="D1466" t="s">
        <v>40</v>
      </c>
      <c r="E1466" t="s">
        <v>41</v>
      </c>
      <c r="J1466" t="s">
        <v>162</v>
      </c>
      <c r="K1466" t="s">
        <v>163</v>
      </c>
      <c r="L1466">
        <v>5</v>
      </c>
      <c r="M1466" t="s">
        <v>5405</v>
      </c>
      <c r="N1466" t="s">
        <v>59</v>
      </c>
      <c r="O1466" t="s">
        <v>47</v>
      </c>
      <c r="P1466" t="s">
        <v>47</v>
      </c>
      <c r="Y1466" t="s">
        <v>5409</v>
      </c>
      <c r="AG1466" t="s">
        <v>48</v>
      </c>
    </row>
    <row r="1467" spans="1:33">
      <c r="A1467" t="s">
        <v>5410</v>
      </c>
      <c r="B1467" t="s">
        <v>5411</v>
      </c>
      <c r="D1467" t="s">
        <v>40</v>
      </c>
      <c r="E1467" t="s">
        <v>41</v>
      </c>
      <c r="J1467" t="s">
        <v>129</v>
      </c>
      <c r="K1467" t="s">
        <v>130</v>
      </c>
      <c r="L1467">
        <v>5</v>
      </c>
      <c r="M1467" t="s">
        <v>5405</v>
      </c>
      <c r="N1467" t="s">
        <v>192</v>
      </c>
      <c r="O1467" t="s">
        <v>47</v>
      </c>
      <c r="P1467" t="s">
        <v>47</v>
      </c>
      <c r="Y1467" t="s">
        <v>5412</v>
      </c>
      <c r="AG1467" t="s">
        <v>48</v>
      </c>
    </row>
    <row r="1468" spans="1:33">
      <c r="A1468" t="s">
        <v>5413</v>
      </c>
      <c r="B1468" t="s">
        <v>5414</v>
      </c>
      <c r="D1468" t="s">
        <v>40</v>
      </c>
      <c r="E1468" t="s">
        <v>41</v>
      </c>
      <c r="J1468" t="s">
        <v>290</v>
      </c>
      <c r="K1468" t="s">
        <v>291</v>
      </c>
      <c r="L1468">
        <v>5</v>
      </c>
      <c r="M1468" t="s">
        <v>5415</v>
      </c>
      <c r="N1468" t="s">
        <v>59</v>
      </c>
      <c r="O1468" t="s">
        <v>47</v>
      </c>
      <c r="P1468" t="s">
        <v>47</v>
      </c>
      <c r="Y1468" t="s">
        <v>5416</v>
      </c>
      <c r="AG1468" t="s">
        <v>48</v>
      </c>
    </row>
    <row r="1469" spans="1:33">
      <c r="A1469" t="s">
        <v>5417</v>
      </c>
      <c r="B1469" t="s">
        <v>5418</v>
      </c>
      <c r="D1469" t="s">
        <v>40</v>
      </c>
      <c r="E1469" t="s">
        <v>41</v>
      </c>
      <c r="J1469" t="s">
        <v>270</v>
      </c>
      <c r="K1469" t="s">
        <v>271</v>
      </c>
      <c r="L1469">
        <v>5</v>
      </c>
      <c r="M1469" t="s">
        <v>5415</v>
      </c>
      <c r="N1469" t="s">
        <v>59</v>
      </c>
      <c r="O1469" t="s">
        <v>47</v>
      </c>
      <c r="P1469" t="s">
        <v>47</v>
      </c>
      <c r="Y1469" t="s">
        <v>5419</v>
      </c>
      <c r="AG1469" t="s">
        <v>48</v>
      </c>
    </row>
    <row r="1470" spans="1:33">
      <c r="A1470" t="s">
        <v>5420</v>
      </c>
      <c r="B1470" t="s">
        <v>5421</v>
      </c>
      <c r="D1470" t="s">
        <v>40</v>
      </c>
      <c r="E1470" t="s">
        <v>41</v>
      </c>
      <c r="J1470" t="s">
        <v>162</v>
      </c>
      <c r="K1470" t="s">
        <v>163</v>
      </c>
      <c r="L1470">
        <v>5</v>
      </c>
      <c r="M1470" t="s">
        <v>5422</v>
      </c>
      <c r="N1470" t="s">
        <v>59</v>
      </c>
      <c r="O1470" t="s">
        <v>47</v>
      </c>
      <c r="P1470" t="s">
        <v>47</v>
      </c>
      <c r="Y1470" t="s">
        <v>5423</v>
      </c>
      <c r="AG1470" t="s">
        <v>48</v>
      </c>
    </row>
    <row r="1471" spans="1:33">
      <c r="A1471" t="s">
        <v>5424</v>
      </c>
      <c r="B1471" t="s">
        <v>5425</v>
      </c>
      <c r="D1471" t="s">
        <v>40</v>
      </c>
      <c r="E1471" t="s">
        <v>41</v>
      </c>
      <c r="H1471" t="s">
        <v>5426</v>
      </c>
      <c r="J1471" t="s">
        <v>63</v>
      </c>
      <c r="K1471" t="s">
        <v>64</v>
      </c>
      <c r="L1471">
        <v>5</v>
      </c>
      <c r="M1471" t="s">
        <v>5427</v>
      </c>
      <c r="N1471" t="s">
        <v>59</v>
      </c>
      <c r="O1471" t="s">
        <v>47</v>
      </c>
      <c r="P1471" t="s">
        <v>47</v>
      </c>
      <c r="Y1471" t="s">
        <v>5426</v>
      </c>
      <c r="AG1471" t="s">
        <v>48</v>
      </c>
    </row>
    <row r="1472" spans="1:33">
      <c r="A1472" t="s">
        <v>5428</v>
      </c>
      <c r="B1472" t="s">
        <v>5429</v>
      </c>
      <c r="D1472" t="s">
        <v>40</v>
      </c>
      <c r="E1472" t="s">
        <v>41</v>
      </c>
      <c r="J1472" t="s">
        <v>129</v>
      </c>
      <c r="K1472" t="s">
        <v>130</v>
      </c>
      <c r="L1472">
        <v>5</v>
      </c>
      <c r="M1472" t="s">
        <v>5430</v>
      </c>
      <c r="N1472" t="s">
        <v>46</v>
      </c>
      <c r="O1472" t="s">
        <v>47</v>
      </c>
      <c r="P1472" t="s">
        <v>47</v>
      </c>
      <c r="Y1472" t="s">
        <v>5431</v>
      </c>
      <c r="AG1472" t="s">
        <v>48</v>
      </c>
    </row>
    <row r="1473" spans="1:33">
      <c r="A1473" t="s">
        <v>5432</v>
      </c>
      <c r="B1473" t="s">
        <v>5433</v>
      </c>
      <c r="D1473" t="s">
        <v>40</v>
      </c>
      <c r="E1473" t="s">
        <v>41</v>
      </c>
      <c r="J1473" t="s">
        <v>108</v>
      </c>
      <c r="K1473" t="s">
        <v>109</v>
      </c>
      <c r="L1473">
        <v>5</v>
      </c>
      <c r="M1473" t="s">
        <v>5434</v>
      </c>
      <c r="N1473" t="s">
        <v>59</v>
      </c>
      <c r="O1473" t="s">
        <v>47</v>
      </c>
      <c r="P1473" t="s">
        <v>47</v>
      </c>
      <c r="Y1473" t="s">
        <v>5435</v>
      </c>
      <c r="AG1473" t="s">
        <v>48</v>
      </c>
    </row>
    <row r="1474" spans="1:33">
      <c r="A1474" t="s">
        <v>5436</v>
      </c>
      <c r="B1474" t="s">
        <v>5437</v>
      </c>
      <c r="D1474" t="s">
        <v>40</v>
      </c>
      <c r="E1474" t="s">
        <v>41</v>
      </c>
      <c r="J1474" t="s">
        <v>108</v>
      </c>
      <c r="K1474" t="s">
        <v>109</v>
      </c>
      <c r="L1474">
        <v>5</v>
      </c>
      <c r="M1474" t="s">
        <v>5434</v>
      </c>
      <c r="N1474" t="s">
        <v>59</v>
      </c>
      <c r="O1474" t="s">
        <v>47</v>
      </c>
      <c r="P1474" t="s">
        <v>47</v>
      </c>
      <c r="Y1474" t="s">
        <v>5438</v>
      </c>
      <c r="AG1474" t="s">
        <v>48</v>
      </c>
    </row>
    <row r="1475" spans="1:33">
      <c r="A1475" t="s">
        <v>5439</v>
      </c>
      <c r="B1475" t="s">
        <v>5440</v>
      </c>
      <c r="D1475" t="s">
        <v>40</v>
      </c>
      <c r="E1475" t="s">
        <v>41</v>
      </c>
      <c r="H1475" t="s">
        <v>5441</v>
      </c>
      <c r="J1475" t="s">
        <v>290</v>
      </c>
      <c r="K1475" t="s">
        <v>291</v>
      </c>
      <c r="L1475">
        <v>5</v>
      </c>
      <c r="M1475" t="s">
        <v>5434</v>
      </c>
      <c r="N1475" t="s">
        <v>59</v>
      </c>
      <c r="O1475" t="s">
        <v>47</v>
      </c>
      <c r="P1475" t="s">
        <v>47</v>
      </c>
      <c r="Y1475" t="s">
        <v>5441</v>
      </c>
      <c r="AG1475" t="s">
        <v>48</v>
      </c>
    </row>
    <row r="1476" spans="1:33">
      <c r="A1476" t="s">
        <v>5442</v>
      </c>
      <c r="B1476" t="s">
        <v>5443</v>
      </c>
      <c r="D1476" t="s">
        <v>40</v>
      </c>
      <c r="E1476" t="s">
        <v>41</v>
      </c>
      <c r="J1476" t="s">
        <v>129</v>
      </c>
      <c r="K1476" t="s">
        <v>130</v>
      </c>
      <c r="L1476">
        <v>5</v>
      </c>
      <c r="M1476" t="s">
        <v>5434</v>
      </c>
      <c r="N1476" t="s">
        <v>192</v>
      </c>
      <c r="O1476" t="s">
        <v>47</v>
      </c>
      <c r="P1476" t="s">
        <v>47</v>
      </c>
      <c r="Y1476" t="s">
        <v>5444</v>
      </c>
      <c r="AG1476" t="s">
        <v>48</v>
      </c>
    </row>
    <row r="1477" spans="1:33">
      <c r="A1477" t="s">
        <v>5445</v>
      </c>
      <c r="B1477" t="s">
        <v>5446</v>
      </c>
      <c r="D1477" t="s">
        <v>40</v>
      </c>
      <c r="E1477" t="s">
        <v>41</v>
      </c>
      <c r="J1477" t="s">
        <v>270</v>
      </c>
      <c r="K1477" t="s">
        <v>271</v>
      </c>
      <c r="L1477">
        <v>5</v>
      </c>
      <c r="M1477" t="s">
        <v>5434</v>
      </c>
      <c r="N1477" t="s">
        <v>59</v>
      </c>
      <c r="O1477" t="s">
        <v>47</v>
      </c>
      <c r="P1477" t="s">
        <v>47</v>
      </c>
      <c r="Y1477" t="s">
        <v>5447</v>
      </c>
      <c r="AG1477" t="s">
        <v>48</v>
      </c>
    </row>
    <row r="1478" spans="1:33">
      <c r="A1478" t="s">
        <v>117</v>
      </c>
      <c r="B1478" t="s">
        <v>5448</v>
      </c>
      <c r="D1478" t="s">
        <v>40</v>
      </c>
      <c r="E1478" t="s">
        <v>41</v>
      </c>
      <c r="J1478" t="s">
        <v>290</v>
      </c>
      <c r="K1478" t="s">
        <v>291</v>
      </c>
      <c r="L1478">
        <v>5</v>
      </c>
      <c r="M1478" t="s">
        <v>5449</v>
      </c>
      <c r="N1478" t="s">
        <v>59</v>
      </c>
      <c r="O1478" t="s">
        <v>47</v>
      </c>
      <c r="P1478" t="s">
        <v>47</v>
      </c>
      <c r="Y1478" t="s">
        <v>5450</v>
      </c>
      <c r="AG1478" t="s">
        <v>48</v>
      </c>
    </row>
    <row r="1479" spans="1:33">
      <c r="A1479" t="s">
        <v>5451</v>
      </c>
      <c r="B1479" t="s">
        <v>5452</v>
      </c>
      <c r="D1479" t="s">
        <v>40</v>
      </c>
      <c r="E1479" t="s">
        <v>41</v>
      </c>
      <c r="J1479" t="s">
        <v>290</v>
      </c>
      <c r="K1479" t="s">
        <v>291</v>
      </c>
      <c r="L1479">
        <v>5</v>
      </c>
      <c r="M1479" t="s">
        <v>5453</v>
      </c>
      <c r="N1479" t="s">
        <v>59</v>
      </c>
      <c r="O1479" t="s">
        <v>47</v>
      </c>
      <c r="P1479" t="s">
        <v>47</v>
      </c>
      <c r="Y1479" t="s">
        <v>5454</v>
      </c>
      <c r="AG1479" t="s">
        <v>48</v>
      </c>
    </row>
    <row r="1480" spans="1:33">
      <c r="A1480" t="s">
        <v>5455</v>
      </c>
      <c r="B1480" t="s">
        <v>5456</v>
      </c>
      <c r="D1480" t="s">
        <v>40</v>
      </c>
      <c r="E1480" t="s">
        <v>41</v>
      </c>
      <c r="J1480" t="s">
        <v>129</v>
      </c>
      <c r="K1480" t="s">
        <v>130</v>
      </c>
      <c r="L1480">
        <v>5</v>
      </c>
      <c r="M1480" t="s">
        <v>5457</v>
      </c>
      <c r="N1480" t="s">
        <v>218</v>
      </c>
      <c r="O1480" t="s">
        <v>47</v>
      </c>
      <c r="P1480" t="s">
        <v>47</v>
      </c>
      <c r="Y1480" t="s">
        <v>5458</v>
      </c>
      <c r="AG1480" t="s">
        <v>48</v>
      </c>
    </row>
    <row r="1481" spans="1:33">
      <c r="A1481" t="s">
        <v>5459</v>
      </c>
      <c r="B1481" t="s">
        <v>5460</v>
      </c>
      <c r="D1481" t="s">
        <v>40</v>
      </c>
      <c r="E1481" t="s">
        <v>41</v>
      </c>
      <c r="J1481" t="s">
        <v>129</v>
      </c>
      <c r="K1481" t="s">
        <v>130</v>
      </c>
      <c r="L1481">
        <v>5</v>
      </c>
      <c r="M1481" t="s">
        <v>5461</v>
      </c>
      <c r="N1481" t="s">
        <v>192</v>
      </c>
      <c r="O1481" t="s">
        <v>47</v>
      </c>
      <c r="P1481" t="s">
        <v>47</v>
      </c>
      <c r="Y1481" t="s">
        <v>5462</v>
      </c>
      <c r="AG1481" t="s">
        <v>48</v>
      </c>
    </row>
    <row r="1482" spans="1:33">
      <c r="A1482" t="s">
        <v>5463</v>
      </c>
      <c r="B1482" t="s">
        <v>5464</v>
      </c>
      <c r="D1482" t="s">
        <v>40</v>
      </c>
      <c r="E1482" t="s">
        <v>41</v>
      </c>
      <c r="J1482" t="s">
        <v>290</v>
      </c>
      <c r="K1482" t="s">
        <v>291</v>
      </c>
      <c r="L1482">
        <v>5</v>
      </c>
      <c r="M1482" t="s">
        <v>5465</v>
      </c>
      <c r="N1482" t="s">
        <v>59</v>
      </c>
      <c r="O1482" t="s">
        <v>47</v>
      </c>
      <c r="P1482" t="s">
        <v>47</v>
      </c>
      <c r="Y1482" t="s">
        <v>5466</v>
      </c>
      <c r="AG1482" t="s">
        <v>48</v>
      </c>
    </row>
    <row r="1483" spans="1:33">
      <c r="A1483" t="s">
        <v>5467</v>
      </c>
      <c r="B1483" t="s">
        <v>5468</v>
      </c>
      <c r="D1483" t="s">
        <v>40</v>
      </c>
      <c r="E1483" t="s">
        <v>41</v>
      </c>
      <c r="J1483" t="s">
        <v>290</v>
      </c>
      <c r="K1483" t="s">
        <v>291</v>
      </c>
      <c r="L1483">
        <v>5</v>
      </c>
      <c r="M1483" t="s">
        <v>5465</v>
      </c>
      <c r="N1483" t="s">
        <v>59</v>
      </c>
      <c r="O1483" t="s">
        <v>47</v>
      </c>
      <c r="P1483" t="s">
        <v>47</v>
      </c>
      <c r="Y1483" t="s">
        <v>5469</v>
      </c>
      <c r="AG1483" t="s">
        <v>48</v>
      </c>
    </row>
    <row r="1484" spans="1:33">
      <c r="A1484" t="s">
        <v>5470</v>
      </c>
      <c r="B1484" t="s">
        <v>5471</v>
      </c>
      <c r="D1484" t="s">
        <v>40</v>
      </c>
      <c r="E1484" t="s">
        <v>41</v>
      </c>
      <c r="J1484" t="s">
        <v>108</v>
      </c>
      <c r="K1484" t="s">
        <v>109</v>
      </c>
      <c r="L1484">
        <v>5</v>
      </c>
      <c r="M1484" t="s">
        <v>5472</v>
      </c>
      <c r="N1484" t="s">
        <v>59</v>
      </c>
      <c r="O1484" t="s">
        <v>47</v>
      </c>
      <c r="P1484" t="s">
        <v>47</v>
      </c>
      <c r="Y1484" t="s">
        <v>5473</v>
      </c>
      <c r="AG1484" t="s">
        <v>48</v>
      </c>
    </row>
    <row r="1485" spans="1:33">
      <c r="A1485" t="s">
        <v>5474</v>
      </c>
      <c r="B1485" t="s">
        <v>5475</v>
      </c>
      <c r="D1485" t="s">
        <v>40</v>
      </c>
      <c r="E1485" t="s">
        <v>41</v>
      </c>
      <c r="J1485" t="s">
        <v>114</v>
      </c>
      <c r="K1485" t="s">
        <v>115</v>
      </c>
      <c r="L1485">
        <v>5</v>
      </c>
      <c r="M1485" t="s">
        <v>5476</v>
      </c>
      <c r="N1485" t="s">
        <v>59</v>
      </c>
      <c r="O1485" t="s">
        <v>47</v>
      </c>
      <c r="P1485" t="s">
        <v>47</v>
      </c>
      <c r="Y1485" t="s">
        <v>5477</v>
      </c>
      <c r="AG1485" t="s">
        <v>48</v>
      </c>
    </row>
    <row r="1486" spans="1:33">
      <c r="A1486" t="s">
        <v>5478</v>
      </c>
      <c r="B1486" t="s">
        <v>5479</v>
      </c>
      <c r="D1486" t="s">
        <v>40</v>
      </c>
      <c r="E1486" t="s">
        <v>41</v>
      </c>
      <c r="J1486" t="s">
        <v>290</v>
      </c>
      <c r="K1486" t="s">
        <v>291</v>
      </c>
      <c r="L1486">
        <v>5</v>
      </c>
      <c r="M1486" t="s">
        <v>5480</v>
      </c>
      <c r="N1486" t="s">
        <v>59</v>
      </c>
      <c r="O1486" t="s">
        <v>47</v>
      </c>
      <c r="P1486" t="s">
        <v>47</v>
      </c>
      <c r="Y1486" t="s">
        <v>5481</v>
      </c>
      <c r="AG1486" t="s">
        <v>48</v>
      </c>
    </row>
    <row r="1487" spans="1:33">
      <c r="A1487" t="s">
        <v>5482</v>
      </c>
      <c r="B1487" t="s">
        <v>5483</v>
      </c>
      <c r="D1487" t="s">
        <v>40</v>
      </c>
      <c r="E1487" t="s">
        <v>41</v>
      </c>
      <c r="J1487" t="s">
        <v>162</v>
      </c>
      <c r="K1487" t="s">
        <v>163</v>
      </c>
      <c r="L1487">
        <v>5</v>
      </c>
      <c r="M1487" t="s">
        <v>5484</v>
      </c>
      <c r="N1487" t="s">
        <v>59</v>
      </c>
      <c r="O1487" t="s">
        <v>47</v>
      </c>
      <c r="P1487" t="s">
        <v>47</v>
      </c>
      <c r="Y1487" t="s">
        <v>5485</v>
      </c>
      <c r="AG1487" t="s">
        <v>48</v>
      </c>
    </row>
    <row r="1488" spans="1:33">
      <c r="A1488" t="s">
        <v>5486</v>
      </c>
      <c r="B1488" t="s">
        <v>5487</v>
      </c>
      <c r="D1488" t="s">
        <v>40</v>
      </c>
      <c r="E1488" t="s">
        <v>41</v>
      </c>
      <c r="J1488" t="s">
        <v>290</v>
      </c>
      <c r="K1488" t="s">
        <v>291</v>
      </c>
      <c r="L1488">
        <v>5</v>
      </c>
      <c r="M1488" t="s">
        <v>5484</v>
      </c>
      <c r="N1488" t="s">
        <v>59</v>
      </c>
      <c r="O1488" t="s">
        <v>47</v>
      </c>
      <c r="P1488" t="s">
        <v>47</v>
      </c>
      <c r="Y1488" t="s">
        <v>5488</v>
      </c>
      <c r="AG1488" t="s">
        <v>48</v>
      </c>
    </row>
    <row r="1489" spans="1:33">
      <c r="A1489" t="s">
        <v>5489</v>
      </c>
      <c r="B1489" t="s">
        <v>5490</v>
      </c>
      <c r="D1489" t="s">
        <v>40</v>
      </c>
      <c r="E1489" t="s">
        <v>41</v>
      </c>
      <c r="J1489" t="s">
        <v>290</v>
      </c>
      <c r="K1489" t="s">
        <v>291</v>
      </c>
      <c r="L1489">
        <v>5</v>
      </c>
      <c r="M1489" t="s">
        <v>5484</v>
      </c>
      <c r="N1489" t="s">
        <v>59</v>
      </c>
      <c r="O1489" t="s">
        <v>47</v>
      </c>
      <c r="P1489" t="s">
        <v>47</v>
      </c>
      <c r="Y1489" t="s">
        <v>5491</v>
      </c>
      <c r="AG1489" t="s">
        <v>48</v>
      </c>
    </row>
    <row r="1490" spans="1:33">
      <c r="A1490" t="s">
        <v>5492</v>
      </c>
      <c r="B1490" t="s">
        <v>5493</v>
      </c>
      <c r="D1490" t="s">
        <v>40</v>
      </c>
      <c r="E1490" t="s">
        <v>41</v>
      </c>
      <c r="J1490" t="s">
        <v>162</v>
      </c>
      <c r="K1490" t="s">
        <v>163</v>
      </c>
      <c r="L1490">
        <v>5</v>
      </c>
      <c r="M1490" t="s">
        <v>5484</v>
      </c>
      <c r="N1490" t="s">
        <v>59</v>
      </c>
      <c r="O1490" t="s">
        <v>47</v>
      </c>
      <c r="P1490" t="s">
        <v>47</v>
      </c>
      <c r="Y1490" t="s">
        <v>5494</v>
      </c>
      <c r="AG1490" t="s">
        <v>48</v>
      </c>
    </row>
    <row r="1491" spans="1:33">
      <c r="A1491" t="s">
        <v>5495</v>
      </c>
      <c r="B1491" t="s">
        <v>5496</v>
      </c>
      <c r="D1491" t="s">
        <v>40</v>
      </c>
      <c r="E1491" t="s">
        <v>41</v>
      </c>
      <c r="J1491" t="s">
        <v>123</v>
      </c>
      <c r="K1491" t="s">
        <v>124</v>
      </c>
      <c r="L1491">
        <v>5</v>
      </c>
      <c r="M1491" t="s">
        <v>5484</v>
      </c>
      <c r="N1491" t="s">
        <v>218</v>
      </c>
      <c r="O1491" t="s">
        <v>47</v>
      </c>
      <c r="P1491" t="s">
        <v>47</v>
      </c>
      <c r="Y1491" t="s">
        <v>5497</v>
      </c>
      <c r="AG1491" t="s">
        <v>48</v>
      </c>
    </row>
    <row r="1492" spans="1:33">
      <c r="A1492" t="s">
        <v>5498</v>
      </c>
      <c r="B1492" t="s">
        <v>5499</v>
      </c>
      <c r="D1492" t="s">
        <v>40</v>
      </c>
      <c r="E1492" t="s">
        <v>41</v>
      </c>
      <c r="J1492" t="s">
        <v>108</v>
      </c>
      <c r="K1492" t="s">
        <v>109</v>
      </c>
      <c r="L1492">
        <v>5</v>
      </c>
      <c r="M1492" t="s">
        <v>5500</v>
      </c>
      <c r="N1492" t="s">
        <v>59</v>
      </c>
      <c r="O1492" t="s">
        <v>47</v>
      </c>
      <c r="P1492" t="s">
        <v>47</v>
      </c>
      <c r="Y1492" t="s">
        <v>5501</v>
      </c>
      <c r="AG1492" t="s">
        <v>48</v>
      </c>
    </row>
    <row r="1493" spans="1:33">
      <c r="A1493" t="s">
        <v>5502</v>
      </c>
      <c r="B1493" t="s">
        <v>5503</v>
      </c>
      <c r="D1493" t="s">
        <v>40</v>
      </c>
      <c r="E1493" t="s">
        <v>41</v>
      </c>
      <c r="J1493" t="s">
        <v>290</v>
      </c>
      <c r="K1493" t="s">
        <v>291</v>
      </c>
      <c r="L1493">
        <v>5</v>
      </c>
      <c r="M1493" t="s">
        <v>5504</v>
      </c>
      <c r="N1493" t="s">
        <v>59</v>
      </c>
      <c r="O1493" t="s">
        <v>47</v>
      </c>
      <c r="P1493" t="s">
        <v>47</v>
      </c>
      <c r="Y1493" t="s">
        <v>5505</v>
      </c>
      <c r="AG1493" t="s">
        <v>48</v>
      </c>
    </row>
    <row r="1494" spans="1:33">
      <c r="A1494" t="s">
        <v>5506</v>
      </c>
      <c r="B1494" t="s">
        <v>5507</v>
      </c>
      <c r="D1494" t="s">
        <v>40</v>
      </c>
      <c r="E1494" t="s">
        <v>41</v>
      </c>
      <c r="J1494" t="s">
        <v>108</v>
      </c>
      <c r="K1494" t="s">
        <v>109</v>
      </c>
      <c r="L1494">
        <v>5</v>
      </c>
      <c r="M1494" t="s">
        <v>5504</v>
      </c>
      <c r="N1494" t="s">
        <v>59</v>
      </c>
      <c r="O1494" t="s">
        <v>47</v>
      </c>
      <c r="P1494" t="s">
        <v>47</v>
      </c>
      <c r="Y1494" t="s">
        <v>5508</v>
      </c>
      <c r="AG1494" t="s">
        <v>48</v>
      </c>
    </row>
    <row r="1495" spans="1:33">
      <c r="A1495" t="s">
        <v>5509</v>
      </c>
      <c r="B1495" t="s">
        <v>5510</v>
      </c>
      <c r="D1495" t="s">
        <v>40</v>
      </c>
      <c r="E1495" t="s">
        <v>41</v>
      </c>
      <c r="J1495" t="s">
        <v>129</v>
      </c>
      <c r="K1495" t="s">
        <v>130</v>
      </c>
      <c r="L1495">
        <v>5</v>
      </c>
      <c r="M1495" t="s">
        <v>5511</v>
      </c>
      <c r="N1495" t="s">
        <v>192</v>
      </c>
      <c r="O1495" t="s">
        <v>47</v>
      </c>
      <c r="P1495" t="s">
        <v>47</v>
      </c>
      <c r="Y1495" t="s">
        <v>5512</v>
      </c>
      <c r="AG1495" t="s">
        <v>48</v>
      </c>
    </row>
    <row r="1496" spans="1:33">
      <c r="A1496" t="s">
        <v>5513</v>
      </c>
      <c r="B1496" t="s">
        <v>5514</v>
      </c>
      <c r="D1496" t="s">
        <v>40</v>
      </c>
      <c r="E1496" t="s">
        <v>41</v>
      </c>
      <c r="J1496" t="s">
        <v>1418</v>
      </c>
      <c r="K1496" t="s">
        <v>1419</v>
      </c>
      <c r="L1496">
        <v>5</v>
      </c>
      <c r="M1496" t="s">
        <v>5515</v>
      </c>
      <c r="N1496" t="s">
        <v>218</v>
      </c>
      <c r="O1496" t="s">
        <v>47</v>
      </c>
      <c r="P1496" t="s">
        <v>47</v>
      </c>
      <c r="Y1496" t="s">
        <v>5516</v>
      </c>
      <c r="AG1496" t="s">
        <v>48</v>
      </c>
    </row>
    <row r="1497" spans="1:33">
      <c r="A1497" t="s">
        <v>5517</v>
      </c>
      <c r="B1497" t="s">
        <v>5518</v>
      </c>
      <c r="D1497" t="s">
        <v>40</v>
      </c>
      <c r="E1497" t="s">
        <v>41</v>
      </c>
      <c r="J1497" t="s">
        <v>290</v>
      </c>
      <c r="K1497" t="s">
        <v>291</v>
      </c>
      <c r="L1497">
        <v>5</v>
      </c>
      <c r="M1497" t="s">
        <v>5515</v>
      </c>
      <c r="N1497" t="s">
        <v>59</v>
      </c>
      <c r="O1497" t="s">
        <v>47</v>
      </c>
      <c r="P1497" t="s">
        <v>47</v>
      </c>
      <c r="Y1497" t="s">
        <v>5519</v>
      </c>
      <c r="AG1497" t="s">
        <v>48</v>
      </c>
    </row>
    <row r="1498" spans="1:33">
      <c r="A1498" t="s">
        <v>5520</v>
      </c>
      <c r="B1498" t="s">
        <v>5521</v>
      </c>
      <c r="D1498" t="s">
        <v>40</v>
      </c>
      <c r="E1498" t="s">
        <v>41</v>
      </c>
      <c r="J1498" t="s">
        <v>290</v>
      </c>
      <c r="K1498" t="s">
        <v>291</v>
      </c>
      <c r="L1498">
        <v>5</v>
      </c>
      <c r="M1498" t="s">
        <v>5515</v>
      </c>
      <c r="N1498" t="s">
        <v>59</v>
      </c>
      <c r="O1498" t="s">
        <v>47</v>
      </c>
      <c r="P1498" t="s">
        <v>47</v>
      </c>
      <c r="Y1498" t="s">
        <v>5522</v>
      </c>
      <c r="AG1498" t="s">
        <v>48</v>
      </c>
    </row>
    <row r="1499" spans="1:33">
      <c r="A1499" t="s">
        <v>5523</v>
      </c>
      <c r="B1499" t="s">
        <v>5524</v>
      </c>
      <c r="D1499" t="s">
        <v>40</v>
      </c>
      <c r="E1499" t="s">
        <v>41</v>
      </c>
      <c r="J1499" t="s">
        <v>108</v>
      </c>
      <c r="K1499" t="s">
        <v>109</v>
      </c>
      <c r="L1499">
        <v>5</v>
      </c>
      <c r="M1499" t="s">
        <v>5525</v>
      </c>
      <c r="N1499" t="s">
        <v>59</v>
      </c>
      <c r="O1499" t="s">
        <v>47</v>
      </c>
      <c r="P1499" t="s">
        <v>47</v>
      </c>
      <c r="Y1499" t="s">
        <v>5526</v>
      </c>
      <c r="AG1499" t="s">
        <v>48</v>
      </c>
    </row>
    <row r="1500" spans="1:33">
      <c r="A1500" t="s">
        <v>5527</v>
      </c>
      <c r="B1500" t="s">
        <v>5528</v>
      </c>
      <c r="D1500" t="s">
        <v>40</v>
      </c>
      <c r="E1500" t="s">
        <v>41</v>
      </c>
      <c r="J1500" t="s">
        <v>290</v>
      </c>
      <c r="K1500" t="s">
        <v>291</v>
      </c>
      <c r="L1500">
        <v>5</v>
      </c>
      <c r="M1500" t="s">
        <v>5529</v>
      </c>
      <c r="N1500" t="s">
        <v>59</v>
      </c>
      <c r="O1500" t="s">
        <v>47</v>
      </c>
      <c r="P1500" t="s">
        <v>47</v>
      </c>
      <c r="Y1500" t="s">
        <v>5530</v>
      </c>
      <c r="AG1500" t="s">
        <v>48</v>
      </c>
    </row>
    <row r="1501" spans="1:33">
      <c r="A1501" t="s">
        <v>5531</v>
      </c>
      <c r="B1501" t="s">
        <v>5532</v>
      </c>
      <c r="D1501" t="s">
        <v>40</v>
      </c>
      <c r="E1501" t="s">
        <v>41</v>
      </c>
      <c r="J1501" t="s">
        <v>108</v>
      </c>
      <c r="K1501" t="s">
        <v>109</v>
      </c>
      <c r="L1501">
        <v>5</v>
      </c>
      <c r="M1501" t="s">
        <v>5533</v>
      </c>
      <c r="N1501" t="s">
        <v>59</v>
      </c>
      <c r="O1501" t="s">
        <v>47</v>
      </c>
      <c r="P1501" t="s">
        <v>47</v>
      </c>
      <c r="Y1501" t="s">
        <v>5534</v>
      </c>
      <c r="AG1501" t="s">
        <v>48</v>
      </c>
    </row>
    <row r="1502" spans="1:33">
      <c r="A1502" t="s">
        <v>5535</v>
      </c>
      <c r="B1502" t="s">
        <v>5536</v>
      </c>
      <c r="D1502" t="s">
        <v>40</v>
      </c>
      <c r="E1502" t="s">
        <v>41</v>
      </c>
      <c r="J1502" t="s">
        <v>290</v>
      </c>
      <c r="K1502" t="s">
        <v>291</v>
      </c>
      <c r="L1502">
        <v>5</v>
      </c>
      <c r="M1502" t="s">
        <v>5533</v>
      </c>
      <c r="N1502" t="s">
        <v>59</v>
      </c>
      <c r="O1502" t="s">
        <v>47</v>
      </c>
      <c r="P1502" t="s">
        <v>47</v>
      </c>
      <c r="Y1502" t="s">
        <v>5537</v>
      </c>
      <c r="AG1502" t="s">
        <v>48</v>
      </c>
    </row>
    <row r="1503" spans="1:33">
      <c r="A1503" t="s">
        <v>5538</v>
      </c>
      <c r="B1503" t="s">
        <v>5539</v>
      </c>
      <c r="D1503" t="s">
        <v>40</v>
      </c>
      <c r="E1503" t="s">
        <v>41</v>
      </c>
      <c r="J1503" t="s">
        <v>123</v>
      </c>
      <c r="K1503" t="s">
        <v>124</v>
      </c>
      <c r="L1503">
        <v>5</v>
      </c>
      <c r="M1503" t="s">
        <v>5540</v>
      </c>
      <c r="N1503" t="s">
        <v>192</v>
      </c>
      <c r="O1503" t="s">
        <v>47</v>
      </c>
      <c r="P1503" t="s">
        <v>47</v>
      </c>
      <c r="Y1503" t="s">
        <v>5541</v>
      </c>
      <c r="AG1503" t="s">
        <v>48</v>
      </c>
    </row>
    <row r="1504" spans="1:33">
      <c r="A1504" t="s">
        <v>5542</v>
      </c>
      <c r="B1504" t="s">
        <v>5543</v>
      </c>
      <c r="D1504" t="s">
        <v>40</v>
      </c>
      <c r="E1504" t="s">
        <v>41</v>
      </c>
      <c r="J1504" t="s">
        <v>270</v>
      </c>
      <c r="K1504" t="s">
        <v>271</v>
      </c>
      <c r="L1504">
        <v>5</v>
      </c>
      <c r="M1504" t="s">
        <v>5544</v>
      </c>
      <c r="N1504" t="s">
        <v>59</v>
      </c>
      <c r="O1504" t="s">
        <v>47</v>
      </c>
      <c r="P1504" t="s">
        <v>47</v>
      </c>
      <c r="Y1504" t="s">
        <v>5545</v>
      </c>
      <c r="AG1504" t="s">
        <v>48</v>
      </c>
    </row>
    <row r="1505" spans="1:33">
      <c r="A1505" t="s">
        <v>5546</v>
      </c>
      <c r="B1505" t="s">
        <v>5547</v>
      </c>
      <c r="D1505" t="s">
        <v>40</v>
      </c>
      <c r="E1505" t="s">
        <v>41</v>
      </c>
      <c r="J1505" t="s">
        <v>162</v>
      </c>
      <c r="K1505" t="s">
        <v>163</v>
      </c>
      <c r="L1505">
        <v>5</v>
      </c>
      <c r="M1505" t="s">
        <v>5548</v>
      </c>
      <c r="N1505" t="s">
        <v>59</v>
      </c>
      <c r="O1505" t="s">
        <v>47</v>
      </c>
      <c r="P1505" t="s">
        <v>47</v>
      </c>
      <c r="Y1505" t="s">
        <v>5549</v>
      </c>
      <c r="AG1505" t="s">
        <v>48</v>
      </c>
    </row>
    <row r="1506" spans="1:33">
      <c r="A1506" t="s">
        <v>5550</v>
      </c>
      <c r="B1506" t="s">
        <v>5551</v>
      </c>
      <c r="D1506" t="s">
        <v>40</v>
      </c>
      <c r="E1506" t="s">
        <v>41</v>
      </c>
      <c r="J1506" t="s">
        <v>129</v>
      </c>
      <c r="K1506" t="s">
        <v>130</v>
      </c>
      <c r="L1506">
        <v>5</v>
      </c>
      <c r="M1506" t="s">
        <v>5552</v>
      </c>
      <c r="N1506" t="s">
        <v>192</v>
      </c>
      <c r="O1506" t="s">
        <v>47</v>
      </c>
      <c r="P1506" t="s">
        <v>47</v>
      </c>
      <c r="Y1506" t="s">
        <v>5553</v>
      </c>
      <c r="AG1506" t="s">
        <v>48</v>
      </c>
    </row>
    <row r="1507" spans="1:33">
      <c r="A1507" t="s">
        <v>5554</v>
      </c>
      <c r="B1507" t="s">
        <v>5555</v>
      </c>
      <c r="D1507" t="s">
        <v>40</v>
      </c>
      <c r="E1507" t="s">
        <v>41</v>
      </c>
      <c r="J1507" t="s">
        <v>114</v>
      </c>
      <c r="K1507" t="s">
        <v>115</v>
      </c>
      <c r="L1507">
        <v>5</v>
      </c>
      <c r="M1507" t="s">
        <v>5556</v>
      </c>
      <c r="N1507" t="s">
        <v>59</v>
      </c>
      <c r="O1507" t="s">
        <v>47</v>
      </c>
      <c r="P1507" t="s">
        <v>47</v>
      </c>
      <c r="Y1507" t="s">
        <v>5557</v>
      </c>
      <c r="AG1507" t="s">
        <v>48</v>
      </c>
    </row>
    <row r="1508" spans="1:33">
      <c r="A1508" t="s">
        <v>5558</v>
      </c>
      <c r="B1508" t="s">
        <v>5559</v>
      </c>
      <c r="D1508" t="s">
        <v>40</v>
      </c>
      <c r="E1508" t="s">
        <v>41</v>
      </c>
      <c r="H1508" t="s">
        <v>5560</v>
      </c>
      <c r="J1508" t="s">
        <v>162</v>
      </c>
      <c r="K1508" t="s">
        <v>163</v>
      </c>
      <c r="L1508">
        <v>5</v>
      </c>
      <c r="M1508" t="s">
        <v>5561</v>
      </c>
      <c r="N1508" t="s">
        <v>59</v>
      </c>
      <c r="O1508" t="s">
        <v>47</v>
      </c>
      <c r="P1508" t="s">
        <v>47</v>
      </c>
      <c r="Y1508" t="s">
        <v>5560</v>
      </c>
      <c r="AG1508" t="s">
        <v>48</v>
      </c>
    </row>
    <row r="1509" spans="1:33">
      <c r="A1509" t="s">
        <v>5562</v>
      </c>
      <c r="B1509" t="s">
        <v>5563</v>
      </c>
      <c r="D1509" t="s">
        <v>40</v>
      </c>
      <c r="E1509" t="s">
        <v>41</v>
      </c>
      <c r="J1509" t="s">
        <v>162</v>
      </c>
      <c r="K1509" t="s">
        <v>163</v>
      </c>
      <c r="L1509">
        <v>5</v>
      </c>
      <c r="M1509" t="s">
        <v>5561</v>
      </c>
      <c r="N1509" t="s">
        <v>59</v>
      </c>
      <c r="O1509" t="s">
        <v>47</v>
      </c>
      <c r="P1509" t="s">
        <v>47</v>
      </c>
      <c r="Y1509" t="s">
        <v>5564</v>
      </c>
      <c r="AG1509" t="s">
        <v>48</v>
      </c>
    </row>
    <row r="1510" spans="1:33">
      <c r="A1510" t="s">
        <v>5565</v>
      </c>
      <c r="B1510" t="s">
        <v>5566</v>
      </c>
      <c r="D1510" t="s">
        <v>40</v>
      </c>
      <c r="E1510" t="s">
        <v>41</v>
      </c>
      <c r="J1510" t="s">
        <v>270</v>
      </c>
      <c r="K1510" t="s">
        <v>271</v>
      </c>
      <c r="L1510">
        <v>5</v>
      </c>
      <c r="M1510" t="s">
        <v>5567</v>
      </c>
      <c r="N1510" t="s">
        <v>59</v>
      </c>
      <c r="O1510" t="s">
        <v>47</v>
      </c>
      <c r="P1510" t="s">
        <v>47</v>
      </c>
      <c r="Y1510" t="s">
        <v>5568</v>
      </c>
      <c r="AG1510" t="s">
        <v>48</v>
      </c>
    </row>
    <row r="1511" spans="1:33">
      <c r="A1511" t="s">
        <v>5569</v>
      </c>
      <c r="B1511" t="s">
        <v>5570</v>
      </c>
      <c r="D1511" t="s">
        <v>40</v>
      </c>
      <c r="E1511" t="s">
        <v>41</v>
      </c>
      <c r="J1511" t="s">
        <v>108</v>
      </c>
      <c r="K1511" t="s">
        <v>109</v>
      </c>
      <c r="L1511">
        <v>5</v>
      </c>
      <c r="M1511" t="s">
        <v>5571</v>
      </c>
      <c r="N1511" t="s">
        <v>59</v>
      </c>
      <c r="O1511" t="s">
        <v>47</v>
      </c>
      <c r="P1511" t="s">
        <v>47</v>
      </c>
      <c r="Y1511" t="s">
        <v>5572</v>
      </c>
      <c r="AG1511" t="s">
        <v>48</v>
      </c>
    </row>
    <row r="1512" spans="1:33">
      <c r="A1512" t="s">
        <v>5573</v>
      </c>
      <c r="B1512" t="s">
        <v>5574</v>
      </c>
      <c r="D1512" t="s">
        <v>40</v>
      </c>
      <c r="E1512" t="s">
        <v>41</v>
      </c>
      <c r="J1512" t="s">
        <v>270</v>
      </c>
      <c r="K1512" t="s">
        <v>271</v>
      </c>
      <c r="L1512">
        <v>5</v>
      </c>
      <c r="M1512" t="s">
        <v>5575</v>
      </c>
      <c r="N1512" t="s">
        <v>59</v>
      </c>
      <c r="O1512" t="s">
        <v>47</v>
      </c>
      <c r="P1512" t="s">
        <v>47</v>
      </c>
      <c r="Y1512" t="s">
        <v>5576</v>
      </c>
      <c r="AG1512" t="s">
        <v>48</v>
      </c>
    </row>
    <row r="1513" spans="1:33">
      <c r="A1513" t="s">
        <v>5577</v>
      </c>
      <c r="B1513" t="s">
        <v>5578</v>
      </c>
      <c r="D1513" t="s">
        <v>40</v>
      </c>
      <c r="E1513" t="s">
        <v>41</v>
      </c>
      <c r="J1513" t="s">
        <v>162</v>
      </c>
      <c r="K1513" t="s">
        <v>163</v>
      </c>
      <c r="L1513">
        <v>5</v>
      </c>
      <c r="M1513" t="s">
        <v>5579</v>
      </c>
      <c r="N1513" t="s">
        <v>59</v>
      </c>
      <c r="O1513" t="s">
        <v>47</v>
      </c>
      <c r="P1513" t="s">
        <v>47</v>
      </c>
      <c r="Y1513" t="s">
        <v>5580</v>
      </c>
      <c r="AG1513" t="s">
        <v>48</v>
      </c>
    </row>
    <row r="1514" spans="1:33">
      <c r="A1514" t="s">
        <v>5581</v>
      </c>
      <c r="B1514" t="s">
        <v>5582</v>
      </c>
      <c r="D1514" t="s">
        <v>40</v>
      </c>
      <c r="E1514" t="s">
        <v>41</v>
      </c>
      <c r="J1514" t="s">
        <v>129</v>
      </c>
      <c r="K1514" t="s">
        <v>130</v>
      </c>
      <c r="L1514">
        <v>5</v>
      </c>
      <c r="M1514" t="s">
        <v>5583</v>
      </c>
      <c r="N1514" t="s">
        <v>218</v>
      </c>
      <c r="O1514" t="s">
        <v>47</v>
      </c>
      <c r="P1514" t="s">
        <v>47</v>
      </c>
      <c r="Y1514" t="s">
        <v>5584</v>
      </c>
      <c r="AG1514" t="s">
        <v>48</v>
      </c>
    </row>
    <row r="1515" spans="1:33">
      <c r="A1515" t="s">
        <v>5585</v>
      </c>
      <c r="B1515" t="s">
        <v>5586</v>
      </c>
      <c r="D1515" t="s">
        <v>40</v>
      </c>
      <c r="E1515" t="s">
        <v>41</v>
      </c>
      <c r="J1515" t="s">
        <v>162</v>
      </c>
      <c r="K1515" t="s">
        <v>163</v>
      </c>
      <c r="L1515">
        <v>5</v>
      </c>
      <c r="M1515" t="s">
        <v>5587</v>
      </c>
      <c r="N1515" t="s">
        <v>59</v>
      </c>
      <c r="O1515" t="s">
        <v>47</v>
      </c>
      <c r="P1515" t="s">
        <v>47</v>
      </c>
      <c r="Y1515" t="s">
        <v>5588</v>
      </c>
      <c r="AG1515" t="s">
        <v>48</v>
      </c>
    </row>
    <row r="1516" spans="1:33">
      <c r="A1516" t="s">
        <v>5589</v>
      </c>
      <c r="B1516" t="s">
        <v>5590</v>
      </c>
      <c r="D1516" t="s">
        <v>40</v>
      </c>
      <c r="E1516" t="s">
        <v>41</v>
      </c>
      <c r="J1516" t="s">
        <v>270</v>
      </c>
      <c r="K1516" t="s">
        <v>271</v>
      </c>
      <c r="L1516">
        <v>5</v>
      </c>
      <c r="M1516" t="s">
        <v>5587</v>
      </c>
      <c r="N1516" t="s">
        <v>59</v>
      </c>
      <c r="O1516" t="s">
        <v>47</v>
      </c>
      <c r="P1516" t="s">
        <v>47</v>
      </c>
      <c r="Y1516" t="s">
        <v>5591</v>
      </c>
      <c r="AG1516" t="s">
        <v>48</v>
      </c>
    </row>
    <row r="1517" spans="1:33">
      <c r="A1517" t="s">
        <v>5592</v>
      </c>
      <c r="B1517" t="s">
        <v>5593</v>
      </c>
      <c r="D1517" t="s">
        <v>40</v>
      </c>
      <c r="E1517" t="s">
        <v>41</v>
      </c>
      <c r="J1517" t="s">
        <v>270</v>
      </c>
      <c r="K1517" t="s">
        <v>271</v>
      </c>
      <c r="L1517">
        <v>5</v>
      </c>
      <c r="M1517" t="s">
        <v>5587</v>
      </c>
      <c r="N1517" t="s">
        <v>59</v>
      </c>
      <c r="O1517" t="s">
        <v>47</v>
      </c>
      <c r="P1517" t="s">
        <v>47</v>
      </c>
      <c r="Y1517" t="s">
        <v>5594</v>
      </c>
      <c r="AG1517" t="s">
        <v>48</v>
      </c>
    </row>
    <row r="1518" spans="1:33">
      <c r="A1518" t="s">
        <v>5595</v>
      </c>
      <c r="B1518" t="s">
        <v>5596</v>
      </c>
      <c r="D1518" t="s">
        <v>40</v>
      </c>
      <c r="E1518" t="s">
        <v>41</v>
      </c>
      <c r="J1518" t="s">
        <v>290</v>
      </c>
      <c r="K1518" t="s">
        <v>291</v>
      </c>
      <c r="L1518">
        <v>5</v>
      </c>
      <c r="M1518" t="s">
        <v>5597</v>
      </c>
      <c r="N1518" t="s">
        <v>59</v>
      </c>
      <c r="O1518" t="s">
        <v>47</v>
      </c>
      <c r="P1518" t="s">
        <v>47</v>
      </c>
      <c r="Y1518" t="s">
        <v>5598</v>
      </c>
      <c r="AG1518" t="s">
        <v>48</v>
      </c>
    </row>
    <row r="1519" spans="1:33">
      <c r="A1519" t="s">
        <v>117</v>
      </c>
      <c r="B1519" t="s">
        <v>5599</v>
      </c>
      <c r="D1519" t="s">
        <v>40</v>
      </c>
      <c r="E1519" t="s">
        <v>41</v>
      </c>
      <c r="J1519" t="s">
        <v>129</v>
      </c>
      <c r="K1519" t="s">
        <v>130</v>
      </c>
      <c r="L1519">
        <v>5</v>
      </c>
      <c r="M1519" t="s">
        <v>5597</v>
      </c>
      <c r="N1519" t="s">
        <v>218</v>
      </c>
      <c r="O1519" t="s">
        <v>47</v>
      </c>
      <c r="P1519" t="s">
        <v>47</v>
      </c>
      <c r="Y1519" t="s">
        <v>5600</v>
      </c>
      <c r="AG1519" t="s">
        <v>48</v>
      </c>
    </row>
    <row r="1520" spans="1:33">
      <c r="A1520" t="s">
        <v>5601</v>
      </c>
      <c r="B1520" t="s">
        <v>5602</v>
      </c>
      <c r="D1520" t="s">
        <v>40</v>
      </c>
      <c r="E1520" t="s">
        <v>41</v>
      </c>
      <c r="J1520" t="s">
        <v>270</v>
      </c>
      <c r="K1520" t="s">
        <v>271</v>
      </c>
      <c r="L1520">
        <v>5</v>
      </c>
      <c r="M1520" t="s">
        <v>5597</v>
      </c>
      <c r="N1520" t="s">
        <v>59</v>
      </c>
      <c r="O1520" t="s">
        <v>47</v>
      </c>
      <c r="P1520" t="s">
        <v>47</v>
      </c>
      <c r="Y1520" t="s">
        <v>5603</v>
      </c>
      <c r="AG1520" t="s">
        <v>48</v>
      </c>
    </row>
    <row r="1521" spans="1:33">
      <c r="A1521" t="s">
        <v>5604</v>
      </c>
      <c r="B1521" t="s">
        <v>5605</v>
      </c>
      <c r="D1521" t="s">
        <v>40</v>
      </c>
      <c r="E1521" t="s">
        <v>41</v>
      </c>
      <c r="J1521" t="s">
        <v>290</v>
      </c>
      <c r="K1521" t="s">
        <v>291</v>
      </c>
      <c r="L1521">
        <v>5</v>
      </c>
      <c r="M1521" t="s">
        <v>5597</v>
      </c>
      <c r="N1521" t="s">
        <v>59</v>
      </c>
      <c r="O1521" t="s">
        <v>47</v>
      </c>
      <c r="P1521" t="s">
        <v>47</v>
      </c>
      <c r="Y1521" t="s">
        <v>5606</v>
      </c>
      <c r="AG1521" t="s">
        <v>48</v>
      </c>
    </row>
    <row r="1522" spans="1:33">
      <c r="A1522" t="s">
        <v>5607</v>
      </c>
      <c r="B1522" t="s">
        <v>5608</v>
      </c>
      <c r="D1522" t="s">
        <v>40</v>
      </c>
      <c r="E1522" t="s">
        <v>41</v>
      </c>
      <c r="J1522" t="s">
        <v>108</v>
      </c>
      <c r="K1522" t="s">
        <v>109</v>
      </c>
      <c r="L1522">
        <v>5</v>
      </c>
      <c r="M1522" t="s">
        <v>5609</v>
      </c>
      <c r="N1522" t="s">
        <v>59</v>
      </c>
      <c r="O1522" t="s">
        <v>47</v>
      </c>
      <c r="P1522" t="s">
        <v>47</v>
      </c>
      <c r="Y1522" t="s">
        <v>5610</v>
      </c>
      <c r="AG1522" t="s">
        <v>48</v>
      </c>
    </row>
    <row r="1523" spans="1:33">
      <c r="A1523" t="s">
        <v>5611</v>
      </c>
      <c r="B1523" t="s">
        <v>5612</v>
      </c>
      <c r="D1523" t="s">
        <v>40</v>
      </c>
      <c r="E1523" t="s">
        <v>41</v>
      </c>
      <c r="J1523" t="s">
        <v>129</v>
      </c>
      <c r="K1523" t="s">
        <v>130</v>
      </c>
      <c r="L1523">
        <v>5</v>
      </c>
      <c r="M1523" t="s">
        <v>5613</v>
      </c>
      <c r="N1523" t="s">
        <v>218</v>
      </c>
      <c r="O1523" t="s">
        <v>47</v>
      </c>
      <c r="P1523" t="s">
        <v>47</v>
      </c>
      <c r="Y1523" t="s">
        <v>5614</v>
      </c>
      <c r="AG1523" t="s">
        <v>48</v>
      </c>
    </row>
    <row r="1524" spans="1:33">
      <c r="A1524" t="s">
        <v>5615</v>
      </c>
      <c r="B1524" t="s">
        <v>5616</v>
      </c>
      <c r="D1524" t="s">
        <v>40</v>
      </c>
      <c r="E1524" t="s">
        <v>41</v>
      </c>
      <c r="J1524" t="s">
        <v>290</v>
      </c>
      <c r="K1524" t="s">
        <v>291</v>
      </c>
      <c r="L1524">
        <v>5</v>
      </c>
      <c r="M1524" t="s">
        <v>5617</v>
      </c>
      <c r="N1524" t="s">
        <v>59</v>
      </c>
      <c r="O1524" t="s">
        <v>47</v>
      </c>
      <c r="P1524" t="s">
        <v>47</v>
      </c>
      <c r="Y1524" t="s">
        <v>5618</v>
      </c>
      <c r="AG1524" t="s">
        <v>48</v>
      </c>
    </row>
    <row r="1525" spans="1:33">
      <c r="A1525" t="s">
        <v>5619</v>
      </c>
      <c r="B1525" t="s">
        <v>5620</v>
      </c>
      <c r="D1525" t="s">
        <v>40</v>
      </c>
      <c r="E1525" t="s">
        <v>41</v>
      </c>
      <c r="J1525" t="s">
        <v>290</v>
      </c>
      <c r="K1525" t="s">
        <v>291</v>
      </c>
      <c r="L1525">
        <v>5</v>
      </c>
      <c r="M1525" t="s">
        <v>5617</v>
      </c>
      <c r="N1525" t="s">
        <v>59</v>
      </c>
      <c r="O1525" t="s">
        <v>47</v>
      </c>
      <c r="P1525" t="s">
        <v>47</v>
      </c>
      <c r="Y1525" t="s">
        <v>5621</v>
      </c>
      <c r="AG1525" t="s">
        <v>48</v>
      </c>
    </row>
    <row r="1526" spans="1:33">
      <c r="A1526" t="s">
        <v>5622</v>
      </c>
      <c r="B1526" t="s">
        <v>5623</v>
      </c>
      <c r="D1526" t="s">
        <v>40</v>
      </c>
      <c r="E1526" t="s">
        <v>41</v>
      </c>
      <c r="J1526" t="s">
        <v>162</v>
      </c>
      <c r="K1526" t="s">
        <v>163</v>
      </c>
      <c r="L1526">
        <v>5</v>
      </c>
      <c r="M1526" t="s">
        <v>5617</v>
      </c>
      <c r="N1526" t="s">
        <v>59</v>
      </c>
      <c r="O1526" t="s">
        <v>47</v>
      </c>
      <c r="P1526" t="s">
        <v>47</v>
      </c>
      <c r="Y1526" t="s">
        <v>5624</v>
      </c>
      <c r="AG1526" t="s">
        <v>48</v>
      </c>
    </row>
    <row r="1527" spans="1:33">
      <c r="A1527" t="s">
        <v>5625</v>
      </c>
      <c r="B1527" t="s">
        <v>5626</v>
      </c>
      <c r="D1527" t="s">
        <v>40</v>
      </c>
      <c r="E1527" t="s">
        <v>41</v>
      </c>
      <c r="J1527" t="s">
        <v>290</v>
      </c>
      <c r="K1527" t="s">
        <v>291</v>
      </c>
      <c r="L1527">
        <v>5</v>
      </c>
      <c r="M1527" t="s">
        <v>5617</v>
      </c>
      <c r="N1527" t="s">
        <v>59</v>
      </c>
      <c r="O1527" t="s">
        <v>47</v>
      </c>
      <c r="P1527" t="s">
        <v>47</v>
      </c>
      <c r="Y1527" t="s">
        <v>5627</v>
      </c>
      <c r="AG1527" t="s">
        <v>48</v>
      </c>
    </row>
    <row r="1528" spans="1:33">
      <c r="A1528" t="s">
        <v>5628</v>
      </c>
      <c r="B1528" t="s">
        <v>5629</v>
      </c>
      <c r="D1528" t="s">
        <v>40</v>
      </c>
      <c r="E1528" t="s">
        <v>41</v>
      </c>
      <c r="J1528" t="s">
        <v>290</v>
      </c>
      <c r="K1528" t="s">
        <v>291</v>
      </c>
      <c r="L1528">
        <v>5</v>
      </c>
      <c r="M1528" t="s">
        <v>5630</v>
      </c>
      <c r="N1528" t="s">
        <v>59</v>
      </c>
      <c r="O1528" t="s">
        <v>47</v>
      </c>
      <c r="P1528" t="s">
        <v>47</v>
      </c>
      <c r="Y1528" t="s">
        <v>5631</v>
      </c>
      <c r="AG1528" t="s">
        <v>48</v>
      </c>
    </row>
    <row r="1529" spans="1:33">
      <c r="A1529" t="s">
        <v>5632</v>
      </c>
      <c r="B1529" t="s">
        <v>5633</v>
      </c>
      <c r="D1529" t="s">
        <v>40</v>
      </c>
      <c r="E1529" t="s">
        <v>41</v>
      </c>
      <c r="J1529" t="s">
        <v>290</v>
      </c>
      <c r="K1529" t="s">
        <v>291</v>
      </c>
      <c r="L1529">
        <v>5</v>
      </c>
      <c r="M1529" t="s">
        <v>5630</v>
      </c>
      <c r="N1529" t="s">
        <v>59</v>
      </c>
      <c r="O1529" t="s">
        <v>47</v>
      </c>
      <c r="P1529" t="s">
        <v>47</v>
      </c>
      <c r="Y1529" t="s">
        <v>5634</v>
      </c>
      <c r="AG1529" t="s">
        <v>48</v>
      </c>
    </row>
    <row r="1530" spans="1:33">
      <c r="A1530" t="s">
        <v>5635</v>
      </c>
      <c r="B1530" t="s">
        <v>5636</v>
      </c>
      <c r="D1530" t="s">
        <v>40</v>
      </c>
      <c r="E1530" t="s">
        <v>41</v>
      </c>
      <c r="J1530" t="s">
        <v>270</v>
      </c>
      <c r="K1530" t="s">
        <v>271</v>
      </c>
      <c r="L1530">
        <v>5</v>
      </c>
      <c r="M1530" t="s">
        <v>5630</v>
      </c>
      <c r="N1530" t="s">
        <v>59</v>
      </c>
      <c r="O1530" t="s">
        <v>47</v>
      </c>
      <c r="P1530" t="s">
        <v>47</v>
      </c>
      <c r="Y1530" t="s">
        <v>5637</v>
      </c>
      <c r="AG1530" t="s">
        <v>48</v>
      </c>
    </row>
    <row r="1531" spans="1:33">
      <c r="A1531" t="s">
        <v>5638</v>
      </c>
      <c r="B1531" t="s">
        <v>5639</v>
      </c>
      <c r="D1531" t="s">
        <v>40</v>
      </c>
      <c r="E1531" t="s">
        <v>41</v>
      </c>
      <c r="J1531" t="s">
        <v>290</v>
      </c>
      <c r="K1531" t="s">
        <v>291</v>
      </c>
      <c r="L1531">
        <v>5</v>
      </c>
      <c r="M1531" t="s">
        <v>5640</v>
      </c>
      <c r="N1531" t="s">
        <v>59</v>
      </c>
      <c r="O1531" t="s">
        <v>47</v>
      </c>
      <c r="P1531" t="s">
        <v>47</v>
      </c>
      <c r="Y1531" t="s">
        <v>5641</v>
      </c>
      <c r="AG1531" t="s">
        <v>48</v>
      </c>
    </row>
    <row r="1532" spans="1:33">
      <c r="A1532" t="s">
        <v>5642</v>
      </c>
      <c r="B1532" t="s">
        <v>5643</v>
      </c>
      <c r="D1532" t="s">
        <v>40</v>
      </c>
      <c r="E1532" t="s">
        <v>41</v>
      </c>
      <c r="J1532" t="s">
        <v>114</v>
      </c>
      <c r="K1532" t="s">
        <v>115</v>
      </c>
      <c r="L1532">
        <v>5</v>
      </c>
      <c r="M1532" t="s">
        <v>5644</v>
      </c>
      <c r="N1532" t="s">
        <v>59</v>
      </c>
      <c r="O1532" t="s">
        <v>47</v>
      </c>
      <c r="P1532" t="s">
        <v>47</v>
      </c>
      <c r="Y1532" t="s">
        <v>5645</v>
      </c>
      <c r="AG1532" t="s">
        <v>48</v>
      </c>
    </row>
    <row r="1533" spans="1:33">
      <c r="A1533" t="s">
        <v>5646</v>
      </c>
      <c r="B1533" t="s">
        <v>5647</v>
      </c>
      <c r="D1533" t="s">
        <v>40</v>
      </c>
      <c r="E1533" t="s">
        <v>41</v>
      </c>
      <c r="J1533" t="s">
        <v>162</v>
      </c>
      <c r="K1533" t="s">
        <v>163</v>
      </c>
      <c r="L1533">
        <v>5</v>
      </c>
      <c r="M1533" t="s">
        <v>5648</v>
      </c>
      <c r="N1533" t="s">
        <v>59</v>
      </c>
      <c r="O1533" t="s">
        <v>47</v>
      </c>
      <c r="P1533" t="s">
        <v>47</v>
      </c>
      <c r="Y1533" t="s">
        <v>5649</v>
      </c>
      <c r="AG1533" t="s">
        <v>48</v>
      </c>
    </row>
    <row r="1534" spans="1:33">
      <c r="A1534" t="s">
        <v>5650</v>
      </c>
      <c r="B1534" t="s">
        <v>5651</v>
      </c>
      <c r="D1534" t="s">
        <v>40</v>
      </c>
      <c r="E1534" t="s">
        <v>41</v>
      </c>
      <c r="J1534" t="s">
        <v>290</v>
      </c>
      <c r="K1534" t="s">
        <v>291</v>
      </c>
      <c r="L1534">
        <v>5</v>
      </c>
      <c r="M1534" t="s">
        <v>5652</v>
      </c>
      <c r="N1534" t="s">
        <v>59</v>
      </c>
      <c r="O1534" t="s">
        <v>47</v>
      </c>
      <c r="P1534" t="s">
        <v>47</v>
      </c>
      <c r="Y1534" t="s">
        <v>5653</v>
      </c>
      <c r="AG1534" t="s">
        <v>48</v>
      </c>
    </row>
    <row r="1535" spans="1:33">
      <c r="A1535" t="s">
        <v>5654</v>
      </c>
      <c r="B1535" t="s">
        <v>5655</v>
      </c>
      <c r="D1535" t="s">
        <v>40</v>
      </c>
      <c r="E1535" t="s">
        <v>41</v>
      </c>
      <c r="J1535" t="s">
        <v>290</v>
      </c>
      <c r="K1535" t="s">
        <v>291</v>
      </c>
      <c r="L1535">
        <v>5</v>
      </c>
      <c r="M1535" t="s">
        <v>5656</v>
      </c>
      <c r="N1535" t="s">
        <v>59</v>
      </c>
      <c r="O1535" t="s">
        <v>47</v>
      </c>
      <c r="P1535" t="s">
        <v>47</v>
      </c>
      <c r="Y1535" t="s">
        <v>5657</v>
      </c>
      <c r="AG1535" t="s">
        <v>48</v>
      </c>
    </row>
    <row r="1536" spans="1:33">
      <c r="A1536" t="s">
        <v>5658</v>
      </c>
      <c r="B1536" t="s">
        <v>5659</v>
      </c>
      <c r="D1536" t="s">
        <v>40</v>
      </c>
      <c r="E1536" t="s">
        <v>41</v>
      </c>
      <c r="J1536" t="s">
        <v>108</v>
      </c>
      <c r="K1536" t="s">
        <v>109</v>
      </c>
      <c r="L1536">
        <v>5</v>
      </c>
      <c r="M1536" t="s">
        <v>5660</v>
      </c>
      <c r="N1536" t="s">
        <v>59</v>
      </c>
      <c r="O1536" t="s">
        <v>47</v>
      </c>
      <c r="P1536" t="s">
        <v>47</v>
      </c>
      <c r="Y1536" t="s">
        <v>5661</v>
      </c>
      <c r="AG1536" t="s">
        <v>48</v>
      </c>
    </row>
    <row r="1537" spans="1:33">
      <c r="A1537" t="s">
        <v>5662</v>
      </c>
      <c r="B1537" t="s">
        <v>5663</v>
      </c>
      <c r="D1537" t="s">
        <v>40</v>
      </c>
      <c r="E1537" t="s">
        <v>41</v>
      </c>
      <c r="J1537" t="s">
        <v>108</v>
      </c>
      <c r="K1537" t="s">
        <v>109</v>
      </c>
      <c r="L1537">
        <v>5</v>
      </c>
      <c r="M1537" t="s">
        <v>5664</v>
      </c>
      <c r="N1537" t="s">
        <v>59</v>
      </c>
      <c r="O1537" t="s">
        <v>47</v>
      </c>
      <c r="P1537" t="s">
        <v>47</v>
      </c>
      <c r="Y1537" t="s">
        <v>5665</v>
      </c>
      <c r="AG1537" t="s">
        <v>48</v>
      </c>
    </row>
    <row r="1538" spans="1:33">
      <c r="A1538" t="s">
        <v>5666</v>
      </c>
      <c r="B1538" t="s">
        <v>5667</v>
      </c>
      <c r="D1538" t="s">
        <v>40</v>
      </c>
      <c r="E1538" t="s">
        <v>41</v>
      </c>
      <c r="J1538" t="s">
        <v>162</v>
      </c>
      <c r="K1538" t="s">
        <v>163</v>
      </c>
      <c r="L1538">
        <v>5</v>
      </c>
      <c r="M1538" t="s">
        <v>5668</v>
      </c>
      <c r="N1538" t="s">
        <v>59</v>
      </c>
      <c r="O1538" t="s">
        <v>47</v>
      </c>
      <c r="P1538" t="s">
        <v>47</v>
      </c>
      <c r="Y1538" t="s">
        <v>5669</v>
      </c>
      <c r="AG1538" t="s">
        <v>48</v>
      </c>
    </row>
    <row r="1539" spans="1:33">
      <c r="A1539" t="s">
        <v>5670</v>
      </c>
      <c r="B1539" t="s">
        <v>5671</v>
      </c>
      <c r="D1539" t="s">
        <v>40</v>
      </c>
      <c r="E1539" t="s">
        <v>41</v>
      </c>
      <c r="J1539" t="s">
        <v>108</v>
      </c>
      <c r="K1539" t="s">
        <v>109</v>
      </c>
      <c r="L1539">
        <v>5</v>
      </c>
      <c r="M1539" t="s">
        <v>5668</v>
      </c>
      <c r="N1539" t="s">
        <v>59</v>
      </c>
      <c r="O1539" t="s">
        <v>47</v>
      </c>
      <c r="P1539" t="s">
        <v>47</v>
      </c>
      <c r="Y1539" t="s">
        <v>5672</v>
      </c>
      <c r="AG1539" t="s">
        <v>48</v>
      </c>
    </row>
    <row r="1540" spans="1:33">
      <c r="A1540" t="s">
        <v>5673</v>
      </c>
      <c r="B1540" t="s">
        <v>5674</v>
      </c>
      <c r="D1540" t="s">
        <v>40</v>
      </c>
      <c r="E1540" t="s">
        <v>41</v>
      </c>
      <c r="J1540" t="s">
        <v>290</v>
      </c>
      <c r="K1540" t="s">
        <v>291</v>
      </c>
      <c r="L1540">
        <v>5</v>
      </c>
      <c r="M1540" t="s">
        <v>5668</v>
      </c>
      <c r="N1540" t="s">
        <v>59</v>
      </c>
      <c r="O1540" t="s">
        <v>47</v>
      </c>
      <c r="P1540" t="s">
        <v>47</v>
      </c>
      <c r="Y1540" t="s">
        <v>5675</v>
      </c>
      <c r="AG1540" t="s">
        <v>48</v>
      </c>
    </row>
    <row r="1541" spans="1:33">
      <c r="A1541" t="s">
        <v>5676</v>
      </c>
      <c r="B1541" t="s">
        <v>5677</v>
      </c>
      <c r="D1541" t="s">
        <v>40</v>
      </c>
      <c r="E1541" t="s">
        <v>41</v>
      </c>
      <c r="J1541" t="s">
        <v>5678</v>
      </c>
      <c r="K1541" t="s">
        <v>5679</v>
      </c>
      <c r="L1541">
        <v>6</v>
      </c>
      <c r="M1541" t="s">
        <v>5680</v>
      </c>
      <c r="N1541" t="s">
        <v>46</v>
      </c>
      <c r="O1541" t="s">
        <v>47</v>
      </c>
      <c r="P1541" t="s">
        <v>47</v>
      </c>
      <c r="Y1541" t="s">
        <v>5681</v>
      </c>
      <c r="AG1541" t="s">
        <v>48</v>
      </c>
    </row>
    <row r="1542" spans="1:33">
      <c r="A1542" t="s">
        <v>5682</v>
      </c>
      <c r="B1542" t="s">
        <v>5683</v>
      </c>
      <c r="D1542" t="s">
        <v>40</v>
      </c>
      <c r="E1542" t="s">
        <v>41</v>
      </c>
      <c r="J1542" t="s">
        <v>114</v>
      </c>
      <c r="K1542" t="s">
        <v>115</v>
      </c>
      <c r="L1542">
        <v>5</v>
      </c>
      <c r="M1542" t="s">
        <v>5684</v>
      </c>
      <c r="N1542" t="s">
        <v>59</v>
      </c>
      <c r="O1542" t="s">
        <v>47</v>
      </c>
      <c r="P1542" t="s">
        <v>47</v>
      </c>
      <c r="Y1542" t="s">
        <v>5685</v>
      </c>
      <c r="AG1542" t="s">
        <v>48</v>
      </c>
    </row>
    <row r="1543" spans="1:33">
      <c r="A1543" t="s">
        <v>5686</v>
      </c>
      <c r="B1543" t="s">
        <v>5687</v>
      </c>
      <c r="D1543" t="s">
        <v>40</v>
      </c>
      <c r="E1543" t="s">
        <v>41</v>
      </c>
      <c r="J1543" t="s">
        <v>270</v>
      </c>
      <c r="K1543" t="s">
        <v>271</v>
      </c>
      <c r="L1543">
        <v>5</v>
      </c>
      <c r="M1543" t="s">
        <v>5684</v>
      </c>
      <c r="N1543" t="s">
        <v>59</v>
      </c>
      <c r="O1543" t="s">
        <v>47</v>
      </c>
      <c r="P1543" t="s">
        <v>47</v>
      </c>
      <c r="Y1543" t="s">
        <v>5688</v>
      </c>
      <c r="AG1543" t="s">
        <v>48</v>
      </c>
    </row>
    <row r="1544" spans="1:33">
      <c r="A1544" t="s">
        <v>5689</v>
      </c>
      <c r="B1544" t="s">
        <v>5690</v>
      </c>
      <c r="D1544" t="s">
        <v>40</v>
      </c>
      <c r="E1544" t="s">
        <v>41</v>
      </c>
      <c r="J1544" t="s">
        <v>270</v>
      </c>
      <c r="K1544" t="s">
        <v>271</v>
      </c>
      <c r="L1544">
        <v>5</v>
      </c>
      <c r="M1544" t="s">
        <v>5684</v>
      </c>
      <c r="N1544" t="s">
        <v>59</v>
      </c>
      <c r="O1544" t="s">
        <v>47</v>
      </c>
      <c r="P1544" t="s">
        <v>47</v>
      </c>
      <c r="Y1544" t="s">
        <v>5691</v>
      </c>
      <c r="AG1544" t="s">
        <v>48</v>
      </c>
    </row>
    <row r="1545" spans="1:33">
      <c r="A1545" t="s">
        <v>5692</v>
      </c>
      <c r="B1545" t="s">
        <v>5693</v>
      </c>
      <c r="D1545" t="s">
        <v>40</v>
      </c>
      <c r="E1545" t="s">
        <v>41</v>
      </c>
      <c r="J1545" t="s">
        <v>270</v>
      </c>
      <c r="K1545" t="s">
        <v>271</v>
      </c>
      <c r="L1545">
        <v>5</v>
      </c>
      <c r="M1545" t="s">
        <v>5694</v>
      </c>
      <c r="N1545" t="s">
        <v>59</v>
      </c>
      <c r="O1545" t="s">
        <v>47</v>
      </c>
      <c r="P1545" t="s">
        <v>47</v>
      </c>
      <c r="Y1545" t="s">
        <v>5695</v>
      </c>
      <c r="AG1545" t="s">
        <v>48</v>
      </c>
    </row>
    <row r="1546" spans="1:33">
      <c r="A1546" t="s">
        <v>5696</v>
      </c>
      <c r="B1546" t="s">
        <v>5697</v>
      </c>
      <c r="D1546" t="s">
        <v>40</v>
      </c>
      <c r="E1546" t="s">
        <v>41</v>
      </c>
      <c r="J1546" t="s">
        <v>290</v>
      </c>
      <c r="K1546" t="s">
        <v>291</v>
      </c>
      <c r="L1546">
        <v>5</v>
      </c>
      <c r="M1546" t="s">
        <v>5698</v>
      </c>
      <c r="N1546" t="s">
        <v>59</v>
      </c>
      <c r="O1546" t="s">
        <v>47</v>
      </c>
      <c r="P1546" t="s">
        <v>47</v>
      </c>
      <c r="Y1546" t="s">
        <v>5699</v>
      </c>
      <c r="AG1546" t="s">
        <v>48</v>
      </c>
    </row>
    <row r="1547" spans="1:33">
      <c r="A1547" t="s">
        <v>5700</v>
      </c>
      <c r="B1547" t="s">
        <v>5701</v>
      </c>
      <c r="D1547" t="s">
        <v>40</v>
      </c>
      <c r="E1547" t="s">
        <v>41</v>
      </c>
      <c r="J1547" t="s">
        <v>129</v>
      </c>
      <c r="K1547" t="s">
        <v>130</v>
      </c>
      <c r="L1547">
        <v>5</v>
      </c>
      <c r="M1547" t="s">
        <v>5698</v>
      </c>
      <c r="N1547" t="s">
        <v>218</v>
      </c>
      <c r="O1547" t="s">
        <v>47</v>
      </c>
      <c r="P1547" t="s">
        <v>47</v>
      </c>
      <c r="Y1547" t="s">
        <v>5702</v>
      </c>
      <c r="AG1547" t="s">
        <v>48</v>
      </c>
    </row>
    <row r="1548" spans="1:33">
      <c r="A1548" t="s">
        <v>5703</v>
      </c>
      <c r="B1548" t="s">
        <v>5704</v>
      </c>
      <c r="D1548" t="s">
        <v>40</v>
      </c>
      <c r="E1548" t="s">
        <v>41</v>
      </c>
      <c r="J1548" t="s">
        <v>290</v>
      </c>
      <c r="K1548" t="s">
        <v>291</v>
      </c>
      <c r="L1548">
        <v>5</v>
      </c>
      <c r="M1548" t="s">
        <v>5698</v>
      </c>
      <c r="N1548" t="s">
        <v>59</v>
      </c>
      <c r="O1548" t="s">
        <v>47</v>
      </c>
      <c r="P1548" t="s">
        <v>47</v>
      </c>
      <c r="Y1548" t="s">
        <v>5705</v>
      </c>
      <c r="AG1548" t="s">
        <v>48</v>
      </c>
    </row>
    <row r="1549" spans="1:33">
      <c r="A1549" t="s">
        <v>5706</v>
      </c>
      <c r="B1549" t="s">
        <v>5707</v>
      </c>
      <c r="D1549" t="s">
        <v>40</v>
      </c>
      <c r="E1549" t="s">
        <v>41</v>
      </c>
      <c r="J1549" t="s">
        <v>108</v>
      </c>
      <c r="K1549" t="s">
        <v>109</v>
      </c>
      <c r="L1549">
        <v>5</v>
      </c>
      <c r="M1549" t="s">
        <v>5708</v>
      </c>
      <c r="N1549" t="s">
        <v>59</v>
      </c>
      <c r="O1549" t="s">
        <v>47</v>
      </c>
      <c r="P1549" t="s">
        <v>47</v>
      </c>
      <c r="Y1549" t="s">
        <v>5709</v>
      </c>
      <c r="AG1549" t="s">
        <v>48</v>
      </c>
    </row>
    <row r="1550" spans="1:33">
      <c r="A1550" t="s">
        <v>5710</v>
      </c>
      <c r="B1550" t="s">
        <v>5711</v>
      </c>
      <c r="D1550" t="s">
        <v>40</v>
      </c>
      <c r="E1550" t="s">
        <v>41</v>
      </c>
      <c r="J1550" t="s">
        <v>270</v>
      </c>
      <c r="K1550" t="s">
        <v>271</v>
      </c>
      <c r="L1550">
        <v>5</v>
      </c>
      <c r="M1550" t="s">
        <v>5712</v>
      </c>
      <c r="N1550" t="s">
        <v>59</v>
      </c>
      <c r="O1550" t="s">
        <v>47</v>
      </c>
      <c r="P1550" t="s">
        <v>47</v>
      </c>
      <c r="Y1550" t="s">
        <v>5713</v>
      </c>
      <c r="AG1550" t="s">
        <v>48</v>
      </c>
    </row>
    <row r="1551" spans="1:33">
      <c r="A1551" t="s">
        <v>5714</v>
      </c>
      <c r="B1551" t="s">
        <v>5715</v>
      </c>
      <c r="D1551" t="s">
        <v>40</v>
      </c>
      <c r="E1551" t="s">
        <v>41</v>
      </c>
      <c r="J1551" t="s">
        <v>162</v>
      </c>
      <c r="K1551" t="s">
        <v>163</v>
      </c>
      <c r="L1551">
        <v>5</v>
      </c>
      <c r="M1551" t="s">
        <v>5716</v>
      </c>
      <c r="N1551" t="s">
        <v>59</v>
      </c>
      <c r="O1551" t="s">
        <v>47</v>
      </c>
      <c r="P1551" t="s">
        <v>47</v>
      </c>
      <c r="Y1551" t="s">
        <v>5717</v>
      </c>
      <c r="AG1551" t="s">
        <v>48</v>
      </c>
    </row>
    <row r="1552" spans="1:33">
      <c r="A1552" t="s">
        <v>5718</v>
      </c>
      <c r="B1552" t="s">
        <v>5719</v>
      </c>
      <c r="D1552" t="s">
        <v>40</v>
      </c>
      <c r="E1552" t="s">
        <v>41</v>
      </c>
      <c r="H1552" t="s">
        <v>5720</v>
      </c>
      <c r="J1552" t="s">
        <v>270</v>
      </c>
      <c r="K1552" t="s">
        <v>271</v>
      </c>
      <c r="L1552">
        <v>5</v>
      </c>
      <c r="M1552" t="s">
        <v>5716</v>
      </c>
      <c r="N1552" t="s">
        <v>59</v>
      </c>
      <c r="O1552" t="s">
        <v>47</v>
      </c>
      <c r="P1552" t="s">
        <v>47</v>
      </c>
      <c r="Y1552" t="s">
        <v>5720</v>
      </c>
      <c r="AG1552" t="s">
        <v>48</v>
      </c>
    </row>
    <row r="1553" spans="1:33">
      <c r="A1553" t="s">
        <v>5721</v>
      </c>
      <c r="B1553" t="s">
        <v>5722</v>
      </c>
      <c r="D1553" t="s">
        <v>40</v>
      </c>
      <c r="E1553" t="s">
        <v>41</v>
      </c>
      <c r="J1553" t="s">
        <v>129</v>
      </c>
      <c r="K1553" t="s">
        <v>130</v>
      </c>
      <c r="L1553">
        <v>5</v>
      </c>
      <c r="M1553" t="s">
        <v>5723</v>
      </c>
      <c r="N1553" t="s">
        <v>218</v>
      </c>
      <c r="O1553" t="s">
        <v>47</v>
      </c>
      <c r="P1553" t="s">
        <v>47</v>
      </c>
      <c r="Y1553" t="s">
        <v>5724</v>
      </c>
      <c r="AG1553" t="s">
        <v>48</v>
      </c>
    </row>
    <row r="1554" spans="1:33">
      <c r="A1554" t="s">
        <v>5725</v>
      </c>
      <c r="B1554" t="s">
        <v>5726</v>
      </c>
      <c r="D1554" t="s">
        <v>40</v>
      </c>
      <c r="E1554" t="s">
        <v>41</v>
      </c>
      <c r="J1554" t="s">
        <v>123</v>
      </c>
      <c r="K1554" t="s">
        <v>124</v>
      </c>
      <c r="L1554">
        <v>5</v>
      </c>
      <c r="M1554" t="s">
        <v>5727</v>
      </c>
      <c r="N1554" t="s">
        <v>218</v>
      </c>
      <c r="O1554" t="s">
        <v>47</v>
      </c>
      <c r="P1554" t="s">
        <v>47</v>
      </c>
      <c r="Y1554" t="s">
        <v>5728</v>
      </c>
      <c r="AG1554" t="s">
        <v>48</v>
      </c>
    </row>
    <row r="1555" spans="1:33">
      <c r="A1555" t="s">
        <v>5729</v>
      </c>
      <c r="B1555" t="s">
        <v>5730</v>
      </c>
      <c r="D1555" t="s">
        <v>40</v>
      </c>
      <c r="E1555" t="s">
        <v>41</v>
      </c>
      <c r="J1555" t="s">
        <v>290</v>
      </c>
      <c r="K1555" t="s">
        <v>291</v>
      </c>
      <c r="L1555">
        <v>5</v>
      </c>
      <c r="M1555" t="s">
        <v>5731</v>
      </c>
      <c r="N1555" t="s">
        <v>59</v>
      </c>
      <c r="O1555" t="s">
        <v>47</v>
      </c>
      <c r="P1555" t="s">
        <v>47</v>
      </c>
      <c r="Y1555" t="s">
        <v>5732</v>
      </c>
      <c r="AG1555" t="s">
        <v>48</v>
      </c>
    </row>
    <row r="1556" spans="1:33">
      <c r="A1556" t="s">
        <v>117</v>
      </c>
      <c r="B1556" t="s">
        <v>5733</v>
      </c>
      <c r="D1556" t="s">
        <v>40</v>
      </c>
      <c r="E1556" t="s">
        <v>41</v>
      </c>
      <c r="J1556" t="s">
        <v>114</v>
      </c>
      <c r="K1556" t="s">
        <v>115</v>
      </c>
      <c r="L1556">
        <v>5</v>
      </c>
      <c r="M1556" t="s">
        <v>5734</v>
      </c>
      <c r="N1556" t="s">
        <v>59</v>
      </c>
      <c r="O1556" t="s">
        <v>47</v>
      </c>
      <c r="P1556" t="s">
        <v>47</v>
      </c>
      <c r="Y1556" t="s">
        <v>5735</v>
      </c>
      <c r="AG1556" t="s">
        <v>48</v>
      </c>
    </row>
    <row r="1557" spans="1:33">
      <c r="A1557" t="s">
        <v>5736</v>
      </c>
      <c r="B1557" t="s">
        <v>5737</v>
      </c>
      <c r="D1557" t="s">
        <v>40</v>
      </c>
      <c r="E1557" t="s">
        <v>41</v>
      </c>
      <c r="J1557" t="s">
        <v>4737</v>
      </c>
      <c r="K1557" t="s">
        <v>4738</v>
      </c>
      <c r="L1557">
        <v>5</v>
      </c>
      <c r="M1557" t="s">
        <v>5734</v>
      </c>
      <c r="N1557" t="s">
        <v>192</v>
      </c>
      <c r="O1557" t="s">
        <v>47</v>
      </c>
      <c r="P1557" t="s">
        <v>47</v>
      </c>
      <c r="Y1557" t="s">
        <v>5738</v>
      </c>
      <c r="AG1557" t="s">
        <v>48</v>
      </c>
    </row>
    <row r="1558" spans="1:33">
      <c r="A1558" t="s">
        <v>5739</v>
      </c>
      <c r="B1558" t="s">
        <v>5740</v>
      </c>
      <c r="D1558" t="s">
        <v>40</v>
      </c>
      <c r="E1558" t="s">
        <v>41</v>
      </c>
      <c r="J1558" t="s">
        <v>270</v>
      </c>
      <c r="K1558" t="s">
        <v>271</v>
      </c>
      <c r="L1558">
        <v>5</v>
      </c>
      <c r="M1558" t="s">
        <v>5734</v>
      </c>
      <c r="N1558" t="s">
        <v>59</v>
      </c>
      <c r="O1558" t="s">
        <v>47</v>
      </c>
      <c r="P1558" t="s">
        <v>47</v>
      </c>
      <c r="Y1558" t="s">
        <v>5741</v>
      </c>
      <c r="AG1558" t="s">
        <v>48</v>
      </c>
    </row>
    <row r="1559" spans="1:33">
      <c r="A1559" t="s">
        <v>5742</v>
      </c>
      <c r="B1559" t="s">
        <v>5743</v>
      </c>
      <c r="D1559" t="s">
        <v>40</v>
      </c>
      <c r="E1559" t="s">
        <v>41</v>
      </c>
      <c r="J1559" t="s">
        <v>290</v>
      </c>
      <c r="K1559" t="s">
        <v>291</v>
      </c>
      <c r="L1559">
        <v>5</v>
      </c>
      <c r="M1559" t="s">
        <v>5744</v>
      </c>
      <c r="N1559" t="s">
        <v>59</v>
      </c>
      <c r="O1559" t="s">
        <v>47</v>
      </c>
      <c r="P1559" t="s">
        <v>47</v>
      </c>
      <c r="Y1559" t="s">
        <v>5745</v>
      </c>
      <c r="AG1559" t="s">
        <v>48</v>
      </c>
    </row>
    <row r="1560" spans="1:33">
      <c r="A1560" t="s">
        <v>5746</v>
      </c>
      <c r="B1560" t="s">
        <v>5747</v>
      </c>
      <c r="D1560" t="s">
        <v>40</v>
      </c>
      <c r="E1560" t="s">
        <v>41</v>
      </c>
      <c r="H1560" t="s">
        <v>5748</v>
      </c>
      <c r="J1560" t="s">
        <v>129</v>
      </c>
      <c r="K1560" t="s">
        <v>130</v>
      </c>
      <c r="L1560">
        <v>5</v>
      </c>
      <c r="M1560" t="s">
        <v>5749</v>
      </c>
      <c r="N1560" t="s">
        <v>192</v>
      </c>
      <c r="O1560" t="s">
        <v>47</v>
      </c>
      <c r="P1560" t="s">
        <v>47</v>
      </c>
      <c r="Y1560" t="s">
        <v>5748</v>
      </c>
      <c r="AG1560" t="s">
        <v>48</v>
      </c>
    </row>
    <row r="1561" spans="1:33">
      <c r="A1561" t="s">
        <v>5750</v>
      </c>
      <c r="B1561" t="s">
        <v>5751</v>
      </c>
      <c r="D1561" t="s">
        <v>40</v>
      </c>
      <c r="E1561" t="s">
        <v>41</v>
      </c>
      <c r="H1561" t="s">
        <v>5752</v>
      </c>
      <c r="J1561" t="s">
        <v>108</v>
      </c>
      <c r="K1561" t="s">
        <v>109</v>
      </c>
      <c r="L1561">
        <v>5</v>
      </c>
      <c r="M1561" t="s">
        <v>5749</v>
      </c>
      <c r="N1561" t="s">
        <v>59</v>
      </c>
      <c r="O1561" t="s">
        <v>47</v>
      </c>
      <c r="P1561" t="s">
        <v>47</v>
      </c>
      <c r="Y1561" t="s">
        <v>5752</v>
      </c>
      <c r="AG1561" t="s">
        <v>48</v>
      </c>
    </row>
    <row r="1562" spans="1:33">
      <c r="A1562" t="s">
        <v>5753</v>
      </c>
      <c r="B1562" t="s">
        <v>5754</v>
      </c>
      <c r="D1562" t="s">
        <v>40</v>
      </c>
      <c r="E1562" t="s">
        <v>41</v>
      </c>
      <c r="H1562" t="s">
        <v>5755</v>
      </c>
      <c r="J1562" t="s">
        <v>108</v>
      </c>
      <c r="K1562" t="s">
        <v>109</v>
      </c>
      <c r="L1562">
        <v>5</v>
      </c>
      <c r="M1562" t="s">
        <v>5756</v>
      </c>
      <c r="N1562" t="s">
        <v>59</v>
      </c>
      <c r="O1562" t="s">
        <v>47</v>
      </c>
      <c r="P1562" t="s">
        <v>47</v>
      </c>
      <c r="Y1562" t="s">
        <v>5755</v>
      </c>
      <c r="AG1562" t="s">
        <v>48</v>
      </c>
    </row>
    <row r="1563" spans="1:33">
      <c r="A1563" t="s">
        <v>5757</v>
      </c>
      <c r="B1563" t="s">
        <v>5758</v>
      </c>
      <c r="D1563" t="s">
        <v>40</v>
      </c>
      <c r="E1563" t="s">
        <v>41</v>
      </c>
      <c r="J1563" t="s">
        <v>290</v>
      </c>
      <c r="K1563" t="s">
        <v>291</v>
      </c>
      <c r="L1563">
        <v>5</v>
      </c>
      <c r="M1563" t="s">
        <v>5759</v>
      </c>
      <c r="N1563" t="s">
        <v>59</v>
      </c>
      <c r="O1563" t="s">
        <v>47</v>
      </c>
      <c r="P1563" t="s">
        <v>47</v>
      </c>
      <c r="Y1563" t="s">
        <v>5760</v>
      </c>
      <c r="AG1563" t="s">
        <v>48</v>
      </c>
    </row>
    <row r="1564" spans="1:33">
      <c r="A1564" t="s">
        <v>5761</v>
      </c>
      <c r="B1564" t="s">
        <v>5762</v>
      </c>
      <c r="D1564" t="s">
        <v>40</v>
      </c>
      <c r="E1564" t="s">
        <v>41</v>
      </c>
      <c r="J1564" t="s">
        <v>290</v>
      </c>
      <c r="K1564" t="s">
        <v>291</v>
      </c>
      <c r="L1564">
        <v>5</v>
      </c>
      <c r="M1564" t="s">
        <v>5763</v>
      </c>
      <c r="N1564" t="s">
        <v>59</v>
      </c>
      <c r="O1564" t="s">
        <v>47</v>
      </c>
      <c r="P1564" t="s">
        <v>47</v>
      </c>
      <c r="Y1564" t="s">
        <v>5764</v>
      </c>
      <c r="AG1564" t="s">
        <v>48</v>
      </c>
    </row>
    <row r="1565" spans="1:33">
      <c r="A1565" t="s">
        <v>5765</v>
      </c>
      <c r="B1565" t="s">
        <v>5766</v>
      </c>
      <c r="D1565" t="s">
        <v>40</v>
      </c>
      <c r="E1565" t="s">
        <v>41</v>
      </c>
      <c r="J1565" t="s">
        <v>162</v>
      </c>
      <c r="K1565" t="s">
        <v>163</v>
      </c>
      <c r="L1565">
        <v>5</v>
      </c>
      <c r="M1565" t="s">
        <v>5767</v>
      </c>
      <c r="N1565" t="s">
        <v>59</v>
      </c>
      <c r="O1565" t="s">
        <v>47</v>
      </c>
      <c r="P1565" t="s">
        <v>47</v>
      </c>
      <c r="Y1565" t="s">
        <v>5768</v>
      </c>
      <c r="AG1565" t="s">
        <v>48</v>
      </c>
    </row>
    <row r="1566" spans="1:33">
      <c r="A1566" t="s">
        <v>5769</v>
      </c>
      <c r="B1566" t="s">
        <v>5770</v>
      </c>
      <c r="D1566" t="s">
        <v>40</v>
      </c>
      <c r="E1566" t="s">
        <v>41</v>
      </c>
      <c r="J1566" t="s">
        <v>1418</v>
      </c>
      <c r="K1566" t="s">
        <v>1419</v>
      </c>
      <c r="L1566">
        <v>5</v>
      </c>
      <c r="M1566" t="s">
        <v>5771</v>
      </c>
      <c r="N1566" t="s">
        <v>218</v>
      </c>
      <c r="O1566" t="s">
        <v>47</v>
      </c>
      <c r="P1566" t="s">
        <v>47</v>
      </c>
      <c r="Y1566" t="s">
        <v>5772</v>
      </c>
      <c r="AG1566" t="s">
        <v>48</v>
      </c>
    </row>
    <row r="1567" spans="1:33">
      <c r="A1567" t="s">
        <v>5773</v>
      </c>
      <c r="B1567" t="s">
        <v>5774</v>
      </c>
      <c r="D1567" t="s">
        <v>40</v>
      </c>
      <c r="E1567" t="s">
        <v>41</v>
      </c>
      <c r="J1567" t="s">
        <v>162</v>
      </c>
      <c r="K1567" t="s">
        <v>163</v>
      </c>
      <c r="L1567">
        <v>5</v>
      </c>
      <c r="M1567" t="s">
        <v>5771</v>
      </c>
      <c r="N1567" t="s">
        <v>59</v>
      </c>
      <c r="O1567" t="s">
        <v>47</v>
      </c>
      <c r="P1567" t="s">
        <v>47</v>
      </c>
      <c r="Y1567" t="s">
        <v>5775</v>
      </c>
      <c r="AG1567" t="s">
        <v>48</v>
      </c>
    </row>
    <row r="1568" spans="1:33">
      <c r="A1568" t="s">
        <v>5776</v>
      </c>
      <c r="B1568" t="s">
        <v>5777</v>
      </c>
      <c r="D1568" t="s">
        <v>40</v>
      </c>
      <c r="E1568" t="s">
        <v>41</v>
      </c>
      <c r="J1568" t="s">
        <v>114</v>
      </c>
      <c r="K1568" t="s">
        <v>115</v>
      </c>
      <c r="L1568">
        <v>5</v>
      </c>
      <c r="M1568" t="s">
        <v>5771</v>
      </c>
      <c r="N1568" t="s">
        <v>59</v>
      </c>
      <c r="O1568" t="s">
        <v>47</v>
      </c>
      <c r="P1568" t="s">
        <v>47</v>
      </c>
      <c r="Y1568" t="s">
        <v>5778</v>
      </c>
      <c r="AG1568" t="s">
        <v>48</v>
      </c>
    </row>
    <row r="1569" spans="1:33">
      <c r="A1569" t="s">
        <v>5779</v>
      </c>
      <c r="B1569" t="s">
        <v>5780</v>
      </c>
      <c r="D1569" t="s">
        <v>40</v>
      </c>
      <c r="E1569" t="s">
        <v>41</v>
      </c>
      <c r="H1569" t="s">
        <v>5781</v>
      </c>
      <c r="J1569" t="s">
        <v>63</v>
      </c>
      <c r="K1569" t="s">
        <v>64</v>
      </c>
      <c r="L1569">
        <v>5</v>
      </c>
      <c r="M1569" t="s">
        <v>5782</v>
      </c>
      <c r="N1569" t="s">
        <v>59</v>
      </c>
      <c r="O1569" t="s">
        <v>47</v>
      </c>
      <c r="P1569" t="s">
        <v>47</v>
      </c>
      <c r="Y1569" t="s">
        <v>5781</v>
      </c>
      <c r="AG1569" t="s">
        <v>48</v>
      </c>
    </row>
    <row r="1570" spans="1:33">
      <c r="A1570" t="s">
        <v>5783</v>
      </c>
      <c r="B1570" t="s">
        <v>5784</v>
      </c>
      <c r="D1570" t="s">
        <v>40</v>
      </c>
      <c r="E1570" t="s">
        <v>41</v>
      </c>
      <c r="J1570" t="s">
        <v>270</v>
      </c>
      <c r="K1570" t="s">
        <v>271</v>
      </c>
      <c r="L1570">
        <v>5</v>
      </c>
      <c r="M1570" t="s">
        <v>5785</v>
      </c>
      <c r="N1570" t="s">
        <v>59</v>
      </c>
      <c r="O1570" t="s">
        <v>47</v>
      </c>
      <c r="P1570" t="s">
        <v>47</v>
      </c>
      <c r="Y1570" t="s">
        <v>5786</v>
      </c>
      <c r="AG1570" t="s">
        <v>48</v>
      </c>
    </row>
    <row r="1571" spans="1:33">
      <c r="A1571" t="s">
        <v>5787</v>
      </c>
      <c r="B1571" t="s">
        <v>5788</v>
      </c>
      <c r="D1571" t="s">
        <v>40</v>
      </c>
      <c r="E1571" t="s">
        <v>41</v>
      </c>
      <c r="J1571" t="s">
        <v>290</v>
      </c>
      <c r="K1571" t="s">
        <v>291</v>
      </c>
      <c r="L1571">
        <v>5</v>
      </c>
      <c r="M1571" t="s">
        <v>5789</v>
      </c>
      <c r="N1571" t="s">
        <v>59</v>
      </c>
      <c r="O1571" t="s">
        <v>47</v>
      </c>
      <c r="P1571" t="s">
        <v>47</v>
      </c>
      <c r="Y1571" t="s">
        <v>5790</v>
      </c>
      <c r="AG1571" t="s">
        <v>48</v>
      </c>
    </row>
    <row r="1572" spans="1:33">
      <c r="A1572" t="s">
        <v>5791</v>
      </c>
      <c r="B1572" t="s">
        <v>5792</v>
      </c>
      <c r="D1572" t="s">
        <v>40</v>
      </c>
      <c r="E1572" t="s">
        <v>41</v>
      </c>
      <c r="J1572" t="s">
        <v>290</v>
      </c>
      <c r="K1572" t="s">
        <v>291</v>
      </c>
      <c r="L1572">
        <v>5</v>
      </c>
      <c r="M1572" t="s">
        <v>5789</v>
      </c>
      <c r="N1572" t="s">
        <v>59</v>
      </c>
      <c r="O1572" t="s">
        <v>47</v>
      </c>
      <c r="P1572" t="s">
        <v>47</v>
      </c>
      <c r="Y1572" t="s">
        <v>5793</v>
      </c>
      <c r="AG1572" t="s">
        <v>48</v>
      </c>
    </row>
    <row r="1573" spans="1:33">
      <c r="A1573" t="s">
        <v>5794</v>
      </c>
      <c r="B1573" t="s">
        <v>5795</v>
      </c>
      <c r="D1573" t="s">
        <v>40</v>
      </c>
      <c r="E1573" t="s">
        <v>41</v>
      </c>
      <c r="H1573" t="s">
        <v>5796</v>
      </c>
      <c r="J1573" t="s">
        <v>123</v>
      </c>
      <c r="K1573" t="s">
        <v>124</v>
      </c>
      <c r="L1573">
        <v>5</v>
      </c>
      <c r="M1573" t="s">
        <v>5797</v>
      </c>
      <c r="N1573" t="s">
        <v>218</v>
      </c>
      <c r="O1573" t="s">
        <v>47</v>
      </c>
      <c r="P1573" t="s">
        <v>47</v>
      </c>
      <c r="Y1573" t="s">
        <v>5796</v>
      </c>
      <c r="AG1573" t="s">
        <v>48</v>
      </c>
    </row>
    <row r="1574" spans="1:33">
      <c r="A1574" t="s">
        <v>5798</v>
      </c>
      <c r="B1574" t="s">
        <v>5799</v>
      </c>
      <c r="D1574" t="s">
        <v>40</v>
      </c>
      <c r="E1574" t="s">
        <v>41</v>
      </c>
      <c r="J1574" t="s">
        <v>270</v>
      </c>
      <c r="K1574" t="s">
        <v>271</v>
      </c>
      <c r="L1574">
        <v>5</v>
      </c>
      <c r="M1574" t="s">
        <v>5800</v>
      </c>
      <c r="N1574" t="s">
        <v>59</v>
      </c>
      <c r="O1574" t="s">
        <v>47</v>
      </c>
      <c r="P1574" t="s">
        <v>47</v>
      </c>
      <c r="Y1574" t="s">
        <v>5801</v>
      </c>
      <c r="AG1574" t="s">
        <v>48</v>
      </c>
    </row>
    <row r="1575" spans="1:33">
      <c r="A1575" t="s">
        <v>5802</v>
      </c>
      <c r="B1575" t="s">
        <v>5803</v>
      </c>
      <c r="D1575" t="s">
        <v>40</v>
      </c>
      <c r="E1575" t="s">
        <v>41</v>
      </c>
      <c r="J1575" t="s">
        <v>290</v>
      </c>
      <c r="K1575" t="s">
        <v>291</v>
      </c>
      <c r="L1575">
        <v>5</v>
      </c>
      <c r="M1575" t="s">
        <v>5804</v>
      </c>
      <c r="N1575" t="s">
        <v>59</v>
      </c>
      <c r="O1575" t="s">
        <v>47</v>
      </c>
      <c r="P1575" t="s">
        <v>47</v>
      </c>
      <c r="Y1575" t="s">
        <v>5805</v>
      </c>
      <c r="AG1575" t="s">
        <v>48</v>
      </c>
    </row>
    <row r="1576" spans="1:33">
      <c r="A1576" t="s">
        <v>5806</v>
      </c>
      <c r="B1576" t="s">
        <v>5807</v>
      </c>
      <c r="D1576" t="s">
        <v>40</v>
      </c>
      <c r="E1576" t="s">
        <v>41</v>
      </c>
      <c r="J1576" t="s">
        <v>270</v>
      </c>
      <c r="K1576" t="s">
        <v>271</v>
      </c>
      <c r="L1576">
        <v>5</v>
      </c>
      <c r="M1576" t="s">
        <v>5804</v>
      </c>
      <c r="N1576" t="s">
        <v>59</v>
      </c>
      <c r="O1576" t="s">
        <v>47</v>
      </c>
      <c r="P1576" t="s">
        <v>47</v>
      </c>
      <c r="Y1576" t="s">
        <v>5808</v>
      </c>
      <c r="AG1576" t="s">
        <v>48</v>
      </c>
    </row>
    <row r="1577" spans="1:33">
      <c r="A1577" t="s">
        <v>5809</v>
      </c>
      <c r="B1577" t="s">
        <v>5810</v>
      </c>
      <c r="D1577" t="s">
        <v>40</v>
      </c>
      <c r="E1577" t="s">
        <v>41</v>
      </c>
      <c r="H1577" t="s">
        <v>5811</v>
      </c>
      <c r="J1577" t="s">
        <v>129</v>
      </c>
      <c r="K1577" t="s">
        <v>130</v>
      </c>
      <c r="L1577">
        <v>5</v>
      </c>
      <c r="M1577" t="s">
        <v>5812</v>
      </c>
      <c r="N1577" t="s">
        <v>218</v>
      </c>
      <c r="O1577" t="s">
        <v>47</v>
      </c>
      <c r="P1577" t="s">
        <v>47</v>
      </c>
      <c r="Y1577" t="s">
        <v>5811</v>
      </c>
      <c r="AG1577" t="s">
        <v>48</v>
      </c>
    </row>
    <row r="1578" spans="1:33">
      <c r="A1578" t="s">
        <v>5813</v>
      </c>
      <c r="B1578" t="s">
        <v>5814</v>
      </c>
      <c r="D1578" t="s">
        <v>40</v>
      </c>
      <c r="E1578" t="s">
        <v>41</v>
      </c>
      <c r="H1578" t="s">
        <v>5815</v>
      </c>
      <c r="J1578" t="s">
        <v>63</v>
      </c>
      <c r="K1578" t="s">
        <v>64</v>
      </c>
      <c r="L1578">
        <v>5</v>
      </c>
      <c r="M1578" t="s">
        <v>5816</v>
      </c>
      <c r="N1578" t="s">
        <v>59</v>
      </c>
      <c r="O1578" t="s">
        <v>47</v>
      </c>
      <c r="P1578" t="s">
        <v>47</v>
      </c>
      <c r="Y1578" t="s">
        <v>5815</v>
      </c>
      <c r="AG1578" t="s">
        <v>48</v>
      </c>
    </row>
    <row r="1579" spans="1:33">
      <c r="A1579" t="s">
        <v>5817</v>
      </c>
      <c r="B1579" t="s">
        <v>5818</v>
      </c>
      <c r="D1579" t="s">
        <v>40</v>
      </c>
      <c r="E1579" t="s">
        <v>41</v>
      </c>
      <c r="J1579" t="s">
        <v>162</v>
      </c>
      <c r="K1579" t="s">
        <v>163</v>
      </c>
      <c r="L1579">
        <v>5</v>
      </c>
      <c r="M1579" t="s">
        <v>5819</v>
      </c>
      <c r="N1579" t="s">
        <v>59</v>
      </c>
      <c r="O1579" t="s">
        <v>47</v>
      </c>
      <c r="P1579" t="s">
        <v>47</v>
      </c>
      <c r="Y1579" t="s">
        <v>5820</v>
      </c>
      <c r="AG1579" t="s">
        <v>48</v>
      </c>
    </row>
    <row r="1580" spans="1:33">
      <c r="A1580" t="s">
        <v>5821</v>
      </c>
      <c r="B1580" t="s">
        <v>5822</v>
      </c>
      <c r="D1580" t="s">
        <v>40</v>
      </c>
      <c r="E1580" t="s">
        <v>41</v>
      </c>
      <c r="H1580" t="s">
        <v>5823</v>
      </c>
      <c r="J1580" t="s">
        <v>270</v>
      </c>
      <c r="K1580" t="s">
        <v>271</v>
      </c>
      <c r="L1580">
        <v>5</v>
      </c>
      <c r="M1580" t="s">
        <v>5824</v>
      </c>
      <c r="N1580" t="s">
        <v>59</v>
      </c>
      <c r="O1580" t="s">
        <v>47</v>
      </c>
      <c r="P1580" t="s">
        <v>47</v>
      </c>
      <c r="Y1580" t="s">
        <v>5823</v>
      </c>
      <c r="AG1580" t="s">
        <v>48</v>
      </c>
    </row>
    <row r="1581" spans="1:33">
      <c r="A1581" t="s">
        <v>5825</v>
      </c>
      <c r="B1581" t="s">
        <v>5826</v>
      </c>
      <c r="D1581" t="s">
        <v>40</v>
      </c>
      <c r="E1581" t="s">
        <v>41</v>
      </c>
      <c r="J1581" t="s">
        <v>129</v>
      </c>
      <c r="K1581" t="s">
        <v>130</v>
      </c>
      <c r="L1581">
        <v>5</v>
      </c>
      <c r="M1581" t="s">
        <v>5827</v>
      </c>
      <c r="N1581" t="s">
        <v>218</v>
      </c>
      <c r="O1581" t="s">
        <v>47</v>
      </c>
      <c r="P1581" t="s">
        <v>47</v>
      </c>
      <c r="Y1581" t="s">
        <v>5828</v>
      </c>
      <c r="AG1581" t="s">
        <v>48</v>
      </c>
    </row>
    <row r="1582" spans="1:33">
      <c r="A1582" t="s">
        <v>5829</v>
      </c>
      <c r="B1582" t="s">
        <v>5830</v>
      </c>
      <c r="D1582" t="s">
        <v>40</v>
      </c>
      <c r="E1582" t="s">
        <v>41</v>
      </c>
      <c r="J1582" t="s">
        <v>290</v>
      </c>
      <c r="K1582" t="s">
        <v>291</v>
      </c>
      <c r="L1582">
        <v>5</v>
      </c>
      <c r="M1582" t="s">
        <v>5831</v>
      </c>
      <c r="N1582" t="s">
        <v>59</v>
      </c>
      <c r="O1582" t="s">
        <v>47</v>
      </c>
      <c r="P1582" t="s">
        <v>47</v>
      </c>
      <c r="Y1582" t="s">
        <v>5832</v>
      </c>
      <c r="AG1582" t="s">
        <v>48</v>
      </c>
    </row>
    <row r="1583" spans="1:33">
      <c r="A1583" t="s">
        <v>5833</v>
      </c>
      <c r="B1583" t="s">
        <v>5834</v>
      </c>
      <c r="D1583" t="s">
        <v>40</v>
      </c>
      <c r="E1583" t="s">
        <v>41</v>
      </c>
      <c r="J1583" t="s">
        <v>108</v>
      </c>
      <c r="K1583" t="s">
        <v>109</v>
      </c>
      <c r="L1583">
        <v>5</v>
      </c>
      <c r="M1583" t="s">
        <v>5835</v>
      </c>
      <c r="N1583" t="s">
        <v>59</v>
      </c>
      <c r="O1583" t="s">
        <v>47</v>
      </c>
      <c r="P1583" t="s">
        <v>47</v>
      </c>
      <c r="Y1583" t="s">
        <v>5836</v>
      </c>
      <c r="AG1583" t="s">
        <v>48</v>
      </c>
    </row>
    <row r="1584" spans="1:33">
      <c r="A1584" t="s">
        <v>5837</v>
      </c>
      <c r="B1584" t="s">
        <v>5838</v>
      </c>
      <c r="D1584" t="s">
        <v>40</v>
      </c>
      <c r="E1584" t="s">
        <v>41</v>
      </c>
      <c r="J1584" t="s">
        <v>108</v>
      </c>
      <c r="K1584" t="s">
        <v>109</v>
      </c>
      <c r="L1584">
        <v>5</v>
      </c>
      <c r="M1584" t="s">
        <v>5839</v>
      </c>
      <c r="N1584" t="s">
        <v>59</v>
      </c>
      <c r="O1584" t="s">
        <v>47</v>
      </c>
      <c r="P1584" t="s">
        <v>47</v>
      </c>
      <c r="Y1584" t="s">
        <v>5840</v>
      </c>
      <c r="AG1584" t="s">
        <v>48</v>
      </c>
    </row>
    <row r="1585" spans="1:33">
      <c r="A1585" t="s">
        <v>117</v>
      </c>
      <c r="B1585" t="s">
        <v>5841</v>
      </c>
      <c r="D1585" t="s">
        <v>40</v>
      </c>
      <c r="E1585" t="s">
        <v>41</v>
      </c>
      <c r="J1585" t="s">
        <v>290</v>
      </c>
      <c r="K1585" t="s">
        <v>291</v>
      </c>
      <c r="L1585">
        <v>5</v>
      </c>
      <c r="M1585" t="s">
        <v>5842</v>
      </c>
      <c r="N1585" t="s">
        <v>59</v>
      </c>
      <c r="O1585" t="s">
        <v>47</v>
      </c>
      <c r="P1585" t="s">
        <v>47</v>
      </c>
      <c r="Y1585" t="s">
        <v>5843</v>
      </c>
      <c r="AG1585" t="s">
        <v>48</v>
      </c>
    </row>
    <row r="1586" spans="1:33">
      <c r="A1586" t="s">
        <v>5844</v>
      </c>
      <c r="B1586" t="s">
        <v>5845</v>
      </c>
      <c r="D1586" t="s">
        <v>40</v>
      </c>
      <c r="E1586" t="s">
        <v>41</v>
      </c>
      <c r="J1586" t="s">
        <v>114</v>
      </c>
      <c r="K1586" t="s">
        <v>115</v>
      </c>
      <c r="L1586">
        <v>5</v>
      </c>
      <c r="M1586" t="s">
        <v>5846</v>
      </c>
      <c r="N1586" t="s">
        <v>59</v>
      </c>
      <c r="O1586" t="s">
        <v>47</v>
      </c>
      <c r="P1586" t="s">
        <v>47</v>
      </c>
      <c r="Y1586" t="s">
        <v>5847</v>
      </c>
      <c r="AG1586" t="s">
        <v>48</v>
      </c>
    </row>
    <row r="1587" spans="1:33">
      <c r="A1587" t="s">
        <v>5848</v>
      </c>
      <c r="B1587" t="s">
        <v>5849</v>
      </c>
      <c r="D1587" t="s">
        <v>40</v>
      </c>
      <c r="E1587" t="s">
        <v>41</v>
      </c>
      <c r="J1587" t="s">
        <v>162</v>
      </c>
      <c r="K1587" t="s">
        <v>163</v>
      </c>
      <c r="L1587">
        <v>5</v>
      </c>
      <c r="M1587" t="s">
        <v>5850</v>
      </c>
      <c r="N1587" t="s">
        <v>59</v>
      </c>
      <c r="O1587" t="s">
        <v>47</v>
      </c>
      <c r="P1587" t="s">
        <v>47</v>
      </c>
      <c r="Y1587" t="s">
        <v>5851</v>
      </c>
      <c r="AG1587" t="s">
        <v>48</v>
      </c>
    </row>
    <row r="1588" spans="1:33">
      <c r="A1588" t="s">
        <v>5852</v>
      </c>
      <c r="B1588" t="s">
        <v>5853</v>
      </c>
      <c r="D1588" t="s">
        <v>40</v>
      </c>
      <c r="E1588" t="s">
        <v>41</v>
      </c>
      <c r="J1588" t="s">
        <v>129</v>
      </c>
      <c r="K1588" t="s">
        <v>130</v>
      </c>
      <c r="L1588">
        <v>5</v>
      </c>
      <c r="M1588" t="s">
        <v>5854</v>
      </c>
      <c r="N1588" t="s">
        <v>218</v>
      </c>
      <c r="O1588" t="s">
        <v>47</v>
      </c>
      <c r="P1588" t="s">
        <v>47</v>
      </c>
      <c r="Y1588" t="s">
        <v>5855</v>
      </c>
      <c r="AG1588" t="s">
        <v>48</v>
      </c>
    </row>
    <row r="1589" spans="1:33">
      <c r="A1589" t="s">
        <v>5856</v>
      </c>
      <c r="B1589" t="s">
        <v>5857</v>
      </c>
      <c r="D1589" t="s">
        <v>40</v>
      </c>
      <c r="E1589" t="s">
        <v>41</v>
      </c>
      <c r="J1589" t="s">
        <v>108</v>
      </c>
      <c r="K1589" t="s">
        <v>109</v>
      </c>
      <c r="L1589">
        <v>5</v>
      </c>
      <c r="M1589" t="s">
        <v>5858</v>
      </c>
      <c r="N1589" t="s">
        <v>59</v>
      </c>
      <c r="O1589" t="s">
        <v>47</v>
      </c>
      <c r="P1589" t="s">
        <v>47</v>
      </c>
      <c r="Y1589" t="s">
        <v>5859</v>
      </c>
      <c r="AG1589" t="s">
        <v>48</v>
      </c>
    </row>
    <row r="1590" spans="1:33">
      <c r="A1590" t="s">
        <v>5860</v>
      </c>
      <c r="B1590" t="s">
        <v>5861</v>
      </c>
      <c r="D1590" t="s">
        <v>40</v>
      </c>
      <c r="E1590" t="s">
        <v>41</v>
      </c>
      <c r="J1590" t="s">
        <v>290</v>
      </c>
      <c r="K1590" t="s">
        <v>291</v>
      </c>
      <c r="L1590">
        <v>5</v>
      </c>
      <c r="M1590" t="s">
        <v>5862</v>
      </c>
      <c r="N1590" t="s">
        <v>59</v>
      </c>
      <c r="O1590" t="s">
        <v>47</v>
      </c>
      <c r="P1590" t="s">
        <v>47</v>
      </c>
      <c r="Y1590" t="s">
        <v>5863</v>
      </c>
      <c r="AG1590" t="s">
        <v>48</v>
      </c>
    </row>
    <row r="1591" spans="1:33">
      <c r="A1591" t="s">
        <v>5864</v>
      </c>
      <c r="B1591" t="s">
        <v>5865</v>
      </c>
      <c r="D1591" t="s">
        <v>40</v>
      </c>
      <c r="E1591" t="s">
        <v>41</v>
      </c>
      <c r="J1591" t="s">
        <v>290</v>
      </c>
      <c r="K1591" t="s">
        <v>291</v>
      </c>
      <c r="L1591">
        <v>5</v>
      </c>
      <c r="M1591" t="s">
        <v>5866</v>
      </c>
      <c r="N1591" t="s">
        <v>59</v>
      </c>
      <c r="O1591" t="s">
        <v>47</v>
      </c>
      <c r="P1591" t="s">
        <v>47</v>
      </c>
      <c r="Y1591" t="s">
        <v>5867</v>
      </c>
      <c r="AG1591" t="s">
        <v>48</v>
      </c>
    </row>
    <row r="1592" spans="1:33">
      <c r="A1592" t="s">
        <v>5868</v>
      </c>
      <c r="B1592" t="s">
        <v>5869</v>
      </c>
      <c r="D1592" t="s">
        <v>40</v>
      </c>
      <c r="E1592" t="s">
        <v>41</v>
      </c>
      <c r="J1592" t="s">
        <v>114</v>
      </c>
      <c r="K1592" t="s">
        <v>115</v>
      </c>
      <c r="L1592">
        <v>5</v>
      </c>
      <c r="M1592" t="s">
        <v>5866</v>
      </c>
      <c r="N1592" t="s">
        <v>59</v>
      </c>
      <c r="O1592" t="s">
        <v>47</v>
      </c>
      <c r="P1592" t="s">
        <v>47</v>
      </c>
      <c r="Y1592" t="s">
        <v>5870</v>
      </c>
      <c r="AG1592" t="s">
        <v>48</v>
      </c>
    </row>
    <row r="1593" spans="1:33">
      <c r="A1593" t="s">
        <v>117</v>
      </c>
      <c r="B1593" t="s">
        <v>5871</v>
      </c>
      <c r="D1593" t="s">
        <v>40</v>
      </c>
      <c r="E1593" t="s">
        <v>41</v>
      </c>
      <c r="J1593" t="s">
        <v>162</v>
      </c>
      <c r="K1593" t="s">
        <v>163</v>
      </c>
      <c r="L1593">
        <v>5</v>
      </c>
      <c r="M1593" t="s">
        <v>5872</v>
      </c>
      <c r="N1593" t="s">
        <v>59</v>
      </c>
      <c r="O1593" t="s">
        <v>47</v>
      </c>
      <c r="P1593" t="s">
        <v>47</v>
      </c>
      <c r="Y1593" t="s">
        <v>5873</v>
      </c>
      <c r="AG1593" t="s">
        <v>48</v>
      </c>
    </row>
    <row r="1594" spans="1:33">
      <c r="A1594" t="s">
        <v>5874</v>
      </c>
      <c r="B1594" t="s">
        <v>5875</v>
      </c>
      <c r="D1594" t="s">
        <v>40</v>
      </c>
      <c r="E1594" t="s">
        <v>41</v>
      </c>
      <c r="J1594" t="s">
        <v>162</v>
      </c>
      <c r="K1594" t="s">
        <v>163</v>
      </c>
      <c r="L1594">
        <v>5</v>
      </c>
      <c r="M1594" t="s">
        <v>5876</v>
      </c>
      <c r="N1594" t="s">
        <v>59</v>
      </c>
      <c r="O1594" t="s">
        <v>47</v>
      </c>
      <c r="P1594" t="s">
        <v>47</v>
      </c>
      <c r="Y1594" t="s">
        <v>5877</v>
      </c>
      <c r="AG1594" t="s">
        <v>48</v>
      </c>
    </row>
    <row r="1595" spans="1:33">
      <c r="A1595" t="s">
        <v>5878</v>
      </c>
      <c r="B1595" t="s">
        <v>5879</v>
      </c>
      <c r="D1595" t="s">
        <v>40</v>
      </c>
      <c r="E1595" t="s">
        <v>41</v>
      </c>
      <c r="J1595" t="s">
        <v>114</v>
      </c>
      <c r="K1595" t="s">
        <v>115</v>
      </c>
      <c r="L1595">
        <v>5</v>
      </c>
      <c r="M1595" t="s">
        <v>5876</v>
      </c>
      <c r="N1595" t="s">
        <v>59</v>
      </c>
      <c r="O1595" t="s">
        <v>47</v>
      </c>
      <c r="P1595" t="s">
        <v>47</v>
      </c>
      <c r="Y1595" t="s">
        <v>5880</v>
      </c>
      <c r="AG1595" t="s">
        <v>48</v>
      </c>
    </row>
    <row r="1596" spans="1:33">
      <c r="A1596" t="s">
        <v>5881</v>
      </c>
      <c r="B1596" t="s">
        <v>5882</v>
      </c>
      <c r="D1596" t="s">
        <v>40</v>
      </c>
      <c r="E1596" t="s">
        <v>41</v>
      </c>
      <c r="J1596" t="s">
        <v>270</v>
      </c>
      <c r="K1596" t="s">
        <v>271</v>
      </c>
      <c r="L1596">
        <v>5</v>
      </c>
      <c r="M1596" t="s">
        <v>5883</v>
      </c>
      <c r="N1596" t="s">
        <v>59</v>
      </c>
      <c r="O1596" t="s">
        <v>47</v>
      </c>
      <c r="P1596" t="s">
        <v>47</v>
      </c>
      <c r="Y1596" t="s">
        <v>5884</v>
      </c>
      <c r="AG1596" t="s">
        <v>48</v>
      </c>
    </row>
    <row r="1597" spans="1:33">
      <c r="A1597" t="s">
        <v>5885</v>
      </c>
      <c r="B1597" t="s">
        <v>5886</v>
      </c>
      <c r="D1597" t="s">
        <v>40</v>
      </c>
      <c r="E1597" t="s">
        <v>41</v>
      </c>
      <c r="J1597" t="s">
        <v>270</v>
      </c>
      <c r="K1597" t="s">
        <v>271</v>
      </c>
      <c r="L1597">
        <v>5</v>
      </c>
      <c r="M1597" t="s">
        <v>5883</v>
      </c>
      <c r="N1597" t="s">
        <v>59</v>
      </c>
      <c r="O1597" t="s">
        <v>47</v>
      </c>
      <c r="P1597" t="s">
        <v>47</v>
      </c>
      <c r="Y1597" t="s">
        <v>5887</v>
      </c>
      <c r="AG1597" t="s">
        <v>48</v>
      </c>
    </row>
    <row r="1598" spans="1:33">
      <c r="A1598" t="s">
        <v>5888</v>
      </c>
      <c r="B1598" t="s">
        <v>5889</v>
      </c>
      <c r="D1598" t="s">
        <v>40</v>
      </c>
      <c r="E1598" t="s">
        <v>41</v>
      </c>
      <c r="J1598" t="s">
        <v>162</v>
      </c>
      <c r="K1598" t="s">
        <v>163</v>
      </c>
      <c r="L1598">
        <v>5</v>
      </c>
      <c r="M1598" t="s">
        <v>5890</v>
      </c>
      <c r="N1598" t="s">
        <v>59</v>
      </c>
      <c r="O1598" t="s">
        <v>47</v>
      </c>
      <c r="P1598" t="s">
        <v>47</v>
      </c>
      <c r="Y1598" t="s">
        <v>5891</v>
      </c>
      <c r="AG1598" t="s">
        <v>48</v>
      </c>
    </row>
    <row r="1599" spans="1:33">
      <c r="A1599" t="s">
        <v>5892</v>
      </c>
      <c r="B1599" t="s">
        <v>5893</v>
      </c>
      <c r="D1599" t="s">
        <v>40</v>
      </c>
      <c r="E1599" t="s">
        <v>41</v>
      </c>
      <c r="J1599" t="s">
        <v>129</v>
      </c>
      <c r="K1599" t="s">
        <v>130</v>
      </c>
      <c r="L1599">
        <v>5</v>
      </c>
      <c r="M1599" t="s">
        <v>5894</v>
      </c>
      <c r="N1599" t="s">
        <v>192</v>
      </c>
      <c r="O1599" t="s">
        <v>47</v>
      </c>
      <c r="P1599" t="s">
        <v>47</v>
      </c>
      <c r="Y1599" t="s">
        <v>5895</v>
      </c>
      <c r="AG1599" t="s">
        <v>48</v>
      </c>
    </row>
    <row r="1600" spans="1:33">
      <c r="A1600" t="s">
        <v>5896</v>
      </c>
      <c r="B1600" t="s">
        <v>5897</v>
      </c>
      <c r="D1600" t="s">
        <v>40</v>
      </c>
      <c r="E1600" t="s">
        <v>41</v>
      </c>
      <c r="J1600" t="s">
        <v>290</v>
      </c>
      <c r="K1600" t="s">
        <v>291</v>
      </c>
      <c r="L1600">
        <v>5</v>
      </c>
      <c r="M1600" t="s">
        <v>5898</v>
      </c>
      <c r="N1600" t="s">
        <v>59</v>
      </c>
      <c r="O1600" t="s">
        <v>47</v>
      </c>
      <c r="P1600" t="s">
        <v>47</v>
      </c>
      <c r="Y1600" t="s">
        <v>5899</v>
      </c>
      <c r="AG1600" t="s">
        <v>48</v>
      </c>
    </row>
    <row r="1601" spans="1:33">
      <c r="A1601" t="s">
        <v>5900</v>
      </c>
      <c r="B1601" t="s">
        <v>5901</v>
      </c>
      <c r="D1601" t="s">
        <v>40</v>
      </c>
      <c r="E1601" t="s">
        <v>41</v>
      </c>
      <c r="J1601" t="s">
        <v>270</v>
      </c>
      <c r="K1601" t="s">
        <v>271</v>
      </c>
      <c r="L1601">
        <v>5</v>
      </c>
      <c r="M1601" t="s">
        <v>5902</v>
      </c>
      <c r="N1601" t="s">
        <v>59</v>
      </c>
      <c r="O1601" t="s">
        <v>47</v>
      </c>
      <c r="P1601" t="s">
        <v>47</v>
      </c>
      <c r="Y1601" t="s">
        <v>5903</v>
      </c>
      <c r="AG1601" t="s">
        <v>48</v>
      </c>
    </row>
    <row r="1602" spans="1:33">
      <c r="A1602" t="s">
        <v>5904</v>
      </c>
      <c r="B1602" t="s">
        <v>5905</v>
      </c>
      <c r="D1602" t="s">
        <v>40</v>
      </c>
      <c r="E1602" t="s">
        <v>41</v>
      </c>
      <c r="J1602" t="s">
        <v>290</v>
      </c>
      <c r="K1602" t="s">
        <v>291</v>
      </c>
      <c r="L1602">
        <v>5</v>
      </c>
      <c r="M1602" t="s">
        <v>5906</v>
      </c>
      <c r="N1602" t="s">
        <v>59</v>
      </c>
      <c r="O1602" t="s">
        <v>47</v>
      </c>
      <c r="P1602" t="s">
        <v>47</v>
      </c>
      <c r="Y1602" t="s">
        <v>5907</v>
      </c>
      <c r="AG1602" t="s">
        <v>48</v>
      </c>
    </row>
    <row r="1603" spans="1:33">
      <c r="A1603" t="s">
        <v>5908</v>
      </c>
      <c r="B1603" t="s">
        <v>5909</v>
      </c>
      <c r="D1603" t="s">
        <v>40</v>
      </c>
      <c r="E1603" t="s">
        <v>41</v>
      </c>
      <c r="J1603" t="s">
        <v>290</v>
      </c>
      <c r="K1603" t="s">
        <v>291</v>
      </c>
      <c r="L1603">
        <v>5</v>
      </c>
      <c r="M1603" t="s">
        <v>5906</v>
      </c>
      <c r="N1603" t="s">
        <v>59</v>
      </c>
      <c r="O1603" t="s">
        <v>47</v>
      </c>
      <c r="P1603" t="s">
        <v>47</v>
      </c>
      <c r="Y1603" t="s">
        <v>5910</v>
      </c>
      <c r="AG1603" t="s">
        <v>48</v>
      </c>
    </row>
    <row r="1604" spans="1:33">
      <c r="A1604" t="s">
        <v>5911</v>
      </c>
      <c r="B1604" t="s">
        <v>5912</v>
      </c>
      <c r="D1604" t="s">
        <v>40</v>
      </c>
      <c r="E1604" t="s">
        <v>41</v>
      </c>
      <c r="J1604" t="s">
        <v>270</v>
      </c>
      <c r="K1604" t="s">
        <v>271</v>
      </c>
      <c r="L1604">
        <v>5</v>
      </c>
      <c r="M1604" t="s">
        <v>5913</v>
      </c>
      <c r="N1604" t="s">
        <v>59</v>
      </c>
      <c r="O1604" t="s">
        <v>47</v>
      </c>
      <c r="P1604" t="s">
        <v>47</v>
      </c>
      <c r="Y1604" t="s">
        <v>5914</v>
      </c>
      <c r="AG1604" t="s">
        <v>48</v>
      </c>
    </row>
    <row r="1605" spans="1:33">
      <c r="A1605" t="s">
        <v>5915</v>
      </c>
      <c r="B1605" t="s">
        <v>5916</v>
      </c>
      <c r="D1605" t="s">
        <v>40</v>
      </c>
      <c r="E1605" t="s">
        <v>41</v>
      </c>
      <c r="J1605" t="s">
        <v>270</v>
      </c>
      <c r="K1605" t="s">
        <v>271</v>
      </c>
      <c r="L1605">
        <v>5</v>
      </c>
      <c r="M1605" t="s">
        <v>5917</v>
      </c>
      <c r="N1605" t="s">
        <v>59</v>
      </c>
      <c r="O1605" t="s">
        <v>47</v>
      </c>
      <c r="P1605" t="s">
        <v>47</v>
      </c>
      <c r="Y1605" t="s">
        <v>5918</v>
      </c>
      <c r="AG1605" t="s">
        <v>48</v>
      </c>
    </row>
    <row r="1606" spans="1:33">
      <c r="A1606" t="s">
        <v>5919</v>
      </c>
      <c r="B1606" t="s">
        <v>5920</v>
      </c>
      <c r="D1606" t="s">
        <v>40</v>
      </c>
      <c r="E1606" t="s">
        <v>41</v>
      </c>
      <c r="J1606" t="s">
        <v>162</v>
      </c>
      <c r="K1606" t="s">
        <v>163</v>
      </c>
      <c r="L1606">
        <v>5</v>
      </c>
      <c r="M1606" t="s">
        <v>5917</v>
      </c>
      <c r="N1606" t="s">
        <v>59</v>
      </c>
      <c r="O1606" t="s">
        <v>47</v>
      </c>
      <c r="P1606" t="s">
        <v>47</v>
      </c>
      <c r="Y1606" t="s">
        <v>5921</v>
      </c>
      <c r="AG1606" t="s">
        <v>48</v>
      </c>
    </row>
    <row r="1607" spans="1:33">
      <c r="A1607" t="s">
        <v>5922</v>
      </c>
      <c r="B1607" t="s">
        <v>5923</v>
      </c>
      <c r="D1607" t="s">
        <v>40</v>
      </c>
      <c r="E1607" t="s">
        <v>41</v>
      </c>
      <c r="J1607" t="s">
        <v>129</v>
      </c>
      <c r="K1607" t="s">
        <v>130</v>
      </c>
      <c r="L1607">
        <v>5</v>
      </c>
      <c r="M1607" t="s">
        <v>5924</v>
      </c>
      <c r="N1607" t="s">
        <v>192</v>
      </c>
      <c r="O1607" t="s">
        <v>47</v>
      </c>
      <c r="P1607" t="s">
        <v>47</v>
      </c>
      <c r="Y1607" t="s">
        <v>5925</v>
      </c>
      <c r="AG1607" t="s">
        <v>48</v>
      </c>
    </row>
    <row r="1608" spans="1:33">
      <c r="A1608" t="s">
        <v>5926</v>
      </c>
      <c r="B1608" t="s">
        <v>5927</v>
      </c>
      <c r="D1608" t="s">
        <v>40</v>
      </c>
      <c r="E1608" t="s">
        <v>41</v>
      </c>
      <c r="J1608" t="s">
        <v>114</v>
      </c>
      <c r="K1608" t="s">
        <v>115</v>
      </c>
      <c r="L1608">
        <v>5</v>
      </c>
      <c r="M1608" t="s">
        <v>5924</v>
      </c>
      <c r="N1608" t="s">
        <v>59</v>
      </c>
      <c r="O1608" t="s">
        <v>47</v>
      </c>
      <c r="P1608" t="s">
        <v>47</v>
      </c>
      <c r="Y1608" t="s">
        <v>5928</v>
      </c>
      <c r="AG1608" t="s">
        <v>48</v>
      </c>
    </row>
    <row r="1609" spans="1:33">
      <c r="A1609" t="s">
        <v>5929</v>
      </c>
      <c r="B1609" t="s">
        <v>5930</v>
      </c>
      <c r="D1609" t="s">
        <v>40</v>
      </c>
      <c r="E1609" t="s">
        <v>41</v>
      </c>
      <c r="H1609" t="s">
        <v>5931</v>
      </c>
      <c r="J1609" t="s">
        <v>270</v>
      </c>
      <c r="K1609" t="s">
        <v>271</v>
      </c>
      <c r="L1609">
        <v>5</v>
      </c>
      <c r="M1609" t="s">
        <v>5932</v>
      </c>
      <c r="N1609" t="s">
        <v>59</v>
      </c>
      <c r="O1609" t="s">
        <v>47</v>
      </c>
      <c r="P1609" t="s">
        <v>47</v>
      </c>
      <c r="Y1609" t="s">
        <v>5931</v>
      </c>
      <c r="AG1609" t="s">
        <v>48</v>
      </c>
    </row>
    <row r="1610" spans="1:33">
      <c r="A1610" t="s">
        <v>5933</v>
      </c>
      <c r="B1610" t="s">
        <v>5934</v>
      </c>
      <c r="D1610" t="s">
        <v>40</v>
      </c>
      <c r="E1610" t="s">
        <v>41</v>
      </c>
      <c r="J1610" t="s">
        <v>270</v>
      </c>
      <c r="K1610" t="s">
        <v>271</v>
      </c>
      <c r="L1610">
        <v>5</v>
      </c>
      <c r="M1610" t="s">
        <v>5932</v>
      </c>
      <c r="N1610" t="s">
        <v>59</v>
      </c>
      <c r="O1610" t="s">
        <v>47</v>
      </c>
      <c r="P1610" t="s">
        <v>47</v>
      </c>
      <c r="Y1610" t="s">
        <v>5935</v>
      </c>
      <c r="AG1610" t="s">
        <v>48</v>
      </c>
    </row>
    <row r="1611" spans="1:33">
      <c r="A1611" t="s">
        <v>5936</v>
      </c>
      <c r="B1611" t="s">
        <v>5937</v>
      </c>
      <c r="D1611" t="s">
        <v>40</v>
      </c>
      <c r="E1611" t="s">
        <v>41</v>
      </c>
      <c r="J1611" t="s">
        <v>270</v>
      </c>
      <c r="K1611" t="s">
        <v>271</v>
      </c>
      <c r="L1611">
        <v>5</v>
      </c>
      <c r="M1611" t="s">
        <v>5938</v>
      </c>
      <c r="N1611" t="s">
        <v>59</v>
      </c>
      <c r="O1611" t="s">
        <v>47</v>
      </c>
      <c r="P1611" t="s">
        <v>47</v>
      </c>
      <c r="Y1611" t="s">
        <v>5939</v>
      </c>
      <c r="AG1611" t="s">
        <v>48</v>
      </c>
    </row>
    <row r="1612" spans="1:33">
      <c r="A1612" t="s">
        <v>5940</v>
      </c>
      <c r="B1612" t="s">
        <v>5941</v>
      </c>
      <c r="D1612" t="s">
        <v>40</v>
      </c>
      <c r="E1612" t="s">
        <v>41</v>
      </c>
      <c r="J1612" t="s">
        <v>162</v>
      </c>
      <c r="K1612" t="s">
        <v>163</v>
      </c>
      <c r="L1612">
        <v>5</v>
      </c>
      <c r="M1612" t="s">
        <v>5942</v>
      </c>
      <c r="N1612" t="s">
        <v>59</v>
      </c>
      <c r="O1612" t="s">
        <v>47</v>
      </c>
      <c r="P1612" t="s">
        <v>47</v>
      </c>
      <c r="Y1612" t="s">
        <v>5943</v>
      </c>
      <c r="AG1612" t="s">
        <v>48</v>
      </c>
    </row>
    <row r="1613" spans="1:33">
      <c r="A1613" t="s">
        <v>5944</v>
      </c>
      <c r="B1613" t="s">
        <v>5945</v>
      </c>
      <c r="D1613" t="s">
        <v>40</v>
      </c>
      <c r="E1613" t="s">
        <v>41</v>
      </c>
      <c r="J1613" t="s">
        <v>129</v>
      </c>
      <c r="K1613" t="s">
        <v>130</v>
      </c>
      <c r="L1613">
        <v>5</v>
      </c>
      <c r="M1613" t="s">
        <v>5942</v>
      </c>
      <c r="N1613" t="s">
        <v>218</v>
      </c>
      <c r="O1613" t="s">
        <v>47</v>
      </c>
      <c r="P1613" t="s">
        <v>47</v>
      </c>
      <c r="Y1613" t="s">
        <v>5946</v>
      </c>
      <c r="AG1613" t="s">
        <v>48</v>
      </c>
    </row>
    <row r="1614" spans="1:33">
      <c r="A1614" t="s">
        <v>117</v>
      </c>
      <c r="B1614" t="s">
        <v>5947</v>
      </c>
      <c r="D1614" t="s">
        <v>40</v>
      </c>
      <c r="E1614" t="s">
        <v>41</v>
      </c>
      <c r="J1614" t="s">
        <v>114</v>
      </c>
      <c r="K1614" t="s">
        <v>115</v>
      </c>
      <c r="L1614">
        <v>5</v>
      </c>
      <c r="M1614" t="s">
        <v>5942</v>
      </c>
      <c r="N1614" t="s">
        <v>59</v>
      </c>
      <c r="O1614" t="s">
        <v>47</v>
      </c>
      <c r="P1614" t="s">
        <v>47</v>
      </c>
      <c r="Y1614" t="s">
        <v>5948</v>
      </c>
      <c r="AG1614" t="s">
        <v>48</v>
      </c>
    </row>
    <row r="1615" spans="1:33">
      <c r="A1615" t="s">
        <v>5949</v>
      </c>
      <c r="B1615" t="s">
        <v>5950</v>
      </c>
      <c r="D1615" t="s">
        <v>40</v>
      </c>
      <c r="E1615" t="s">
        <v>41</v>
      </c>
      <c r="J1615" t="s">
        <v>290</v>
      </c>
      <c r="K1615" t="s">
        <v>291</v>
      </c>
      <c r="L1615">
        <v>5</v>
      </c>
      <c r="M1615" t="s">
        <v>5942</v>
      </c>
      <c r="N1615" t="s">
        <v>59</v>
      </c>
      <c r="O1615" t="s">
        <v>47</v>
      </c>
      <c r="P1615" t="s">
        <v>47</v>
      </c>
      <c r="Y1615" t="s">
        <v>5951</v>
      </c>
      <c r="AG1615" t="s">
        <v>48</v>
      </c>
    </row>
    <row r="1616" spans="1:33">
      <c r="A1616" t="s">
        <v>5952</v>
      </c>
      <c r="B1616" t="s">
        <v>5953</v>
      </c>
      <c r="D1616" t="s">
        <v>40</v>
      </c>
      <c r="E1616" t="s">
        <v>41</v>
      </c>
      <c r="H1616" t="s">
        <v>5954</v>
      </c>
      <c r="J1616" t="s">
        <v>63</v>
      </c>
      <c r="K1616" t="s">
        <v>64</v>
      </c>
      <c r="L1616">
        <v>5</v>
      </c>
      <c r="M1616" t="s">
        <v>5955</v>
      </c>
      <c r="N1616" t="s">
        <v>59</v>
      </c>
      <c r="O1616" t="s">
        <v>47</v>
      </c>
      <c r="P1616" t="s">
        <v>47</v>
      </c>
      <c r="Y1616" t="s">
        <v>5954</v>
      </c>
      <c r="AG1616" t="s">
        <v>48</v>
      </c>
    </row>
    <row r="1617" spans="1:33">
      <c r="A1617" t="s">
        <v>5956</v>
      </c>
      <c r="B1617" t="s">
        <v>5957</v>
      </c>
      <c r="D1617" t="s">
        <v>40</v>
      </c>
      <c r="E1617" t="s">
        <v>41</v>
      </c>
      <c r="J1617" t="s">
        <v>129</v>
      </c>
      <c r="K1617" t="s">
        <v>130</v>
      </c>
      <c r="L1617">
        <v>6</v>
      </c>
      <c r="M1617" t="s">
        <v>5958</v>
      </c>
      <c r="N1617" t="s">
        <v>218</v>
      </c>
      <c r="O1617" t="s">
        <v>47</v>
      </c>
      <c r="P1617" t="s">
        <v>47</v>
      </c>
      <c r="Y1617" t="s">
        <v>5959</v>
      </c>
      <c r="AG1617" t="s">
        <v>48</v>
      </c>
    </row>
    <row r="1618" spans="1:33">
      <c r="A1618" t="s">
        <v>5960</v>
      </c>
      <c r="B1618" t="s">
        <v>5961</v>
      </c>
      <c r="D1618" t="s">
        <v>40</v>
      </c>
      <c r="E1618" t="s">
        <v>41</v>
      </c>
      <c r="J1618" t="s">
        <v>290</v>
      </c>
      <c r="K1618" t="s">
        <v>291</v>
      </c>
      <c r="L1618">
        <v>5</v>
      </c>
      <c r="M1618" t="s">
        <v>5962</v>
      </c>
      <c r="N1618" t="s">
        <v>59</v>
      </c>
      <c r="O1618" t="s">
        <v>47</v>
      </c>
      <c r="P1618" t="s">
        <v>47</v>
      </c>
      <c r="Y1618" t="s">
        <v>5963</v>
      </c>
      <c r="AG1618" t="s">
        <v>48</v>
      </c>
    </row>
    <row r="1619" spans="1:33">
      <c r="A1619" t="s">
        <v>5964</v>
      </c>
      <c r="B1619" t="s">
        <v>5965</v>
      </c>
      <c r="D1619" t="s">
        <v>40</v>
      </c>
      <c r="E1619" t="s">
        <v>41</v>
      </c>
      <c r="J1619" t="s">
        <v>290</v>
      </c>
      <c r="K1619" t="s">
        <v>291</v>
      </c>
      <c r="L1619">
        <v>5</v>
      </c>
      <c r="M1619" t="s">
        <v>5962</v>
      </c>
      <c r="N1619" t="s">
        <v>59</v>
      </c>
      <c r="O1619" t="s">
        <v>47</v>
      </c>
      <c r="P1619" t="s">
        <v>47</v>
      </c>
      <c r="Y1619" t="s">
        <v>5966</v>
      </c>
      <c r="AG1619" t="s">
        <v>48</v>
      </c>
    </row>
    <row r="1620" spans="1:33">
      <c r="A1620" t="s">
        <v>5967</v>
      </c>
      <c r="B1620" t="s">
        <v>5968</v>
      </c>
      <c r="D1620" t="s">
        <v>40</v>
      </c>
      <c r="E1620" t="s">
        <v>41</v>
      </c>
      <c r="H1620" t="s">
        <v>5969</v>
      </c>
      <c r="J1620" t="s">
        <v>69</v>
      </c>
      <c r="K1620" t="s">
        <v>70</v>
      </c>
      <c r="L1620">
        <v>5</v>
      </c>
      <c r="M1620" t="s">
        <v>5970</v>
      </c>
      <c r="N1620" t="s">
        <v>46</v>
      </c>
      <c r="O1620" t="s">
        <v>47</v>
      </c>
      <c r="P1620" t="s">
        <v>47</v>
      </c>
      <c r="Y1620" t="s">
        <v>5969</v>
      </c>
      <c r="AG1620" t="s">
        <v>48</v>
      </c>
    </row>
    <row r="1621" spans="1:33">
      <c r="A1621" t="s">
        <v>5971</v>
      </c>
      <c r="B1621" t="s">
        <v>5972</v>
      </c>
      <c r="D1621" t="s">
        <v>40</v>
      </c>
      <c r="E1621" t="s">
        <v>41</v>
      </c>
      <c r="J1621" t="s">
        <v>162</v>
      </c>
      <c r="K1621" t="s">
        <v>163</v>
      </c>
      <c r="L1621">
        <v>5</v>
      </c>
      <c r="M1621" t="s">
        <v>5973</v>
      </c>
      <c r="N1621" t="s">
        <v>59</v>
      </c>
      <c r="O1621" t="s">
        <v>47</v>
      </c>
      <c r="P1621" t="s">
        <v>47</v>
      </c>
      <c r="Y1621" t="s">
        <v>5974</v>
      </c>
      <c r="AG1621" t="s">
        <v>48</v>
      </c>
    </row>
    <row r="1622" spans="1:33">
      <c r="A1622" t="s">
        <v>5975</v>
      </c>
      <c r="B1622" t="s">
        <v>5976</v>
      </c>
      <c r="D1622" t="s">
        <v>40</v>
      </c>
      <c r="E1622" t="s">
        <v>41</v>
      </c>
      <c r="J1622" t="s">
        <v>270</v>
      </c>
      <c r="K1622" t="s">
        <v>271</v>
      </c>
      <c r="L1622">
        <v>5</v>
      </c>
      <c r="M1622" t="s">
        <v>5977</v>
      </c>
      <c r="N1622" t="s">
        <v>59</v>
      </c>
      <c r="O1622" t="s">
        <v>47</v>
      </c>
      <c r="P1622" t="s">
        <v>47</v>
      </c>
      <c r="Y1622" t="s">
        <v>5978</v>
      </c>
      <c r="AG1622" t="s">
        <v>48</v>
      </c>
    </row>
    <row r="1623" spans="1:33">
      <c r="A1623" t="s">
        <v>5979</v>
      </c>
      <c r="B1623" t="s">
        <v>5980</v>
      </c>
      <c r="D1623" t="s">
        <v>40</v>
      </c>
      <c r="E1623" t="s">
        <v>41</v>
      </c>
      <c r="J1623" t="s">
        <v>114</v>
      </c>
      <c r="K1623" t="s">
        <v>115</v>
      </c>
      <c r="L1623">
        <v>5</v>
      </c>
      <c r="M1623" t="s">
        <v>5981</v>
      </c>
      <c r="N1623" t="s">
        <v>59</v>
      </c>
      <c r="O1623" t="s">
        <v>47</v>
      </c>
      <c r="P1623" t="s">
        <v>47</v>
      </c>
      <c r="Y1623" t="s">
        <v>5982</v>
      </c>
      <c r="AG1623" t="s">
        <v>48</v>
      </c>
    </row>
    <row r="1624" spans="1:33">
      <c r="A1624" t="s">
        <v>5983</v>
      </c>
      <c r="B1624" t="s">
        <v>5984</v>
      </c>
      <c r="D1624" t="s">
        <v>40</v>
      </c>
      <c r="E1624" t="s">
        <v>41</v>
      </c>
      <c r="J1624" t="s">
        <v>129</v>
      </c>
      <c r="K1624" t="s">
        <v>130</v>
      </c>
      <c r="L1624">
        <v>5</v>
      </c>
      <c r="M1624" t="s">
        <v>5985</v>
      </c>
      <c r="N1624" t="s">
        <v>218</v>
      </c>
      <c r="O1624" t="s">
        <v>47</v>
      </c>
      <c r="P1624" t="s">
        <v>47</v>
      </c>
      <c r="Y1624" t="s">
        <v>5986</v>
      </c>
      <c r="AG1624" t="s">
        <v>48</v>
      </c>
    </row>
    <row r="1625" spans="1:33">
      <c r="A1625" t="s">
        <v>5987</v>
      </c>
      <c r="B1625" t="s">
        <v>5988</v>
      </c>
      <c r="D1625" t="s">
        <v>40</v>
      </c>
      <c r="E1625" t="s">
        <v>41</v>
      </c>
      <c r="J1625" t="s">
        <v>290</v>
      </c>
      <c r="K1625" t="s">
        <v>291</v>
      </c>
      <c r="L1625">
        <v>5</v>
      </c>
      <c r="M1625" t="s">
        <v>5985</v>
      </c>
      <c r="N1625" t="s">
        <v>59</v>
      </c>
      <c r="O1625" t="s">
        <v>47</v>
      </c>
      <c r="P1625" t="s">
        <v>47</v>
      </c>
      <c r="Y1625" t="s">
        <v>5989</v>
      </c>
      <c r="AG1625" t="s">
        <v>48</v>
      </c>
    </row>
    <row r="1626" spans="1:33">
      <c r="A1626" t="s">
        <v>5990</v>
      </c>
      <c r="B1626" t="s">
        <v>5991</v>
      </c>
      <c r="D1626" t="s">
        <v>40</v>
      </c>
      <c r="E1626" t="s">
        <v>41</v>
      </c>
      <c r="J1626" t="s">
        <v>290</v>
      </c>
      <c r="K1626" t="s">
        <v>291</v>
      </c>
      <c r="L1626">
        <v>5</v>
      </c>
      <c r="M1626" t="s">
        <v>5992</v>
      </c>
      <c r="N1626" t="s">
        <v>59</v>
      </c>
      <c r="O1626" t="s">
        <v>47</v>
      </c>
      <c r="P1626" t="s">
        <v>47</v>
      </c>
      <c r="Y1626" t="s">
        <v>5993</v>
      </c>
      <c r="AG1626" t="s">
        <v>48</v>
      </c>
    </row>
    <row r="1627" spans="1:33">
      <c r="A1627" t="s">
        <v>5994</v>
      </c>
      <c r="B1627" t="s">
        <v>5995</v>
      </c>
      <c r="D1627" t="s">
        <v>40</v>
      </c>
      <c r="E1627" t="s">
        <v>41</v>
      </c>
      <c r="J1627" t="s">
        <v>114</v>
      </c>
      <c r="K1627" t="s">
        <v>115</v>
      </c>
      <c r="L1627">
        <v>5</v>
      </c>
      <c r="M1627" t="s">
        <v>5992</v>
      </c>
      <c r="N1627" t="s">
        <v>59</v>
      </c>
      <c r="O1627" t="s">
        <v>47</v>
      </c>
      <c r="P1627" t="s">
        <v>47</v>
      </c>
      <c r="Y1627" t="s">
        <v>5996</v>
      </c>
      <c r="AG1627" t="s">
        <v>48</v>
      </c>
    </row>
    <row r="1628" spans="1:33">
      <c r="A1628" t="s">
        <v>5997</v>
      </c>
      <c r="B1628" t="s">
        <v>5998</v>
      </c>
      <c r="D1628" t="s">
        <v>40</v>
      </c>
      <c r="E1628" t="s">
        <v>41</v>
      </c>
      <c r="H1628" t="s">
        <v>5999</v>
      </c>
      <c r="J1628" t="s">
        <v>114</v>
      </c>
      <c r="K1628" t="s">
        <v>115</v>
      </c>
      <c r="L1628">
        <v>5</v>
      </c>
      <c r="M1628" t="s">
        <v>6000</v>
      </c>
      <c r="N1628" t="s">
        <v>59</v>
      </c>
      <c r="O1628" t="s">
        <v>47</v>
      </c>
      <c r="P1628" t="s">
        <v>47</v>
      </c>
      <c r="Y1628" t="s">
        <v>5999</v>
      </c>
      <c r="AG1628" t="s">
        <v>48</v>
      </c>
    </row>
    <row r="1629" spans="1:33">
      <c r="A1629" t="s">
        <v>6001</v>
      </c>
      <c r="B1629" t="s">
        <v>6002</v>
      </c>
      <c r="D1629" t="s">
        <v>40</v>
      </c>
      <c r="E1629" t="s">
        <v>41</v>
      </c>
      <c r="J1629" t="s">
        <v>270</v>
      </c>
      <c r="K1629" t="s">
        <v>271</v>
      </c>
      <c r="L1629">
        <v>5</v>
      </c>
      <c r="M1629" t="s">
        <v>6003</v>
      </c>
      <c r="N1629" t="s">
        <v>59</v>
      </c>
      <c r="O1629" t="s">
        <v>47</v>
      </c>
      <c r="P1629" t="s">
        <v>47</v>
      </c>
      <c r="Y1629" t="s">
        <v>6004</v>
      </c>
      <c r="AG1629" t="s">
        <v>48</v>
      </c>
    </row>
    <row r="1630" spans="1:33">
      <c r="A1630" t="s">
        <v>6005</v>
      </c>
      <c r="B1630" t="s">
        <v>6006</v>
      </c>
      <c r="D1630" t="s">
        <v>40</v>
      </c>
      <c r="E1630" t="s">
        <v>41</v>
      </c>
      <c r="J1630" t="s">
        <v>290</v>
      </c>
      <c r="K1630" t="s">
        <v>291</v>
      </c>
      <c r="L1630">
        <v>5</v>
      </c>
      <c r="M1630" t="s">
        <v>6003</v>
      </c>
      <c r="N1630" t="s">
        <v>59</v>
      </c>
      <c r="O1630" t="s">
        <v>47</v>
      </c>
      <c r="P1630" t="s">
        <v>47</v>
      </c>
      <c r="Y1630" t="s">
        <v>6007</v>
      </c>
      <c r="AG1630" t="s">
        <v>48</v>
      </c>
    </row>
    <row r="1631" spans="1:33">
      <c r="A1631" t="s">
        <v>6008</v>
      </c>
      <c r="B1631" t="s">
        <v>6009</v>
      </c>
      <c r="D1631" t="s">
        <v>40</v>
      </c>
      <c r="E1631" t="s">
        <v>41</v>
      </c>
      <c r="J1631" t="s">
        <v>270</v>
      </c>
      <c r="K1631" t="s">
        <v>271</v>
      </c>
      <c r="L1631">
        <v>5</v>
      </c>
      <c r="M1631" t="s">
        <v>6010</v>
      </c>
      <c r="N1631" t="s">
        <v>59</v>
      </c>
      <c r="O1631" t="s">
        <v>47</v>
      </c>
      <c r="P1631" t="s">
        <v>47</v>
      </c>
      <c r="Y1631" t="s">
        <v>6011</v>
      </c>
      <c r="AG1631" t="s">
        <v>48</v>
      </c>
    </row>
    <row r="1632" spans="1:33">
      <c r="A1632" t="s">
        <v>6012</v>
      </c>
      <c r="B1632" t="s">
        <v>6013</v>
      </c>
      <c r="D1632" t="s">
        <v>40</v>
      </c>
      <c r="E1632" t="s">
        <v>41</v>
      </c>
      <c r="J1632" t="s">
        <v>290</v>
      </c>
      <c r="K1632" t="s">
        <v>291</v>
      </c>
      <c r="L1632">
        <v>5</v>
      </c>
      <c r="M1632" t="s">
        <v>6010</v>
      </c>
      <c r="N1632" t="s">
        <v>59</v>
      </c>
      <c r="O1632" t="s">
        <v>47</v>
      </c>
      <c r="P1632" t="s">
        <v>47</v>
      </c>
      <c r="Y1632" t="s">
        <v>6014</v>
      </c>
      <c r="AG1632" t="s">
        <v>48</v>
      </c>
    </row>
    <row r="1633" spans="1:33">
      <c r="A1633" t="s">
        <v>6015</v>
      </c>
      <c r="B1633" t="s">
        <v>6016</v>
      </c>
      <c r="D1633" t="s">
        <v>40</v>
      </c>
      <c r="E1633" t="s">
        <v>41</v>
      </c>
      <c r="J1633" t="s">
        <v>270</v>
      </c>
      <c r="K1633" t="s">
        <v>271</v>
      </c>
      <c r="L1633">
        <v>5</v>
      </c>
      <c r="M1633" t="s">
        <v>6017</v>
      </c>
      <c r="N1633" t="s">
        <v>59</v>
      </c>
      <c r="O1633" t="s">
        <v>47</v>
      </c>
      <c r="P1633" t="s">
        <v>47</v>
      </c>
      <c r="Y1633" t="s">
        <v>6018</v>
      </c>
      <c r="AG1633" t="s">
        <v>48</v>
      </c>
    </row>
    <row r="1634" spans="1:33">
      <c r="A1634" t="s">
        <v>6019</v>
      </c>
      <c r="B1634" t="s">
        <v>6020</v>
      </c>
      <c r="D1634" t="s">
        <v>40</v>
      </c>
      <c r="E1634" t="s">
        <v>41</v>
      </c>
      <c r="J1634" t="s">
        <v>162</v>
      </c>
      <c r="K1634" t="s">
        <v>163</v>
      </c>
      <c r="L1634">
        <v>5</v>
      </c>
      <c r="M1634" t="s">
        <v>6021</v>
      </c>
      <c r="N1634" t="s">
        <v>59</v>
      </c>
      <c r="O1634" t="s">
        <v>47</v>
      </c>
      <c r="P1634" t="s">
        <v>47</v>
      </c>
      <c r="Y1634" t="s">
        <v>6022</v>
      </c>
      <c r="AG1634" t="s">
        <v>48</v>
      </c>
    </row>
    <row r="1635" spans="1:33">
      <c r="A1635" t="s">
        <v>6023</v>
      </c>
      <c r="B1635" t="s">
        <v>6024</v>
      </c>
      <c r="D1635" t="s">
        <v>40</v>
      </c>
      <c r="E1635" t="s">
        <v>41</v>
      </c>
      <c r="J1635" t="s">
        <v>6025</v>
      </c>
      <c r="K1635" t="s">
        <v>6026</v>
      </c>
      <c r="L1635">
        <v>6</v>
      </c>
      <c r="M1635" t="s">
        <v>6027</v>
      </c>
      <c r="N1635" t="s">
        <v>192</v>
      </c>
      <c r="O1635" t="s">
        <v>47</v>
      </c>
      <c r="P1635" t="s">
        <v>47</v>
      </c>
      <c r="Y1635" t="s">
        <v>6028</v>
      </c>
      <c r="AG1635" t="s">
        <v>48</v>
      </c>
    </row>
    <row r="1636" spans="1:33">
      <c r="A1636" t="s">
        <v>6029</v>
      </c>
      <c r="B1636" t="s">
        <v>6030</v>
      </c>
      <c r="D1636" t="s">
        <v>40</v>
      </c>
      <c r="E1636" t="s">
        <v>41</v>
      </c>
      <c r="J1636" t="s">
        <v>290</v>
      </c>
      <c r="K1636" t="s">
        <v>291</v>
      </c>
      <c r="L1636">
        <v>5</v>
      </c>
      <c r="M1636" t="s">
        <v>6031</v>
      </c>
      <c r="N1636" t="s">
        <v>59</v>
      </c>
      <c r="O1636" t="s">
        <v>47</v>
      </c>
      <c r="P1636" t="s">
        <v>47</v>
      </c>
      <c r="Y1636" t="s">
        <v>6032</v>
      </c>
      <c r="AG1636" t="s">
        <v>48</v>
      </c>
    </row>
    <row r="1637" spans="1:33">
      <c r="A1637" t="s">
        <v>6033</v>
      </c>
      <c r="B1637" t="s">
        <v>6034</v>
      </c>
      <c r="D1637" t="s">
        <v>40</v>
      </c>
      <c r="E1637" t="s">
        <v>41</v>
      </c>
      <c r="J1637" t="s">
        <v>69</v>
      </c>
      <c r="K1637" t="s">
        <v>70</v>
      </c>
      <c r="L1637">
        <v>5</v>
      </c>
      <c r="M1637" t="s">
        <v>6031</v>
      </c>
      <c r="N1637" t="s">
        <v>46</v>
      </c>
      <c r="O1637" t="s">
        <v>47</v>
      </c>
      <c r="P1637" t="s">
        <v>47</v>
      </c>
      <c r="Y1637" t="s">
        <v>6035</v>
      </c>
      <c r="AG1637" t="s">
        <v>48</v>
      </c>
    </row>
    <row r="1638" spans="1:33">
      <c r="A1638" t="s">
        <v>6036</v>
      </c>
      <c r="B1638" t="s">
        <v>6037</v>
      </c>
      <c r="D1638" t="s">
        <v>40</v>
      </c>
      <c r="E1638" t="s">
        <v>41</v>
      </c>
      <c r="J1638" t="s">
        <v>290</v>
      </c>
      <c r="K1638" t="s">
        <v>291</v>
      </c>
      <c r="L1638">
        <v>5</v>
      </c>
      <c r="M1638" t="s">
        <v>6038</v>
      </c>
      <c r="N1638" t="s">
        <v>59</v>
      </c>
      <c r="O1638" t="s">
        <v>47</v>
      </c>
      <c r="P1638" t="s">
        <v>47</v>
      </c>
      <c r="Y1638" t="s">
        <v>6039</v>
      </c>
      <c r="AG1638" t="s">
        <v>48</v>
      </c>
    </row>
    <row r="1639" spans="1:33">
      <c r="A1639" t="s">
        <v>6040</v>
      </c>
      <c r="B1639" t="s">
        <v>6041</v>
      </c>
      <c r="D1639" t="s">
        <v>40</v>
      </c>
      <c r="E1639" t="s">
        <v>41</v>
      </c>
      <c r="J1639" t="s">
        <v>290</v>
      </c>
      <c r="K1639" t="s">
        <v>291</v>
      </c>
      <c r="L1639">
        <v>5</v>
      </c>
      <c r="M1639" t="s">
        <v>6038</v>
      </c>
      <c r="N1639" t="s">
        <v>59</v>
      </c>
      <c r="O1639" t="s">
        <v>47</v>
      </c>
      <c r="P1639" t="s">
        <v>47</v>
      </c>
      <c r="Y1639" t="s">
        <v>6042</v>
      </c>
      <c r="AG1639" t="s">
        <v>48</v>
      </c>
    </row>
    <row r="1640" spans="1:33">
      <c r="A1640" t="s">
        <v>6043</v>
      </c>
      <c r="B1640" t="s">
        <v>6044</v>
      </c>
      <c r="D1640" t="s">
        <v>40</v>
      </c>
      <c r="E1640" t="s">
        <v>41</v>
      </c>
      <c r="J1640" t="s">
        <v>290</v>
      </c>
      <c r="K1640" t="s">
        <v>291</v>
      </c>
      <c r="L1640">
        <v>5</v>
      </c>
      <c r="M1640" t="s">
        <v>6045</v>
      </c>
      <c r="N1640" t="s">
        <v>59</v>
      </c>
      <c r="O1640" t="s">
        <v>47</v>
      </c>
      <c r="P1640" t="s">
        <v>47</v>
      </c>
      <c r="Y1640" t="s">
        <v>6046</v>
      </c>
      <c r="AG1640" t="s">
        <v>48</v>
      </c>
    </row>
    <row r="1641" spans="1:33">
      <c r="A1641" t="s">
        <v>6047</v>
      </c>
      <c r="B1641" t="s">
        <v>6048</v>
      </c>
      <c r="D1641" t="s">
        <v>40</v>
      </c>
      <c r="E1641" t="s">
        <v>41</v>
      </c>
      <c r="J1641" t="s">
        <v>290</v>
      </c>
      <c r="K1641" t="s">
        <v>291</v>
      </c>
      <c r="L1641">
        <v>5</v>
      </c>
      <c r="M1641" t="s">
        <v>6049</v>
      </c>
      <c r="N1641" t="s">
        <v>59</v>
      </c>
      <c r="O1641" t="s">
        <v>47</v>
      </c>
      <c r="P1641" t="s">
        <v>47</v>
      </c>
      <c r="Y1641" t="s">
        <v>6050</v>
      </c>
      <c r="AG1641" t="s">
        <v>48</v>
      </c>
    </row>
    <row r="1642" spans="1:33">
      <c r="A1642" t="s">
        <v>6051</v>
      </c>
      <c r="B1642" t="s">
        <v>6052</v>
      </c>
      <c r="D1642" t="s">
        <v>40</v>
      </c>
      <c r="E1642" t="s">
        <v>41</v>
      </c>
      <c r="J1642" t="s">
        <v>270</v>
      </c>
      <c r="K1642" t="s">
        <v>271</v>
      </c>
      <c r="L1642">
        <v>5</v>
      </c>
      <c r="M1642" t="s">
        <v>6053</v>
      </c>
      <c r="N1642" t="s">
        <v>59</v>
      </c>
      <c r="O1642" t="s">
        <v>47</v>
      </c>
      <c r="P1642" t="s">
        <v>47</v>
      </c>
      <c r="Y1642" t="s">
        <v>6054</v>
      </c>
      <c r="AG1642" t="s">
        <v>48</v>
      </c>
    </row>
    <row r="1643" spans="1:33">
      <c r="A1643" t="s">
        <v>6055</v>
      </c>
      <c r="B1643" t="s">
        <v>6056</v>
      </c>
      <c r="D1643" t="s">
        <v>40</v>
      </c>
      <c r="E1643" t="s">
        <v>41</v>
      </c>
      <c r="J1643" t="s">
        <v>129</v>
      </c>
      <c r="K1643" t="s">
        <v>130</v>
      </c>
      <c r="L1643">
        <v>5</v>
      </c>
      <c r="M1643" t="s">
        <v>6053</v>
      </c>
      <c r="N1643" t="s">
        <v>192</v>
      </c>
      <c r="O1643" t="s">
        <v>47</v>
      </c>
      <c r="P1643" t="s">
        <v>47</v>
      </c>
      <c r="Y1643" t="s">
        <v>6057</v>
      </c>
      <c r="AG1643" t="s">
        <v>48</v>
      </c>
    </row>
    <row r="1644" spans="1:33">
      <c r="A1644" t="s">
        <v>6058</v>
      </c>
      <c r="B1644" t="s">
        <v>6059</v>
      </c>
      <c r="D1644" t="s">
        <v>40</v>
      </c>
      <c r="E1644" t="s">
        <v>41</v>
      </c>
      <c r="J1644" t="s">
        <v>290</v>
      </c>
      <c r="K1644" t="s">
        <v>291</v>
      </c>
      <c r="L1644">
        <v>5</v>
      </c>
      <c r="M1644" t="s">
        <v>6053</v>
      </c>
      <c r="N1644" t="s">
        <v>59</v>
      </c>
      <c r="O1644" t="s">
        <v>47</v>
      </c>
      <c r="P1644" t="s">
        <v>47</v>
      </c>
      <c r="Y1644" t="s">
        <v>6060</v>
      </c>
      <c r="AG1644" t="s">
        <v>48</v>
      </c>
    </row>
    <row r="1645" spans="1:33">
      <c r="A1645" t="s">
        <v>6061</v>
      </c>
      <c r="B1645" t="s">
        <v>6062</v>
      </c>
      <c r="D1645" t="s">
        <v>40</v>
      </c>
      <c r="E1645" t="s">
        <v>41</v>
      </c>
      <c r="H1645" t="s">
        <v>6063</v>
      </c>
      <c r="J1645" t="s">
        <v>129</v>
      </c>
      <c r="K1645" t="s">
        <v>130</v>
      </c>
      <c r="L1645">
        <v>5</v>
      </c>
      <c r="M1645" t="s">
        <v>6064</v>
      </c>
      <c r="N1645" t="s">
        <v>192</v>
      </c>
      <c r="O1645" t="s">
        <v>47</v>
      </c>
      <c r="P1645" t="s">
        <v>47</v>
      </c>
      <c r="Y1645" t="s">
        <v>6063</v>
      </c>
      <c r="AG1645" t="s">
        <v>48</v>
      </c>
    </row>
    <row r="1646" spans="1:33">
      <c r="A1646" t="s">
        <v>6065</v>
      </c>
      <c r="B1646" t="s">
        <v>6066</v>
      </c>
      <c r="D1646" t="s">
        <v>40</v>
      </c>
      <c r="E1646" t="s">
        <v>41</v>
      </c>
      <c r="H1646" t="s">
        <v>6067</v>
      </c>
      <c r="J1646" t="s">
        <v>63</v>
      </c>
      <c r="K1646" t="s">
        <v>64</v>
      </c>
      <c r="L1646">
        <v>5</v>
      </c>
      <c r="M1646" t="s">
        <v>6068</v>
      </c>
      <c r="N1646" t="s">
        <v>59</v>
      </c>
      <c r="O1646" t="s">
        <v>47</v>
      </c>
      <c r="P1646" t="s">
        <v>47</v>
      </c>
      <c r="Y1646" t="s">
        <v>6067</v>
      </c>
      <c r="AG1646" t="s">
        <v>48</v>
      </c>
    </row>
    <row r="1647" spans="1:33">
      <c r="A1647" t="s">
        <v>6069</v>
      </c>
      <c r="B1647" t="s">
        <v>6070</v>
      </c>
      <c r="D1647" t="s">
        <v>40</v>
      </c>
      <c r="E1647" t="s">
        <v>41</v>
      </c>
      <c r="J1647" t="s">
        <v>123</v>
      </c>
      <c r="K1647" t="s">
        <v>124</v>
      </c>
      <c r="L1647">
        <v>5</v>
      </c>
      <c r="M1647" t="s">
        <v>6071</v>
      </c>
      <c r="N1647" t="s">
        <v>46</v>
      </c>
      <c r="O1647" t="s">
        <v>47</v>
      </c>
      <c r="P1647" t="s">
        <v>47</v>
      </c>
      <c r="Y1647" t="s">
        <v>6072</v>
      </c>
      <c r="AG1647" t="s">
        <v>48</v>
      </c>
    </row>
    <row r="1648" spans="1:33">
      <c r="A1648" t="s">
        <v>6073</v>
      </c>
      <c r="B1648" t="s">
        <v>6074</v>
      </c>
      <c r="D1648" t="s">
        <v>40</v>
      </c>
      <c r="E1648" t="s">
        <v>41</v>
      </c>
      <c r="J1648" t="s">
        <v>290</v>
      </c>
      <c r="K1648" t="s">
        <v>291</v>
      </c>
      <c r="L1648">
        <v>5</v>
      </c>
      <c r="M1648" t="s">
        <v>6075</v>
      </c>
      <c r="N1648" t="s">
        <v>59</v>
      </c>
      <c r="O1648" t="s">
        <v>47</v>
      </c>
      <c r="P1648" t="s">
        <v>47</v>
      </c>
      <c r="Y1648" t="s">
        <v>6076</v>
      </c>
      <c r="AG1648" t="s">
        <v>48</v>
      </c>
    </row>
    <row r="1649" spans="1:33">
      <c r="A1649" t="s">
        <v>6077</v>
      </c>
      <c r="B1649" t="s">
        <v>6078</v>
      </c>
      <c r="D1649" t="s">
        <v>40</v>
      </c>
      <c r="E1649" t="s">
        <v>41</v>
      </c>
      <c r="J1649" t="s">
        <v>162</v>
      </c>
      <c r="K1649" t="s">
        <v>163</v>
      </c>
      <c r="L1649">
        <v>5</v>
      </c>
      <c r="M1649" t="s">
        <v>6075</v>
      </c>
      <c r="N1649" t="s">
        <v>59</v>
      </c>
      <c r="O1649" t="s">
        <v>47</v>
      </c>
      <c r="P1649" t="s">
        <v>47</v>
      </c>
      <c r="Y1649" t="s">
        <v>6079</v>
      </c>
      <c r="AG1649" t="s">
        <v>48</v>
      </c>
    </row>
    <row r="1650" spans="1:33">
      <c r="A1650" t="s">
        <v>6080</v>
      </c>
      <c r="B1650" t="s">
        <v>6081</v>
      </c>
      <c r="D1650" t="s">
        <v>40</v>
      </c>
      <c r="E1650" t="s">
        <v>41</v>
      </c>
      <c r="J1650" t="s">
        <v>270</v>
      </c>
      <c r="K1650" t="s">
        <v>271</v>
      </c>
      <c r="L1650">
        <v>5</v>
      </c>
      <c r="M1650" t="s">
        <v>6082</v>
      </c>
      <c r="N1650" t="s">
        <v>59</v>
      </c>
      <c r="O1650" t="s">
        <v>47</v>
      </c>
      <c r="P1650" t="s">
        <v>47</v>
      </c>
      <c r="Y1650" t="s">
        <v>6083</v>
      </c>
      <c r="AG1650" t="s">
        <v>48</v>
      </c>
    </row>
    <row r="1651" spans="1:33">
      <c r="A1651" t="s">
        <v>6084</v>
      </c>
      <c r="B1651" t="s">
        <v>6085</v>
      </c>
      <c r="D1651" t="s">
        <v>40</v>
      </c>
      <c r="E1651" t="s">
        <v>41</v>
      </c>
      <c r="J1651" t="s">
        <v>129</v>
      </c>
      <c r="K1651" t="s">
        <v>130</v>
      </c>
      <c r="L1651">
        <v>5</v>
      </c>
      <c r="M1651" t="s">
        <v>6086</v>
      </c>
      <c r="N1651" t="s">
        <v>46</v>
      </c>
      <c r="O1651" t="s">
        <v>47</v>
      </c>
      <c r="P1651" t="s">
        <v>47</v>
      </c>
      <c r="Y1651" t="s">
        <v>6087</v>
      </c>
      <c r="AG1651" t="s">
        <v>48</v>
      </c>
    </row>
    <row r="1652" spans="1:33">
      <c r="A1652" t="s">
        <v>6088</v>
      </c>
      <c r="B1652" t="s">
        <v>6089</v>
      </c>
      <c r="D1652" t="s">
        <v>40</v>
      </c>
      <c r="E1652" t="s">
        <v>41</v>
      </c>
      <c r="J1652" t="s">
        <v>162</v>
      </c>
      <c r="K1652" t="s">
        <v>163</v>
      </c>
      <c r="L1652">
        <v>5</v>
      </c>
      <c r="M1652" t="s">
        <v>6090</v>
      </c>
      <c r="N1652" t="s">
        <v>59</v>
      </c>
      <c r="O1652" t="s">
        <v>47</v>
      </c>
      <c r="P1652" t="s">
        <v>47</v>
      </c>
      <c r="Y1652" t="s">
        <v>6091</v>
      </c>
      <c r="AG1652" t="s">
        <v>48</v>
      </c>
    </row>
    <row r="1653" spans="1:33">
      <c r="A1653" t="s">
        <v>6092</v>
      </c>
      <c r="B1653" t="s">
        <v>6093</v>
      </c>
      <c r="D1653" t="s">
        <v>40</v>
      </c>
      <c r="E1653" t="s">
        <v>41</v>
      </c>
      <c r="J1653" t="s">
        <v>270</v>
      </c>
      <c r="K1653" t="s">
        <v>271</v>
      </c>
      <c r="L1653">
        <v>5</v>
      </c>
      <c r="M1653" t="s">
        <v>6090</v>
      </c>
      <c r="N1653" t="s">
        <v>59</v>
      </c>
      <c r="O1653" t="s">
        <v>47</v>
      </c>
      <c r="P1653" t="s">
        <v>47</v>
      </c>
      <c r="Y1653" t="s">
        <v>6094</v>
      </c>
      <c r="AG1653" t="s">
        <v>48</v>
      </c>
    </row>
    <row r="1654" spans="1:33">
      <c r="A1654" t="s">
        <v>6095</v>
      </c>
      <c r="B1654" t="s">
        <v>6096</v>
      </c>
      <c r="D1654" t="s">
        <v>40</v>
      </c>
      <c r="E1654" t="s">
        <v>41</v>
      </c>
      <c r="H1654" t="s">
        <v>6097</v>
      </c>
      <c r="J1654" t="s">
        <v>270</v>
      </c>
      <c r="K1654" t="s">
        <v>271</v>
      </c>
      <c r="L1654">
        <v>5</v>
      </c>
      <c r="M1654" t="s">
        <v>6090</v>
      </c>
      <c r="N1654" t="s">
        <v>59</v>
      </c>
      <c r="O1654" t="s">
        <v>47</v>
      </c>
      <c r="P1654" t="s">
        <v>47</v>
      </c>
      <c r="Y1654" t="s">
        <v>6097</v>
      </c>
      <c r="AG1654" t="s">
        <v>48</v>
      </c>
    </row>
    <row r="1655" spans="1:33">
      <c r="A1655" t="s">
        <v>6098</v>
      </c>
      <c r="B1655" t="s">
        <v>6099</v>
      </c>
      <c r="D1655" t="s">
        <v>40</v>
      </c>
      <c r="E1655" t="s">
        <v>41</v>
      </c>
      <c r="H1655" t="s">
        <v>6100</v>
      </c>
      <c r="J1655" t="s">
        <v>63</v>
      </c>
      <c r="K1655" t="s">
        <v>64</v>
      </c>
      <c r="L1655">
        <v>5</v>
      </c>
      <c r="M1655" t="s">
        <v>6101</v>
      </c>
      <c r="N1655" t="s">
        <v>59</v>
      </c>
      <c r="O1655" t="s">
        <v>47</v>
      </c>
      <c r="P1655" t="s">
        <v>47</v>
      </c>
      <c r="Y1655" t="s">
        <v>6100</v>
      </c>
      <c r="AG1655" t="s">
        <v>48</v>
      </c>
    </row>
    <row r="1656" spans="1:33">
      <c r="A1656" t="s">
        <v>6102</v>
      </c>
      <c r="B1656" t="s">
        <v>6103</v>
      </c>
      <c r="D1656" t="s">
        <v>40</v>
      </c>
      <c r="E1656" t="s">
        <v>41</v>
      </c>
      <c r="J1656" t="s">
        <v>290</v>
      </c>
      <c r="K1656" t="s">
        <v>291</v>
      </c>
      <c r="L1656">
        <v>5</v>
      </c>
      <c r="M1656" t="s">
        <v>6104</v>
      </c>
      <c r="N1656" t="s">
        <v>59</v>
      </c>
      <c r="O1656" t="s">
        <v>47</v>
      </c>
      <c r="P1656" t="s">
        <v>47</v>
      </c>
      <c r="Y1656" t="s">
        <v>6105</v>
      </c>
      <c r="AG1656" t="s">
        <v>48</v>
      </c>
    </row>
    <row r="1657" spans="1:33">
      <c r="A1657" t="s">
        <v>6106</v>
      </c>
      <c r="B1657" t="s">
        <v>6107</v>
      </c>
      <c r="D1657" t="s">
        <v>40</v>
      </c>
      <c r="E1657" t="s">
        <v>41</v>
      </c>
      <c r="J1657" t="s">
        <v>270</v>
      </c>
      <c r="K1657" t="s">
        <v>271</v>
      </c>
      <c r="L1657">
        <v>5</v>
      </c>
      <c r="M1657" t="s">
        <v>6104</v>
      </c>
      <c r="N1657" t="s">
        <v>59</v>
      </c>
      <c r="O1657" t="s">
        <v>47</v>
      </c>
      <c r="P1657" t="s">
        <v>47</v>
      </c>
      <c r="Y1657" t="s">
        <v>6108</v>
      </c>
      <c r="AG1657" t="s">
        <v>48</v>
      </c>
    </row>
    <row r="1658" spans="1:33">
      <c r="A1658" t="s">
        <v>6109</v>
      </c>
      <c r="B1658" t="s">
        <v>6110</v>
      </c>
      <c r="D1658" t="s">
        <v>40</v>
      </c>
      <c r="E1658" t="s">
        <v>41</v>
      </c>
      <c r="J1658" t="s">
        <v>108</v>
      </c>
      <c r="K1658" t="s">
        <v>109</v>
      </c>
      <c r="L1658">
        <v>5</v>
      </c>
      <c r="M1658" t="s">
        <v>6111</v>
      </c>
      <c r="N1658" t="s">
        <v>59</v>
      </c>
      <c r="O1658" t="s">
        <v>47</v>
      </c>
      <c r="P1658" t="s">
        <v>47</v>
      </c>
      <c r="Y1658" t="s">
        <v>6112</v>
      </c>
      <c r="AG1658" t="s">
        <v>48</v>
      </c>
    </row>
    <row r="1659" spans="1:33">
      <c r="A1659" t="s">
        <v>6113</v>
      </c>
      <c r="B1659" t="s">
        <v>6114</v>
      </c>
      <c r="D1659" t="s">
        <v>40</v>
      </c>
      <c r="E1659" t="s">
        <v>41</v>
      </c>
      <c r="J1659" t="s">
        <v>162</v>
      </c>
      <c r="K1659" t="s">
        <v>163</v>
      </c>
      <c r="L1659">
        <v>5</v>
      </c>
      <c r="M1659" t="s">
        <v>6115</v>
      </c>
      <c r="N1659" t="s">
        <v>59</v>
      </c>
      <c r="O1659" t="s">
        <v>47</v>
      </c>
      <c r="P1659" t="s">
        <v>47</v>
      </c>
      <c r="Y1659" t="s">
        <v>6116</v>
      </c>
      <c r="AG1659" t="s">
        <v>48</v>
      </c>
    </row>
    <row r="1660" spans="1:33">
      <c r="A1660" t="s">
        <v>6117</v>
      </c>
      <c r="B1660" t="s">
        <v>6118</v>
      </c>
      <c r="D1660" t="s">
        <v>40</v>
      </c>
      <c r="E1660" t="s">
        <v>41</v>
      </c>
      <c r="J1660" t="s">
        <v>270</v>
      </c>
      <c r="K1660" t="s">
        <v>271</v>
      </c>
      <c r="L1660">
        <v>5</v>
      </c>
      <c r="M1660" t="s">
        <v>6115</v>
      </c>
      <c r="N1660" t="s">
        <v>59</v>
      </c>
      <c r="O1660" t="s">
        <v>47</v>
      </c>
      <c r="P1660" t="s">
        <v>47</v>
      </c>
      <c r="Y1660" t="s">
        <v>6119</v>
      </c>
      <c r="AG1660" t="s">
        <v>48</v>
      </c>
    </row>
    <row r="1661" spans="1:33">
      <c r="A1661" t="s">
        <v>6120</v>
      </c>
      <c r="B1661" t="s">
        <v>6121</v>
      </c>
      <c r="D1661" t="s">
        <v>40</v>
      </c>
      <c r="E1661" t="s">
        <v>41</v>
      </c>
      <c r="J1661" t="s">
        <v>270</v>
      </c>
      <c r="K1661" t="s">
        <v>271</v>
      </c>
      <c r="L1661">
        <v>5</v>
      </c>
      <c r="M1661" t="s">
        <v>6115</v>
      </c>
      <c r="N1661" t="s">
        <v>59</v>
      </c>
      <c r="O1661" t="s">
        <v>47</v>
      </c>
      <c r="P1661" t="s">
        <v>47</v>
      </c>
      <c r="Y1661" t="s">
        <v>6122</v>
      </c>
      <c r="AG1661" t="s">
        <v>48</v>
      </c>
    </row>
    <row r="1662" spans="1:33">
      <c r="A1662" t="s">
        <v>6123</v>
      </c>
      <c r="B1662" t="s">
        <v>6124</v>
      </c>
      <c r="D1662" t="s">
        <v>40</v>
      </c>
      <c r="E1662" t="s">
        <v>41</v>
      </c>
      <c r="J1662" t="s">
        <v>123</v>
      </c>
      <c r="K1662" t="s">
        <v>124</v>
      </c>
      <c r="L1662">
        <v>5</v>
      </c>
      <c r="M1662" t="s">
        <v>6115</v>
      </c>
      <c r="N1662" t="s">
        <v>218</v>
      </c>
      <c r="O1662" t="s">
        <v>47</v>
      </c>
      <c r="P1662" t="s">
        <v>47</v>
      </c>
      <c r="Y1662" t="s">
        <v>6125</v>
      </c>
      <c r="AG1662" t="s">
        <v>48</v>
      </c>
    </row>
    <row r="1663" spans="1:33">
      <c r="A1663" t="s">
        <v>6126</v>
      </c>
      <c r="B1663" t="s">
        <v>6127</v>
      </c>
      <c r="D1663" t="s">
        <v>40</v>
      </c>
      <c r="E1663" t="s">
        <v>41</v>
      </c>
      <c r="J1663" t="s">
        <v>290</v>
      </c>
      <c r="K1663" t="s">
        <v>291</v>
      </c>
      <c r="L1663">
        <v>5</v>
      </c>
      <c r="M1663" t="s">
        <v>6128</v>
      </c>
      <c r="N1663" t="s">
        <v>59</v>
      </c>
      <c r="O1663" t="s">
        <v>47</v>
      </c>
      <c r="P1663" t="s">
        <v>47</v>
      </c>
      <c r="Y1663" t="s">
        <v>6129</v>
      </c>
      <c r="AG1663" t="s">
        <v>48</v>
      </c>
    </row>
    <row r="1664" spans="1:33">
      <c r="A1664" t="s">
        <v>6130</v>
      </c>
      <c r="B1664" t="s">
        <v>6131</v>
      </c>
      <c r="D1664" t="s">
        <v>40</v>
      </c>
      <c r="E1664" t="s">
        <v>41</v>
      </c>
      <c r="J1664" t="s">
        <v>270</v>
      </c>
      <c r="K1664" t="s">
        <v>271</v>
      </c>
      <c r="L1664">
        <v>5</v>
      </c>
      <c r="M1664" t="s">
        <v>6132</v>
      </c>
      <c r="N1664" t="s">
        <v>59</v>
      </c>
      <c r="O1664" t="s">
        <v>47</v>
      </c>
      <c r="P1664" t="s">
        <v>47</v>
      </c>
      <c r="Y1664" t="s">
        <v>6133</v>
      </c>
      <c r="AG1664" t="s">
        <v>48</v>
      </c>
    </row>
    <row r="1665" spans="1:33">
      <c r="A1665" t="s">
        <v>6134</v>
      </c>
      <c r="B1665" t="s">
        <v>6135</v>
      </c>
      <c r="D1665" t="s">
        <v>40</v>
      </c>
      <c r="E1665" t="s">
        <v>41</v>
      </c>
      <c r="H1665" t="s">
        <v>6136</v>
      </c>
      <c r="J1665" t="s">
        <v>63</v>
      </c>
      <c r="K1665" t="s">
        <v>64</v>
      </c>
      <c r="L1665">
        <v>5</v>
      </c>
      <c r="M1665" t="s">
        <v>6132</v>
      </c>
      <c r="N1665" t="s">
        <v>59</v>
      </c>
      <c r="O1665" t="s">
        <v>47</v>
      </c>
      <c r="P1665" t="s">
        <v>47</v>
      </c>
      <c r="Y1665" t="s">
        <v>6136</v>
      </c>
      <c r="AG1665" t="s">
        <v>48</v>
      </c>
    </row>
    <row r="1666" spans="1:33">
      <c r="A1666" t="s">
        <v>6137</v>
      </c>
      <c r="B1666" t="s">
        <v>6138</v>
      </c>
      <c r="D1666" t="s">
        <v>40</v>
      </c>
      <c r="E1666" t="s">
        <v>41</v>
      </c>
      <c r="J1666" t="s">
        <v>270</v>
      </c>
      <c r="K1666" t="s">
        <v>271</v>
      </c>
      <c r="L1666">
        <v>5</v>
      </c>
      <c r="M1666" t="s">
        <v>6139</v>
      </c>
      <c r="N1666" t="s">
        <v>59</v>
      </c>
      <c r="O1666" t="s">
        <v>47</v>
      </c>
      <c r="P1666" t="s">
        <v>47</v>
      </c>
      <c r="Y1666" t="s">
        <v>6140</v>
      </c>
      <c r="AG1666" t="s">
        <v>48</v>
      </c>
    </row>
    <row r="1667" spans="1:33">
      <c r="A1667" t="s">
        <v>6141</v>
      </c>
      <c r="B1667" t="s">
        <v>6142</v>
      </c>
      <c r="D1667" t="s">
        <v>40</v>
      </c>
      <c r="E1667" t="s">
        <v>41</v>
      </c>
      <c r="H1667" t="s">
        <v>6143</v>
      </c>
      <c r="J1667" t="s">
        <v>123</v>
      </c>
      <c r="K1667" t="s">
        <v>124</v>
      </c>
      <c r="L1667">
        <v>5</v>
      </c>
      <c r="M1667" t="s">
        <v>6139</v>
      </c>
      <c r="N1667" t="s">
        <v>218</v>
      </c>
      <c r="O1667" t="s">
        <v>47</v>
      </c>
      <c r="P1667" t="s">
        <v>47</v>
      </c>
      <c r="Y1667" t="s">
        <v>6143</v>
      </c>
      <c r="AG1667" t="s">
        <v>48</v>
      </c>
    </row>
    <row r="1668" spans="1:33">
      <c r="A1668" t="s">
        <v>6144</v>
      </c>
      <c r="B1668" t="s">
        <v>6145</v>
      </c>
      <c r="D1668" t="s">
        <v>40</v>
      </c>
      <c r="E1668" t="s">
        <v>41</v>
      </c>
      <c r="J1668" t="s">
        <v>108</v>
      </c>
      <c r="K1668" t="s">
        <v>109</v>
      </c>
      <c r="L1668">
        <v>5</v>
      </c>
      <c r="M1668" t="s">
        <v>6146</v>
      </c>
      <c r="N1668" t="s">
        <v>59</v>
      </c>
      <c r="O1668" t="s">
        <v>47</v>
      </c>
      <c r="P1668" t="s">
        <v>47</v>
      </c>
      <c r="Y1668" t="s">
        <v>6147</v>
      </c>
      <c r="AG1668" t="s">
        <v>48</v>
      </c>
    </row>
    <row r="1669" spans="1:33">
      <c r="A1669" t="s">
        <v>6148</v>
      </c>
      <c r="B1669" t="s">
        <v>6149</v>
      </c>
      <c r="D1669" t="s">
        <v>40</v>
      </c>
      <c r="E1669" t="s">
        <v>41</v>
      </c>
      <c r="J1669" t="s">
        <v>290</v>
      </c>
      <c r="K1669" t="s">
        <v>291</v>
      </c>
      <c r="L1669">
        <v>5</v>
      </c>
      <c r="M1669" t="s">
        <v>6150</v>
      </c>
      <c r="N1669" t="s">
        <v>59</v>
      </c>
      <c r="O1669" t="s">
        <v>47</v>
      </c>
      <c r="P1669" t="s">
        <v>47</v>
      </c>
      <c r="Y1669" t="s">
        <v>6151</v>
      </c>
      <c r="AG1669" t="s">
        <v>48</v>
      </c>
    </row>
    <row r="1670" spans="1:33">
      <c r="A1670" t="s">
        <v>6152</v>
      </c>
      <c r="B1670" t="s">
        <v>6153</v>
      </c>
      <c r="D1670" t="s">
        <v>40</v>
      </c>
      <c r="E1670" t="s">
        <v>41</v>
      </c>
      <c r="J1670" t="s">
        <v>290</v>
      </c>
      <c r="K1670" t="s">
        <v>291</v>
      </c>
      <c r="L1670">
        <v>5</v>
      </c>
      <c r="M1670" t="s">
        <v>6150</v>
      </c>
      <c r="N1670" t="s">
        <v>59</v>
      </c>
      <c r="O1670" t="s">
        <v>47</v>
      </c>
      <c r="P1670" t="s">
        <v>47</v>
      </c>
      <c r="Y1670" t="s">
        <v>6154</v>
      </c>
      <c r="AG1670" t="s">
        <v>48</v>
      </c>
    </row>
    <row r="1671" spans="1:33">
      <c r="A1671" t="s">
        <v>6155</v>
      </c>
      <c r="B1671" t="s">
        <v>6156</v>
      </c>
      <c r="D1671" t="s">
        <v>40</v>
      </c>
      <c r="E1671" t="s">
        <v>41</v>
      </c>
      <c r="J1671" t="s">
        <v>162</v>
      </c>
      <c r="K1671" t="s">
        <v>163</v>
      </c>
      <c r="L1671">
        <v>5</v>
      </c>
      <c r="M1671" t="s">
        <v>6150</v>
      </c>
      <c r="N1671" t="s">
        <v>59</v>
      </c>
      <c r="O1671" t="s">
        <v>47</v>
      </c>
      <c r="P1671" t="s">
        <v>47</v>
      </c>
      <c r="Y1671" t="s">
        <v>6157</v>
      </c>
      <c r="AG1671" t="s">
        <v>48</v>
      </c>
    </row>
    <row r="1672" spans="1:33">
      <c r="A1672" t="s">
        <v>6158</v>
      </c>
      <c r="B1672" t="s">
        <v>6159</v>
      </c>
      <c r="D1672" t="s">
        <v>40</v>
      </c>
      <c r="E1672" t="s">
        <v>41</v>
      </c>
      <c r="J1672" t="s">
        <v>108</v>
      </c>
      <c r="K1672" t="s">
        <v>109</v>
      </c>
      <c r="L1672">
        <v>5</v>
      </c>
      <c r="M1672" t="s">
        <v>6150</v>
      </c>
      <c r="N1672" t="s">
        <v>59</v>
      </c>
      <c r="O1672" t="s">
        <v>47</v>
      </c>
      <c r="P1672" t="s">
        <v>47</v>
      </c>
      <c r="Y1672" t="s">
        <v>6160</v>
      </c>
      <c r="AG1672" t="s">
        <v>48</v>
      </c>
    </row>
    <row r="1673" spans="1:33">
      <c r="A1673" t="s">
        <v>6161</v>
      </c>
      <c r="B1673" t="s">
        <v>6162</v>
      </c>
      <c r="D1673" t="s">
        <v>40</v>
      </c>
      <c r="E1673" t="s">
        <v>41</v>
      </c>
      <c r="J1673" t="s">
        <v>6163</v>
      </c>
      <c r="K1673" t="s">
        <v>6164</v>
      </c>
      <c r="L1673">
        <v>5</v>
      </c>
      <c r="M1673" t="s">
        <v>6165</v>
      </c>
      <c r="N1673" t="s">
        <v>192</v>
      </c>
      <c r="O1673" t="s">
        <v>47</v>
      </c>
      <c r="P1673" t="s">
        <v>47</v>
      </c>
      <c r="Y1673" t="s">
        <v>6166</v>
      </c>
      <c r="AG1673" t="s">
        <v>48</v>
      </c>
    </row>
    <row r="1674" spans="1:33">
      <c r="A1674" t="s">
        <v>6167</v>
      </c>
      <c r="B1674" t="s">
        <v>6168</v>
      </c>
      <c r="D1674" t="s">
        <v>40</v>
      </c>
      <c r="E1674" t="s">
        <v>41</v>
      </c>
      <c r="J1674" t="s">
        <v>290</v>
      </c>
      <c r="K1674" t="s">
        <v>291</v>
      </c>
      <c r="L1674">
        <v>5</v>
      </c>
      <c r="M1674" t="s">
        <v>6169</v>
      </c>
      <c r="N1674" t="s">
        <v>59</v>
      </c>
      <c r="O1674" t="s">
        <v>47</v>
      </c>
      <c r="P1674" t="s">
        <v>47</v>
      </c>
      <c r="Y1674" t="s">
        <v>6170</v>
      </c>
      <c r="AG1674" t="s">
        <v>48</v>
      </c>
    </row>
    <row r="1675" spans="1:33">
      <c r="A1675" t="s">
        <v>6171</v>
      </c>
      <c r="B1675" t="s">
        <v>6172</v>
      </c>
      <c r="D1675" t="s">
        <v>40</v>
      </c>
      <c r="E1675" t="s">
        <v>41</v>
      </c>
      <c r="J1675" t="s">
        <v>108</v>
      </c>
      <c r="K1675" t="s">
        <v>109</v>
      </c>
      <c r="L1675">
        <v>5</v>
      </c>
      <c r="M1675" t="s">
        <v>6173</v>
      </c>
      <c r="N1675" t="s">
        <v>59</v>
      </c>
      <c r="O1675" t="s">
        <v>47</v>
      </c>
      <c r="P1675" t="s">
        <v>47</v>
      </c>
      <c r="Y1675" t="s">
        <v>6174</v>
      </c>
      <c r="AG1675" t="s">
        <v>48</v>
      </c>
    </row>
    <row r="1676" spans="1:33">
      <c r="A1676" t="s">
        <v>6175</v>
      </c>
      <c r="B1676" t="s">
        <v>6176</v>
      </c>
      <c r="D1676" t="s">
        <v>40</v>
      </c>
      <c r="E1676" t="s">
        <v>41</v>
      </c>
      <c r="J1676" t="s">
        <v>114</v>
      </c>
      <c r="K1676" t="s">
        <v>115</v>
      </c>
      <c r="L1676">
        <v>5</v>
      </c>
      <c r="M1676" t="s">
        <v>6177</v>
      </c>
      <c r="N1676" t="s">
        <v>59</v>
      </c>
      <c r="O1676" t="s">
        <v>47</v>
      </c>
      <c r="P1676" t="s">
        <v>47</v>
      </c>
      <c r="Y1676" t="s">
        <v>6178</v>
      </c>
      <c r="AG1676" t="s">
        <v>48</v>
      </c>
    </row>
    <row r="1677" spans="1:33">
      <c r="A1677" t="s">
        <v>6179</v>
      </c>
      <c r="B1677" t="s">
        <v>6180</v>
      </c>
      <c r="D1677" t="s">
        <v>40</v>
      </c>
      <c r="E1677" t="s">
        <v>41</v>
      </c>
      <c r="J1677" t="s">
        <v>129</v>
      </c>
      <c r="K1677" t="s">
        <v>130</v>
      </c>
      <c r="L1677">
        <v>5</v>
      </c>
      <c r="M1677" t="s">
        <v>6177</v>
      </c>
      <c r="N1677" t="s">
        <v>192</v>
      </c>
      <c r="O1677" t="s">
        <v>47</v>
      </c>
      <c r="P1677" t="s">
        <v>47</v>
      </c>
      <c r="Y1677" t="s">
        <v>6181</v>
      </c>
      <c r="AG1677" t="s">
        <v>48</v>
      </c>
    </row>
    <row r="1678" spans="1:33">
      <c r="A1678" t="s">
        <v>6182</v>
      </c>
      <c r="B1678" t="s">
        <v>6183</v>
      </c>
      <c r="D1678" t="s">
        <v>40</v>
      </c>
      <c r="E1678" t="s">
        <v>41</v>
      </c>
      <c r="J1678" t="s">
        <v>114</v>
      </c>
      <c r="K1678" t="s">
        <v>115</v>
      </c>
      <c r="L1678">
        <v>5</v>
      </c>
      <c r="M1678" t="s">
        <v>6184</v>
      </c>
      <c r="N1678" t="s">
        <v>59</v>
      </c>
      <c r="O1678" t="s">
        <v>47</v>
      </c>
      <c r="P1678" t="s">
        <v>47</v>
      </c>
      <c r="Y1678" t="s">
        <v>6185</v>
      </c>
      <c r="AG1678" t="s">
        <v>48</v>
      </c>
    </row>
    <row r="1679" spans="1:33">
      <c r="A1679" t="s">
        <v>6186</v>
      </c>
      <c r="B1679" t="s">
        <v>6187</v>
      </c>
      <c r="D1679" t="s">
        <v>40</v>
      </c>
      <c r="E1679" t="s">
        <v>41</v>
      </c>
      <c r="J1679" t="s">
        <v>290</v>
      </c>
      <c r="K1679" t="s">
        <v>291</v>
      </c>
      <c r="L1679">
        <v>5</v>
      </c>
      <c r="M1679" t="s">
        <v>6188</v>
      </c>
      <c r="N1679" t="s">
        <v>59</v>
      </c>
      <c r="O1679" t="s">
        <v>47</v>
      </c>
      <c r="P1679" t="s">
        <v>47</v>
      </c>
      <c r="Y1679" t="s">
        <v>6189</v>
      </c>
      <c r="AG1679" t="s">
        <v>48</v>
      </c>
    </row>
    <row r="1680" spans="1:33">
      <c r="A1680" t="s">
        <v>6190</v>
      </c>
      <c r="B1680" t="s">
        <v>6191</v>
      </c>
      <c r="D1680" t="s">
        <v>40</v>
      </c>
      <c r="E1680" t="s">
        <v>41</v>
      </c>
      <c r="J1680" t="s">
        <v>290</v>
      </c>
      <c r="K1680" t="s">
        <v>291</v>
      </c>
      <c r="L1680">
        <v>5</v>
      </c>
      <c r="M1680" t="s">
        <v>6192</v>
      </c>
      <c r="N1680" t="s">
        <v>59</v>
      </c>
      <c r="O1680" t="s">
        <v>47</v>
      </c>
      <c r="P1680" t="s">
        <v>47</v>
      </c>
      <c r="Y1680" t="s">
        <v>6193</v>
      </c>
      <c r="AG1680" t="s">
        <v>48</v>
      </c>
    </row>
    <row r="1681" spans="1:33">
      <c r="A1681" t="s">
        <v>6194</v>
      </c>
      <c r="B1681" t="s">
        <v>6195</v>
      </c>
      <c r="D1681" t="s">
        <v>40</v>
      </c>
      <c r="E1681" t="s">
        <v>41</v>
      </c>
      <c r="J1681" t="s">
        <v>290</v>
      </c>
      <c r="K1681" t="s">
        <v>291</v>
      </c>
      <c r="L1681">
        <v>5</v>
      </c>
      <c r="M1681" t="s">
        <v>6192</v>
      </c>
      <c r="N1681" t="s">
        <v>59</v>
      </c>
      <c r="O1681" t="s">
        <v>47</v>
      </c>
      <c r="P1681" t="s">
        <v>47</v>
      </c>
      <c r="Y1681" t="s">
        <v>6196</v>
      </c>
      <c r="AG1681" t="s">
        <v>48</v>
      </c>
    </row>
    <row r="1682" spans="1:33">
      <c r="A1682" t="s">
        <v>6197</v>
      </c>
      <c r="B1682" t="s">
        <v>6198</v>
      </c>
      <c r="D1682" t="s">
        <v>40</v>
      </c>
      <c r="E1682" t="s">
        <v>41</v>
      </c>
      <c r="J1682" t="s">
        <v>114</v>
      </c>
      <c r="K1682" t="s">
        <v>115</v>
      </c>
      <c r="L1682">
        <v>5</v>
      </c>
      <c r="M1682" t="s">
        <v>6199</v>
      </c>
      <c r="N1682" t="s">
        <v>59</v>
      </c>
      <c r="O1682" t="s">
        <v>47</v>
      </c>
      <c r="P1682" t="s">
        <v>47</v>
      </c>
      <c r="Y1682" t="s">
        <v>6200</v>
      </c>
      <c r="AG1682" t="s">
        <v>48</v>
      </c>
    </row>
    <row r="1683" spans="1:33">
      <c r="A1683" t="s">
        <v>6201</v>
      </c>
      <c r="B1683" t="s">
        <v>6202</v>
      </c>
      <c r="D1683" t="s">
        <v>40</v>
      </c>
      <c r="E1683" t="s">
        <v>41</v>
      </c>
      <c r="J1683" t="s">
        <v>108</v>
      </c>
      <c r="K1683" t="s">
        <v>109</v>
      </c>
      <c r="L1683">
        <v>5</v>
      </c>
      <c r="M1683" t="s">
        <v>6203</v>
      </c>
      <c r="N1683" t="s">
        <v>59</v>
      </c>
      <c r="O1683" t="s">
        <v>47</v>
      </c>
      <c r="P1683" t="s">
        <v>47</v>
      </c>
      <c r="Y1683" t="s">
        <v>6204</v>
      </c>
      <c r="AG1683" t="s">
        <v>48</v>
      </c>
    </row>
    <row r="1684" spans="1:33">
      <c r="A1684" t="s">
        <v>6205</v>
      </c>
      <c r="B1684" t="s">
        <v>6206</v>
      </c>
      <c r="D1684" t="s">
        <v>40</v>
      </c>
      <c r="E1684" t="s">
        <v>41</v>
      </c>
      <c r="J1684" t="s">
        <v>290</v>
      </c>
      <c r="K1684" t="s">
        <v>291</v>
      </c>
      <c r="L1684">
        <v>5</v>
      </c>
      <c r="M1684" t="s">
        <v>6207</v>
      </c>
      <c r="N1684" t="s">
        <v>59</v>
      </c>
      <c r="O1684" t="s">
        <v>47</v>
      </c>
      <c r="P1684" t="s">
        <v>47</v>
      </c>
      <c r="Y1684" t="s">
        <v>6208</v>
      </c>
      <c r="AG1684" t="s">
        <v>48</v>
      </c>
    </row>
    <row r="1685" spans="1:33">
      <c r="A1685" t="s">
        <v>6209</v>
      </c>
      <c r="B1685" t="s">
        <v>6210</v>
      </c>
      <c r="D1685" t="s">
        <v>40</v>
      </c>
      <c r="E1685" t="s">
        <v>41</v>
      </c>
      <c r="J1685" t="s">
        <v>270</v>
      </c>
      <c r="K1685" t="s">
        <v>271</v>
      </c>
      <c r="L1685">
        <v>5</v>
      </c>
      <c r="M1685" t="s">
        <v>6211</v>
      </c>
      <c r="N1685" t="s">
        <v>59</v>
      </c>
      <c r="O1685" t="s">
        <v>47</v>
      </c>
      <c r="P1685" t="s">
        <v>47</v>
      </c>
      <c r="Y1685" t="s">
        <v>6212</v>
      </c>
      <c r="AG1685" t="s">
        <v>48</v>
      </c>
    </row>
    <row r="1686" spans="1:33">
      <c r="A1686" t="s">
        <v>6213</v>
      </c>
      <c r="B1686" t="s">
        <v>6214</v>
      </c>
      <c r="D1686" t="s">
        <v>40</v>
      </c>
      <c r="E1686" t="s">
        <v>41</v>
      </c>
      <c r="J1686" t="s">
        <v>290</v>
      </c>
      <c r="K1686" t="s">
        <v>291</v>
      </c>
      <c r="L1686">
        <v>5</v>
      </c>
      <c r="M1686" t="s">
        <v>6215</v>
      </c>
      <c r="N1686" t="s">
        <v>59</v>
      </c>
      <c r="O1686" t="s">
        <v>47</v>
      </c>
      <c r="P1686" t="s">
        <v>47</v>
      </c>
      <c r="Y1686" t="s">
        <v>6216</v>
      </c>
      <c r="AG1686" t="s">
        <v>48</v>
      </c>
    </row>
    <row r="1687" spans="1:33">
      <c r="A1687" t="s">
        <v>6217</v>
      </c>
      <c r="B1687" t="s">
        <v>6218</v>
      </c>
      <c r="D1687" t="s">
        <v>40</v>
      </c>
      <c r="E1687" t="s">
        <v>41</v>
      </c>
      <c r="J1687" t="s">
        <v>290</v>
      </c>
      <c r="K1687" t="s">
        <v>291</v>
      </c>
      <c r="L1687">
        <v>5</v>
      </c>
      <c r="M1687" t="s">
        <v>6215</v>
      </c>
      <c r="N1687" t="s">
        <v>59</v>
      </c>
      <c r="O1687" t="s">
        <v>47</v>
      </c>
      <c r="P1687" t="s">
        <v>47</v>
      </c>
      <c r="Y1687" t="s">
        <v>6219</v>
      </c>
      <c r="AG1687" t="s">
        <v>48</v>
      </c>
    </row>
    <row r="1688" spans="1:33">
      <c r="A1688" t="s">
        <v>6220</v>
      </c>
      <c r="B1688" t="s">
        <v>6221</v>
      </c>
      <c r="D1688" t="s">
        <v>40</v>
      </c>
      <c r="E1688" t="s">
        <v>41</v>
      </c>
      <c r="J1688" t="s">
        <v>290</v>
      </c>
      <c r="K1688" t="s">
        <v>291</v>
      </c>
      <c r="L1688">
        <v>5</v>
      </c>
      <c r="M1688" t="s">
        <v>6222</v>
      </c>
      <c r="N1688" t="s">
        <v>59</v>
      </c>
      <c r="O1688" t="s">
        <v>47</v>
      </c>
      <c r="P1688" t="s">
        <v>47</v>
      </c>
      <c r="Y1688" t="s">
        <v>6223</v>
      </c>
      <c r="AG1688" t="s">
        <v>48</v>
      </c>
    </row>
    <row r="1689" spans="1:33">
      <c r="A1689" t="s">
        <v>6224</v>
      </c>
      <c r="B1689" t="s">
        <v>6225</v>
      </c>
      <c r="D1689" t="s">
        <v>40</v>
      </c>
      <c r="E1689" t="s">
        <v>41</v>
      </c>
      <c r="J1689" t="s">
        <v>162</v>
      </c>
      <c r="K1689" t="s">
        <v>163</v>
      </c>
      <c r="L1689">
        <v>5</v>
      </c>
      <c r="M1689" t="s">
        <v>6226</v>
      </c>
      <c r="N1689" t="s">
        <v>59</v>
      </c>
      <c r="O1689" t="s">
        <v>47</v>
      </c>
      <c r="P1689" t="s">
        <v>47</v>
      </c>
      <c r="Y1689" t="s">
        <v>6227</v>
      </c>
      <c r="AG1689" t="s">
        <v>48</v>
      </c>
    </row>
    <row r="1690" spans="1:33">
      <c r="A1690" t="s">
        <v>6228</v>
      </c>
      <c r="B1690" t="s">
        <v>6229</v>
      </c>
      <c r="D1690" t="s">
        <v>40</v>
      </c>
      <c r="E1690" t="s">
        <v>41</v>
      </c>
      <c r="J1690" t="s">
        <v>162</v>
      </c>
      <c r="K1690" t="s">
        <v>163</v>
      </c>
      <c r="L1690">
        <v>5</v>
      </c>
      <c r="M1690" t="s">
        <v>6226</v>
      </c>
      <c r="N1690" t="s">
        <v>59</v>
      </c>
      <c r="O1690" t="s">
        <v>47</v>
      </c>
      <c r="P1690" t="s">
        <v>47</v>
      </c>
      <c r="Y1690" t="s">
        <v>6230</v>
      </c>
      <c r="AG1690" t="s">
        <v>48</v>
      </c>
    </row>
    <row r="1691" spans="1:33">
      <c r="A1691" t="s">
        <v>6231</v>
      </c>
      <c r="B1691" t="s">
        <v>6232</v>
      </c>
      <c r="D1691" t="s">
        <v>40</v>
      </c>
      <c r="E1691" t="s">
        <v>41</v>
      </c>
      <c r="J1691" t="s">
        <v>69</v>
      </c>
      <c r="K1691" t="s">
        <v>70</v>
      </c>
      <c r="L1691">
        <v>5</v>
      </c>
      <c r="M1691" t="s">
        <v>6226</v>
      </c>
      <c r="N1691" t="s">
        <v>46</v>
      </c>
      <c r="O1691" t="s">
        <v>47</v>
      </c>
      <c r="P1691" t="s">
        <v>47</v>
      </c>
      <c r="Y1691" t="s">
        <v>6233</v>
      </c>
      <c r="AG1691" t="s">
        <v>48</v>
      </c>
    </row>
    <row r="1692" spans="1:33">
      <c r="A1692" t="s">
        <v>6234</v>
      </c>
      <c r="B1692" t="s">
        <v>6235</v>
      </c>
      <c r="D1692" t="s">
        <v>40</v>
      </c>
      <c r="E1692" t="s">
        <v>41</v>
      </c>
      <c r="J1692" t="s">
        <v>270</v>
      </c>
      <c r="K1692" t="s">
        <v>271</v>
      </c>
      <c r="L1692">
        <v>5</v>
      </c>
      <c r="M1692" t="s">
        <v>6226</v>
      </c>
      <c r="N1692" t="s">
        <v>59</v>
      </c>
      <c r="O1692" t="s">
        <v>47</v>
      </c>
      <c r="P1692" t="s">
        <v>47</v>
      </c>
      <c r="Y1692" t="s">
        <v>6236</v>
      </c>
      <c r="AG1692" t="s">
        <v>48</v>
      </c>
    </row>
    <row r="1693" spans="1:33">
      <c r="A1693" t="s">
        <v>6237</v>
      </c>
      <c r="B1693" t="s">
        <v>6238</v>
      </c>
      <c r="D1693" t="s">
        <v>40</v>
      </c>
      <c r="E1693" t="s">
        <v>41</v>
      </c>
      <c r="J1693" t="s">
        <v>56</v>
      </c>
      <c r="K1693" t="s">
        <v>57</v>
      </c>
      <c r="L1693">
        <v>4</v>
      </c>
      <c r="M1693" t="s">
        <v>6239</v>
      </c>
      <c r="N1693" t="s">
        <v>59</v>
      </c>
      <c r="O1693" t="s">
        <v>47</v>
      </c>
      <c r="P1693" t="s">
        <v>47</v>
      </c>
      <c r="Y1693" t="s">
        <v>6240</v>
      </c>
      <c r="AG1693" t="s">
        <v>48</v>
      </c>
    </row>
    <row r="1694" spans="1:33">
      <c r="A1694" t="s">
        <v>6241</v>
      </c>
      <c r="B1694" t="s">
        <v>6242</v>
      </c>
      <c r="D1694" t="s">
        <v>40</v>
      </c>
      <c r="E1694" t="s">
        <v>41</v>
      </c>
      <c r="H1694" t="s">
        <v>6243</v>
      </c>
      <c r="J1694" t="s">
        <v>56</v>
      </c>
      <c r="K1694" t="s">
        <v>57</v>
      </c>
      <c r="L1694">
        <v>4</v>
      </c>
      <c r="M1694" t="s">
        <v>6244</v>
      </c>
      <c r="N1694" t="s">
        <v>59</v>
      </c>
      <c r="O1694" t="s">
        <v>47</v>
      </c>
      <c r="P1694" t="s">
        <v>47</v>
      </c>
      <c r="Y1694" t="s">
        <v>6243</v>
      </c>
      <c r="AG1694" t="s">
        <v>48</v>
      </c>
    </row>
    <row r="1695" spans="1:33">
      <c r="A1695" t="s">
        <v>6245</v>
      </c>
      <c r="B1695" t="s">
        <v>6246</v>
      </c>
      <c r="D1695" t="s">
        <v>40</v>
      </c>
      <c r="E1695" t="s">
        <v>41</v>
      </c>
      <c r="H1695" t="s">
        <v>6247</v>
      </c>
      <c r="J1695" t="s">
        <v>56</v>
      </c>
      <c r="K1695" t="s">
        <v>57</v>
      </c>
      <c r="L1695">
        <v>5</v>
      </c>
      <c r="M1695" t="s">
        <v>6248</v>
      </c>
      <c r="N1695" t="s">
        <v>59</v>
      </c>
      <c r="O1695" t="s">
        <v>47</v>
      </c>
      <c r="P1695" t="s">
        <v>47</v>
      </c>
      <c r="Y1695" t="s">
        <v>6247</v>
      </c>
      <c r="AG1695" t="s">
        <v>48</v>
      </c>
    </row>
    <row r="1696" spans="1:33">
      <c r="A1696" t="s">
        <v>6249</v>
      </c>
      <c r="B1696" t="s">
        <v>6250</v>
      </c>
      <c r="D1696" t="s">
        <v>40</v>
      </c>
      <c r="E1696" t="s">
        <v>41</v>
      </c>
      <c r="H1696" t="s">
        <v>6251</v>
      </c>
      <c r="J1696" t="s">
        <v>56</v>
      </c>
      <c r="K1696" t="s">
        <v>57</v>
      </c>
      <c r="L1696">
        <v>5</v>
      </c>
      <c r="M1696" t="s">
        <v>6252</v>
      </c>
      <c r="N1696" t="s">
        <v>59</v>
      </c>
      <c r="O1696" t="s">
        <v>47</v>
      </c>
      <c r="P1696" t="s">
        <v>47</v>
      </c>
      <c r="Y1696" t="s">
        <v>6251</v>
      </c>
      <c r="AG1696" t="s">
        <v>48</v>
      </c>
    </row>
    <row r="1697" spans="1:33">
      <c r="A1697" t="s">
        <v>6253</v>
      </c>
      <c r="B1697" t="s">
        <v>6254</v>
      </c>
      <c r="D1697" t="s">
        <v>40</v>
      </c>
      <c r="E1697" t="s">
        <v>41</v>
      </c>
      <c r="H1697" t="s">
        <v>6255</v>
      </c>
      <c r="J1697" t="s">
        <v>56</v>
      </c>
      <c r="K1697" t="s">
        <v>57</v>
      </c>
      <c r="L1697">
        <v>5</v>
      </c>
      <c r="M1697" t="s">
        <v>6256</v>
      </c>
      <c r="N1697" t="s">
        <v>59</v>
      </c>
      <c r="O1697" t="s">
        <v>47</v>
      </c>
      <c r="P1697" t="s">
        <v>47</v>
      </c>
      <c r="Y1697" t="s">
        <v>6255</v>
      </c>
      <c r="AG1697" t="s">
        <v>48</v>
      </c>
    </row>
    <row r="1698" spans="1:33">
      <c r="A1698" t="s">
        <v>6257</v>
      </c>
      <c r="B1698" t="s">
        <v>6258</v>
      </c>
      <c r="D1698" t="s">
        <v>40</v>
      </c>
      <c r="E1698" t="s">
        <v>41</v>
      </c>
      <c r="H1698" t="s">
        <v>6259</v>
      </c>
      <c r="J1698" t="s">
        <v>56</v>
      </c>
      <c r="K1698" t="s">
        <v>57</v>
      </c>
      <c r="L1698">
        <v>5</v>
      </c>
      <c r="M1698" t="s">
        <v>6260</v>
      </c>
      <c r="N1698" t="s">
        <v>59</v>
      </c>
      <c r="O1698" t="s">
        <v>47</v>
      </c>
      <c r="P1698" t="s">
        <v>47</v>
      </c>
      <c r="Y1698" t="s">
        <v>6259</v>
      </c>
      <c r="AG1698" t="s">
        <v>48</v>
      </c>
    </row>
    <row r="1699" spans="1:33">
      <c r="A1699" t="s">
        <v>6261</v>
      </c>
      <c r="B1699" t="s">
        <v>6262</v>
      </c>
      <c r="D1699" t="s">
        <v>40</v>
      </c>
      <c r="E1699" t="s">
        <v>41</v>
      </c>
      <c r="H1699" t="s">
        <v>6263</v>
      </c>
      <c r="J1699" t="s">
        <v>56</v>
      </c>
      <c r="K1699" t="s">
        <v>57</v>
      </c>
      <c r="L1699">
        <v>5</v>
      </c>
      <c r="M1699" t="s">
        <v>6264</v>
      </c>
      <c r="N1699" t="s">
        <v>59</v>
      </c>
      <c r="O1699" t="s">
        <v>47</v>
      </c>
      <c r="P1699" t="s">
        <v>47</v>
      </c>
      <c r="Y1699" t="s">
        <v>6263</v>
      </c>
      <c r="AG1699" t="s">
        <v>48</v>
      </c>
    </row>
    <row r="1700" spans="1:33">
      <c r="A1700" t="s">
        <v>6265</v>
      </c>
      <c r="B1700" t="s">
        <v>6266</v>
      </c>
      <c r="D1700" t="s">
        <v>40</v>
      </c>
      <c r="E1700" t="s">
        <v>41</v>
      </c>
      <c r="H1700" t="s">
        <v>6267</v>
      </c>
      <c r="J1700" t="s">
        <v>63</v>
      </c>
      <c r="K1700" t="s">
        <v>64</v>
      </c>
      <c r="L1700">
        <v>5</v>
      </c>
      <c r="M1700" t="s">
        <v>6268</v>
      </c>
      <c r="N1700" t="s">
        <v>59</v>
      </c>
      <c r="O1700" t="s">
        <v>47</v>
      </c>
      <c r="P1700" t="s">
        <v>47</v>
      </c>
      <c r="Y1700" t="s">
        <v>6267</v>
      </c>
      <c r="AG1700" t="s">
        <v>48</v>
      </c>
    </row>
    <row r="1701" spans="1:33">
      <c r="A1701" t="s">
        <v>6269</v>
      </c>
      <c r="B1701" t="s">
        <v>6270</v>
      </c>
      <c r="D1701" t="s">
        <v>40</v>
      </c>
      <c r="E1701" t="s">
        <v>41</v>
      </c>
      <c r="H1701" t="s">
        <v>6271</v>
      </c>
      <c r="J1701" t="s">
        <v>63</v>
      </c>
      <c r="K1701" t="s">
        <v>64</v>
      </c>
      <c r="L1701">
        <v>5</v>
      </c>
      <c r="M1701" t="s">
        <v>6272</v>
      </c>
      <c r="N1701" t="s">
        <v>59</v>
      </c>
      <c r="O1701" t="s">
        <v>47</v>
      </c>
      <c r="P1701" t="s">
        <v>47</v>
      </c>
      <c r="Y1701" t="s">
        <v>6271</v>
      </c>
      <c r="AG1701" t="s">
        <v>48</v>
      </c>
    </row>
    <row r="1702" spans="1:33">
      <c r="A1702" t="s">
        <v>6273</v>
      </c>
      <c r="B1702" t="s">
        <v>6274</v>
      </c>
      <c r="D1702" t="s">
        <v>40</v>
      </c>
      <c r="E1702" t="s">
        <v>41</v>
      </c>
      <c r="H1702" t="s">
        <v>6275</v>
      </c>
      <c r="J1702" t="s">
        <v>63</v>
      </c>
      <c r="K1702" t="s">
        <v>64</v>
      </c>
      <c r="L1702">
        <v>5</v>
      </c>
      <c r="M1702" t="s">
        <v>6276</v>
      </c>
      <c r="N1702" t="s">
        <v>59</v>
      </c>
      <c r="O1702" t="s">
        <v>47</v>
      </c>
      <c r="P1702" t="s">
        <v>47</v>
      </c>
      <c r="Y1702" t="s">
        <v>6275</v>
      </c>
      <c r="AG1702" t="s">
        <v>48</v>
      </c>
    </row>
    <row r="1703" spans="1:33">
      <c r="A1703" t="s">
        <v>6277</v>
      </c>
      <c r="B1703" t="s">
        <v>6278</v>
      </c>
      <c r="D1703" t="s">
        <v>40</v>
      </c>
      <c r="E1703" t="s">
        <v>41</v>
      </c>
      <c r="H1703" t="s">
        <v>6279</v>
      </c>
      <c r="J1703" t="s">
        <v>63</v>
      </c>
      <c r="K1703" t="s">
        <v>64</v>
      </c>
      <c r="L1703">
        <v>5</v>
      </c>
      <c r="M1703" t="s">
        <v>6280</v>
      </c>
      <c r="N1703" t="s">
        <v>59</v>
      </c>
      <c r="O1703" t="s">
        <v>47</v>
      </c>
      <c r="P1703" t="s">
        <v>47</v>
      </c>
      <c r="Y1703" t="s">
        <v>6279</v>
      </c>
      <c r="AG1703" t="s">
        <v>48</v>
      </c>
    </row>
    <row r="1704" spans="1:33">
      <c r="A1704" t="s">
        <v>6281</v>
      </c>
      <c r="B1704" t="s">
        <v>6282</v>
      </c>
      <c r="D1704" t="s">
        <v>40</v>
      </c>
      <c r="E1704" t="s">
        <v>41</v>
      </c>
      <c r="H1704" t="s">
        <v>6283</v>
      </c>
      <c r="J1704" t="s">
        <v>63</v>
      </c>
      <c r="K1704" t="s">
        <v>64</v>
      </c>
      <c r="L1704">
        <v>5</v>
      </c>
      <c r="M1704" t="s">
        <v>6284</v>
      </c>
      <c r="N1704" t="s">
        <v>59</v>
      </c>
      <c r="O1704" t="s">
        <v>47</v>
      </c>
      <c r="P1704" t="s">
        <v>47</v>
      </c>
      <c r="Y1704" t="s">
        <v>6283</v>
      </c>
      <c r="AG1704" t="s">
        <v>48</v>
      </c>
    </row>
    <row r="1705" spans="1:33">
      <c r="A1705" t="s">
        <v>6285</v>
      </c>
      <c r="B1705" t="s">
        <v>6286</v>
      </c>
      <c r="D1705" t="s">
        <v>40</v>
      </c>
      <c r="E1705" t="s">
        <v>41</v>
      </c>
      <c r="H1705" t="s">
        <v>6287</v>
      </c>
      <c r="J1705" t="s">
        <v>63</v>
      </c>
      <c r="K1705" t="s">
        <v>64</v>
      </c>
      <c r="L1705">
        <v>5</v>
      </c>
      <c r="M1705" t="s">
        <v>6288</v>
      </c>
      <c r="N1705" t="s">
        <v>59</v>
      </c>
      <c r="O1705" t="s">
        <v>47</v>
      </c>
      <c r="P1705" t="s">
        <v>47</v>
      </c>
      <c r="Y1705" t="s">
        <v>6287</v>
      </c>
      <c r="AG1705" t="s">
        <v>48</v>
      </c>
    </row>
    <row r="1706" spans="1:33">
      <c r="A1706" t="s">
        <v>6289</v>
      </c>
      <c r="B1706" t="s">
        <v>6290</v>
      </c>
      <c r="D1706" t="s">
        <v>40</v>
      </c>
      <c r="E1706" t="s">
        <v>41</v>
      </c>
      <c r="J1706" t="s">
        <v>290</v>
      </c>
      <c r="K1706" t="s">
        <v>291</v>
      </c>
      <c r="L1706">
        <v>5</v>
      </c>
      <c r="M1706" t="s">
        <v>6291</v>
      </c>
      <c r="N1706" t="s">
        <v>59</v>
      </c>
      <c r="O1706" t="s">
        <v>47</v>
      </c>
      <c r="P1706" t="s">
        <v>47</v>
      </c>
      <c r="Y1706" t="s">
        <v>6292</v>
      </c>
      <c r="AG1706" t="s">
        <v>48</v>
      </c>
    </row>
    <row r="1707" spans="1:33">
      <c r="A1707" t="s">
        <v>6293</v>
      </c>
      <c r="B1707" t="s">
        <v>6294</v>
      </c>
      <c r="D1707" t="s">
        <v>40</v>
      </c>
      <c r="E1707" t="s">
        <v>41</v>
      </c>
      <c r="J1707" t="s">
        <v>270</v>
      </c>
      <c r="K1707" t="s">
        <v>271</v>
      </c>
      <c r="L1707">
        <v>5</v>
      </c>
      <c r="M1707" t="s">
        <v>6295</v>
      </c>
      <c r="N1707" t="s">
        <v>59</v>
      </c>
      <c r="O1707" t="s">
        <v>47</v>
      </c>
      <c r="P1707" t="s">
        <v>47</v>
      </c>
      <c r="Y1707" t="s">
        <v>6296</v>
      </c>
      <c r="AG1707" t="s">
        <v>48</v>
      </c>
    </row>
    <row r="1708" spans="1:33">
      <c r="A1708" t="s">
        <v>6297</v>
      </c>
      <c r="B1708" t="s">
        <v>6298</v>
      </c>
      <c r="D1708" t="s">
        <v>40</v>
      </c>
      <c r="E1708" t="s">
        <v>41</v>
      </c>
      <c r="J1708" t="s">
        <v>123</v>
      </c>
      <c r="K1708" t="s">
        <v>124</v>
      </c>
      <c r="L1708">
        <v>5</v>
      </c>
      <c r="M1708" t="s">
        <v>6295</v>
      </c>
      <c r="N1708" t="s">
        <v>218</v>
      </c>
      <c r="O1708" t="s">
        <v>47</v>
      </c>
      <c r="P1708" t="s">
        <v>47</v>
      </c>
      <c r="Y1708" t="s">
        <v>6299</v>
      </c>
      <c r="AG1708" t="s">
        <v>48</v>
      </c>
    </row>
    <row r="1709" spans="1:33">
      <c r="A1709" t="s">
        <v>6300</v>
      </c>
      <c r="B1709" t="s">
        <v>6301</v>
      </c>
      <c r="D1709" t="s">
        <v>40</v>
      </c>
      <c r="E1709" t="s">
        <v>41</v>
      </c>
      <c r="H1709" t="s">
        <v>6302</v>
      </c>
      <c r="J1709" t="s">
        <v>129</v>
      </c>
      <c r="K1709" t="s">
        <v>130</v>
      </c>
      <c r="L1709">
        <v>5</v>
      </c>
      <c r="M1709" t="s">
        <v>6303</v>
      </c>
      <c r="N1709" t="s">
        <v>218</v>
      </c>
      <c r="O1709" t="s">
        <v>47</v>
      </c>
      <c r="P1709" t="s">
        <v>47</v>
      </c>
      <c r="Y1709" t="s">
        <v>6302</v>
      </c>
      <c r="AG1709" t="s">
        <v>48</v>
      </c>
    </row>
    <row r="1710" spans="1:33">
      <c r="A1710" t="s">
        <v>6304</v>
      </c>
      <c r="B1710" t="s">
        <v>6305</v>
      </c>
      <c r="D1710" t="s">
        <v>40</v>
      </c>
      <c r="E1710" t="s">
        <v>41</v>
      </c>
      <c r="J1710" t="s">
        <v>290</v>
      </c>
      <c r="K1710" t="s">
        <v>291</v>
      </c>
      <c r="L1710">
        <v>5</v>
      </c>
      <c r="M1710" t="s">
        <v>6306</v>
      </c>
      <c r="N1710" t="s">
        <v>59</v>
      </c>
      <c r="O1710" t="s">
        <v>47</v>
      </c>
      <c r="P1710" t="s">
        <v>47</v>
      </c>
      <c r="Y1710" t="s">
        <v>6307</v>
      </c>
      <c r="AG1710" t="s">
        <v>48</v>
      </c>
    </row>
    <row r="1711" spans="1:33">
      <c r="A1711" t="s">
        <v>6308</v>
      </c>
      <c r="B1711" t="s">
        <v>6309</v>
      </c>
      <c r="D1711" t="s">
        <v>40</v>
      </c>
      <c r="E1711" t="s">
        <v>41</v>
      </c>
      <c r="J1711" t="s">
        <v>290</v>
      </c>
      <c r="K1711" t="s">
        <v>291</v>
      </c>
      <c r="L1711">
        <v>5</v>
      </c>
      <c r="M1711" t="s">
        <v>6310</v>
      </c>
      <c r="N1711" t="s">
        <v>59</v>
      </c>
      <c r="O1711" t="s">
        <v>47</v>
      </c>
      <c r="P1711" t="s">
        <v>47</v>
      </c>
      <c r="Y1711" t="s">
        <v>6311</v>
      </c>
      <c r="AG1711" t="s">
        <v>48</v>
      </c>
    </row>
    <row r="1712" spans="1:33">
      <c r="A1712" t="s">
        <v>6312</v>
      </c>
      <c r="B1712" t="s">
        <v>6313</v>
      </c>
      <c r="D1712" t="s">
        <v>40</v>
      </c>
      <c r="E1712" t="s">
        <v>41</v>
      </c>
      <c r="J1712" t="s">
        <v>162</v>
      </c>
      <c r="K1712" t="s">
        <v>163</v>
      </c>
      <c r="L1712">
        <v>5</v>
      </c>
      <c r="M1712" t="s">
        <v>6314</v>
      </c>
      <c r="N1712" t="s">
        <v>59</v>
      </c>
      <c r="O1712" t="s">
        <v>47</v>
      </c>
      <c r="P1712" t="s">
        <v>47</v>
      </c>
      <c r="Y1712" t="s">
        <v>6315</v>
      </c>
      <c r="AG1712" t="s">
        <v>48</v>
      </c>
    </row>
    <row r="1713" spans="1:33">
      <c r="A1713" t="s">
        <v>6316</v>
      </c>
      <c r="B1713" t="s">
        <v>6317</v>
      </c>
      <c r="D1713" t="s">
        <v>40</v>
      </c>
      <c r="E1713" t="s">
        <v>41</v>
      </c>
      <c r="J1713" t="s">
        <v>290</v>
      </c>
      <c r="K1713" t="s">
        <v>291</v>
      </c>
      <c r="L1713">
        <v>5</v>
      </c>
      <c r="M1713" t="s">
        <v>6318</v>
      </c>
      <c r="N1713" t="s">
        <v>59</v>
      </c>
      <c r="O1713" t="s">
        <v>47</v>
      </c>
      <c r="P1713" t="s">
        <v>47</v>
      </c>
      <c r="Y1713" t="s">
        <v>6319</v>
      </c>
      <c r="AG1713" t="s">
        <v>48</v>
      </c>
    </row>
    <row r="1714" spans="1:33">
      <c r="A1714" t="s">
        <v>6320</v>
      </c>
      <c r="B1714" t="s">
        <v>6321</v>
      </c>
      <c r="D1714" t="s">
        <v>40</v>
      </c>
      <c r="E1714" t="s">
        <v>41</v>
      </c>
      <c r="J1714" t="s">
        <v>114</v>
      </c>
      <c r="K1714" t="s">
        <v>115</v>
      </c>
      <c r="L1714">
        <v>5</v>
      </c>
      <c r="M1714" t="s">
        <v>6322</v>
      </c>
      <c r="N1714" t="s">
        <v>59</v>
      </c>
      <c r="O1714" t="s">
        <v>47</v>
      </c>
      <c r="P1714" t="s">
        <v>47</v>
      </c>
      <c r="Y1714" t="s">
        <v>6323</v>
      </c>
      <c r="AG1714" t="s">
        <v>48</v>
      </c>
    </row>
    <row r="1715" spans="1:33">
      <c r="A1715" t="s">
        <v>6324</v>
      </c>
      <c r="B1715" t="s">
        <v>6325</v>
      </c>
      <c r="D1715" t="s">
        <v>40</v>
      </c>
      <c r="E1715" t="s">
        <v>41</v>
      </c>
      <c r="J1715" t="s">
        <v>290</v>
      </c>
      <c r="K1715" t="s">
        <v>291</v>
      </c>
      <c r="L1715">
        <v>5</v>
      </c>
      <c r="M1715" t="s">
        <v>6322</v>
      </c>
      <c r="N1715" t="s">
        <v>59</v>
      </c>
      <c r="O1715" t="s">
        <v>47</v>
      </c>
      <c r="P1715" t="s">
        <v>47</v>
      </c>
      <c r="Y1715" t="s">
        <v>6326</v>
      </c>
      <c r="AG1715" t="s">
        <v>48</v>
      </c>
    </row>
    <row r="1716" spans="1:33">
      <c r="A1716" t="s">
        <v>6327</v>
      </c>
      <c r="B1716" t="s">
        <v>6328</v>
      </c>
      <c r="D1716" t="s">
        <v>40</v>
      </c>
      <c r="E1716" t="s">
        <v>41</v>
      </c>
      <c r="H1716" t="s">
        <v>6329</v>
      </c>
      <c r="J1716" t="s">
        <v>63</v>
      </c>
      <c r="K1716" t="s">
        <v>64</v>
      </c>
      <c r="L1716">
        <v>5</v>
      </c>
      <c r="M1716" t="s">
        <v>6330</v>
      </c>
      <c r="N1716" t="s">
        <v>59</v>
      </c>
      <c r="O1716" t="s">
        <v>47</v>
      </c>
      <c r="P1716" t="s">
        <v>47</v>
      </c>
      <c r="Y1716" t="s">
        <v>6329</v>
      </c>
      <c r="AG1716" t="s">
        <v>48</v>
      </c>
    </row>
    <row r="1717" spans="1:33">
      <c r="A1717" t="s">
        <v>6331</v>
      </c>
      <c r="B1717" t="s">
        <v>6332</v>
      </c>
      <c r="D1717" t="s">
        <v>40</v>
      </c>
      <c r="E1717" t="s">
        <v>41</v>
      </c>
      <c r="J1717" t="s">
        <v>290</v>
      </c>
      <c r="K1717" t="s">
        <v>291</v>
      </c>
      <c r="L1717">
        <v>5</v>
      </c>
      <c r="M1717" t="s">
        <v>6333</v>
      </c>
      <c r="N1717" t="s">
        <v>59</v>
      </c>
      <c r="O1717" t="s">
        <v>47</v>
      </c>
      <c r="P1717" t="s">
        <v>47</v>
      </c>
      <c r="Y1717" t="s">
        <v>6334</v>
      </c>
      <c r="AG1717" t="s">
        <v>48</v>
      </c>
    </row>
    <row r="1718" spans="1:33">
      <c r="A1718" t="s">
        <v>6335</v>
      </c>
      <c r="B1718" t="s">
        <v>6336</v>
      </c>
      <c r="D1718" t="s">
        <v>40</v>
      </c>
      <c r="E1718" t="s">
        <v>41</v>
      </c>
      <c r="J1718" t="s">
        <v>290</v>
      </c>
      <c r="K1718" t="s">
        <v>291</v>
      </c>
      <c r="L1718">
        <v>5</v>
      </c>
      <c r="M1718" t="s">
        <v>6337</v>
      </c>
      <c r="N1718" t="s">
        <v>59</v>
      </c>
      <c r="O1718" t="s">
        <v>47</v>
      </c>
      <c r="P1718" t="s">
        <v>47</v>
      </c>
      <c r="Y1718" t="s">
        <v>6338</v>
      </c>
      <c r="AG1718" t="s">
        <v>48</v>
      </c>
    </row>
    <row r="1719" spans="1:33">
      <c r="A1719" t="s">
        <v>6339</v>
      </c>
      <c r="B1719" t="s">
        <v>6340</v>
      </c>
      <c r="D1719" t="s">
        <v>40</v>
      </c>
      <c r="E1719" t="s">
        <v>41</v>
      </c>
      <c r="J1719" t="s">
        <v>270</v>
      </c>
      <c r="K1719" t="s">
        <v>271</v>
      </c>
      <c r="L1719">
        <v>5</v>
      </c>
      <c r="M1719" t="s">
        <v>6341</v>
      </c>
      <c r="N1719" t="s">
        <v>59</v>
      </c>
      <c r="O1719" t="s">
        <v>47</v>
      </c>
      <c r="P1719" t="s">
        <v>47</v>
      </c>
      <c r="Y1719" t="s">
        <v>6342</v>
      </c>
      <c r="AG1719" t="s">
        <v>48</v>
      </c>
    </row>
    <row r="1720" spans="1:33">
      <c r="A1720" t="s">
        <v>6343</v>
      </c>
      <c r="B1720" t="s">
        <v>6344</v>
      </c>
      <c r="D1720" t="s">
        <v>40</v>
      </c>
      <c r="E1720" t="s">
        <v>41</v>
      </c>
      <c r="J1720" t="s">
        <v>290</v>
      </c>
      <c r="K1720" t="s">
        <v>291</v>
      </c>
      <c r="L1720">
        <v>5</v>
      </c>
      <c r="M1720" t="s">
        <v>6345</v>
      </c>
      <c r="N1720" t="s">
        <v>59</v>
      </c>
      <c r="O1720" t="s">
        <v>47</v>
      </c>
      <c r="P1720" t="s">
        <v>47</v>
      </c>
      <c r="Y1720" t="s">
        <v>6346</v>
      </c>
      <c r="AG1720" t="s">
        <v>48</v>
      </c>
    </row>
    <row r="1721" spans="1:33">
      <c r="A1721" t="s">
        <v>6347</v>
      </c>
      <c r="B1721" t="s">
        <v>6348</v>
      </c>
      <c r="D1721" t="s">
        <v>40</v>
      </c>
      <c r="E1721" t="s">
        <v>41</v>
      </c>
      <c r="J1721" t="s">
        <v>162</v>
      </c>
      <c r="K1721" t="s">
        <v>163</v>
      </c>
      <c r="L1721">
        <v>5</v>
      </c>
      <c r="M1721" t="s">
        <v>6349</v>
      </c>
      <c r="N1721" t="s">
        <v>59</v>
      </c>
      <c r="O1721" t="s">
        <v>47</v>
      </c>
      <c r="P1721" t="s">
        <v>47</v>
      </c>
      <c r="Y1721" t="s">
        <v>6350</v>
      </c>
      <c r="AG1721" t="s">
        <v>48</v>
      </c>
    </row>
    <row r="1722" spans="1:33">
      <c r="A1722" t="s">
        <v>6351</v>
      </c>
      <c r="B1722" t="s">
        <v>6352</v>
      </c>
      <c r="D1722" t="s">
        <v>40</v>
      </c>
      <c r="E1722" t="s">
        <v>41</v>
      </c>
      <c r="J1722" t="s">
        <v>162</v>
      </c>
      <c r="K1722" t="s">
        <v>163</v>
      </c>
      <c r="L1722">
        <v>5</v>
      </c>
      <c r="M1722" t="s">
        <v>6353</v>
      </c>
      <c r="N1722" t="s">
        <v>59</v>
      </c>
      <c r="O1722" t="s">
        <v>47</v>
      </c>
      <c r="P1722" t="s">
        <v>47</v>
      </c>
      <c r="Y1722" t="s">
        <v>6354</v>
      </c>
      <c r="AG1722" t="s">
        <v>48</v>
      </c>
    </row>
    <row r="1723" spans="1:33">
      <c r="A1723" t="s">
        <v>6355</v>
      </c>
      <c r="B1723" t="s">
        <v>6356</v>
      </c>
      <c r="D1723" t="s">
        <v>40</v>
      </c>
      <c r="E1723" t="s">
        <v>41</v>
      </c>
      <c r="J1723" t="s">
        <v>123</v>
      </c>
      <c r="K1723" t="s">
        <v>124</v>
      </c>
      <c r="L1723">
        <v>5</v>
      </c>
      <c r="M1723" t="s">
        <v>6357</v>
      </c>
      <c r="N1723" t="s">
        <v>218</v>
      </c>
      <c r="O1723" t="s">
        <v>47</v>
      </c>
      <c r="P1723" t="s">
        <v>47</v>
      </c>
      <c r="Y1723" t="s">
        <v>6358</v>
      </c>
      <c r="AG1723" t="s">
        <v>48</v>
      </c>
    </row>
    <row r="1724" spans="1:33">
      <c r="A1724" t="s">
        <v>6359</v>
      </c>
      <c r="B1724" t="s">
        <v>6360</v>
      </c>
      <c r="D1724" t="s">
        <v>40</v>
      </c>
      <c r="E1724" t="s">
        <v>41</v>
      </c>
      <c r="J1724" t="s">
        <v>290</v>
      </c>
      <c r="K1724" t="s">
        <v>291</v>
      </c>
      <c r="L1724">
        <v>5</v>
      </c>
      <c r="M1724" t="s">
        <v>6361</v>
      </c>
      <c r="N1724" t="s">
        <v>59</v>
      </c>
      <c r="O1724" t="s">
        <v>47</v>
      </c>
      <c r="P1724" t="s">
        <v>47</v>
      </c>
      <c r="Y1724" t="s">
        <v>6362</v>
      </c>
      <c r="AG1724" t="s">
        <v>48</v>
      </c>
    </row>
    <row r="1725" spans="1:33">
      <c r="A1725" t="s">
        <v>6363</v>
      </c>
      <c r="B1725" t="s">
        <v>6364</v>
      </c>
      <c r="D1725" t="s">
        <v>40</v>
      </c>
      <c r="E1725" t="s">
        <v>41</v>
      </c>
      <c r="J1725" t="s">
        <v>290</v>
      </c>
      <c r="K1725" t="s">
        <v>291</v>
      </c>
      <c r="L1725">
        <v>5</v>
      </c>
      <c r="M1725" t="s">
        <v>6365</v>
      </c>
      <c r="N1725" t="s">
        <v>59</v>
      </c>
      <c r="O1725" t="s">
        <v>47</v>
      </c>
      <c r="P1725" t="s">
        <v>47</v>
      </c>
      <c r="Y1725" t="s">
        <v>6366</v>
      </c>
      <c r="AG1725" t="s">
        <v>48</v>
      </c>
    </row>
    <row r="1726" spans="1:33">
      <c r="A1726" t="s">
        <v>117</v>
      </c>
      <c r="B1726" t="s">
        <v>6367</v>
      </c>
      <c r="D1726" t="s">
        <v>40</v>
      </c>
      <c r="E1726" t="s">
        <v>41</v>
      </c>
      <c r="J1726" t="s">
        <v>162</v>
      </c>
      <c r="K1726" t="s">
        <v>163</v>
      </c>
      <c r="L1726">
        <v>5</v>
      </c>
      <c r="M1726" t="s">
        <v>6365</v>
      </c>
      <c r="N1726" t="s">
        <v>59</v>
      </c>
      <c r="O1726" t="s">
        <v>47</v>
      </c>
      <c r="P1726" t="s">
        <v>47</v>
      </c>
      <c r="Y1726" t="s">
        <v>6368</v>
      </c>
      <c r="AG1726" t="s">
        <v>48</v>
      </c>
    </row>
    <row r="1727" spans="1:33">
      <c r="A1727" t="s">
        <v>6369</v>
      </c>
      <c r="B1727" t="s">
        <v>6370</v>
      </c>
      <c r="D1727" t="s">
        <v>40</v>
      </c>
      <c r="E1727" t="s">
        <v>41</v>
      </c>
      <c r="J1727" t="s">
        <v>290</v>
      </c>
      <c r="K1727" t="s">
        <v>291</v>
      </c>
      <c r="L1727">
        <v>5</v>
      </c>
      <c r="M1727" t="s">
        <v>6365</v>
      </c>
      <c r="N1727" t="s">
        <v>59</v>
      </c>
      <c r="O1727" t="s">
        <v>47</v>
      </c>
      <c r="P1727" t="s">
        <v>47</v>
      </c>
      <c r="Y1727" t="s">
        <v>6371</v>
      </c>
      <c r="AG1727" t="s">
        <v>48</v>
      </c>
    </row>
    <row r="1728" spans="1:33">
      <c r="A1728" t="s">
        <v>6372</v>
      </c>
      <c r="B1728" t="s">
        <v>6373</v>
      </c>
      <c r="D1728" t="s">
        <v>40</v>
      </c>
      <c r="E1728" t="s">
        <v>41</v>
      </c>
      <c r="J1728" t="s">
        <v>2439</v>
      </c>
      <c r="K1728" t="s">
        <v>2440</v>
      </c>
      <c r="L1728">
        <v>5</v>
      </c>
      <c r="M1728" t="s">
        <v>6374</v>
      </c>
      <c r="N1728" t="s">
        <v>59</v>
      </c>
      <c r="O1728" t="s">
        <v>47</v>
      </c>
      <c r="P1728" t="s">
        <v>47</v>
      </c>
      <c r="Y1728" t="s">
        <v>6375</v>
      </c>
      <c r="AG1728" t="s">
        <v>48</v>
      </c>
    </row>
    <row r="1729" spans="1:33">
      <c r="A1729" t="s">
        <v>6376</v>
      </c>
      <c r="B1729" t="s">
        <v>6377</v>
      </c>
      <c r="D1729" t="s">
        <v>40</v>
      </c>
      <c r="E1729" t="s">
        <v>41</v>
      </c>
      <c r="H1729" t="s">
        <v>6378</v>
      </c>
      <c r="J1729" t="s">
        <v>270</v>
      </c>
      <c r="K1729" t="s">
        <v>271</v>
      </c>
      <c r="L1729">
        <v>5</v>
      </c>
      <c r="M1729" t="s">
        <v>6374</v>
      </c>
      <c r="N1729" t="s">
        <v>59</v>
      </c>
      <c r="O1729" t="s">
        <v>47</v>
      </c>
      <c r="P1729" t="s">
        <v>47</v>
      </c>
      <c r="Y1729" t="s">
        <v>6378</v>
      </c>
      <c r="AG1729" t="s">
        <v>48</v>
      </c>
    </row>
    <row r="1730" spans="1:33">
      <c r="A1730" t="s">
        <v>6379</v>
      </c>
      <c r="B1730" t="s">
        <v>6380</v>
      </c>
      <c r="D1730" t="s">
        <v>40</v>
      </c>
      <c r="E1730" t="s">
        <v>41</v>
      </c>
      <c r="J1730" t="s">
        <v>290</v>
      </c>
      <c r="K1730" t="s">
        <v>291</v>
      </c>
      <c r="L1730">
        <v>5</v>
      </c>
      <c r="M1730" t="s">
        <v>6374</v>
      </c>
      <c r="N1730" t="s">
        <v>59</v>
      </c>
      <c r="O1730" t="s">
        <v>47</v>
      </c>
      <c r="P1730" t="s">
        <v>47</v>
      </c>
      <c r="Y1730" t="s">
        <v>6381</v>
      </c>
      <c r="AG1730" t="s">
        <v>48</v>
      </c>
    </row>
    <row r="1731" spans="1:33">
      <c r="A1731" t="s">
        <v>6382</v>
      </c>
      <c r="B1731" t="s">
        <v>6383</v>
      </c>
      <c r="D1731" t="s">
        <v>40</v>
      </c>
      <c r="E1731" t="s">
        <v>41</v>
      </c>
      <c r="J1731" t="s">
        <v>290</v>
      </c>
      <c r="K1731" t="s">
        <v>291</v>
      </c>
      <c r="L1731">
        <v>5</v>
      </c>
      <c r="M1731" t="s">
        <v>6374</v>
      </c>
      <c r="N1731" t="s">
        <v>59</v>
      </c>
      <c r="O1731" t="s">
        <v>47</v>
      </c>
      <c r="P1731" t="s">
        <v>47</v>
      </c>
      <c r="Y1731" t="s">
        <v>6384</v>
      </c>
      <c r="AG1731" t="s">
        <v>48</v>
      </c>
    </row>
    <row r="1732" spans="1:33">
      <c r="A1732" t="s">
        <v>6385</v>
      </c>
      <c r="B1732" t="s">
        <v>6386</v>
      </c>
      <c r="D1732" t="s">
        <v>40</v>
      </c>
      <c r="E1732" t="s">
        <v>41</v>
      </c>
      <c r="H1732" t="s">
        <v>6387</v>
      </c>
      <c r="J1732" t="s">
        <v>63</v>
      </c>
      <c r="K1732" t="s">
        <v>64</v>
      </c>
      <c r="L1732">
        <v>5</v>
      </c>
      <c r="M1732" t="s">
        <v>6388</v>
      </c>
      <c r="N1732" t="s">
        <v>59</v>
      </c>
      <c r="O1732" t="s">
        <v>47</v>
      </c>
      <c r="P1732" t="s">
        <v>47</v>
      </c>
      <c r="Y1732" t="s">
        <v>6387</v>
      </c>
      <c r="AG1732" t="s">
        <v>48</v>
      </c>
    </row>
    <row r="1733" spans="1:33">
      <c r="A1733" t="s">
        <v>6389</v>
      </c>
      <c r="B1733" t="s">
        <v>6390</v>
      </c>
      <c r="D1733" t="s">
        <v>40</v>
      </c>
      <c r="E1733" t="s">
        <v>41</v>
      </c>
      <c r="J1733" t="s">
        <v>129</v>
      </c>
      <c r="K1733" t="s">
        <v>130</v>
      </c>
      <c r="L1733">
        <v>5</v>
      </c>
      <c r="M1733" t="s">
        <v>6391</v>
      </c>
      <c r="N1733" t="s">
        <v>218</v>
      </c>
      <c r="O1733" t="s">
        <v>47</v>
      </c>
      <c r="P1733" t="s">
        <v>47</v>
      </c>
      <c r="Y1733" t="s">
        <v>6392</v>
      </c>
      <c r="AG1733" t="s">
        <v>48</v>
      </c>
    </row>
    <row r="1734" spans="1:33">
      <c r="A1734" t="s">
        <v>6393</v>
      </c>
      <c r="B1734" t="s">
        <v>6394</v>
      </c>
      <c r="D1734" t="s">
        <v>40</v>
      </c>
      <c r="E1734" t="s">
        <v>41</v>
      </c>
      <c r="J1734" t="s">
        <v>270</v>
      </c>
      <c r="K1734" t="s">
        <v>271</v>
      </c>
      <c r="L1734">
        <v>5</v>
      </c>
      <c r="M1734" t="s">
        <v>6391</v>
      </c>
      <c r="N1734" t="s">
        <v>59</v>
      </c>
      <c r="O1734" t="s">
        <v>47</v>
      </c>
      <c r="P1734" t="s">
        <v>47</v>
      </c>
      <c r="Y1734" t="s">
        <v>6395</v>
      </c>
      <c r="AG1734" t="s">
        <v>48</v>
      </c>
    </row>
    <row r="1735" spans="1:33">
      <c r="A1735" t="s">
        <v>6396</v>
      </c>
      <c r="B1735" t="s">
        <v>6397</v>
      </c>
      <c r="D1735" t="s">
        <v>40</v>
      </c>
      <c r="E1735" t="s">
        <v>41</v>
      </c>
      <c r="J1735" t="s">
        <v>108</v>
      </c>
      <c r="K1735" t="s">
        <v>109</v>
      </c>
      <c r="L1735">
        <v>5</v>
      </c>
      <c r="M1735" t="s">
        <v>6398</v>
      </c>
      <c r="N1735" t="s">
        <v>59</v>
      </c>
      <c r="O1735" t="s">
        <v>47</v>
      </c>
      <c r="P1735" t="s">
        <v>47</v>
      </c>
      <c r="Y1735" t="s">
        <v>6399</v>
      </c>
      <c r="AG1735" t="s">
        <v>48</v>
      </c>
    </row>
    <row r="1736" spans="1:33">
      <c r="A1736" t="s">
        <v>6400</v>
      </c>
      <c r="B1736" t="s">
        <v>6401</v>
      </c>
      <c r="D1736" t="s">
        <v>40</v>
      </c>
      <c r="E1736" t="s">
        <v>41</v>
      </c>
      <c r="J1736" t="s">
        <v>290</v>
      </c>
      <c r="K1736" t="s">
        <v>291</v>
      </c>
      <c r="L1736">
        <v>5</v>
      </c>
      <c r="M1736" t="s">
        <v>6402</v>
      </c>
      <c r="N1736" t="s">
        <v>59</v>
      </c>
      <c r="O1736" t="s">
        <v>47</v>
      </c>
      <c r="P1736" t="s">
        <v>47</v>
      </c>
      <c r="Y1736" t="s">
        <v>6403</v>
      </c>
      <c r="AG1736" t="s">
        <v>48</v>
      </c>
    </row>
    <row r="1737" spans="1:33">
      <c r="A1737" t="s">
        <v>6404</v>
      </c>
      <c r="B1737" t="s">
        <v>6405</v>
      </c>
      <c r="D1737" t="s">
        <v>40</v>
      </c>
      <c r="E1737" t="s">
        <v>41</v>
      </c>
      <c r="J1737" t="s">
        <v>162</v>
      </c>
      <c r="K1737" t="s">
        <v>163</v>
      </c>
      <c r="L1737">
        <v>5</v>
      </c>
      <c r="M1737" t="s">
        <v>6406</v>
      </c>
      <c r="N1737" t="s">
        <v>59</v>
      </c>
      <c r="O1737" t="s">
        <v>47</v>
      </c>
      <c r="P1737" t="s">
        <v>47</v>
      </c>
      <c r="Y1737" t="s">
        <v>6407</v>
      </c>
      <c r="AG1737" t="s">
        <v>48</v>
      </c>
    </row>
    <row r="1738" spans="1:33">
      <c r="A1738" t="s">
        <v>6408</v>
      </c>
      <c r="B1738" t="s">
        <v>6409</v>
      </c>
      <c r="D1738" t="s">
        <v>40</v>
      </c>
      <c r="E1738" t="s">
        <v>41</v>
      </c>
      <c r="J1738" t="s">
        <v>290</v>
      </c>
      <c r="K1738" t="s">
        <v>291</v>
      </c>
      <c r="L1738">
        <v>5</v>
      </c>
      <c r="M1738" t="s">
        <v>6410</v>
      </c>
      <c r="N1738" t="s">
        <v>59</v>
      </c>
      <c r="O1738" t="s">
        <v>47</v>
      </c>
      <c r="P1738" t="s">
        <v>47</v>
      </c>
      <c r="Y1738" t="s">
        <v>6411</v>
      </c>
      <c r="AG1738" t="s">
        <v>48</v>
      </c>
    </row>
    <row r="1739" spans="1:33">
      <c r="A1739" t="s">
        <v>6412</v>
      </c>
      <c r="B1739" t="s">
        <v>6413</v>
      </c>
      <c r="D1739" t="s">
        <v>40</v>
      </c>
      <c r="E1739" t="s">
        <v>41</v>
      </c>
      <c r="J1739" t="s">
        <v>290</v>
      </c>
      <c r="K1739" t="s">
        <v>291</v>
      </c>
      <c r="L1739">
        <v>5</v>
      </c>
      <c r="M1739" t="s">
        <v>6414</v>
      </c>
      <c r="N1739" t="s">
        <v>59</v>
      </c>
      <c r="O1739" t="s">
        <v>47</v>
      </c>
      <c r="P1739" t="s">
        <v>47</v>
      </c>
      <c r="Y1739" t="s">
        <v>6415</v>
      </c>
      <c r="AG1739" t="s">
        <v>48</v>
      </c>
    </row>
    <row r="1740" spans="1:33">
      <c r="A1740" t="s">
        <v>6416</v>
      </c>
      <c r="B1740" t="s">
        <v>6417</v>
      </c>
      <c r="D1740" t="s">
        <v>40</v>
      </c>
      <c r="E1740" t="s">
        <v>41</v>
      </c>
      <c r="J1740" t="s">
        <v>123</v>
      </c>
      <c r="K1740" t="s">
        <v>124</v>
      </c>
      <c r="L1740">
        <v>5</v>
      </c>
      <c r="M1740" t="s">
        <v>6418</v>
      </c>
      <c r="N1740" t="s">
        <v>218</v>
      </c>
      <c r="O1740" t="s">
        <v>47</v>
      </c>
      <c r="P1740" t="s">
        <v>47</v>
      </c>
      <c r="Y1740" t="s">
        <v>6419</v>
      </c>
      <c r="AG1740" t="s">
        <v>48</v>
      </c>
    </row>
    <row r="1741" spans="1:33">
      <c r="A1741" t="s">
        <v>6420</v>
      </c>
      <c r="B1741" t="s">
        <v>6421</v>
      </c>
      <c r="D1741" t="s">
        <v>40</v>
      </c>
      <c r="E1741" t="s">
        <v>41</v>
      </c>
      <c r="J1741" t="s">
        <v>290</v>
      </c>
      <c r="K1741" t="s">
        <v>291</v>
      </c>
      <c r="L1741">
        <v>5</v>
      </c>
      <c r="M1741" t="s">
        <v>6422</v>
      </c>
      <c r="N1741" t="s">
        <v>59</v>
      </c>
      <c r="O1741" t="s">
        <v>47</v>
      </c>
      <c r="P1741" t="s">
        <v>47</v>
      </c>
      <c r="Y1741" t="s">
        <v>6423</v>
      </c>
      <c r="AG1741" t="s">
        <v>48</v>
      </c>
    </row>
    <row r="1742" spans="1:33">
      <c r="A1742" t="s">
        <v>6424</v>
      </c>
      <c r="B1742" t="s">
        <v>6425</v>
      </c>
      <c r="D1742" t="s">
        <v>40</v>
      </c>
      <c r="E1742" t="s">
        <v>41</v>
      </c>
      <c r="J1742" t="s">
        <v>162</v>
      </c>
      <c r="K1742" t="s">
        <v>163</v>
      </c>
      <c r="L1742">
        <v>5</v>
      </c>
      <c r="M1742" t="s">
        <v>6426</v>
      </c>
      <c r="N1742" t="s">
        <v>59</v>
      </c>
      <c r="O1742" t="s">
        <v>47</v>
      </c>
      <c r="P1742" t="s">
        <v>47</v>
      </c>
      <c r="Y1742" t="s">
        <v>6427</v>
      </c>
      <c r="AG1742" t="s">
        <v>48</v>
      </c>
    </row>
    <row r="1743" spans="1:33">
      <c r="A1743" t="s">
        <v>6428</v>
      </c>
      <c r="B1743" t="s">
        <v>6429</v>
      </c>
      <c r="D1743" t="s">
        <v>40</v>
      </c>
      <c r="E1743" t="s">
        <v>41</v>
      </c>
      <c r="J1743" t="s">
        <v>290</v>
      </c>
      <c r="K1743" t="s">
        <v>291</v>
      </c>
      <c r="L1743">
        <v>5</v>
      </c>
      <c r="M1743" t="s">
        <v>6430</v>
      </c>
      <c r="N1743" t="s">
        <v>59</v>
      </c>
      <c r="O1743" t="s">
        <v>47</v>
      </c>
      <c r="P1743" t="s">
        <v>47</v>
      </c>
      <c r="Y1743" t="s">
        <v>6431</v>
      </c>
      <c r="AG1743" t="s">
        <v>48</v>
      </c>
    </row>
    <row r="1744" spans="1:33">
      <c r="A1744" t="s">
        <v>6432</v>
      </c>
      <c r="B1744" t="s">
        <v>6433</v>
      </c>
      <c r="D1744" t="s">
        <v>40</v>
      </c>
      <c r="E1744" t="s">
        <v>41</v>
      </c>
      <c r="J1744" t="s">
        <v>290</v>
      </c>
      <c r="K1744" t="s">
        <v>291</v>
      </c>
      <c r="L1744">
        <v>5</v>
      </c>
      <c r="M1744" t="s">
        <v>6430</v>
      </c>
      <c r="N1744" t="s">
        <v>59</v>
      </c>
      <c r="O1744" t="s">
        <v>47</v>
      </c>
      <c r="P1744" t="s">
        <v>47</v>
      </c>
      <c r="Y1744" t="s">
        <v>6434</v>
      </c>
      <c r="AG1744" t="s">
        <v>48</v>
      </c>
    </row>
    <row r="1745" spans="1:33">
      <c r="A1745" t="s">
        <v>6435</v>
      </c>
      <c r="B1745" t="s">
        <v>6436</v>
      </c>
      <c r="D1745" t="s">
        <v>40</v>
      </c>
      <c r="E1745" t="s">
        <v>41</v>
      </c>
      <c r="J1745" t="s">
        <v>108</v>
      </c>
      <c r="K1745" t="s">
        <v>109</v>
      </c>
      <c r="L1745">
        <v>5</v>
      </c>
      <c r="M1745" t="s">
        <v>6437</v>
      </c>
      <c r="N1745" t="s">
        <v>59</v>
      </c>
      <c r="O1745" t="s">
        <v>47</v>
      </c>
      <c r="P1745" t="s">
        <v>47</v>
      </c>
      <c r="Y1745" t="s">
        <v>6438</v>
      </c>
      <c r="AG1745" t="s">
        <v>48</v>
      </c>
    </row>
    <row r="1746" spans="1:33">
      <c r="A1746" t="s">
        <v>6439</v>
      </c>
      <c r="B1746" t="s">
        <v>6440</v>
      </c>
      <c r="D1746" t="s">
        <v>40</v>
      </c>
      <c r="E1746" t="s">
        <v>41</v>
      </c>
      <c r="J1746" t="s">
        <v>162</v>
      </c>
      <c r="K1746" t="s">
        <v>163</v>
      </c>
      <c r="L1746">
        <v>5</v>
      </c>
      <c r="M1746" t="s">
        <v>6441</v>
      </c>
      <c r="N1746" t="s">
        <v>59</v>
      </c>
      <c r="O1746" t="s">
        <v>47</v>
      </c>
      <c r="P1746" t="s">
        <v>47</v>
      </c>
      <c r="Y1746" t="s">
        <v>6442</v>
      </c>
      <c r="AG1746" t="s">
        <v>48</v>
      </c>
    </row>
    <row r="1747" spans="1:33">
      <c r="A1747" t="s">
        <v>6443</v>
      </c>
      <c r="B1747" t="s">
        <v>6444</v>
      </c>
      <c r="D1747" t="s">
        <v>40</v>
      </c>
      <c r="E1747" t="s">
        <v>41</v>
      </c>
      <c r="J1747" t="s">
        <v>290</v>
      </c>
      <c r="K1747" t="s">
        <v>291</v>
      </c>
      <c r="L1747">
        <v>5</v>
      </c>
      <c r="M1747" t="s">
        <v>6441</v>
      </c>
      <c r="N1747" t="s">
        <v>59</v>
      </c>
      <c r="O1747" t="s">
        <v>47</v>
      </c>
      <c r="P1747" t="s">
        <v>47</v>
      </c>
      <c r="Y1747" t="s">
        <v>6445</v>
      </c>
      <c r="AG1747" t="s">
        <v>48</v>
      </c>
    </row>
    <row r="1748" spans="1:33">
      <c r="A1748" t="s">
        <v>6446</v>
      </c>
      <c r="B1748" t="s">
        <v>6447</v>
      </c>
      <c r="D1748" t="s">
        <v>40</v>
      </c>
      <c r="E1748" t="s">
        <v>41</v>
      </c>
      <c r="J1748" t="s">
        <v>162</v>
      </c>
      <c r="K1748" t="s">
        <v>163</v>
      </c>
      <c r="L1748">
        <v>5</v>
      </c>
      <c r="M1748" t="s">
        <v>6441</v>
      </c>
      <c r="N1748" t="s">
        <v>59</v>
      </c>
      <c r="O1748" t="s">
        <v>47</v>
      </c>
      <c r="P1748" t="s">
        <v>47</v>
      </c>
      <c r="Y1748" t="s">
        <v>6448</v>
      </c>
      <c r="AG1748" t="s">
        <v>48</v>
      </c>
    </row>
    <row r="1749" spans="1:33">
      <c r="A1749" t="s">
        <v>6449</v>
      </c>
      <c r="B1749" t="s">
        <v>6450</v>
      </c>
      <c r="D1749" t="s">
        <v>40</v>
      </c>
      <c r="E1749" t="s">
        <v>41</v>
      </c>
      <c r="H1749" t="s">
        <v>6451</v>
      </c>
      <c r="J1749" t="s">
        <v>123</v>
      </c>
      <c r="K1749" t="s">
        <v>124</v>
      </c>
      <c r="L1749">
        <v>5</v>
      </c>
      <c r="M1749" t="s">
        <v>6452</v>
      </c>
      <c r="N1749" t="s">
        <v>218</v>
      </c>
      <c r="O1749" t="s">
        <v>47</v>
      </c>
      <c r="P1749" t="s">
        <v>47</v>
      </c>
      <c r="Y1749" t="s">
        <v>6451</v>
      </c>
      <c r="AG1749" t="s">
        <v>48</v>
      </c>
    </row>
    <row r="1750" spans="1:33">
      <c r="A1750" t="s">
        <v>6453</v>
      </c>
      <c r="B1750" t="s">
        <v>6454</v>
      </c>
      <c r="D1750" t="s">
        <v>40</v>
      </c>
      <c r="E1750" t="s">
        <v>41</v>
      </c>
      <c r="H1750" t="s">
        <v>6455</v>
      </c>
      <c r="J1750" t="s">
        <v>63</v>
      </c>
      <c r="K1750" t="s">
        <v>64</v>
      </c>
      <c r="L1750">
        <v>5</v>
      </c>
      <c r="M1750" t="s">
        <v>6456</v>
      </c>
      <c r="N1750" t="s">
        <v>59</v>
      </c>
      <c r="O1750" t="s">
        <v>47</v>
      </c>
      <c r="P1750" t="s">
        <v>47</v>
      </c>
      <c r="Y1750" t="s">
        <v>6455</v>
      </c>
      <c r="AG1750" t="s">
        <v>48</v>
      </c>
    </row>
    <row r="1751" spans="1:33">
      <c r="A1751" t="s">
        <v>6457</v>
      </c>
      <c r="B1751" t="s">
        <v>6458</v>
      </c>
      <c r="D1751" t="s">
        <v>40</v>
      </c>
      <c r="E1751" t="s">
        <v>41</v>
      </c>
      <c r="J1751" t="s">
        <v>108</v>
      </c>
      <c r="K1751" t="s">
        <v>109</v>
      </c>
      <c r="L1751">
        <v>5</v>
      </c>
      <c r="M1751" t="s">
        <v>6459</v>
      </c>
      <c r="N1751" t="s">
        <v>59</v>
      </c>
      <c r="O1751" t="s">
        <v>47</v>
      </c>
      <c r="P1751" t="s">
        <v>47</v>
      </c>
      <c r="Y1751" t="s">
        <v>6460</v>
      </c>
      <c r="AG1751" t="s">
        <v>48</v>
      </c>
    </row>
    <row r="1752" spans="1:33">
      <c r="A1752" t="s">
        <v>6461</v>
      </c>
      <c r="B1752" t="s">
        <v>6462</v>
      </c>
      <c r="D1752" t="s">
        <v>40</v>
      </c>
      <c r="E1752" t="s">
        <v>41</v>
      </c>
      <c r="J1752" t="s">
        <v>290</v>
      </c>
      <c r="K1752" t="s">
        <v>291</v>
      </c>
      <c r="L1752">
        <v>5</v>
      </c>
      <c r="M1752" t="s">
        <v>6459</v>
      </c>
      <c r="N1752" t="s">
        <v>59</v>
      </c>
      <c r="O1752" t="s">
        <v>47</v>
      </c>
      <c r="P1752" t="s">
        <v>47</v>
      </c>
      <c r="Y1752" t="s">
        <v>6463</v>
      </c>
      <c r="AG1752" t="s">
        <v>48</v>
      </c>
    </row>
    <row r="1753" spans="1:33">
      <c r="A1753" t="s">
        <v>6464</v>
      </c>
      <c r="B1753" t="s">
        <v>6465</v>
      </c>
      <c r="D1753" t="s">
        <v>40</v>
      </c>
      <c r="E1753" t="s">
        <v>41</v>
      </c>
      <c r="J1753" t="s">
        <v>290</v>
      </c>
      <c r="K1753" t="s">
        <v>291</v>
      </c>
      <c r="L1753">
        <v>5</v>
      </c>
      <c r="M1753" t="s">
        <v>6459</v>
      </c>
      <c r="N1753" t="s">
        <v>59</v>
      </c>
      <c r="O1753" t="s">
        <v>47</v>
      </c>
      <c r="P1753" t="s">
        <v>47</v>
      </c>
      <c r="Y1753" t="s">
        <v>6466</v>
      </c>
      <c r="AG1753" t="s">
        <v>48</v>
      </c>
    </row>
    <row r="1754" spans="1:33">
      <c r="A1754" t="s">
        <v>6467</v>
      </c>
      <c r="B1754" t="s">
        <v>6468</v>
      </c>
      <c r="D1754" t="s">
        <v>40</v>
      </c>
      <c r="E1754" t="s">
        <v>41</v>
      </c>
      <c r="J1754" t="s">
        <v>108</v>
      </c>
      <c r="K1754" t="s">
        <v>109</v>
      </c>
      <c r="L1754">
        <v>5</v>
      </c>
      <c r="M1754" t="s">
        <v>6469</v>
      </c>
      <c r="N1754" t="s">
        <v>59</v>
      </c>
      <c r="O1754" t="s">
        <v>47</v>
      </c>
      <c r="P1754" t="s">
        <v>47</v>
      </c>
      <c r="Y1754" t="s">
        <v>6470</v>
      </c>
      <c r="AG1754" t="s">
        <v>48</v>
      </c>
    </row>
    <row r="1755" spans="1:33">
      <c r="A1755" t="s">
        <v>6471</v>
      </c>
      <c r="B1755" t="s">
        <v>6472</v>
      </c>
      <c r="D1755" t="s">
        <v>40</v>
      </c>
      <c r="E1755" t="s">
        <v>41</v>
      </c>
      <c r="J1755" t="s">
        <v>270</v>
      </c>
      <c r="K1755" t="s">
        <v>271</v>
      </c>
      <c r="L1755">
        <v>5</v>
      </c>
      <c r="M1755" t="s">
        <v>6469</v>
      </c>
      <c r="N1755" t="s">
        <v>59</v>
      </c>
      <c r="O1755" t="s">
        <v>47</v>
      </c>
      <c r="P1755" t="s">
        <v>47</v>
      </c>
      <c r="Y1755" t="s">
        <v>6473</v>
      </c>
      <c r="AG1755" t="s">
        <v>48</v>
      </c>
    </row>
    <row r="1756" spans="1:33">
      <c r="A1756" t="s">
        <v>6474</v>
      </c>
      <c r="B1756" t="s">
        <v>6475</v>
      </c>
      <c r="D1756" t="s">
        <v>40</v>
      </c>
      <c r="E1756" t="s">
        <v>41</v>
      </c>
      <c r="J1756" t="s">
        <v>108</v>
      </c>
      <c r="K1756" t="s">
        <v>109</v>
      </c>
      <c r="L1756">
        <v>5</v>
      </c>
      <c r="M1756" t="s">
        <v>6469</v>
      </c>
      <c r="N1756" t="s">
        <v>59</v>
      </c>
      <c r="O1756" t="s">
        <v>47</v>
      </c>
      <c r="P1756" t="s">
        <v>47</v>
      </c>
      <c r="Y1756" t="s">
        <v>6476</v>
      </c>
      <c r="AG1756" t="s">
        <v>48</v>
      </c>
    </row>
    <row r="1757" spans="1:33">
      <c r="A1757" t="s">
        <v>6477</v>
      </c>
      <c r="B1757" t="s">
        <v>6478</v>
      </c>
      <c r="D1757" t="s">
        <v>40</v>
      </c>
      <c r="E1757" t="s">
        <v>41</v>
      </c>
      <c r="H1757" t="s">
        <v>6479</v>
      </c>
      <c r="J1757" t="s">
        <v>63</v>
      </c>
      <c r="K1757" t="s">
        <v>64</v>
      </c>
      <c r="L1757">
        <v>5</v>
      </c>
      <c r="M1757" t="s">
        <v>6480</v>
      </c>
      <c r="N1757" t="s">
        <v>59</v>
      </c>
      <c r="O1757" t="s">
        <v>47</v>
      </c>
      <c r="P1757" t="s">
        <v>47</v>
      </c>
      <c r="Y1757" t="s">
        <v>6479</v>
      </c>
      <c r="AG1757" t="s">
        <v>48</v>
      </c>
    </row>
    <row r="1758" spans="1:33">
      <c r="A1758" t="s">
        <v>6481</v>
      </c>
      <c r="B1758" t="s">
        <v>6482</v>
      </c>
      <c r="D1758" t="s">
        <v>40</v>
      </c>
      <c r="E1758" t="s">
        <v>41</v>
      </c>
      <c r="J1758" t="s">
        <v>86</v>
      </c>
      <c r="K1758" t="s">
        <v>87</v>
      </c>
      <c r="L1758">
        <v>5</v>
      </c>
      <c r="M1758" t="s">
        <v>6483</v>
      </c>
      <c r="N1758" t="s">
        <v>192</v>
      </c>
      <c r="O1758" t="s">
        <v>47</v>
      </c>
      <c r="P1758" t="s">
        <v>47</v>
      </c>
      <c r="Y1758" t="s">
        <v>6484</v>
      </c>
      <c r="AG1758" t="s">
        <v>48</v>
      </c>
    </row>
    <row r="1759" spans="1:33">
      <c r="A1759" t="s">
        <v>6485</v>
      </c>
      <c r="B1759" t="s">
        <v>6486</v>
      </c>
      <c r="D1759" t="s">
        <v>40</v>
      </c>
      <c r="E1759" t="s">
        <v>41</v>
      </c>
      <c r="J1759" t="s">
        <v>290</v>
      </c>
      <c r="K1759" t="s">
        <v>291</v>
      </c>
      <c r="L1759">
        <v>5</v>
      </c>
      <c r="M1759" t="s">
        <v>6483</v>
      </c>
      <c r="N1759" t="s">
        <v>59</v>
      </c>
      <c r="O1759" t="s">
        <v>47</v>
      </c>
      <c r="P1759" t="s">
        <v>47</v>
      </c>
      <c r="Y1759" t="s">
        <v>6487</v>
      </c>
      <c r="AG1759" t="s">
        <v>48</v>
      </c>
    </row>
    <row r="1760" spans="1:33">
      <c r="A1760" t="s">
        <v>6488</v>
      </c>
      <c r="B1760" t="s">
        <v>6489</v>
      </c>
      <c r="D1760" t="s">
        <v>40</v>
      </c>
      <c r="E1760" t="s">
        <v>41</v>
      </c>
      <c r="J1760" t="s">
        <v>162</v>
      </c>
      <c r="K1760" t="s">
        <v>163</v>
      </c>
      <c r="L1760">
        <v>5</v>
      </c>
      <c r="M1760" t="s">
        <v>6490</v>
      </c>
      <c r="N1760" t="s">
        <v>59</v>
      </c>
      <c r="O1760" t="s">
        <v>47</v>
      </c>
      <c r="P1760" t="s">
        <v>47</v>
      </c>
      <c r="Y1760" t="s">
        <v>6491</v>
      </c>
      <c r="AG1760" t="s">
        <v>48</v>
      </c>
    </row>
    <row r="1761" spans="1:33">
      <c r="A1761" t="s">
        <v>6492</v>
      </c>
      <c r="B1761" t="s">
        <v>6493</v>
      </c>
      <c r="D1761" t="s">
        <v>40</v>
      </c>
      <c r="E1761" t="s">
        <v>41</v>
      </c>
      <c r="J1761" t="s">
        <v>290</v>
      </c>
      <c r="K1761" t="s">
        <v>291</v>
      </c>
      <c r="L1761">
        <v>5</v>
      </c>
      <c r="M1761" t="s">
        <v>6490</v>
      </c>
      <c r="N1761" t="s">
        <v>59</v>
      </c>
      <c r="O1761" t="s">
        <v>47</v>
      </c>
      <c r="P1761" t="s">
        <v>47</v>
      </c>
      <c r="Y1761" t="s">
        <v>6494</v>
      </c>
      <c r="AG1761" t="s">
        <v>48</v>
      </c>
    </row>
    <row r="1762" spans="1:33">
      <c r="A1762" t="s">
        <v>6495</v>
      </c>
      <c r="B1762" t="s">
        <v>6496</v>
      </c>
      <c r="D1762" t="s">
        <v>40</v>
      </c>
      <c r="E1762" t="s">
        <v>41</v>
      </c>
      <c r="J1762" t="s">
        <v>123</v>
      </c>
      <c r="K1762" t="s">
        <v>124</v>
      </c>
      <c r="L1762">
        <v>5</v>
      </c>
      <c r="M1762" t="s">
        <v>6497</v>
      </c>
      <c r="N1762" t="s">
        <v>192</v>
      </c>
      <c r="O1762" t="s">
        <v>47</v>
      </c>
      <c r="P1762" t="s">
        <v>47</v>
      </c>
      <c r="Y1762" t="s">
        <v>6498</v>
      </c>
      <c r="AG1762" t="s">
        <v>48</v>
      </c>
    </row>
    <row r="1763" spans="1:33">
      <c r="A1763" t="s">
        <v>6499</v>
      </c>
      <c r="B1763" t="s">
        <v>6500</v>
      </c>
      <c r="D1763" t="s">
        <v>40</v>
      </c>
      <c r="E1763" t="s">
        <v>41</v>
      </c>
      <c r="J1763" t="s">
        <v>290</v>
      </c>
      <c r="K1763" t="s">
        <v>291</v>
      </c>
      <c r="L1763">
        <v>5</v>
      </c>
      <c r="M1763" t="s">
        <v>6501</v>
      </c>
      <c r="N1763" t="s">
        <v>59</v>
      </c>
      <c r="O1763" t="s">
        <v>47</v>
      </c>
      <c r="P1763" t="s">
        <v>47</v>
      </c>
      <c r="Y1763" t="s">
        <v>6502</v>
      </c>
      <c r="AG1763" t="s">
        <v>48</v>
      </c>
    </row>
    <row r="1764" spans="1:33">
      <c r="A1764" t="s">
        <v>6503</v>
      </c>
      <c r="B1764" t="s">
        <v>6504</v>
      </c>
      <c r="D1764" t="s">
        <v>40</v>
      </c>
      <c r="E1764" t="s">
        <v>41</v>
      </c>
      <c r="J1764" t="s">
        <v>129</v>
      </c>
      <c r="K1764" t="s">
        <v>130</v>
      </c>
      <c r="L1764">
        <v>5</v>
      </c>
      <c r="M1764" t="s">
        <v>6505</v>
      </c>
      <c r="N1764" t="s">
        <v>192</v>
      </c>
      <c r="O1764" t="s">
        <v>47</v>
      </c>
      <c r="P1764" t="s">
        <v>47</v>
      </c>
      <c r="Y1764" t="s">
        <v>6506</v>
      </c>
      <c r="AG1764" t="s">
        <v>48</v>
      </c>
    </row>
    <row r="1765" spans="1:33">
      <c r="A1765" t="s">
        <v>6507</v>
      </c>
      <c r="B1765" t="s">
        <v>6508</v>
      </c>
      <c r="D1765" t="s">
        <v>40</v>
      </c>
      <c r="E1765" t="s">
        <v>41</v>
      </c>
      <c r="J1765" t="s">
        <v>290</v>
      </c>
      <c r="K1765" t="s">
        <v>291</v>
      </c>
      <c r="L1765">
        <v>5</v>
      </c>
      <c r="M1765" t="s">
        <v>6509</v>
      </c>
      <c r="N1765" t="s">
        <v>59</v>
      </c>
      <c r="O1765" t="s">
        <v>47</v>
      </c>
      <c r="P1765" t="s">
        <v>47</v>
      </c>
      <c r="Y1765" t="s">
        <v>6510</v>
      </c>
      <c r="AG1765" t="s">
        <v>48</v>
      </c>
    </row>
    <row r="1766" spans="1:33">
      <c r="A1766" t="s">
        <v>6511</v>
      </c>
      <c r="B1766" t="s">
        <v>6512</v>
      </c>
      <c r="D1766" t="s">
        <v>40</v>
      </c>
      <c r="E1766" t="s">
        <v>41</v>
      </c>
      <c r="J1766" t="s">
        <v>290</v>
      </c>
      <c r="K1766" t="s">
        <v>291</v>
      </c>
      <c r="L1766">
        <v>5</v>
      </c>
      <c r="M1766" t="s">
        <v>6509</v>
      </c>
      <c r="N1766" t="s">
        <v>59</v>
      </c>
      <c r="O1766" t="s">
        <v>47</v>
      </c>
      <c r="P1766" t="s">
        <v>47</v>
      </c>
      <c r="Y1766" t="s">
        <v>6513</v>
      </c>
      <c r="AG1766" t="s">
        <v>48</v>
      </c>
    </row>
    <row r="1767" spans="1:33">
      <c r="A1767" t="s">
        <v>6514</v>
      </c>
      <c r="B1767" t="s">
        <v>6515</v>
      </c>
      <c r="D1767" t="s">
        <v>40</v>
      </c>
      <c r="E1767" t="s">
        <v>41</v>
      </c>
      <c r="J1767" t="s">
        <v>290</v>
      </c>
      <c r="K1767" t="s">
        <v>291</v>
      </c>
      <c r="L1767">
        <v>5</v>
      </c>
      <c r="M1767" t="s">
        <v>6516</v>
      </c>
      <c r="N1767" t="s">
        <v>59</v>
      </c>
      <c r="O1767" t="s">
        <v>47</v>
      </c>
      <c r="P1767" t="s">
        <v>47</v>
      </c>
      <c r="Y1767" t="s">
        <v>6517</v>
      </c>
      <c r="AG1767" t="s">
        <v>48</v>
      </c>
    </row>
    <row r="1768" spans="1:33">
      <c r="A1768" t="s">
        <v>6518</v>
      </c>
      <c r="B1768" t="s">
        <v>6519</v>
      </c>
      <c r="D1768" t="s">
        <v>40</v>
      </c>
      <c r="E1768" t="s">
        <v>41</v>
      </c>
      <c r="J1768" t="s">
        <v>270</v>
      </c>
      <c r="K1768" t="s">
        <v>271</v>
      </c>
      <c r="L1768">
        <v>5</v>
      </c>
      <c r="M1768" t="s">
        <v>6520</v>
      </c>
      <c r="N1768" t="s">
        <v>59</v>
      </c>
      <c r="O1768" t="s">
        <v>47</v>
      </c>
      <c r="P1768" t="s">
        <v>47</v>
      </c>
      <c r="Y1768" t="s">
        <v>6521</v>
      </c>
      <c r="AG1768" t="s">
        <v>48</v>
      </c>
    </row>
    <row r="1769" spans="1:33">
      <c r="A1769" t="s">
        <v>6522</v>
      </c>
      <c r="B1769" t="s">
        <v>6523</v>
      </c>
      <c r="D1769" t="s">
        <v>40</v>
      </c>
      <c r="E1769" t="s">
        <v>41</v>
      </c>
      <c r="H1769" t="s">
        <v>6524</v>
      </c>
      <c r="J1769" t="s">
        <v>129</v>
      </c>
      <c r="K1769" t="s">
        <v>130</v>
      </c>
      <c r="L1769">
        <v>5</v>
      </c>
      <c r="M1769" t="s">
        <v>6525</v>
      </c>
      <c r="N1769" t="s">
        <v>192</v>
      </c>
      <c r="O1769" t="s">
        <v>47</v>
      </c>
      <c r="P1769" t="s">
        <v>47</v>
      </c>
      <c r="Y1769" t="s">
        <v>6524</v>
      </c>
      <c r="AG1769" t="s">
        <v>48</v>
      </c>
    </row>
    <row r="1770" spans="1:33">
      <c r="A1770" t="s">
        <v>6526</v>
      </c>
      <c r="B1770" t="s">
        <v>6527</v>
      </c>
      <c r="D1770" t="s">
        <v>40</v>
      </c>
      <c r="E1770" t="s">
        <v>41</v>
      </c>
      <c r="J1770" t="s">
        <v>43</v>
      </c>
      <c r="K1770" t="s">
        <v>44</v>
      </c>
      <c r="L1770">
        <v>5</v>
      </c>
      <c r="M1770" t="s">
        <v>6528</v>
      </c>
      <c r="N1770" t="s">
        <v>192</v>
      </c>
      <c r="O1770" t="s">
        <v>47</v>
      </c>
      <c r="P1770" t="s">
        <v>47</v>
      </c>
      <c r="Y1770" t="s">
        <v>6529</v>
      </c>
      <c r="AG1770" t="s">
        <v>48</v>
      </c>
    </row>
    <row r="1771" spans="1:33">
      <c r="A1771" t="s">
        <v>6530</v>
      </c>
      <c r="B1771" t="s">
        <v>6531</v>
      </c>
      <c r="D1771" t="s">
        <v>40</v>
      </c>
      <c r="E1771" t="s">
        <v>41</v>
      </c>
      <c r="H1771" t="s">
        <v>6532</v>
      </c>
      <c r="J1771" t="s">
        <v>108</v>
      </c>
      <c r="K1771" t="s">
        <v>109</v>
      </c>
      <c r="L1771">
        <v>5</v>
      </c>
      <c r="M1771" t="s">
        <v>6533</v>
      </c>
      <c r="N1771" t="s">
        <v>59</v>
      </c>
      <c r="O1771" t="s">
        <v>47</v>
      </c>
      <c r="P1771" t="s">
        <v>47</v>
      </c>
      <c r="Y1771" t="s">
        <v>6532</v>
      </c>
      <c r="AG1771" t="s">
        <v>48</v>
      </c>
    </row>
    <row r="1772" spans="1:33">
      <c r="A1772" t="s">
        <v>6534</v>
      </c>
      <c r="B1772" t="s">
        <v>6535</v>
      </c>
      <c r="D1772" t="s">
        <v>40</v>
      </c>
      <c r="E1772" t="s">
        <v>41</v>
      </c>
      <c r="J1772" t="s">
        <v>290</v>
      </c>
      <c r="K1772" t="s">
        <v>291</v>
      </c>
      <c r="L1772">
        <v>5</v>
      </c>
      <c r="M1772" t="s">
        <v>6533</v>
      </c>
      <c r="N1772" t="s">
        <v>59</v>
      </c>
      <c r="O1772" t="s">
        <v>47</v>
      </c>
      <c r="P1772" t="s">
        <v>47</v>
      </c>
      <c r="Y1772" t="s">
        <v>6536</v>
      </c>
      <c r="AG1772" t="s">
        <v>48</v>
      </c>
    </row>
    <row r="1773" spans="1:33">
      <c r="A1773" t="s">
        <v>6537</v>
      </c>
      <c r="B1773" t="s">
        <v>6538</v>
      </c>
      <c r="D1773" t="s">
        <v>40</v>
      </c>
      <c r="E1773" t="s">
        <v>41</v>
      </c>
      <c r="J1773" t="s">
        <v>270</v>
      </c>
      <c r="K1773" t="s">
        <v>271</v>
      </c>
      <c r="L1773">
        <v>5</v>
      </c>
      <c r="M1773" t="s">
        <v>6539</v>
      </c>
      <c r="N1773" t="s">
        <v>59</v>
      </c>
      <c r="O1773" t="s">
        <v>47</v>
      </c>
      <c r="P1773" t="s">
        <v>47</v>
      </c>
      <c r="Y1773" t="s">
        <v>6540</v>
      </c>
      <c r="AG1773" t="s">
        <v>48</v>
      </c>
    </row>
    <row r="1774" spans="1:33">
      <c r="A1774" t="s">
        <v>6541</v>
      </c>
      <c r="B1774" t="s">
        <v>6542</v>
      </c>
      <c r="D1774" t="s">
        <v>40</v>
      </c>
      <c r="E1774" t="s">
        <v>41</v>
      </c>
      <c r="J1774" t="s">
        <v>270</v>
      </c>
      <c r="K1774" t="s">
        <v>271</v>
      </c>
      <c r="L1774">
        <v>5</v>
      </c>
      <c r="M1774" t="s">
        <v>6539</v>
      </c>
      <c r="N1774" t="s">
        <v>59</v>
      </c>
      <c r="O1774" t="s">
        <v>47</v>
      </c>
      <c r="P1774" t="s">
        <v>47</v>
      </c>
      <c r="Y1774" t="s">
        <v>6543</v>
      </c>
      <c r="AG1774" t="s">
        <v>48</v>
      </c>
    </row>
    <row r="1775" spans="1:33">
      <c r="A1775" t="s">
        <v>6544</v>
      </c>
      <c r="B1775" t="s">
        <v>6545</v>
      </c>
      <c r="D1775" t="s">
        <v>40</v>
      </c>
      <c r="E1775" t="s">
        <v>41</v>
      </c>
      <c r="J1775" t="s">
        <v>162</v>
      </c>
      <c r="K1775" t="s">
        <v>163</v>
      </c>
      <c r="L1775">
        <v>5</v>
      </c>
      <c r="M1775" t="s">
        <v>6539</v>
      </c>
      <c r="N1775" t="s">
        <v>59</v>
      </c>
      <c r="O1775" t="s">
        <v>47</v>
      </c>
      <c r="P1775" t="s">
        <v>47</v>
      </c>
      <c r="Y1775" t="s">
        <v>6546</v>
      </c>
      <c r="AG1775" t="s">
        <v>48</v>
      </c>
    </row>
    <row r="1776" spans="1:33">
      <c r="A1776" t="s">
        <v>6547</v>
      </c>
      <c r="B1776" t="s">
        <v>6548</v>
      </c>
      <c r="D1776" t="s">
        <v>40</v>
      </c>
      <c r="E1776" t="s">
        <v>41</v>
      </c>
      <c r="J1776" t="s">
        <v>270</v>
      </c>
      <c r="K1776" t="s">
        <v>271</v>
      </c>
      <c r="L1776">
        <v>5</v>
      </c>
      <c r="M1776" t="s">
        <v>6549</v>
      </c>
      <c r="N1776" t="s">
        <v>59</v>
      </c>
      <c r="O1776" t="s">
        <v>47</v>
      </c>
      <c r="P1776" t="s">
        <v>47</v>
      </c>
      <c r="Y1776" t="s">
        <v>6550</v>
      </c>
      <c r="AG1776" t="s">
        <v>48</v>
      </c>
    </row>
    <row r="1777" spans="1:33">
      <c r="A1777" t="s">
        <v>6551</v>
      </c>
      <c r="B1777" t="s">
        <v>6552</v>
      </c>
      <c r="D1777" t="s">
        <v>40</v>
      </c>
      <c r="E1777" t="s">
        <v>41</v>
      </c>
      <c r="J1777" t="s">
        <v>108</v>
      </c>
      <c r="K1777" t="s">
        <v>109</v>
      </c>
      <c r="L1777">
        <v>5</v>
      </c>
      <c r="M1777" t="s">
        <v>6553</v>
      </c>
      <c r="N1777" t="s">
        <v>59</v>
      </c>
      <c r="O1777" t="s">
        <v>47</v>
      </c>
      <c r="P1777" t="s">
        <v>47</v>
      </c>
      <c r="Y1777" t="s">
        <v>6554</v>
      </c>
      <c r="AG1777" t="s">
        <v>48</v>
      </c>
    </row>
    <row r="1778" spans="1:33">
      <c r="A1778" t="s">
        <v>6555</v>
      </c>
      <c r="B1778" t="s">
        <v>6556</v>
      </c>
      <c r="D1778" t="s">
        <v>40</v>
      </c>
      <c r="E1778" t="s">
        <v>41</v>
      </c>
      <c r="J1778" t="s">
        <v>290</v>
      </c>
      <c r="K1778" t="s">
        <v>291</v>
      </c>
      <c r="L1778">
        <v>5</v>
      </c>
      <c r="M1778" t="s">
        <v>6553</v>
      </c>
      <c r="N1778" t="s">
        <v>59</v>
      </c>
      <c r="O1778" t="s">
        <v>47</v>
      </c>
      <c r="P1778" t="s">
        <v>47</v>
      </c>
      <c r="Y1778" t="s">
        <v>6557</v>
      </c>
      <c r="AG1778" t="s">
        <v>48</v>
      </c>
    </row>
    <row r="1779" spans="1:33">
      <c r="A1779" t="s">
        <v>6558</v>
      </c>
      <c r="B1779" t="s">
        <v>6559</v>
      </c>
      <c r="D1779" t="s">
        <v>40</v>
      </c>
      <c r="E1779" t="s">
        <v>41</v>
      </c>
      <c r="J1779" t="s">
        <v>270</v>
      </c>
      <c r="K1779" t="s">
        <v>271</v>
      </c>
      <c r="L1779">
        <v>5</v>
      </c>
      <c r="M1779" t="s">
        <v>6560</v>
      </c>
      <c r="N1779" t="s">
        <v>59</v>
      </c>
      <c r="O1779" t="s">
        <v>47</v>
      </c>
      <c r="P1779" t="s">
        <v>47</v>
      </c>
      <c r="Y1779" t="s">
        <v>6561</v>
      </c>
      <c r="AG1779" t="s">
        <v>48</v>
      </c>
    </row>
    <row r="1780" spans="1:33">
      <c r="A1780" t="s">
        <v>6562</v>
      </c>
      <c r="B1780" t="s">
        <v>6563</v>
      </c>
      <c r="D1780" t="s">
        <v>40</v>
      </c>
      <c r="E1780" t="s">
        <v>41</v>
      </c>
      <c r="J1780" t="s">
        <v>162</v>
      </c>
      <c r="K1780" t="s">
        <v>163</v>
      </c>
      <c r="L1780">
        <v>5</v>
      </c>
      <c r="M1780" t="s">
        <v>6564</v>
      </c>
      <c r="N1780" t="s">
        <v>59</v>
      </c>
      <c r="O1780" t="s">
        <v>47</v>
      </c>
      <c r="P1780" t="s">
        <v>47</v>
      </c>
      <c r="Y1780" t="s">
        <v>6565</v>
      </c>
      <c r="AG1780" t="s">
        <v>48</v>
      </c>
    </row>
    <row r="1781" spans="1:33">
      <c r="A1781" t="s">
        <v>6566</v>
      </c>
      <c r="B1781" t="s">
        <v>6567</v>
      </c>
      <c r="D1781" t="s">
        <v>40</v>
      </c>
      <c r="E1781" t="s">
        <v>41</v>
      </c>
      <c r="J1781" t="s">
        <v>43</v>
      </c>
      <c r="K1781" t="s">
        <v>44</v>
      </c>
      <c r="L1781">
        <v>5</v>
      </c>
      <c r="M1781" t="s">
        <v>6568</v>
      </c>
      <c r="N1781" t="s">
        <v>192</v>
      </c>
      <c r="O1781" t="s">
        <v>47</v>
      </c>
      <c r="P1781" t="s">
        <v>47</v>
      </c>
      <c r="Y1781" t="s">
        <v>6569</v>
      </c>
      <c r="AG1781" t="s">
        <v>48</v>
      </c>
    </row>
    <row r="1782" spans="1:33">
      <c r="A1782" t="s">
        <v>6570</v>
      </c>
      <c r="B1782" t="s">
        <v>6571</v>
      </c>
      <c r="D1782" t="s">
        <v>40</v>
      </c>
      <c r="E1782" t="s">
        <v>41</v>
      </c>
      <c r="J1782" t="s">
        <v>290</v>
      </c>
      <c r="K1782" t="s">
        <v>291</v>
      </c>
      <c r="L1782">
        <v>5</v>
      </c>
      <c r="M1782" t="s">
        <v>6572</v>
      </c>
      <c r="N1782" t="s">
        <v>59</v>
      </c>
      <c r="O1782" t="s">
        <v>47</v>
      </c>
      <c r="P1782" t="s">
        <v>47</v>
      </c>
      <c r="Y1782" t="s">
        <v>6573</v>
      </c>
      <c r="AG1782" t="s">
        <v>48</v>
      </c>
    </row>
    <row r="1783" spans="1:33">
      <c r="A1783" t="s">
        <v>6574</v>
      </c>
      <c r="B1783" t="s">
        <v>6575</v>
      </c>
      <c r="D1783" t="s">
        <v>40</v>
      </c>
      <c r="E1783" t="s">
        <v>41</v>
      </c>
      <c r="J1783" t="s">
        <v>162</v>
      </c>
      <c r="K1783" t="s">
        <v>163</v>
      </c>
      <c r="L1783">
        <v>5</v>
      </c>
      <c r="M1783" t="s">
        <v>6576</v>
      </c>
      <c r="N1783" t="s">
        <v>59</v>
      </c>
      <c r="O1783" t="s">
        <v>47</v>
      </c>
      <c r="P1783" t="s">
        <v>47</v>
      </c>
      <c r="Y1783" t="s">
        <v>6577</v>
      </c>
      <c r="AG1783" t="s">
        <v>48</v>
      </c>
    </row>
    <row r="1784" spans="1:33">
      <c r="A1784" t="s">
        <v>6578</v>
      </c>
      <c r="B1784" t="s">
        <v>6579</v>
      </c>
      <c r="D1784" t="s">
        <v>40</v>
      </c>
      <c r="E1784" t="s">
        <v>41</v>
      </c>
      <c r="J1784" t="s">
        <v>108</v>
      </c>
      <c r="K1784" t="s">
        <v>109</v>
      </c>
      <c r="L1784">
        <v>5</v>
      </c>
      <c r="M1784" t="s">
        <v>6576</v>
      </c>
      <c r="N1784" t="s">
        <v>59</v>
      </c>
      <c r="O1784" t="s">
        <v>47</v>
      </c>
      <c r="P1784" t="s">
        <v>47</v>
      </c>
      <c r="Y1784" t="s">
        <v>6580</v>
      </c>
      <c r="AG1784" t="s">
        <v>48</v>
      </c>
    </row>
    <row r="1785" spans="1:33">
      <c r="A1785" t="s">
        <v>6581</v>
      </c>
      <c r="B1785" t="s">
        <v>6582</v>
      </c>
      <c r="D1785" t="s">
        <v>40</v>
      </c>
      <c r="E1785" t="s">
        <v>41</v>
      </c>
      <c r="H1785" t="s">
        <v>6583</v>
      </c>
      <c r="J1785" t="s">
        <v>63</v>
      </c>
      <c r="K1785" t="s">
        <v>64</v>
      </c>
      <c r="L1785">
        <v>5</v>
      </c>
      <c r="M1785" t="s">
        <v>6584</v>
      </c>
      <c r="N1785" t="s">
        <v>59</v>
      </c>
      <c r="O1785" t="s">
        <v>47</v>
      </c>
      <c r="P1785" t="s">
        <v>47</v>
      </c>
      <c r="Y1785" t="s">
        <v>6583</v>
      </c>
      <c r="AG1785" t="s">
        <v>48</v>
      </c>
    </row>
    <row r="1786" spans="1:33">
      <c r="A1786" t="s">
        <v>6585</v>
      </c>
      <c r="B1786" t="s">
        <v>6586</v>
      </c>
      <c r="D1786" t="s">
        <v>40</v>
      </c>
      <c r="E1786" t="s">
        <v>41</v>
      </c>
      <c r="J1786" t="s">
        <v>290</v>
      </c>
      <c r="K1786" t="s">
        <v>291</v>
      </c>
      <c r="L1786">
        <v>5</v>
      </c>
      <c r="M1786" t="s">
        <v>6587</v>
      </c>
      <c r="N1786" t="s">
        <v>59</v>
      </c>
      <c r="O1786" t="s">
        <v>47</v>
      </c>
      <c r="P1786" t="s">
        <v>47</v>
      </c>
      <c r="Y1786" t="s">
        <v>6588</v>
      </c>
      <c r="AG1786" t="s">
        <v>48</v>
      </c>
    </row>
    <row r="1787" spans="1:33">
      <c r="A1787" t="s">
        <v>6589</v>
      </c>
      <c r="B1787" t="s">
        <v>6590</v>
      </c>
      <c r="D1787" t="s">
        <v>40</v>
      </c>
      <c r="E1787" t="s">
        <v>41</v>
      </c>
      <c r="J1787" t="s">
        <v>108</v>
      </c>
      <c r="K1787" t="s">
        <v>109</v>
      </c>
      <c r="L1787">
        <v>5</v>
      </c>
      <c r="M1787" t="s">
        <v>6587</v>
      </c>
      <c r="N1787" t="s">
        <v>59</v>
      </c>
      <c r="O1787" t="s">
        <v>47</v>
      </c>
      <c r="P1787" t="s">
        <v>47</v>
      </c>
      <c r="Y1787" t="s">
        <v>6591</v>
      </c>
      <c r="AG1787" t="s">
        <v>48</v>
      </c>
    </row>
    <row r="1788" spans="1:33">
      <c r="A1788" t="s">
        <v>6592</v>
      </c>
      <c r="B1788" t="s">
        <v>6593</v>
      </c>
      <c r="D1788" t="s">
        <v>40</v>
      </c>
      <c r="E1788" t="s">
        <v>41</v>
      </c>
      <c r="H1788" t="s">
        <v>6594</v>
      </c>
      <c r="J1788" t="s">
        <v>86</v>
      </c>
      <c r="K1788" t="s">
        <v>87</v>
      </c>
      <c r="L1788">
        <v>5</v>
      </c>
      <c r="M1788" t="s">
        <v>6587</v>
      </c>
      <c r="N1788" t="s">
        <v>192</v>
      </c>
      <c r="O1788" t="s">
        <v>47</v>
      </c>
      <c r="P1788" t="s">
        <v>47</v>
      </c>
      <c r="Y1788" t="s">
        <v>6594</v>
      </c>
      <c r="AG1788" t="s">
        <v>48</v>
      </c>
    </row>
    <row r="1789" spans="1:33">
      <c r="A1789" t="s">
        <v>6595</v>
      </c>
      <c r="B1789" t="s">
        <v>6596</v>
      </c>
      <c r="D1789" t="s">
        <v>40</v>
      </c>
      <c r="E1789" t="s">
        <v>41</v>
      </c>
      <c r="J1789" t="s">
        <v>129</v>
      </c>
      <c r="K1789" t="s">
        <v>130</v>
      </c>
      <c r="L1789">
        <v>5</v>
      </c>
      <c r="M1789" t="s">
        <v>6597</v>
      </c>
      <c r="N1789" t="s">
        <v>192</v>
      </c>
      <c r="O1789" t="s">
        <v>47</v>
      </c>
      <c r="P1789" t="s">
        <v>47</v>
      </c>
      <c r="Y1789" t="s">
        <v>6598</v>
      </c>
      <c r="AG1789" t="s">
        <v>48</v>
      </c>
    </row>
    <row r="1790" spans="1:33">
      <c r="A1790" t="s">
        <v>6599</v>
      </c>
      <c r="B1790" t="s">
        <v>6600</v>
      </c>
      <c r="D1790" t="s">
        <v>40</v>
      </c>
      <c r="E1790" t="s">
        <v>41</v>
      </c>
      <c r="J1790" t="s">
        <v>270</v>
      </c>
      <c r="K1790" t="s">
        <v>271</v>
      </c>
      <c r="L1790">
        <v>5</v>
      </c>
      <c r="M1790" t="s">
        <v>6597</v>
      </c>
      <c r="N1790" t="s">
        <v>59</v>
      </c>
      <c r="O1790" t="s">
        <v>47</v>
      </c>
      <c r="P1790" t="s">
        <v>47</v>
      </c>
      <c r="Y1790" t="s">
        <v>6601</v>
      </c>
      <c r="AG1790" t="s">
        <v>48</v>
      </c>
    </row>
    <row r="1791" spans="1:33">
      <c r="A1791" t="s">
        <v>6602</v>
      </c>
      <c r="B1791" t="s">
        <v>6603</v>
      </c>
      <c r="D1791" t="s">
        <v>40</v>
      </c>
      <c r="E1791" t="s">
        <v>41</v>
      </c>
      <c r="J1791" t="s">
        <v>108</v>
      </c>
      <c r="K1791" t="s">
        <v>109</v>
      </c>
      <c r="L1791">
        <v>5</v>
      </c>
      <c r="M1791" t="s">
        <v>6604</v>
      </c>
      <c r="N1791" t="s">
        <v>59</v>
      </c>
      <c r="O1791" t="s">
        <v>47</v>
      </c>
      <c r="P1791" t="s">
        <v>47</v>
      </c>
      <c r="Y1791" t="s">
        <v>6605</v>
      </c>
      <c r="AG1791" t="s">
        <v>48</v>
      </c>
    </row>
    <row r="1792" spans="1:33">
      <c r="A1792" t="s">
        <v>6606</v>
      </c>
      <c r="B1792" t="s">
        <v>6607</v>
      </c>
      <c r="D1792" t="s">
        <v>40</v>
      </c>
      <c r="E1792" t="s">
        <v>41</v>
      </c>
      <c r="J1792" t="s">
        <v>290</v>
      </c>
      <c r="K1792" t="s">
        <v>291</v>
      </c>
      <c r="L1792">
        <v>5</v>
      </c>
      <c r="M1792" t="s">
        <v>6604</v>
      </c>
      <c r="N1792" t="s">
        <v>59</v>
      </c>
      <c r="O1792" t="s">
        <v>47</v>
      </c>
      <c r="P1792" t="s">
        <v>47</v>
      </c>
      <c r="Y1792" t="s">
        <v>6608</v>
      </c>
      <c r="AG1792" t="s">
        <v>48</v>
      </c>
    </row>
    <row r="1793" spans="1:33">
      <c r="A1793" t="s">
        <v>6609</v>
      </c>
      <c r="B1793" t="s">
        <v>6610</v>
      </c>
      <c r="D1793" t="s">
        <v>40</v>
      </c>
      <c r="E1793" t="s">
        <v>41</v>
      </c>
      <c r="J1793" t="s">
        <v>290</v>
      </c>
      <c r="K1793" t="s">
        <v>291</v>
      </c>
      <c r="L1793">
        <v>5</v>
      </c>
      <c r="M1793" t="s">
        <v>6611</v>
      </c>
      <c r="N1793" t="s">
        <v>59</v>
      </c>
      <c r="O1793" t="s">
        <v>47</v>
      </c>
      <c r="P1793" t="s">
        <v>47</v>
      </c>
      <c r="Y1793" t="s">
        <v>6612</v>
      </c>
      <c r="AG1793" t="s">
        <v>48</v>
      </c>
    </row>
    <row r="1794" spans="1:33">
      <c r="A1794" t="s">
        <v>6613</v>
      </c>
      <c r="B1794" t="s">
        <v>6614</v>
      </c>
      <c r="D1794" t="s">
        <v>40</v>
      </c>
      <c r="E1794" t="s">
        <v>41</v>
      </c>
      <c r="J1794" t="s">
        <v>129</v>
      </c>
      <c r="K1794" t="s">
        <v>130</v>
      </c>
      <c r="L1794">
        <v>5</v>
      </c>
      <c r="M1794" t="s">
        <v>6611</v>
      </c>
      <c r="N1794" t="s">
        <v>192</v>
      </c>
      <c r="O1794" t="s">
        <v>47</v>
      </c>
      <c r="P1794" t="s">
        <v>47</v>
      </c>
      <c r="Y1794" t="s">
        <v>6615</v>
      </c>
      <c r="AG1794" t="s">
        <v>48</v>
      </c>
    </row>
    <row r="1795" spans="1:33">
      <c r="A1795" t="s">
        <v>6616</v>
      </c>
      <c r="B1795" t="s">
        <v>6617</v>
      </c>
      <c r="D1795" t="s">
        <v>40</v>
      </c>
      <c r="E1795" t="s">
        <v>41</v>
      </c>
      <c r="H1795" t="s">
        <v>6618</v>
      </c>
      <c r="J1795" t="s">
        <v>63</v>
      </c>
      <c r="K1795" t="s">
        <v>64</v>
      </c>
      <c r="L1795">
        <v>5</v>
      </c>
      <c r="M1795" t="s">
        <v>6619</v>
      </c>
      <c r="N1795" t="s">
        <v>59</v>
      </c>
      <c r="O1795" t="s">
        <v>47</v>
      </c>
      <c r="P1795" t="s">
        <v>47</v>
      </c>
      <c r="Y1795" t="s">
        <v>6618</v>
      </c>
      <c r="AG1795" t="s">
        <v>48</v>
      </c>
    </row>
    <row r="1796" spans="1:33">
      <c r="A1796" t="s">
        <v>6620</v>
      </c>
      <c r="B1796" t="s">
        <v>6621</v>
      </c>
      <c r="D1796" t="s">
        <v>40</v>
      </c>
      <c r="E1796" t="s">
        <v>41</v>
      </c>
      <c r="H1796" t="s">
        <v>6622</v>
      </c>
      <c r="J1796" t="s">
        <v>63</v>
      </c>
      <c r="K1796" t="s">
        <v>64</v>
      </c>
      <c r="L1796">
        <v>5</v>
      </c>
      <c r="M1796" t="s">
        <v>6623</v>
      </c>
      <c r="N1796" t="s">
        <v>59</v>
      </c>
      <c r="O1796" t="s">
        <v>47</v>
      </c>
      <c r="P1796" t="s">
        <v>47</v>
      </c>
      <c r="Y1796" t="s">
        <v>6622</v>
      </c>
      <c r="AG1796" t="s">
        <v>48</v>
      </c>
    </row>
    <row r="1797" spans="1:33">
      <c r="A1797" t="s">
        <v>6624</v>
      </c>
      <c r="B1797" t="s">
        <v>6625</v>
      </c>
      <c r="D1797" t="s">
        <v>40</v>
      </c>
      <c r="E1797" t="s">
        <v>41</v>
      </c>
      <c r="H1797" t="s">
        <v>6626</v>
      </c>
      <c r="J1797" t="s">
        <v>63</v>
      </c>
      <c r="K1797" t="s">
        <v>64</v>
      </c>
      <c r="L1797">
        <v>5</v>
      </c>
      <c r="M1797" t="s">
        <v>6627</v>
      </c>
      <c r="N1797" t="s">
        <v>59</v>
      </c>
      <c r="O1797" t="s">
        <v>47</v>
      </c>
      <c r="P1797" t="s">
        <v>47</v>
      </c>
      <c r="Y1797" t="s">
        <v>6626</v>
      </c>
      <c r="AG1797" t="s">
        <v>48</v>
      </c>
    </row>
    <row r="1798" spans="1:33">
      <c r="A1798" t="s">
        <v>6628</v>
      </c>
      <c r="B1798" t="s">
        <v>6629</v>
      </c>
      <c r="D1798" t="s">
        <v>40</v>
      </c>
      <c r="E1798" t="s">
        <v>41</v>
      </c>
      <c r="H1798" t="s">
        <v>6630</v>
      </c>
      <c r="J1798" t="s">
        <v>63</v>
      </c>
      <c r="K1798" t="s">
        <v>64</v>
      </c>
      <c r="L1798">
        <v>5</v>
      </c>
      <c r="M1798" t="s">
        <v>6631</v>
      </c>
      <c r="N1798" t="s">
        <v>59</v>
      </c>
      <c r="O1798" t="s">
        <v>47</v>
      </c>
      <c r="P1798" t="s">
        <v>47</v>
      </c>
      <c r="Y1798" t="s">
        <v>6630</v>
      </c>
      <c r="AG1798" t="s">
        <v>48</v>
      </c>
    </row>
    <row r="1799" spans="1:33">
      <c r="A1799" t="s">
        <v>6632</v>
      </c>
      <c r="B1799" t="s">
        <v>6633</v>
      </c>
      <c r="D1799" t="s">
        <v>40</v>
      </c>
      <c r="E1799" t="s">
        <v>41</v>
      </c>
      <c r="J1799" t="s">
        <v>290</v>
      </c>
      <c r="K1799" t="s">
        <v>291</v>
      </c>
      <c r="L1799">
        <v>5</v>
      </c>
      <c r="M1799" t="s">
        <v>6634</v>
      </c>
      <c r="N1799" t="s">
        <v>59</v>
      </c>
      <c r="O1799" t="s">
        <v>47</v>
      </c>
      <c r="P1799" t="s">
        <v>47</v>
      </c>
      <c r="Y1799" t="s">
        <v>6635</v>
      </c>
      <c r="AG1799" t="s">
        <v>48</v>
      </c>
    </row>
    <row r="1800" spans="1:33">
      <c r="A1800" t="s">
        <v>6636</v>
      </c>
      <c r="B1800" t="s">
        <v>6637</v>
      </c>
      <c r="D1800" t="s">
        <v>40</v>
      </c>
      <c r="E1800" t="s">
        <v>41</v>
      </c>
      <c r="J1800" t="s">
        <v>290</v>
      </c>
      <c r="K1800" t="s">
        <v>291</v>
      </c>
      <c r="L1800">
        <v>5</v>
      </c>
      <c r="M1800" t="s">
        <v>6634</v>
      </c>
      <c r="N1800" t="s">
        <v>59</v>
      </c>
      <c r="O1800" t="s">
        <v>47</v>
      </c>
      <c r="P1800" t="s">
        <v>47</v>
      </c>
      <c r="Y1800" t="s">
        <v>6638</v>
      </c>
      <c r="AG1800" t="s">
        <v>48</v>
      </c>
    </row>
    <row r="1801" spans="1:33">
      <c r="A1801" t="s">
        <v>6639</v>
      </c>
      <c r="B1801" t="s">
        <v>6640</v>
      </c>
      <c r="D1801" t="s">
        <v>40</v>
      </c>
      <c r="E1801" t="s">
        <v>41</v>
      </c>
      <c r="J1801" t="s">
        <v>270</v>
      </c>
      <c r="K1801" t="s">
        <v>271</v>
      </c>
      <c r="L1801">
        <v>5</v>
      </c>
      <c r="M1801" t="s">
        <v>6634</v>
      </c>
      <c r="N1801" t="s">
        <v>59</v>
      </c>
      <c r="O1801" t="s">
        <v>47</v>
      </c>
      <c r="P1801" t="s">
        <v>47</v>
      </c>
      <c r="Y1801" t="s">
        <v>6641</v>
      </c>
      <c r="AG1801" t="s">
        <v>48</v>
      </c>
    </row>
    <row r="1802" spans="1:33">
      <c r="A1802" t="s">
        <v>6642</v>
      </c>
      <c r="B1802" t="s">
        <v>6643</v>
      </c>
      <c r="D1802" t="s">
        <v>40</v>
      </c>
      <c r="E1802" t="s">
        <v>41</v>
      </c>
      <c r="H1802" t="s">
        <v>6644</v>
      </c>
      <c r="J1802" t="s">
        <v>63</v>
      </c>
      <c r="K1802" t="s">
        <v>64</v>
      </c>
      <c r="L1802">
        <v>5</v>
      </c>
      <c r="M1802" t="s">
        <v>6645</v>
      </c>
      <c r="N1802" t="s">
        <v>59</v>
      </c>
      <c r="O1802" t="s">
        <v>47</v>
      </c>
      <c r="P1802" t="s">
        <v>47</v>
      </c>
      <c r="Y1802" t="s">
        <v>6644</v>
      </c>
      <c r="AG1802" t="s">
        <v>48</v>
      </c>
    </row>
    <row r="1803" spans="1:33">
      <c r="A1803" t="s">
        <v>6646</v>
      </c>
      <c r="B1803" t="s">
        <v>6647</v>
      </c>
      <c r="D1803" t="s">
        <v>40</v>
      </c>
      <c r="E1803" t="s">
        <v>41</v>
      </c>
      <c r="J1803" t="s">
        <v>290</v>
      </c>
      <c r="K1803" t="s">
        <v>291</v>
      </c>
      <c r="L1803">
        <v>5</v>
      </c>
      <c r="M1803" t="s">
        <v>6648</v>
      </c>
      <c r="N1803" t="s">
        <v>59</v>
      </c>
      <c r="O1803" t="s">
        <v>47</v>
      </c>
      <c r="P1803" t="s">
        <v>47</v>
      </c>
      <c r="Y1803" t="s">
        <v>6649</v>
      </c>
      <c r="AG1803" t="s">
        <v>48</v>
      </c>
    </row>
    <row r="1804" spans="1:33">
      <c r="A1804" t="s">
        <v>6650</v>
      </c>
      <c r="B1804" t="s">
        <v>6651</v>
      </c>
      <c r="D1804" t="s">
        <v>40</v>
      </c>
      <c r="E1804" t="s">
        <v>41</v>
      </c>
      <c r="J1804" t="s">
        <v>290</v>
      </c>
      <c r="K1804" t="s">
        <v>291</v>
      </c>
      <c r="L1804">
        <v>5</v>
      </c>
      <c r="M1804" t="s">
        <v>6648</v>
      </c>
      <c r="N1804" t="s">
        <v>59</v>
      </c>
      <c r="O1804" t="s">
        <v>47</v>
      </c>
      <c r="P1804" t="s">
        <v>47</v>
      </c>
      <c r="Y1804" t="s">
        <v>6652</v>
      </c>
      <c r="AG1804" t="s">
        <v>48</v>
      </c>
    </row>
    <row r="1805" spans="1:33">
      <c r="A1805" t="s">
        <v>6653</v>
      </c>
      <c r="B1805" t="s">
        <v>6654</v>
      </c>
      <c r="D1805" t="s">
        <v>40</v>
      </c>
      <c r="E1805" t="s">
        <v>41</v>
      </c>
      <c r="J1805" t="s">
        <v>270</v>
      </c>
      <c r="K1805" t="s">
        <v>271</v>
      </c>
      <c r="L1805">
        <v>5</v>
      </c>
      <c r="M1805" t="s">
        <v>6655</v>
      </c>
      <c r="N1805" t="s">
        <v>59</v>
      </c>
      <c r="O1805" t="s">
        <v>47</v>
      </c>
      <c r="P1805" t="s">
        <v>47</v>
      </c>
      <c r="Y1805" t="s">
        <v>6656</v>
      </c>
      <c r="AG1805" t="s">
        <v>48</v>
      </c>
    </row>
    <row r="1806" spans="1:33">
      <c r="A1806" t="s">
        <v>6657</v>
      </c>
      <c r="B1806" t="s">
        <v>6658</v>
      </c>
      <c r="D1806" t="s">
        <v>40</v>
      </c>
      <c r="E1806" t="s">
        <v>41</v>
      </c>
      <c r="J1806" t="s">
        <v>162</v>
      </c>
      <c r="K1806" t="s">
        <v>163</v>
      </c>
      <c r="L1806">
        <v>5</v>
      </c>
      <c r="M1806" t="s">
        <v>6655</v>
      </c>
      <c r="N1806" t="s">
        <v>59</v>
      </c>
      <c r="O1806" t="s">
        <v>47</v>
      </c>
      <c r="P1806" t="s">
        <v>47</v>
      </c>
      <c r="Y1806" t="s">
        <v>6659</v>
      </c>
      <c r="AG1806" t="s">
        <v>48</v>
      </c>
    </row>
    <row r="1807" spans="1:33">
      <c r="A1807" t="s">
        <v>6660</v>
      </c>
      <c r="B1807" t="s">
        <v>6661</v>
      </c>
      <c r="D1807" t="s">
        <v>40</v>
      </c>
      <c r="E1807" t="s">
        <v>41</v>
      </c>
      <c r="J1807" t="s">
        <v>270</v>
      </c>
      <c r="K1807" t="s">
        <v>271</v>
      </c>
      <c r="L1807">
        <v>5</v>
      </c>
      <c r="M1807" t="s">
        <v>6662</v>
      </c>
      <c r="N1807" t="s">
        <v>59</v>
      </c>
      <c r="O1807" t="s">
        <v>47</v>
      </c>
      <c r="P1807" t="s">
        <v>47</v>
      </c>
      <c r="Y1807" t="s">
        <v>6663</v>
      </c>
      <c r="AG1807" t="s">
        <v>48</v>
      </c>
    </row>
    <row r="1808" spans="1:33">
      <c r="A1808" t="s">
        <v>6664</v>
      </c>
      <c r="B1808" t="s">
        <v>6665</v>
      </c>
      <c r="D1808" t="s">
        <v>40</v>
      </c>
      <c r="E1808" t="s">
        <v>41</v>
      </c>
      <c r="J1808" t="s">
        <v>43</v>
      </c>
      <c r="K1808" t="s">
        <v>44</v>
      </c>
      <c r="L1808">
        <v>5</v>
      </c>
      <c r="M1808" t="s">
        <v>6666</v>
      </c>
      <c r="N1808" t="s">
        <v>192</v>
      </c>
      <c r="O1808" t="s">
        <v>47</v>
      </c>
      <c r="P1808" t="s">
        <v>47</v>
      </c>
      <c r="Y1808" t="s">
        <v>6667</v>
      </c>
      <c r="AG1808" t="s">
        <v>48</v>
      </c>
    </row>
    <row r="1809" spans="1:33">
      <c r="A1809" t="s">
        <v>6668</v>
      </c>
      <c r="B1809" t="s">
        <v>6669</v>
      </c>
      <c r="D1809" t="s">
        <v>40</v>
      </c>
      <c r="E1809" t="s">
        <v>41</v>
      </c>
      <c r="J1809" t="s">
        <v>290</v>
      </c>
      <c r="K1809" t="s">
        <v>291</v>
      </c>
      <c r="L1809">
        <v>5</v>
      </c>
      <c r="M1809" t="s">
        <v>6670</v>
      </c>
      <c r="N1809" t="s">
        <v>59</v>
      </c>
      <c r="O1809" t="s">
        <v>47</v>
      </c>
      <c r="P1809" t="s">
        <v>47</v>
      </c>
      <c r="Y1809" t="s">
        <v>6671</v>
      </c>
      <c r="AG1809" t="s">
        <v>48</v>
      </c>
    </row>
    <row r="1810" spans="1:33">
      <c r="A1810" t="s">
        <v>6672</v>
      </c>
      <c r="B1810" t="s">
        <v>6673</v>
      </c>
      <c r="D1810" t="s">
        <v>40</v>
      </c>
      <c r="E1810" t="s">
        <v>41</v>
      </c>
      <c r="J1810" t="s">
        <v>290</v>
      </c>
      <c r="K1810" t="s">
        <v>291</v>
      </c>
      <c r="L1810">
        <v>5</v>
      </c>
      <c r="M1810" t="s">
        <v>6670</v>
      </c>
      <c r="N1810" t="s">
        <v>59</v>
      </c>
      <c r="O1810" t="s">
        <v>47</v>
      </c>
      <c r="P1810" t="s">
        <v>47</v>
      </c>
      <c r="Y1810" t="s">
        <v>6674</v>
      </c>
      <c r="AG1810" t="s">
        <v>48</v>
      </c>
    </row>
    <row r="1811" spans="1:33">
      <c r="A1811" t="s">
        <v>6675</v>
      </c>
      <c r="B1811" t="s">
        <v>6676</v>
      </c>
      <c r="D1811" t="s">
        <v>40</v>
      </c>
      <c r="E1811" t="s">
        <v>41</v>
      </c>
      <c r="J1811" t="s">
        <v>129</v>
      </c>
      <c r="K1811" t="s">
        <v>130</v>
      </c>
      <c r="L1811">
        <v>5</v>
      </c>
      <c r="M1811" t="s">
        <v>6670</v>
      </c>
      <c r="N1811" t="s">
        <v>218</v>
      </c>
      <c r="O1811" t="s">
        <v>47</v>
      </c>
      <c r="P1811" t="s">
        <v>47</v>
      </c>
      <c r="Y1811" t="s">
        <v>6677</v>
      </c>
      <c r="AG1811" t="s">
        <v>48</v>
      </c>
    </row>
    <row r="1812" spans="1:33">
      <c r="A1812" t="s">
        <v>6678</v>
      </c>
      <c r="B1812" t="s">
        <v>6679</v>
      </c>
      <c r="D1812" t="s">
        <v>40</v>
      </c>
      <c r="E1812" t="s">
        <v>41</v>
      </c>
      <c r="H1812" t="s">
        <v>6680</v>
      </c>
      <c r="J1812" t="s">
        <v>290</v>
      </c>
      <c r="K1812" t="s">
        <v>291</v>
      </c>
      <c r="L1812">
        <v>5</v>
      </c>
      <c r="M1812" t="s">
        <v>6670</v>
      </c>
      <c r="N1812" t="s">
        <v>59</v>
      </c>
      <c r="O1812" t="s">
        <v>47</v>
      </c>
      <c r="P1812" t="s">
        <v>47</v>
      </c>
      <c r="Y1812" t="s">
        <v>6680</v>
      </c>
      <c r="AG1812" t="s">
        <v>48</v>
      </c>
    </row>
    <row r="1813" spans="1:33">
      <c r="A1813" t="s">
        <v>6681</v>
      </c>
      <c r="B1813" t="s">
        <v>6682</v>
      </c>
      <c r="D1813" t="s">
        <v>40</v>
      </c>
      <c r="E1813" t="s">
        <v>41</v>
      </c>
      <c r="J1813" t="s">
        <v>114</v>
      </c>
      <c r="K1813" t="s">
        <v>115</v>
      </c>
      <c r="L1813">
        <v>5</v>
      </c>
      <c r="M1813" t="s">
        <v>6670</v>
      </c>
      <c r="N1813" t="s">
        <v>59</v>
      </c>
      <c r="O1813" t="s">
        <v>47</v>
      </c>
      <c r="P1813" t="s">
        <v>47</v>
      </c>
      <c r="Y1813" t="s">
        <v>6683</v>
      </c>
      <c r="AG1813" t="s">
        <v>48</v>
      </c>
    </row>
    <row r="1814" spans="1:33">
      <c r="A1814" t="s">
        <v>6684</v>
      </c>
      <c r="B1814" t="s">
        <v>6685</v>
      </c>
      <c r="D1814" t="s">
        <v>40</v>
      </c>
      <c r="E1814" t="s">
        <v>41</v>
      </c>
      <c r="J1814" t="s">
        <v>108</v>
      </c>
      <c r="K1814" t="s">
        <v>109</v>
      </c>
      <c r="L1814">
        <v>5</v>
      </c>
      <c r="M1814" t="s">
        <v>6686</v>
      </c>
      <c r="N1814" t="s">
        <v>59</v>
      </c>
      <c r="O1814" t="s">
        <v>47</v>
      </c>
      <c r="P1814" t="s">
        <v>47</v>
      </c>
      <c r="Y1814" t="s">
        <v>6687</v>
      </c>
      <c r="AG1814" t="s">
        <v>48</v>
      </c>
    </row>
    <row r="1815" spans="1:33">
      <c r="A1815" t="s">
        <v>6688</v>
      </c>
      <c r="B1815" t="s">
        <v>6689</v>
      </c>
      <c r="D1815" t="s">
        <v>40</v>
      </c>
      <c r="E1815" t="s">
        <v>41</v>
      </c>
      <c r="J1815" t="s">
        <v>123</v>
      </c>
      <c r="K1815" t="s">
        <v>124</v>
      </c>
      <c r="L1815">
        <v>5</v>
      </c>
      <c r="M1815" t="s">
        <v>6690</v>
      </c>
      <c r="N1815" t="s">
        <v>192</v>
      </c>
      <c r="O1815" t="s">
        <v>47</v>
      </c>
      <c r="P1815" t="s">
        <v>47</v>
      </c>
      <c r="Y1815" t="s">
        <v>6691</v>
      </c>
      <c r="AG1815" t="s">
        <v>48</v>
      </c>
    </row>
    <row r="1816" spans="1:33">
      <c r="A1816" t="s">
        <v>6692</v>
      </c>
      <c r="B1816" t="s">
        <v>6693</v>
      </c>
      <c r="D1816" t="s">
        <v>40</v>
      </c>
      <c r="E1816" t="s">
        <v>41</v>
      </c>
      <c r="J1816" t="s">
        <v>123</v>
      </c>
      <c r="K1816" t="s">
        <v>124</v>
      </c>
      <c r="L1816">
        <v>5</v>
      </c>
      <c r="M1816" t="s">
        <v>6690</v>
      </c>
      <c r="N1816" t="s">
        <v>218</v>
      </c>
      <c r="O1816" t="s">
        <v>47</v>
      </c>
      <c r="P1816" t="s">
        <v>47</v>
      </c>
      <c r="Y1816" t="s">
        <v>6694</v>
      </c>
      <c r="AG1816" t="s">
        <v>48</v>
      </c>
    </row>
    <row r="1817" spans="1:33">
      <c r="A1817" t="s">
        <v>6695</v>
      </c>
      <c r="B1817" t="s">
        <v>6696</v>
      </c>
      <c r="D1817" t="s">
        <v>40</v>
      </c>
      <c r="E1817" t="s">
        <v>41</v>
      </c>
      <c r="J1817" t="s">
        <v>290</v>
      </c>
      <c r="K1817" t="s">
        <v>291</v>
      </c>
      <c r="L1817">
        <v>5</v>
      </c>
      <c r="M1817" t="s">
        <v>6690</v>
      </c>
      <c r="N1817" t="s">
        <v>59</v>
      </c>
      <c r="O1817" t="s">
        <v>47</v>
      </c>
      <c r="P1817" t="s">
        <v>47</v>
      </c>
      <c r="Y1817" t="s">
        <v>6697</v>
      </c>
      <c r="AG1817" t="s">
        <v>48</v>
      </c>
    </row>
    <row r="1818" spans="1:33">
      <c r="A1818" t="s">
        <v>6698</v>
      </c>
      <c r="B1818" t="s">
        <v>6699</v>
      </c>
      <c r="D1818" t="s">
        <v>40</v>
      </c>
      <c r="E1818" t="s">
        <v>41</v>
      </c>
      <c r="H1818" t="s">
        <v>6700</v>
      </c>
      <c r="J1818" t="s">
        <v>63</v>
      </c>
      <c r="K1818" t="s">
        <v>64</v>
      </c>
      <c r="L1818">
        <v>5</v>
      </c>
      <c r="M1818" t="s">
        <v>6701</v>
      </c>
      <c r="N1818" t="s">
        <v>59</v>
      </c>
      <c r="O1818" t="s">
        <v>47</v>
      </c>
      <c r="P1818" t="s">
        <v>47</v>
      </c>
      <c r="Y1818" t="s">
        <v>6700</v>
      </c>
      <c r="AG1818" t="s">
        <v>48</v>
      </c>
    </row>
    <row r="1819" spans="1:33">
      <c r="A1819" t="s">
        <v>6702</v>
      </c>
      <c r="B1819" t="s">
        <v>6703</v>
      </c>
      <c r="D1819" t="s">
        <v>40</v>
      </c>
      <c r="E1819" t="s">
        <v>41</v>
      </c>
      <c r="J1819" t="s">
        <v>290</v>
      </c>
      <c r="K1819" t="s">
        <v>291</v>
      </c>
      <c r="L1819">
        <v>5</v>
      </c>
      <c r="M1819" t="s">
        <v>6704</v>
      </c>
      <c r="N1819" t="s">
        <v>59</v>
      </c>
      <c r="O1819" t="s">
        <v>47</v>
      </c>
      <c r="P1819" t="s">
        <v>47</v>
      </c>
      <c r="Y1819" t="s">
        <v>6705</v>
      </c>
      <c r="AG1819" t="s">
        <v>48</v>
      </c>
    </row>
    <row r="1820" spans="1:33">
      <c r="A1820" t="s">
        <v>6706</v>
      </c>
      <c r="B1820" t="s">
        <v>6707</v>
      </c>
      <c r="D1820" t="s">
        <v>40</v>
      </c>
      <c r="E1820" t="s">
        <v>41</v>
      </c>
      <c r="J1820" t="s">
        <v>108</v>
      </c>
      <c r="K1820" t="s">
        <v>109</v>
      </c>
      <c r="L1820">
        <v>5</v>
      </c>
      <c r="M1820" t="s">
        <v>6708</v>
      </c>
      <c r="N1820" t="s">
        <v>59</v>
      </c>
      <c r="O1820" t="s">
        <v>47</v>
      </c>
      <c r="P1820" t="s">
        <v>47</v>
      </c>
      <c r="Y1820" t="s">
        <v>6709</v>
      </c>
      <c r="AG1820" t="s">
        <v>48</v>
      </c>
    </row>
    <row r="1821" spans="1:33">
      <c r="A1821" t="s">
        <v>6710</v>
      </c>
      <c r="B1821" t="s">
        <v>6711</v>
      </c>
      <c r="D1821" t="s">
        <v>40</v>
      </c>
      <c r="E1821" t="s">
        <v>41</v>
      </c>
      <c r="J1821" t="s">
        <v>129</v>
      </c>
      <c r="K1821" t="s">
        <v>130</v>
      </c>
      <c r="L1821">
        <v>5</v>
      </c>
      <c r="M1821" t="s">
        <v>6712</v>
      </c>
      <c r="N1821" t="s">
        <v>192</v>
      </c>
      <c r="O1821" t="s">
        <v>47</v>
      </c>
      <c r="P1821" t="s">
        <v>47</v>
      </c>
      <c r="Y1821" t="s">
        <v>6713</v>
      </c>
      <c r="AG1821" t="s">
        <v>48</v>
      </c>
    </row>
    <row r="1822" spans="1:33">
      <c r="A1822" t="s">
        <v>6714</v>
      </c>
      <c r="B1822" t="s">
        <v>6715</v>
      </c>
      <c r="D1822" t="s">
        <v>40</v>
      </c>
      <c r="E1822" t="s">
        <v>41</v>
      </c>
      <c r="J1822" t="s">
        <v>162</v>
      </c>
      <c r="K1822" t="s">
        <v>163</v>
      </c>
      <c r="L1822">
        <v>5</v>
      </c>
      <c r="M1822" t="s">
        <v>6712</v>
      </c>
      <c r="N1822" t="s">
        <v>59</v>
      </c>
      <c r="O1822" t="s">
        <v>47</v>
      </c>
      <c r="P1822" t="s">
        <v>47</v>
      </c>
      <c r="Y1822" t="s">
        <v>6716</v>
      </c>
      <c r="AG1822" t="s">
        <v>48</v>
      </c>
    </row>
    <row r="1823" spans="1:33">
      <c r="A1823" t="s">
        <v>6717</v>
      </c>
      <c r="B1823" t="s">
        <v>6718</v>
      </c>
      <c r="D1823" t="s">
        <v>40</v>
      </c>
      <c r="E1823" t="s">
        <v>41</v>
      </c>
      <c r="J1823" t="s">
        <v>270</v>
      </c>
      <c r="K1823" t="s">
        <v>271</v>
      </c>
      <c r="L1823">
        <v>5</v>
      </c>
      <c r="M1823" t="s">
        <v>6712</v>
      </c>
      <c r="N1823" t="s">
        <v>59</v>
      </c>
      <c r="O1823" t="s">
        <v>47</v>
      </c>
      <c r="P1823" t="s">
        <v>47</v>
      </c>
      <c r="Y1823" t="s">
        <v>6719</v>
      </c>
      <c r="AG1823" t="s">
        <v>48</v>
      </c>
    </row>
    <row r="1824" spans="1:33">
      <c r="A1824" t="s">
        <v>6720</v>
      </c>
      <c r="B1824" t="s">
        <v>6721</v>
      </c>
      <c r="D1824" t="s">
        <v>40</v>
      </c>
      <c r="E1824" t="s">
        <v>41</v>
      </c>
      <c r="J1824" t="s">
        <v>108</v>
      </c>
      <c r="K1824" t="s">
        <v>109</v>
      </c>
      <c r="L1824">
        <v>5</v>
      </c>
      <c r="M1824" t="s">
        <v>6722</v>
      </c>
      <c r="N1824" t="s">
        <v>59</v>
      </c>
      <c r="O1824" t="s">
        <v>47</v>
      </c>
      <c r="P1824" t="s">
        <v>47</v>
      </c>
      <c r="Y1824" t="s">
        <v>6723</v>
      </c>
      <c r="AG1824" t="s">
        <v>48</v>
      </c>
    </row>
    <row r="1825" spans="1:33">
      <c r="A1825" t="s">
        <v>6724</v>
      </c>
      <c r="B1825" t="s">
        <v>6725</v>
      </c>
      <c r="D1825" t="s">
        <v>40</v>
      </c>
      <c r="E1825" t="s">
        <v>41</v>
      </c>
      <c r="J1825" t="s">
        <v>290</v>
      </c>
      <c r="K1825" t="s">
        <v>291</v>
      </c>
      <c r="L1825">
        <v>5</v>
      </c>
      <c r="M1825" t="s">
        <v>6726</v>
      </c>
      <c r="N1825" t="s">
        <v>59</v>
      </c>
      <c r="O1825" t="s">
        <v>47</v>
      </c>
      <c r="P1825" t="s">
        <v>47</v>
      </c>
      <c r="Y1825" t="s">
        <v>6727</v>
      </c>
      <c r="AG1825" t="s">
        <v>48</v>
      </c>
    </row>
    <row r="1826" spans="1:33">
      <c r="A1826" t="s">
        <v>6728</v>
      </c>
      <c r="B1826" t="s">
        <v>6729</v>
      </c>
      <c r="D1826" t="s">
        <v>40</v>
      </c>
      <c r="E1826" t="s">
        <v>41</v>
      </c>
      <c r="J1826" t="s">
        <v>290</v>
      </c>
      <c r="K1826" t="s">
        <v>291</v>
      </c>
      <c r="L1826">
        <v>5</v>
      </c>
      <c r="M1826" t="s">
        <v>6730</v>
      </c>
      <c r="N1826" t="s">
        <v>59</v>
      </c>
      <c r="O1826" t="s">
        <v>47</v>
      </c>
      <c r="P1826" t="s">
        <v>47</v>
      </c>
      <c r="Y1826" t="s">
        <v>6731</v>
      </c>
      <c r="AG1826" t="s">
        <v>48</v>
      </c>
    </row>
    <row r="1827" spans="1:33">
      <c r="A1827" t="s">
        <v>6732</v>
      </c>
      <c r="B1827" t="s">
        <v>6733</v>
      </c>
      <c r="D1827" t="s">
        <v>40</v>
      </c>
      <c r="E1827" t="s">
        <v>41</v>
      </c>
      <c r="J1827" t="s">
        <v>162</v>
      </c>
      <c r="K1827" t="s">
        <v>163</v>
      </c>
      <c r="L1827">
        <v>5</v>
      </c>
      <c r="M1827" t="s">
        <v>6734</v>
      </c>
      <c r="N1827" t="s">
        <v>59</v>
      </c>
      <c r="O1827" t="s">
        <v>47</v>
      </c>
      <c r="P1827" t="s">
        <v>47</v>
      </c>
      <c r="Y1827" t="s">
        <v>6735</v>
      </c>
      <c r="AG1827" t="s">
        <v>48</v>
      </c>
    </row>
    <row r="1828" spans="1:33">
      <c r="A1828" t="s">
        <v>6736</v>
      </c>
      <c r="B1828" t="s">
        <v>6737</v>
      </c>
      <c r="D1828" t="s">
        <v>40</v>
      </c>
      <c r="E1828" t="s">
        <v>41</v>
      </c>
      <c r="J1828" t="s">
        <v>108</v>
      </c>
      <c r="K1828" t="s">
        <v>109</v>
      </c>
      <c r="L1828">
        <v>5</v>
      </c>
      <c r="M1828" t="s">
        <v>6738</v>
      </c>
      <c r="N1828" t="s">
        <v>59</v>
      </c>
      <c r="O1828" t="s">
        <v>47</v>
      </c>
      <c r="P1828" t="s">
        <v>47</v>
      </c>
      <c r="Y1828" t="s">
        <v>6739</v>
      </c>
      <c r="AG1828" t="s">
        <v>48</v>
      </c>
    </row>
    <row r="1829" spans="1:33">
      <c r="A1829" t="s">
        <v>6740</v>
      </c>
      <c r="B1829" t="s">
        <v>6741</v>
      </c>
      <c r="D1829" t="s">
        <v>40</v>
      </c>
      <c r="E1829" t="s">
        <v>41</v>
      </c>
      <c r="J1829" t="s">
        <v>162</v>
      </c>
      <c r="K1829" t="s">
        <v>163</v>
      </c>
      <c r="L1829">
        <v>5</v>
      </c>
      <c r="M1829" t="s">
        <v>6742</v>
      </c>
      <c r="N1829" t="s">
        <v>59</v>
      </c>
      <c r="O1829" t="s">
        <v>47</v>
      </c>
      <c r="P1829" t="s">
        <v>47</v>
      </c>
      <c r="Y1829" t="s">
        <v>6743</v>
      </c>
      <c r="AG1829" t="s">
        <v>48</v>
      </c>
    </row>
    <row r="1830" spans="1:33">
      <c r="A1830" t="s">
        <v>6744</v>
      </c>
      <c r="B1830" t="s">
        <v>6745</v>
      </c>
      <c r="D1830" t="s">
        <v>40</v>
      </c>
      <c r="E1830" t="s">
        <v>41</v>
      </c>
      <c r="J1830" t="s">
        <v>162</v>
      </c>
      <c r="K1830" t="s">
        <v>163</v>
      </c>
      <c r="L1830">
        <v>5</v>
      </c>
      <c r="M1830" t="s">
        <v>6746</v>
      </c>
      <c r="N1830" t="s">
        <v>59</v>
      </c>
      <c r="O1830" t="s">
        <v>47</v>
      </c>
      <c r="P1830" t="s">
        <v>47</v>
      </c>
      <c r="Y1830" t="s">
        <v>6747</v>
      </c>
      <c r="AG1830" t="s">
        <v>48</v>
      </c>
    </row>
    <row r="1831" spans="1:33">
      <c r="A1831" t="s">
        <v>6748</v>
      </c>
      <c r="B1831" t="s">
        <v>6749</v>
      </c>
      <c r="D1831" t="s">
        <v>40</v>
      </c>
      <c r="E1831" t="s">
        <v>41</v>
      </c>
      <c r="J1831" t="s">
        <v>108</v>
      </c>
      <c r="K1831" t="s">
        <v>109</v>
      </c>
      <c r="L1831">
        <v>5</v>
      </c>
      <c r="M1831" t="s">
        <v>6746</v>
      </c>
      <c r="N1831" t="s">
        <v>59</v>
      </c>
      <c r="O1831" t="s">
        <v>47</v>
      </c>
      <c r="P1831" t="s">
        <v>47</v>
      </c>
      <c r="Y1831" t="s">
        <v>6750</v>
      </c>
      <c r="AG1831" t="s">
        <v>48</v>
      </c>
    </row>
    <row r="1832" spans="1:33">
      <c r="A1832" t="s">
        <v>6751</v>
      </c>
      <c r="B1832" t="s">
        <v>6752</v>
      </c>
      <c r="D1832" t="s">
        <v>40</v>
      </c>
      <c r="E1832" t="s">
        <v>41</v>
      </c>
      <c r="J1832" t="s">
        <v>108</v>
      </c>
      <c r="K1832" t="s">
        <v>109</v>
      </c>
      <c r="L1832">
        <v>5</v>
      </c>
      <c r="M1832" t="s">
        <v>6753</v>
      </c>
      <c r="N1832" t="s">
        <v>59</v>
      </c>
      <c r="O1832" t="s">
        <v>47</v>
      </c>
      <c r="P1832" t="s">
        <v>47</v>
      </c>
      <c r="Y1832" t="s">
        <v>6754</v>
      </c>
      <c r="AG1832" t="s">
        <v>48</v>
      </c>
    </row>
    <row r="1833" spans="1:33">
      <c r="A1833" t="s">
        <v>6755</v>
      </c>
      <c r="B1833" t="s">
        <v>6756</v>
      </c>
      <c r="D1833" t="s">
        <v>40</v>
      </c>
      <c r="E1833" t="s">
        <v>41</v>
      </c>
      <c r="J1833" t="s">
        <v>290</v>
      </c>
      <c r="K1833" t="s">
        <v>291</v>
      </c>
      <c r="L1833">
        <v>5</v>
      </c>
      <c r="M1833" t="s">
        <v>6757</v>
      </c>
      <c r="N1833" t="s">
        <v>59</v>
      </c>
      <c r="O1833" t="s">
        <v>47</v>
      </c>
      <c r="P1833" t="s">
        <v>47</v>
      </c>
      <c r="Y1833" t="s">
        <v>6758</v>
      </c>
      <c r="AG1833" t="s">
        <v>48</v>
      </c>
    </row>
    <row r="1834" spans="1:33">
      <c r="A1834" t="s">
        <v>6759</v>
      </c>
      <c r="B1834" t="s">
        <v>6760</v>
      </c>
      <c r="D1834" t="s">
        <v>40</v>
      </c>
      <c r="E1834" t="s">
        <v>41</v>
      </c>
      <c r="J1834" t="s">
        <v>290</v>
      </c>
      <c r="K1834" t="s">
        <v>291</v>
      </c>
      <c r="L1834">
        <v>5</v>
      </c>
      <c r="M1834" t="s">
        <v>6757</v>
      </c>
      <c r="N1834" t="s">
        <v>59</v>
      </c>
      <c r="O1834" t="s">
        <v>47</v>
      </c>
      <c r="P1834" t="s">
        <v>47</v>
      </c>
      <c r="Y1834" t="s">
        <v>6761</v>
      </c>
      <c r="AG1834" t="s">
        <v>48</v>
      </c>
    </row>
    <row r="1835" spans="1:33">
      <c r="A1835" t="s">
        <v>6762</v>
      </c>
      <c r="B1835" t="s">
        <v>6763</v>
      </c>
      <c r="D1835" t="s">
        <v>40</v>
      </c>
      <c r="E1835" t="s">
        <v>41</v>
      </c>
      <c r="J1835" t="s">
        <v>129</v>
      </c>
      <c r="K1835" t="s">
        <v>130</v>
      </c>
      <c r="L1835">
        <v>5</v>
      </c>
      <c r="M1835" t="s">
        <v>6757</v>
      </c>
      <c r="N1835" t="s">
        <v>218</v>
      </c>
      <c r="O1835" t="s">
        <v>47</v>
      </c>
      <c r="P1835" t="s">
        <v>47</v>
      </c>
      <c r="Y1835" t="s">
        <v>6764</v>
      </c>
      <c r="AG1835" t="s">
        <v>48</v>
      </c>
    </row>
    <row r="1836" spans="1:33">
      <c r="A1836" t="s">
        <v>6765</v>
      </c>
      <c r="B1836" t="s">
        <v>6766</v>
      </c>
      <c r="D1836" t="s">
        <v>40</v>
      </c>
      <c r="E1836" t="s">
        <v>41</v>
      </c>
      <c r="J1836" t="s">
        <v>108</v>
      </c>
      <c r="K1836" t="s">
        <v>109</v>
      </c>
      <c r="L1836">
        <v>5</v>
      </c>
      <c r="M1836" t="s">
        <v>6757</v>
      </c>
      <c r="N1836" t="s">
        <v>59</v>
      </c>
      <c r="O1836" t="s">
        <v>47</v>
      </c>
      <c r="P1836" t="s">
        <v>47</v>
      </c>
      <c r="Y1836" t="s">
        <v>6767</v>
      </c>
      <c r="AG1836" t="s">
        <v>48</v>
      </c>
    </row>
    <row r="1837" spans="1:33">
      <c r="A1837" t="s">
        <v>6768</v>
      </c>
      <c r="B1837" t="s">
        <v>6769</v>
      </c>
      <c r="D1837" t="s">
        <v>40</v>
      </c>
      <c r="E1837" t="s">
        <v>41</v>
      </c>
      <c r="J1837" t="s">
        <v>290</v>
      </c>
      <c r="K1837" t="s">
        <v>291</v>
      </c>
      <c r="L1837">
        <v>5</v>
      </c>
      <c r="M1837" t="s">
        <v>6770</v>
      </c>
      <c r="N1837" t="s">
        <v>59</v>
      </c>
      <c r="O1837" t="s">
        <v>47</v>
      </c>
      <c r="P1837" t="s">
        <v>47</v>
      </c>
      <c r="Y1837" t="s">
        <v>6771</v>
      </c>
      <c r="AG1837" t="s">
        <v>48</v>
      </c>
    </row>
    <row r="1838" spans="1:33">
      <c r="A1838" t="s">
        <v>6772</v>
      </c>
      <c r="B1838" t="s">
        <v>6773</v>
      </c>
      <c r="D1838" t="s">
        <v>40</v>
      </c>
      <c r="E1838" t="s">
        <v>41</v>
      </c>
      <c r="J1838" t="s">
        <v>270</v>
      </c>
      <c r="K1838" t="s">
        <v>271</v>
      </c>
      <c r="L1838">
        <v>5</v>
      </c>
      <c r="M1838" t="s">
        <v>6774</v>
      </c>
      <c r="N1838" t="s">
        <v>59</v>
      </c>
      <c r="O1838" t="s">
        <v>47</v>
      </c>
      <c r="P1838" t="s">
        <v>47</v>
      </c>
      <c r="Y1838" t="s">
        <v>6775</v>
      </c>
      <c r="AG1838" t="s">
        <v>48</v>
      </c>
    </row>
    <row r="1839" spans="1:33">
      <c r="A1839" t="s">
        <v>6776</v>
      </c>
      <c r="B1839" t="s">
        <v>6777</v>
      </c>
      <c r="D1839" t="s">
        <v>40</v>
      </c>
      <c r="E1839" t="s">
        <v>41</v>
      </c>
      <c r="J1839" t="s">
        <v>270</v>
      </c>
      <c r="K1839" t="s">
        <v>271</v>
      </c>
      <c r="L1839">
        <v>5</v>
      </c>
      <c r="M1839" t="s">
        <v>6774</v>
      </c>
      <c r="N1839" t="s">
        <v>59</v>
      </c>
      <c r="O1839" t="s">
        <v>47</v>
      </c>
      <c r="P1839" t="s">
        <v>47</v>
      </c>
      <c r="Y1839" t="s">
        <v>6778</v>
      </c>
      <c r="AG1839" t="s">
        <v>48</v>
      </c>
    </row>
    <row r="1840" spans="1:33">
      <c r="A1840" t="s">
        <v>6779</v>
      </c>
      <c r="B1840" t="s">
        <v>6780</v>
      </c>
      <c r="D1840" t="s">
        <v>40</v>
      </c>
      <c r="E1840" t="s">
        <v>41</v>
      </c>
      <c r="J1840" t="s">
        <v>114</v>
      </c>
      <c r="K1840" t="s">
        <v>115</v>
      </c>
      <c r="L1840">
        <v>5</v>
      </c>
      <c r="M1840" t="s">
        <v>6774</v>
      </c>
      <c r="N1840" t="s">
        <v>59</v>
      </c>
      <c r="O1840" t="s">
        <v>47</v>
      </c>
      <c r="P1840" t="s">
        <v>47</v>
      </c>
      <c r="Y1840" t="s">
        <v>6781</v>
      </c>
      <c r="AG1840" t="s">
        <v>48</v>
      </c>
    </row>
    <row r="1841" spans="1:33">
      <c r="A1841" t="s">
        <v>6782</v>
      </c>
      <c r="B1841" t="s">
        <v>6783</v>
      </c>
      <c r="D1841" t="s">
        <v>40</v>
      </c>
      <c r="E1841" t="s">
        <v>41</v>
      </c>
      <c r="H1841" t="s">
        <v>6784</v>
      </c>
      <c r="J1841" t="s">
        <v>63</v>
      </c>
      <c r="K1841" t="s">
        <v>64</v>
      </c>
      <c r="L1841">
        <v>5</v>
      </c>
      <c r="M1841" t="s">
        <v>6785</v>
      </c>
      <c r="N1841" t="s">
        <v>59</v>
      </c>
      <c r="O1841" t="s">
        <v>47</v>
      </c>
      <c r="P1841" t="s">
        <v>47</v>
      </c>
      <c r="Y1841" t="s">
        <v>6784</v>
      </c>
      <c r="AG1841" t="s">
        <v>48</v>
      </c>
    </row>
    <row r="1842" spans="1:33">
      <c r="A1842" t="s">
        <v>6786</v>
      </c>
      <c r="B1842" t="s">
        <v>6787</v>
      </c>
      <c r="D1842" t="s">
        <v>40</v>
      </c>
      <c r="E1842" t="s">
        <v>41</v>
      </c>
      <c r="H1842" t="s">
        <v>6788</v>
      </c>
      <c r="J1842" t="s">
        <v>63</v>
      </c>
      <c r="K1842" t="s">
        <v>64</v>
      </c>
      <c r="L1842">
        <v>5</v>
      </c>
      <c r="M1842" t="s">
        <v>6789</v>
      </c>
      <c r="N1842" t="s">
        <v>59</v>
      </c>
      <c r="O1842" t="s">
        <v>47</v>
      </c>
      <c r="P1842" t="s">
        <v>47</v>
      </c>
      <c r="Y1842" t="s">
        <v>6788</v>
      </c>
      <c r="AG1842" t="s">
        <v>48</v>
      </c>
    </row>
    <row r="1843" spans="1:33">
      <c r="A1843" t="s">
        <v>117</v>
      </c>
      <c r="B1843" t="s">
        <v>6790</v>
      </c>
      <c r="D1843" t="s">
        <v>40</v>
      </c>
      <c r="E1843" t="s">
        <v>41</v>
      </c>
      <c r="J1843" t="s">
        <v>290</v>
      </c>
      <c r="K1843" t="s">
        <v>291</v>
      </c>
      <c r="L1843">
        <v>5</v>
      </c>
      <c r="M1843" t="s">
        <v>6791</v>
      </c>
      <c r="N1843" t="s">
        <v>59</v>
      </c>
      <c r="O1843" t="s">
        <v>47</v>
      </c>
      <c r="P1843" t="s">
        <v>47</v>
      </c>
      <c r="Y1843" t="s">
        <v>6792</v>
      </c>
      <c r="AG1843" t="s">
        <v>48</v>
      </c>
    </row>
    <row r="1844" spans="1:33">
      <c r="A1844" t="s">
        <v>6793</v>
      </c>
      <c r="B1844" t="s">
        <v>6794</v>
      </c>
      <c r="D1844" t="s">
        <v>40</v>
      </c>
      <c r="E1844" t="s">
        <v>41</v>
      </c>
      <c r="J1844" t="s">
        <v>108</v>
      </c>
      <c r="K1844" t="s">
        <v>109</v>
      </c>
      <c r="L1844">
        <v>5</v>
      </c>
      <c r="M1844" t="s">
        <v>6795</v>
      </c>
      <c r="N1844" t="s">
        <v>59</v>
      </c>
      <c r="O1844" t="s">
        <v>47</v>
      </c>
      <c r="P1844" t="s">
        <v>47</v>
      </c>
      <c r="Y1844" t="s">
        <v>6796</v>
      </c>
      <c r="AG1844" t="s">
        <v>48</v>
      </c>
    </row>
    <row r="1845" spans="1:33">
      <c r="A1845" t="s">
        <v>6797</v>
      </c>
      <c r="B1845" t="s">
        <v>6798</v>
      </c>
      <c r="D1845" t="s">
        <v>40</v>
      </c>
      <c r="E1845" t="s">
        <v>41</v>
      </c>
      <c r="J1845" t="s">
        <v>290</v>
      </c>
      <c r="K1845" t="s">
        <v>291</v>
      </c>
      <c r="L1845">
        <v>5</v>
      </c>
      <c r="M1845" t="s">
        <v>6795</v>
      </c>
      <c r="N1845" t="s">
        <v>59</v>
      </c>
      <c r="O1845" t="s">
        <v>47</v>
      </c>
      <c r="P1845" t="s">
        <v>47</v>
      </c>
      <c r="Y1845" t="s">
        <v>6799</v>
      </c>
      <c r="AG1845" t="s">
        <v>48</v>
      </c>
    </row>
    <row r="1846" spans="1:33">
      <c r="A1846" t="s">
        <v>6800</v>
      </c>
      <c r="B1846" t="s">
        <v>6801</v>
      </c>
      <c r="D1846" t="s">
        <v>40</v>
      </c>
      <c r="E1846" t="s">
        <v>41</v>
      </c>
      <c r="J1846" t="s">
        <v>290</v>
      </c>
      <c r="K1846" t="s">
        <v>291</v>
      </c>
      <c r="L1846">
        <v>5</v>
      </c>
      <c r="M1846" t="s">
        <v>6795</v>
      </c>
      <c r="N1846" t="s">
        <v>59</v>
      </c>
      <c r="O1846" t="s">
        <v>47</v>
      </c>
      <c r="P1846" t="s">
        <v>47</v>
      </c>
      <c r="Y1846" t="s">
        <v>6802</v>
      </c>
      <c r="AG1846" t="s">
        <v>48</v>
      </c>
    </row>
    <row r="1847" spans="1:33">
      <c r="A1847" t="s">
        <v>6803</v>
      </c>
      <c r="B1847" t="s">
        <v>6804</v>
      </c>
      <c r="D1847" t="s">
        <v>40</v>
      </c>
      <c r="E1847" t="s">
        <v>41</v>
      </c>
      <c r="J1847" t="s">
        <v>162</v>
      </c>
      <c r="K1847" t="s">
        <v>163</v>
      </c>
      <c r="L1847">
        <v>5</v>
      </c>
      <c r="M1847" t="s">
        <v>6805</v>
      </c>
      <c r="N1847" t="s">
        <v>59</v>
      </c>
      <c r="O1847" t="s">
        <v>47</v>
      </c>
      <c r="P1847" t="s">
        <v>47</v>
      </c>
      <c r="Y1847" t="s">
        <v>6806</v>
      </c>
      <c r="AG1847" t="s">
        <v>48</v>
      </c>
    </row>
    <row r="1848" spans="1:33">
      <c r="A1848" t="s">
        <v>6807</v>
      </c>
      <c r="B1848" t="s">
        <v>6808</v>
      </c>
      <c r="D1848" t="s">
        <v>40</v>
      </c>
      <c r="E1848" t="s">
        <v>41</v>
      </c>
      <c r="J1848" t="s">
        <v>270</v>
      </c>
      <c r="K1848" t="s">
        <v>271</v>
      </c>
      <c r="L1848">
        <v>5</v>
      </c>
      <c r="M1848" t="s">
        <v>6809</v>
      </c>
      <c r="N1848" t="s">
        <v>59</v>
      </c>
      <c r="O1848" t="s">
        <v>47</v>
      </c>
      <c r="P1848" t="s">
        <v>47</v>
      </c>
      <c r="Y1848" t="s">
        <v>6810</v>
      </c>
      <c r="AG1848" t="s">
        <v>48</v>
      </c>
    </row>
    <row r="1849" spans="1:33">
      <c r="A1849" t="s">
        <v>6811</v>
      </c>
      <c r="B1849" t="s">
        <v>6812</v>
      </c>
      <c r="D1849" t="s">
        <v>40</v>
      </c>
      <c r="E1849" t="s">
        <v>41</v>
      </c>
      <c r="J1849" t="s">
        <v>162</v>
      </c>
      <c r="K1849" t="s">
        <v>163</v>
      </c>
      <c r="L1849">
        <v>5</v>
      </c>
      <c r="M1849" t="s">
        <v>6813</v>
      </c>
      <c r="N1849" t="s">
        <v>59</v>
      </c>
      <c r="O1849" t="s">
        <v>47</v>
      </c>
      <c r="P1849" t="s">
        <v>47</v>
      </c>
      <c r="Y1849" t="s">
        <v>6814</v>
      </c>
      <c r="AG1849" t="s">
        <v>48</v>
      </c>
    </row>
    <row r="1850" spans="1:33">
      <c r="A1850" t="s">
        <v>6815</v>
      </c>
      <c r="B1850" t="s">
        <v>6816</v>
      </c>
      <c r="D1850" t="s">
        <v>40</v>
      </c>
      <c r="E1850" t="s">
        <v>41</v>
      </c>
      <c r="J1850" t="s">
        <v>114</v>
      </c>
      <c r="K1850" t="s">
        <v>115</v>
      </c>
      <c r="L1850">
        <v>5</v>
      </c>
      <c r="M1850" t="s">
        <v>6813</v>
      </c>
      <c r="N1850" t="s">
        <v>59</v>
      </c>
      <c r="O1850" t="s">
        <v>47</v>
      </c>
      <c r="P1850" t="s">
        <v>47</v>
      </c>
      <c r="Y1850" t="s">
        <v>6817</v>
      </c>
      <c r="AG1850" t="s">
        <v>48</v>
      </c>
    </row>
    <row r="1851" spans="1:33">
      <c r="A1851" t="s">
        <v>6818</v>
      </c>
      <c r="B1851" t="s">
        <v>6819</v>
      </c>
      <c r="D1851" t="s">
        <v>40</v>
      </c>
      <c r="E1851" t="s">
        <v>41</v>
      </c>
      <c r="J1851" t="s">
        <v>290</v>
      </c>
      <c r="K1851" t="s">
        <v>291</v>
      </c>
      <c r="L1851">
        <v>5</v>
      </c>
      <c r="M1851" t="s">
        <v>6813</v>
      </c>
      <c r="N1851" t="s">
        <v>59</v>
      </c>
      <c r="O1851" t="s">
        <v>47</v>
      </c>
      <c r="P1851" t="s">
        <v>47</v>
      </c>
      <c r="Y1851" t="s">
        <v>6820</v>
      </c>
      <c r="AG1851" t="s">
        <v>48</v>
      </c>
    </row>
    <row r="1852" spans="1:33">
      <c r="A1852" t="s">
        <v>6821</v>
      </c>
      <c r="B1852" t="s">
        <v>6822</v>
      </c>
      <c r="D1852" t="s">
        <v>40</v>
      </c>
      <c r="E1852" t="s">
        <v>41</v>
      </c>
      <c r="J1852" t="s">
        <v>290</v>
      </c>
      <c r="K1852" t="s">
        <v>291</v>
      </c>
      <c r="L1852">
        <v>5</v>
      </c>
      <c r="M1852" t="s">
        <v>6813</v>
      </c>
      <c r="N1852" t="s">
        <v>59</v>
      </c>
      <c r="O1852" t="s">
        <v>47</v>
      </c>
      <c r="P1852" t="s">
        <v>47</v>
      </c>
      <c r="Y1852" t="s">
        <v>6823</v>
      </c>
      <c r="AG1852" t="s">
        <v>48</v>
      </c>
    </row>
    <row r="1853" spans="1:33">
      <c r="A1853" t="s">
        <v>6824</v>
      </c>
      <c r="B1853" t="s">
        <v>6825</v>
      </c>
      <c r="D1853" t="s">
        <v>40</v>
      </c>
      <c r="E1853" t="s">
        <v>41</v>
      </c>
      <c r="J1853" t="s">
        <v>270</v>
      </c>
      <c r="K1853" t="s">
        <v>271</v>
      </c>
      <c r="L1853">
        <v>5</v>
      </c>
      <c r="M1853" t="s">
        <v>6826</v>
      </c>
      <c r="N1853" t="s">
        <v>59</v>
      </c>
      <c r="O1853" t="s">
        <v>47</v>
      </c>
      <c r="P1853" t="s">
        <v>47</v>
      </c>
      <c r="Y1853" t="s">
        <v>6827</v>
      </c>
      <c r="AG1853" t="s">
        <v>48</v>
      </c>
    </row>
    <row r="1854" spans="1:33">
      <c r="A1854" t="s">
        <v>6828</v>
      </c>
      <c r="B1854" t="s">
        <v>6829</v>
      </c>
      <c r="D1854" t="s">
        <v>40</v>
      </c>
      <c r="E1854" t="s">
        <v>41</v>
      </c>
      <c r="J1854" t="s">
        <v>129</v>
      </c>
      <c r="K1854" t="s">
        <v>130</v>
      </c>
      <c r="L1854">
        <v>5</v>
      </c>
      <c r="M1854" t="s">
        <v>6830</v>
      </c>
      <c r="N1854" t="s">
        <v>218</v>
      </c>
      <c r="O1854" t="s">
        <v>47</v>
      </c>
      <c r="P1854" t="s">
        <v>47</v>
      </c>
      <c r="Y1854" t="s">
        <v>6831</v>
      </c>
      <c r="AG1854" t="s">
        <v>48</v>
      </c>
    </row>
    <row r="1855" spans="1:33">
      <c r="A1855" t="s">
        <v>6832</v>
      </c>
      <c r="B1855" t="s">
        <v>6833</v>
      </c>
      <c r="D1855" t="s">
        <v>40</v>
      </c>
      <c r="E1855" t="s">
        <v>41</v>
      </c>
      <c r="J1855" t="s">
        <v>290</v>
      </c>
      <c r="K1855" t="s">
        <v>291</v>
      </c>
      <c r="L1855">
        <v>5</v>
      </c>
      <c r="M1855" t="s">
        <v>6830</v>
      </c>
      <c r="N1855" t="s">
        <v>59</v>
      </c>
      <c r="O1855" t="s">
        <v>47</v>
      </c>
      <c r="P1855" t="s">
        <v>47</v>
      </c>
      <c r="Y1855" t="s">
        <v>6834</v>
      </c>
      <c r="AG1855" t="s">
        <v>48</v>
      </c>
    </row>
    <row r="1856" spans="1:33">
      <c r="A1856" t="s">
        <v>6835</v>
      </c>
      <c r="B1856" t="s">
        <v>6836</v>
      </c>
      <c r="D1856" t="s">
        <v>40</v>
      </c>
      <c r="E1856" t="s">
        <v>41</v>
      </c>
      <c r="J1856" t="s">
        <v>129</v>
      </c>
      <c r="K1856" t="s">
        <v>130</v>
      </c>
      <c r="L1856">
        <v>5</v>
      </c>
      <c r="M1856" t="s">
        <v>6830</v>
      </c>
      <c r="N1856" t="s">
        <v>218</v>
      </c>
      <c r="O1856" t="s">
        <v>47</v>
      </c>
      <c r="P1856" t="s">
        <v>47</v>
      </c>
      <c r="Y1856" t="s">
        <v>6837</v>
      </c>
      <c r="AG1856" t="s">
        <v>48</v>
      </c>
    </row>
    <row r="1857" spans="1:33">
      <c r="A1857" t="s">
        <v>6838</v>
      </c>
      <c r="B1857" t="s">
        <v>6839</v>
      </c>
      <c r="D1857" t="s">
        <v>40</v>
      </c>
      <c r="E1857" t="s">
        <v>41</v>
      </c>
      <c r="J1857" t="s">
        <v>270</v>
      </c>
      <c r="K1857" t="s">
        <v>271</v>
      </c>
      <c r="L1857">
        <v>5</v>
      </c>
      <c r="M1857" t="s">
        <v>6830</v>
      </c>
      <c r="N1857" t="s">
        <v>59</v>
      </c>
      <c r="O1857" t="s">
        <v>47</v>
      </c>
      <c r="P1857" t="s">
        <v>47</v>
      </c>
      <c r="Y1857" t="s">
        <v>6840</v>
      </c>
      <c r="AG1857" t="s">
        <v>48</v>
      </c>
    </row>
    <row r="1858" spans="1:33">
      <c r="A1858" t="s">
        <v>6841</v>
      </c>
      <c r="B1858" t="s">
        <v>6842</v>
      </c>
      <c r="D1858" t="s">
        <v>40</v>
      </c>
      <c r="E1858" t="s">
        <v>41</v>
      </c>
      <c r="J1858" t="s">
        <v>129</v>
      </c>
      <c r="K1858" t="s">
        <v>130</v>
      </c>
      <c r="L1858">
        <v>5</v>
      </c>
      <c r="M1858" t="s">
        <v>6843</v>
      </c>
      <c r="N1858" t="s">
        <v>218</v>
      </c>
      <c r="O1858" t="s">
        <v>47</v>
      </c>
      <c r="P1858" t="s">
        <v>47</v>
      </c>
      <c r="Y1858" t="s">
        <v>6844</v>
      </c>
      <c r="AG1858" t="s">
        <v>48</v>
      </c>
    </row>
    <row r="1859" spans="1:33">
      <c r="A1859" t="s">
        <v>6845</v>
      </c>
      <c r="B1859" t="s">
        <v>6846</v>
      </c>
      <c r="D1859" t="s">
        <v>40</v>
      </c>
      <c r="E1859" t="s">
        <v>41</v>
      </c>
      <c r="J1859" t="s">
        <v>270</v>
      </c>
      <c r="K1859" t="s">
        <v>271</v>
      </c>
      <c r="L1859">
        <v>5</v>
      </c>
      <c r="M1859" t="s">
        <v>6843</v>
      </c>
      <c r="N1859" t="s">
        <v>59</v>
      </c>
      <c r="O1859" t="s">
        <v>47</v>
      </c>
      <c r="P1859" t="s">
        <v>47</v>
      </c>
      <c r="Y1859" t="s">
        <v>6847</v>
      </c>
      <c r="AG1859" t="s">
        <v>48</v>
      </c>
    </row>
    <row r="1860" spans="1:33">
      <c r="A1860" t="s">
        <v>6848</v>
      </c>
      <c r="B1860" t="s">
        <v>6849</v>
      </c>
      <c r="D1860" t="s">
        <v>40</v>
      </c>
      <c r="E1860" t="s">
        <v>41</v>
      </c>
      <c r="J1860" t="s">
        <v>162</v>
      </c>
      <c r="K1860" t="s">
        <v>163</v>
      </c>
      <c r="L1860">
        <v>5</v>
      </c>
      <c r="M1860" t="s">
        <v>6850</v>
      </c>
      <c r="N1860" t="s">
        <v>59</v>
      </c>
      <c r="O1860" t="s">
        <v>47</v>
      </c>
      <c r="P1860" t="s">
        <v>47</v>
      </c>
      <c r="Y1860" t="s">
        <v>6851</v>
      </c>
      <c r="AG1860" t="s">
        <v>48</v>
      </c>
    </row>
    <row r="1861" spans="1:33">
      <c r="A1861" t="s">
        <v>117</v>
      </c>
      <c r="B1861" t="s">
        <v>6852</v>
      </c>
      <c r="D1861" t="s">
        <v>40</v>
      </c>
      <c r="E1861" t="s">
        <v>41</v>
      </c>
      <c r="J1861" t="s">
        <v>290</v>
      </c>
      <c r="K1861" t="s">
        <v>291</v>
      </c>
      <c r="L1861">
        <v>5</v>
      </c>
      <c r="M1861" t="s">
        <v>6850</v>
      </c>
      <c r="N1861" t="s">
        <v>59</v>
      </c>
      <c r="O1861" t="s">
        <v>47</v>
      </c>
      <c r="P1861" t="s">
        <v>47</v>
      </c>
      <c r="Y1861" t="s">
        <v>6853</v>
      </c>
      <c r="AG1861" t="s">
        <v>48</v>
      </c>
    </row>
    <row r="1862" spans="1:33">
      <c r="A1862" t="s">
        <v>6854</v>
      </c>
      <c r="B1862" t="s">
        <v>6855</v>
      </c>
      <c r="D1862" t="s">
        <v>40</v>
      </c>
      <c r="E1862" t="s">
        <v>41</v>
      </c>
      <c r="J1862" t="s">
        <v>108</v>
      </c>
      <c r="K1862" t="s">
        <v>109</v>
      </c>
      <c r="L1862">
        <v>5</v>
      </c>
      <c r="M1862" t="s">
        <v>6850</v>
      </c>
      <c r="N1862" t="s">
        <v>59</v>
      </c>
      <c r="O1862" t="s">
        <v>47</v>
      </c>
      <c r="P1862" t="s">
        <v>47</v>
      </c>
      <c r="Y1862" t="s">
        <v>6856</v>
      </c>
      <c r="AG1862" t="s">
        <v>48</v>
      </c>
    </row>
    <row r="1863" spans="1:33">
      <c r="A1863" t="s">
        <v>6857</v>
      </c>
      <c r="B1863" t="s">
        <v>6858</v>
      </c>
      <c r="D1863" t="s">
        <v>40</v>
      </c>
      <c r="E1863" t="s">
        <v>41</v>
      </c>
      <c r="J1863" t="s">
        <v>162</v>
      </c>
      <c r="K1863" t="s">
        <v>163</v>
      </c>
      <c r="L1863">
        <v>5</v>
      </c>
      <c r="M1863" t="s">
        <v>6859</v>
      </c>
      <c r="N1863" t="s">
        <v>59</v>
      </c>
      <c r="O1863" t="s">
        <v>47</v>
      </c>
      <c r="P1863" t="s">
        <v>47</v>
      </c>
      <c r="Y1863" t="s">
        <v>6860</v>
      </c>
      <c r="AG1863" t="s">
        <v>48</v>
      </c>
    </row>
    <row r="1864" spans="1:33">
      <c r="A1864" t="s">
        <v>6861</v>
      </c>
      <c r="B1864" t="s">
        <v>6862</v>
      </c>
      <c r="D1864" t="s">
        <v>40</v>
      </c>
      <c r="E1864" t="s">
        <v>41</v>
      </c>
      <c r="H1864" t="s">
        <v>6863</v>
      </c>
      <c r="J1864" t="s">
        <v>123</v>
      </c>
      <c r="K1864" t="s">
        <v>124</v>
      </c>
      <c r="L1864">
        <v>5</v>
      </c>
      <c r="M1864" t="s">
        <v>6864</v>
      </c>
      <c r="N1864" t="s">
        <v>218</v>
      </c>
      <c r="O1864" t="s">
        <v>47</v>
      </c>
      <c r="P1864" t="s">
        <v>47</v>
      </c>
      <c r="Y1864" t="s">
        <v>6863</v>
      </c>
      <c r="AG1864" t="s">
        <v>48</v>
      </c>
    </row>
    <row r="1865" spans="1:33">
      <c r="A1865" t="s">
        <v>6865</v>
      </c>
      <c r="B1865" t="s">
        <v>6866</v>
      </c>
      <c r="D1865" t="s">
        <v>40</v>
      </c>
      <c r="E1865" t="s">
        <v>41</v>
      </c>
      <c r="H1865" t="s">
        <v>6867</v>
      </c>
      <c r="J1865" t="s">
        <v>270</v>
      </c>
      <c r="K1865" t="s">
        <v>271</v>
      </c>
      <c r="L1865">
        <v>5</v>
      </c>
      <c r="M1865" t="s">
        <v>6868</v>
      </c>
      <c r="N1865" t="s">
        <v>59</v>
      </c>
      <c r="O1865" t="s">
        <v>47</v>
      </c>
      <c r="P1865" t="s">
        <v>47</v>
      </c>
      <c r="Y1865" t="s">
        <v>6867</v>
      </c>
      <c r="AG1865" t="s">
        <v>48</v>
      </c>
    </row>
    <row r="1866" spans="1:33">
      <c r="A1866" t="s">
        <v>6869</v>
      </c>
      <c r="B1866" t="s">
        <v>6870</v>
      </c>
      <c r="D1866" t="s">
        <v>40</v>
      </c>
      <c r="E1866" t="s">
        <v>41</v>
      </c>
      <c r="J1866" t="s">
        <v>290</v>
      </c>
      <c r="K1866" t="s">
        <v>291</v>
      </c>
      <c r="L1866">
        <v>5</v>
      </c>
      <c r="M1866" t="s">
        <v>6871</v>
      </c>
      <c r="N1866" t="s">
        <v>59</v>
      </c>
      <c r="O1866" t="s">
        <v>47</v>
      </c>
      <c r="P1866" t="s">
        <v>47</v>
      </c>
      <c r="Y1866" t="s">
        <v>6872</v>
      </c>
      <c r="AG1866" t="s">
        <v>48</v>
      </c>
    </row>
    <row r="1867" spans="1:33">
      <c r="A1867" t="s">
        <v>6873</v>
      </c>
      <c r="B1867" t="s">
        <v>6874</v>
      </c>
      <c r="D1867" t="s">
        <v>40</v>
      </c>
      <c r="E1867" t="s">
        <v>41</v>
      </c>
      <c r="J1867" t="s">
        <v>114</v>
      </c>
      <c r="K1867" t="s">
        <v>115</v>
      </c>
      <c r="L1867">
        <v>5</v>
      </c>
      <c r="M1867" t="s">
        <v>6875</v>
      </c>
      <c r="N1867" t="s">
        <v>59</v>
      </c>
      <c r="O1867" t="s">
        <v>47</v>
      </c>
      <c r="P1867" t="s">
        <v>47</v>
      </c>
      <c r="Y1867" t="s">
        <v>6876</v>
      </c>
      <c r="AG1867" t="s">
        <v>48</v>
      </c>
    </row>
    <row r="1868" spans="1:33">
      <c r="A1868" t="s">
        <v>117</v>
      </c>
      <c r="B1868" t="s">
        <v>6877</v>
      </c>
      <c r="D1868" t="s">
        <v>40</v>
      </c>
      <c r="E1868" t="s">
        <v>41</v>
      </c>
      <c r="J1868" t="s">
        <v>270</v>
      </c>
      <c r="K1868" t="s">
        <v>271</v>
      </c>
      <c r="L1868">
        <v>5</v>
      </c>
      <c r="M1868" t="s">
        <v>6875</v>
      </c>
      <c r="N1868" t="s">
        <v>59</v>
      </c>
      <c r="O1868" t="s">
        <v>47</v>
      </c>
      <c r="P1868" t="s">
        <v>47</v>
      </c>
      <c r="Y1868" t="s">
        <v>6878</v>
      </c>
      <c r="AG1868" t="s">
        <v>48</v>
      </c>
    </row>
    <row r="1869" spans="1:33">
      <c r="A1869" t="s">
        <v>6879</v>
      </c>
      <c r="B1869" t="s">
        <v>6880</v>
      </c>
      <c r="D1869" t="s">
        <v>40</v>
      </c>
      <c r="E1869" t="s">
        <v>41</v>
      </c>
      <c r="J1869" t="s">
        <v>162</v>
      </c>
      <c r="K1869" t="s">
        <v>163</v>
      </c>
      <c r="L1869">
        <v>5</v>
      </c>
      <c r="M1869" t="s">
        <v>6881</v>
      </c>
      <c r="N1869" t="s">
        <v>59</v>
      </c>
      <c r="O1869" t="s">
        <v>47</v>
      </c>
      <c r="P1869" t="s">
        <v>47</v>
      </c>
      <c r="Y1869" t="s">
        <v>6882</v>
      </c>
      <c r="AG1869" t="s">
        <v>48</v>
      </c>
    </row>
    <row r="1870" spans="1:33">
      <c r="A1870" t="s">
        <v>6883</v>
      </c>
      <c r="B1870" t="s">
        <v>6884</v>
      </c>
      <c r="D1870" t="s">
        <v>40</v>
      </c>
      <c r="E1870" t="s">
        <v>41</v>
      </c>
      <c r="J1870" t="s">
        <v>290</v>
      </c>
      <c r="K1870" t="s">
        <v>291</v>
      </c>
      <c r="L1870">
        <v>5</v>
      </c>
      <c r="M1870" t="s">
        <v>6885</v>
      </c>
      <c r="N1870" t="s">
        <v>59</v>
      </c>
      <c r="O1870" t="s">
        <v>47</v>
      </c>
      <c r="P1870" t="s">
        <v>47</v>
      </c>
      <c r="Y1870" t="s">
        <v>6886</v>
      </c>
      <c r="AG1870" t="s">
        <v>48</v>
      </c>
    </row>
    <row r="1871" spans="1:33">
      <c r="A1871" t="s">
        <v>6887</v>
      </c>
      <c r="B1871" t="s">
        <v>6888</v>
      </c>
      <c r="D1871" t="s">
        <v>40</v>
      </c>
      <c r="E1871" t="s">
        <v>41</v>
      </c>
      <c r="J1871" t="s">
        <v>270</v>
      </c>
      <c r="K1871" t="s">
        <v>271</v>
      </c>
      <c r="L1871">
        <v>5</v>
      </c>
      <c r="M1871" t="s">
        <v>6885</v>
      </c>
      <c r="N1871" t="s">
        <v>59</v>
      </c>
      <c r="O1871" t="s">
        <v>47</v>
      </c>
      <c r="P1871" t="s">
        <v>47</v>
      </c>
      <c r="Y1871" t="s">
        <v>6889</v>
      </c>
      <c r="AG1871" t="s">
        <v>48</v>
      </c>
    </row>
    <row r="1872" spans="1:33">
      <c r="A1872" t="s">
        <v>6890</v>
      </c>
      <c r="B1872" t="s">
        <v>6891</v>
      </c>
      <c r="D1872" t="s">
        <v>40</v>
      </c>
      <c r="E1872" t="s">
        <v>41</v>
      </c>
      <c r="J1872" t="s">
        <v>123</v>
      </c>
      <c r="K1872" t="s">
        <v>124</v>
      </c>
      <c r="L1872">
        <v>5</v>
      </c>
      <c r="M1872" t="s">
        <v>6885</v>
      </c>
      <c r="N1872" t="s">
        <v>218</v>
      </c>
      <c r="O1872" t="s">
        <v>47</v>
      </c>
      <c r="P1872" t="s">
        <v>47</v>
      </c>
      <c r="Y1872" t="s">
        <v>6892</v>
      </c>
      <c r="AG1872" t="s">
        <v>48</v>
      </c>
    </row>
    <row r="1873" spans="1:33">
      <c r="A1873" t="s">
        <v>6893</v>
      </c>
      <c r="B1873" t="s">
        <v>6894</v>
      </c>
      <c r="D1873" t="s">
        <v>40</v>
      </c>
      <c r="E1873" t="s">
        <v>41</v>
      </c>
      <c r="J1873" t="s">
        <v>270</v>
      </c>
      <c r="K1873" t="s">
        <v>271</v>
      </c>
      <c r="L1873">
        <v>5</v>
      </c>
      <c r="M1873" t="s">
        <v>6885</v>
      </c>
      <c r="N1873" t="s">
        <v>59</v>
      </c>
      <c r="O1873" t="s">
        <v>47</v>
      </c>
      <c r="P1873" t="s">
        <v>47</v>
      </c>
      <c r="Y1873" t="s">
        <v>6895</v>
      </c>
      <c r="AG1873" t="s">
        <v>48</v>
      </c>
    </row>
    <row r="1874" spans="1:33">
      <c r="A1874" t="s">
        <v>6896</v>
      </c>
      <c r="B1874" t="s">
        <v>6897</v>
      </c>
      <c r="D1874" t="s">
        <v>40</v>
      </c>
      <c r="E1874" t="s">
        <v>41</v>
      </c>
      <c r="J1874" t="s">
        <v>162</v>
      </c>
      <c r="K1874" t="s">
        <v>163</v>
      </c>
      <c r="L1874">
        <v>5</v>
      </c>
      <c r="M1874" t="s">
        <v>6898</v>
      </c>
      <c r="N1874" t="s">
        <v>59</v>
      </c>
      <c r="O1874" t="s">
        <v>47</v>
      </c>
      <c r="P1874" t="s">
        <v>47</v>
      </c>
      <c r="Y1874" t="s">
        <v>6899</v>
      </c>
      <c r="AG1874" t="s">
        <v>48</v>
      </c>
    </row>
    <row r="1875" spans="1:33">
      <c r="A1875" t="s">
        <v>6900</v>
      </c>
      <c r="B1875" t="s">
        <v>6901</v>
      </c>
      <c r="D1875" t="s">
        <v>40</v>
      </c>
      <c r="E1875" t="s">
        <v>41</v>
      </c>
      <c r="J1875" t="s">
        <v>270</v>
      </c>
      <c r="K1875" t="s">
        <v>271</v>
      </c>
      <c r="L1875">
        <v>5</v>
      </c>
      <c r="M1875" t="s">
        <v>6902</v>
      </c>
      <c r="N1875" t="s">
        <v>59</v>
      </c>
      <c r="O1875" t="s">
        <v>47</v>
      </c>
      <c r="P1875" t="s">
        <v>47</v>
      </c>
      <c r="Y1875" t="s">
        <v>6903</v>
      </c>
      <c r="AG1875" t="s">
        <v>48</v>
      </c>
    </row>
    <row r="1876" spans="1:33">
      <c r="A1876" t="s">
        <v>6904</v>
      </c>
      <c r="B1876" t="s">
        <v>6905</v>
      </c>
      <c r="D1876" t="s">
        <v>40</v>
      </c>
      <c r="E1876" t="s">
        <v>41</v>
      </c>
      <c r="J1876" t="s">
        <v>270</v>
      </c>
      <c r="K1876" t="s">
        <v>271</v>
      </c>
      <c r="L1876">
        <v>5</v>
      </c>
      <c r="M1876" t="s">
        <v>6902</v>
      </c>
      <c r="N1876" t="s">
        <v>59</v>
      </c>
      <c r="O1876" t="s">
        <v>47</v>
      </c>
      <c r="P1876" t="s">
        <v>47</v>
      </c>
      <c r="Y1876" t="s">
        <v>6906</v>
      </c>
      <c r="AG1876" t="s">
        <v>48</v>
      </c>
    </row>
    <row r="1877" spans="1:33">
      <c r="A1877" t="s">
        <v>6907</v>
      </c>
      <c r="B1877" t="s">
        <v>6908</v>
      </c>
      <c r="D1877" t="s">
        <v>40</v>
      </c>
      <c r="E1877" t="s">
        <v>41</v>
      </c>
      <c r="H1877" t="s">
        <v>6909</v>
      </c>
      <c r="J1877" t="s">
        <v>129</v>
      </c>
      <c r="K1877" t="s">
        <v>130</v>
      </c>
      <c r="L1877">
        <v>5</v>
      </c>
      <c r="M1877" t="s">
        <v>6910</v>
      </c>
      <c r="N1877" t="s">
        <v>192</v>
      </c>
      <c r="O1877" t="s">
        <v>47</v>
      </c>
      <c r="P1877" t="s">
        <v>47</v>
      </c>
      <c r="Y1877" t="s">
        <v>6909</v>
      </c>
      <c r="AG1877" t="s">
        <v>48</v>
      </c>
    </row>
    <row r="1878" spans="1:33">
      <c r="A1878" t="s">
        <v>6911</v>
      </c>
      <c r="B1878" t="s">
        <v>6912</v>
      </c>
      <c r="D1878" t="s">
        <v>40</v>
      </c>
      <c r="E1878" t="s">
        <v>41</v>
      </c>
      <c r="H1878" t="s">
        <v>6913</v>
      </c>
      <c r="J1878" t="s">
        <v>129</v>
      </c>
      <c r="K1878" t="s">
        <v>130</v>
      </c>
      <c r="L1878">
        <v>5</v>
      </c>
      <c r="M1878" t="s">
        <v>6914</v>
      </c>
      <c r="N1878" t="s">
        <v>192</v>
      </c>
      <c r="O1878" t="s">
        <v>47</v>
      </c>
      <c r="P1878" t="s">
        <v>47</v>
      </c>
      <c r="Y1878" t="s">
        <v>6913</v>
      </c>
      <c r="AG1878" t="s">
        <v>48</v>
      </c>
    </row>
    <row r="1879" spans="1:33">
      <c r="A1879" t="s">
        <v>6915</v>
      </c>
      <c r="B1879" t="s">
        <v>6916</v>
      </c>
      <c r="D1879" t="s">
        <v>40</v>
      </c>
      <c r="E1879" t="s">
        <v>41</v>
      </c>
      <c r="J1879" t="s">
        <v>108</v>
      </c>
      <c r="K1879" t="s">
        <v>109</v>
      </c>
      <c r="L1879">
        <v>5</v>
      </c>
      <c r="M1879" t="s">
        <v>6917</v>
      </c>
      <c r="N1879" t="s">
        <v>59</v>
      </c>
      <c r="O1879" t="s">
        <v>47</v>
      </c>
      <c r="P1879" t="s">
        <v>47</v>
      </c>
      <c r="Y1879" t="s">
        <v>6918</v>
      </c>
      <c r="AG1879" t="s">
        <v>48</v>
      </c>
    </row>
    <row r="1880" spans="1:33">
      <c r="A1880" t="s">
        <v>6919</v>
      </c>
      <c r="B1880" t="s">
        <v>6920</v>
      </c>
      <c r="D1880" t="s">
        <v>40</v>
      </c>
      <c r="E1880" t="s">
        <v>41</v>
      </c>
      <c r="J1880" t="s">
        <v>108</v>
      </c>
      <c r="K1880" t="s">
        <v>109</v>
      </c>
      <c r="L1880">
        <v>5</v>
      </c>
      <c r="M1880" t="s">
        <v>6921</v>
      </c>
      <c r="N1880" t="s">
        <v>59</v>
      </c>
      <c r="O1880" t="s">
        <v>47</v>
      </c>
      <c r="P1880" t="s">
        <v>47</v>
      </c>
      <c r="Y1880" t="s">
        <v>6922</v>
      </c>
      <c r="AG1880" t="s">
        <v>48</v>
      </c>
    </row>
    <row r="1881" spans="1:33">
      <c r="A1881" t="s">
        <v>6923</v>
      </c>
      <c r="B1881" t="s">
        <v>6924</v>
      </c>
      <c r="D1881" t="s">
        <v>40</v>
      </c>
      <c r="E1881" t="s">
        <v>41</v>
      </c>
      <c r="J1881" t="s">
        <v>290</v>
      </c>
      <c r="K1881" t="s">
        <v>291</v>
      </c>
      <c r="L1881">
        <v>5</v>
      </c>
      <c r="M1881" t="s">
        <v>6921</v>
      </c>
      <c r="N1881" t="s">
        <v>59</v>
      </c>
      <c r="O1881" t="s">
        <v>47</v>
      </c>
      <c r="P1881" t="s">
        <v>47</v>
      </c>
      <c r="Y1881" t="s">
        <v>6925</v>
      </c>
      <c r="AG1881" t="s">
        <v>48</v>
      </c>
    </row>
    <row r="1882" spans="1:33">
      <c r="A1882" t="s">
        <v>6926</v>
      </c>
      <c r="B1882" t="s">
        <v>6927</v>
      </c>
      <c r="D1882" t="s">
        <v>40</v>
      </c>
      <c r="E1882" t="s">
        <v>41</v>
      </c>
      <c r="J1882" t="s">
        <v>290</v>
      </c>
      <c r="K1882" t="s">
        <v>291</v>
      </c>
      <c r="L1882">
        <v>5</v>
      </c>
      <c r="M1882" t="s">
        <v>6921</v>
      </c>
      <c r="N1882" t="s">
        <v>59</v>
      </c>
      <c r="O1882" t="s">
        <v>47</v>
      </c>
      <c r="P1882" t="s">
        <v>47</v>
      </c>
      <c r="Y1882" t="s">
        <v>6928</v>
      </c>
      <c r="AG1882" t="s">
        <v>48</v>
      </c>
    </row>
    <row r="1883" spans="1:33">
      <c r="A1883" t="s">
        <v>6929</v>
      </c>
      <c r="B1883" t="s">
        <v>6930</v>
      </c>
      <c r="D1883" t="s">
        <v>40</v>
      </c>
      <c r="E1883" t="s">
        <v>41</v>
      </c>
      <c r="J1883" t="s">
        <v>290</v>
      </c>
      <c r="K1883" t="s">
        <v>291</v>
      </c>
      <c r="L1883">
        <v>5</v>
      </c>
      <c r="M1883" t="s">
        <v>6931</v>
      </c>
      <c r="N1883" t="s">
        <v>59</v>
      </c>
      <c r="O1883" t="s">
        <v>47</v>
      </c>
      <c r="P1883" t="s">
        <v>47</v>
      </c>
      <c r="Y1883" t="s">
        <v>6932</v>
      </c>
      <c r="AG1883" t="s">
        <v>48</v>
      </c>
    </row>
    <row r="1884" spans="1:33">
      <c r="A1884" t="s">
        <v>6933</v>
      </c>
      <c r="B1884" t="s">
        <v>6934</v>
      </c>
      <c r="D1884" t="s">
        <v>40</v>
      </c>
      <c r="E1884" t="s">
        <v>41</v>
      </c>
      <c r="J1884" t="s">
        <v>162</v>
      </c>
      <c r="K1884" t="s">
        <v>163</v>
      </c>
      <c r="L1884">
        <v>5</v>
      </c>
      <c r="M1884" t="s">
        <v>6935</v>
      </c>
      <c r="N1884" t="s">
        <v>59</v>
      </c>
      <c r="O1884" t="s">
        <v>47</v>
      </c>
      <c r="P1884" t="s">
        <v>47</v>
      </c>
      <c r="Y1884" t="s">
        <v>6936</v>
      </c>
      <c r="AG1884" t="s">
        <v>48</v>
      </c>
    </row>
    <row r="1885" spans="1:33">
      <c r="A1885" t="s">
        <v>6937</v>
      </c>
      <c r="B1885" t="s">
        <v>6938</v>
      </c>
      <c r="D1885" t="s">
        <v>40</v>
      </c>
      <c r="E1885" t="s">
        <v>41</v>
      </c>
      <c r="J1885" t="s">
        <v>43</v>
      </c>
      <c r="K1885" t="s">
        <v>44</v>
      </c>
      <c r="L1885">
        <v>5</v>
      </c>
      <c r="M1885" t="s">
        <v>6939</v>
      </c>
      <c r="N1885" t="s">
        <v>192</v>
      </c>
      <c r="O1885" t="s">
        <v>47</v>
      </c>
      <c r="P1885" t="s">
        <v>47</v>
      </c>
      <c r="Y1885" t="s">
        <v>6940</v>
      </c>
      <c r="AG1885" t="s">
        <v>48</v>
      </c>
    </row>
    <row r="1886" spans="1:33">
      <c r="A1886" t="s">
        <v>6941</v>
      </c>
      <c r="B1886" t="s">
        <v>6942</v>
      </c>
      <c r="D1886" t="s">
        <v>40</v>
      </c>
      <c r="E1886" t="s">
        <v>41</v>
      </c>
      <c r="J1886" t="s">
        <v>162</v>
      </c>
      <c r="K1886" t="s">
        <v>163</v>
      </c>
      <c r="L1886">
        <v>5</v>
      </c>
      <c r="M1886" t="s">
        <v>6939</v>
      </c>
      <c r="N1886" t="s">
        <v>59</v>
      </c>
      <c r="O1886" t="s">
        <v>47</v>
      </c>
      <c r="P1886" t="s">
        <v>47</v>
      </c>
      <c r="Y1886" t="s">
        <v>6943</v>
      </c>
      <c r="AG1886" t="s">
        <v>48</v>
      </c>
    </row>
    <row r="1887" spans="1:33">
      <c r="A1887" t="s">
        <v>6944</v>
      </c>
      <c r="B1887" t="s">
        <v>6945</v>
      </c>
      <c r="D1887" t="s">
        <v>40</v>
      </c>
      <c r="E1887" t="s">
        <v>41</v>
      </c>
      <c r="J1887" t="s">
        <v>290</v>
      </c>
      <c r="K1887" t="s">
        <v>291</v>
      </c>
      <c r="L1887">
        <v>5</v>
      </c>
      <c r="M1887" t="s">
        <v>6939</v>
      </c>
      <c r="N1887" t="s">
        <v>59</v>
      </c>
      <c r="O1887" t="s">
        <v>47</v>
      </c>
      <c r="P1887" t="s">
        <v>47</v>
      </c>
      <c r="Y1887" t="s">
        <v>6946</v>
      </c>
      <c r="AG1887" t="s">
        <v>48</v>
      </c>
    </row>
    <row r="1888" spans="1:33">
      <c r="A1888" t="s">
        <v>6947</v>
      </c>
      <c r="B1888" t="s">
        <v>6948</v>
      </c>
      <c r="D1888" t="s">
        <v>40</v>
      </c>
      <c r="E1888" t="s">
        <v>41</v>
      </c>
      <c r="J1888" t="s">
        <v>162</v>
      </c>
      <c r="K1888" t="s">
        <v>163</v>
      </c>
      <c r="L1888">
        <v>5</v>
      </c>
      <c r="M1888" t="s">
        <v>6939</v>
      </c>
      <c r="N1888" t="s">
        <v>59</v>
      </c>
      <c r="O1888" t="s">
        <v>47</v>
      </c>
      <c r="P1888" t="s">
        <v>47</v>
      </c>
      <c r="Y1888" t="s">
        <v>6949</v>
      </c>
      <c r="AG1888" t="s">
        <v>48</v>
      </c>
    </row>
    <row r="1889" spans="1:33">
      <c r="A1889" t="s">
        <v>6950</v>
      </c>
      <c r="B1889" t="s">
        <v>6951</v>
      </c>
      <c r="D1889" t="s">
        <v>40</v>
      </c>
      <c r="E1889" t="s">
        <v>41</v>
      </c>
      <c r="H1889" t="s">
        <v>6952</v>
      </c>
      <c r="J1889" t="s">
        <v>63</v>
      </c>
      <c r="K1889" t="s">
        <v>64</v>
      </c>
      <c r="L1889">
        <v>5</v>
      </c>
      <c r="M1889" t="s">
        <v>6953</v>
      </c>
      <c r="N1889" t="s">
        <v>59</v>
      </c>
      <c r="O1889" t="s">
        <v>47</v>
      </c>
      <c r="P1889" t="s">
        <v>47</v>
      </c>
      <c r="Y1889" t="s">
        <v>6952</v>
      </c>
      <c r="AG1889" t="s">
        <v>48</v>
      </c>
    </row>
    <row r="1890" spans="1:33">
      <c r="A1890" t="s">
        <v>6954</v>
      </c>
      <c r="B1890" t="s">
        <v>6955</v>
      </c>
      <c r="D1890" t="s">
        <v>40</v>
      </c>
      <c r="E1890" t="s">
        <v>41</v>
      </c>
      <c r="J1890" t="s">
        <v>290</v>
      </c>
      <c r="K1890" t="s">
        <v>291</v>
      </c>
      <c r="L1890">
        <v>5</v>
      </c>
      <c r="M1890" t="s">
        <v>6956</v>
      </c>
      <c r="N1890" t="s">
        <v>59</v>
      </c>
      <c r="O1890" t="s">
        <v>47</v>
      </c>
      <c r="P1890" t="s">
        <v>47</v>
      </c>
      <c r="Y1890" t="s">
        <v>6957</v>
      </c>
      <c r="AG1890" t="s">
        <v>48</v>
      </c>
    </row>
    <row r="1891" spans="1:33">
      <c r="A1891" t="s">
        <v>6958</v>
      </c>
      <c r="B1891" t="s">
        <v>6959</v>
      </c>
      <c r="D1891" t="s">
        <v>40</v>
      </c>
      <c r="E1891" t="s">
        <v>41</v>
      </c>
      <c r="J1891" t="s">
        <v>270</v>
      </c>
      <c r="K1891" t="s">
        <v>271</v>
      </c>
      <c r="L1891">
        <v>5</v>
      </c>
      <c r="M1891" t="s">
        <v>6956</v>
      </c>
      <c r="N1891" t="s">
        <v>59</v>
      </c>
      <c r="O1891" t="s">
        <v>47</v>
      </c>
      <c r="P1891" t="s">
        <v>47</v>
      </c>
      <c r="Y1891" t="s">
        <v>6960</v>
      </c>
      <c r="AG1891" t="s">
        <v>48</v>
      </c>
    </row>
    <row r="1892" spans="1:33">
      <c r="A1892" t="s">
        <v>6961</v>
      </c>
      <c r="B1892" t="s">
        <v>6962</v>
      </c>
      <c r="D1892" t="s">
        <v>40</v>
      </c>
      <c r="E1892" t="s">
        <v>41</v>
      </c>
      <c r="J1892" t="s">
        <v>162</v>
      </c>
      <c r="K1892" t="s">
        <v>163</v>
      </c>
      <c r="L1892">
        <v>5</v>
      </c>
      <c r="M1892" t="s">
        <v>6963</v>
      </c>
      <c r="N1892" t="s">
        <v>59</v>
      </c>
      <c r="O1892" t="s">
        <v>47</v>
      </c>
      <c r="P1892" t="s">
        <v>47</v>
      </c>
      <c r="Y1892" t="s">
        <v>6964</v>
      </c>
      <c r="AG1892" t="s">
        <v>48</v>
      </c>
    </row>
    <row r="1893" spans="1:33">
      <c r="A1893" t="s">
        <v>6965</v>
      </c>
      <c r="B1893" t="s">
        <v>6966</v>
      </c>
      <c r="D1893" t="s">
        <v>40</v>
      </c>
      <c r="E1893" t="s">
        <v>41</v>
      </c>
      <c r="H1893" t="s">
        <v>6967</v>
      </c>
      <c r="J1893" t="s">
        <v>63</v>
      </c>
      <c r="K1893" t="s">
        <v>64</v>
      </c>
      <c r="L1893">
        <v>5</v>
      </c>
      <c r="M1893" t="s">
        <v>6968</v>
      </c>
      <c r="N1893" t="s">
        <v>59</v>
      </c>
      <c r="O1893" t="s">
        <v>47</v>
      </c>
      <c r="P1893" t="s">
        <v>47</v>
      </c>
      <c r="Y1893" t="s">
        <v>6967</v>
      </c>
      <c r="AG1893" t="s">
        <v>48</v>
      </c>
    </row>
    <row r="1894" spans="1:33">
      <c r="A1894" t="s">
        <v>6969</v>
      </c>
      <c r="B1894" t="s">
        <v>6970</v>
      </c>
      <c r="D1894" t="s">
        <v>40</v>
      </c>
      <c r="E1894" t="s">
        <v>41</v>
      </c>
      <c r="J1894" t="s">
        <v>290</v>
      </c>
      <c r="K1894" t="s">
        <v>291</v>
      </c>
      <c r="L1894">
        <v>5</v>
      </c>
      <c r="M1894" t="s">
        <v>6971</v>
      </c>
      <c r="N1894" t="s">
        <v>59</v>
      </c>
      <c r="O1894" t="s">
        <v>47</v>
      </c>
      <c r="P1894" t="s">
        <v>47</v>
      </c>
      <c r="Y1894" t="s">
        <v>6972</v>
      </c>
      <c r="AG1894" t="s">
        <v>48</v>
      </c>
    </row>
    <row r="1895" spans="1:33">
      <c r="A1895" t="s">
        <v>6973</v>
      </c>
      <c r="B1895" t="s">
        <v>6974</v>
      </c>
      <c r="D1895" t="s">
        <v>40</v>
      </c>
      <c r="E1895" t="s">
        <v>41</v>
      </c>
      <c r="J1895" t="s">
        <v>290</v>
      </c>
      <c r="K1895" t="s">
        <v>291</v>
      </c>
      <c r="L1895">
        <v>5</v>
      </c>
      <c r="M1895" t="s">
        <v>6975</v>
      </c>
      <c r="N1895" t="s">
        <v>59</v>
      </c>
      <c r="O1895" t="s">
        <v>47</v>
      </c>
      <c r="P1895" t="s">
        <v>47</v>
      </c>
      <c r="Y1895" t="s">
        <v>6976</v>
      </c>
      <c r="AG1895" t="s">
        <v>48</v>
      </c>
    </row>
    <row r="1896" spans="1:33">
      <c r="A1896" t="s">
        <v>6977</v>
      </c>
      <c r="B1896" t="s">
        <v>6978</v>
      </c>
      <c r="D1896" t="s">
        <v>40</v>
      </c>
      <c r="E1896" t="s">
        <v>41</v>
      </c>
      <c r="J1896" t="s">
        <v>290</v>
      </c>
      <c r="K1896" t="s">
        <v>291</v>
      </c>
      <c r="L1896">
        <v>5</v>
      </c>
      <c r="M1896" t="s">
        <v>6979</v>
      </c>
      <c r="N1896" t="s">
        <v>59</v>
      </c>
      <c r="O1896" t="s">
        <v>47</v>
      </c>
      <c r="P1896" t="s">
        <v>47</v>
      </c>
      <c r="Y1896" t="s">
        <v>6980</v>
      </c>
      <c r="AG1896" t="s">
        <v>48</v>
      </c>
    </row>
    <row r="1897" spans="1:33">
      <c r="A1897" t="s">
        <v>6981</v>
      </c>
      <c r="B1897" t="s">
        <v>6982</v>
      </c>
      <c r="D1897" t="s">
        <v>40</v>
      </c>
      <c r="E1897" t="s">
        <v>41</v>
      </c>
      <c r="J1897" t="s">
        <v>290</v>
      </c>
      <c r="K1897" t="s">
        <v>291</v>
      </c>
      <c r="L1897">
        <v>5</v>
      </c>
      <c r="M1897" t="s">
        <v>6979</v>
      </c>
      <c r="N1897" t="s">
        <v>59</v>
      </c>
      <c r="O1897" t="s">
        <v>47</v>
      </c>
      <c r="P1897" t="s">
        <v>47</v>
      </c>
      <c r="Y1897" t="s">
        <v>6983</v>
      </c>
      <c r="AG1897" t="s">
        <v>48</v>
      </c>
    </row>
    <row r="1898" spans="1:33">
      <c r="A1898" t="s">
        <v>117</v>
      </c>
      <c r="B1898" t="s">
        <v>6984</v>
      </c>
      <c r="D1898" t="s">
        <v>40</v>
      </c>
      <c r="E1898" t="s">
        <v>41</v>
      </c>
      <c r="J1898" t="s">
        <v>43</v>
      </c>
      <c r="K1898" t="s">
        <v>44</v>
      </c>
      <c r="L1898">
        <v>5</v>
      </c>
      <c r="M1898" t="s">
        <v>6979</v>
      </c>
      <c r="N1898" t="s">
        <v>192</v>
      </c>
      <c r="O1898" t="s">
        <v>47</v>
      </c>
      <c r="P1898" t="s">
        <v>47</v>
      </c>
      <c r="Y1898" t="s">
        <v>6985</v>
      </c>
      <c r="AG1898" t="s">
        <v>48</v>
      </c>
    </row>
    <row r="1899" spans="1:33">
      <c r="A1899" t="s">
        <v>6986</v>
      </c>
      <c r="B1899" t="s">
        <v>6987</v>
      </c>
      <c r="D1899" t="s">
        <v>40</v>
      </c>
      <c r="E1899" t="s">
        <v>41</v>
      </c>
      <c r="H1899" t="s">
        <v>6988</v>
      </c>
      <c r="J1899" t="s">
        <v>63</v>
      </c>
      <c r="K1899" t="s">
        <v>64</v>
      </c>
      <c r="L1899">
        <v>5</v>
      </c>
      <c r="M1899" t="s">
        <v>6989</v>
      </c>
      <c r="N1899" t="s">
        <v>59</v>
      </c>
      <c r="O1899" t="s">
        <v>47</v>
      </c>
      <c r="P1899" t="s">
        <v>47</v>
      </c>
      <c r="Y1899" t="s">
        <v>6988</v>
      </c>
      <c r="AG1899" t="s">
        <v>48</v>
      </c>
    </row>
    <row r="1900" spans="1:33">
      <c r="A1900" t="s">
        <v>117</v>
      </c>
      <c r="B1900" t="s">
        <v>6990</v>
      </c>
      <c r="D1900" t="s">
        <v>40</v>
      </c>
      <c r="E1900" t="s">
        <v>41</v>
      </c>
      <c r="H1900" t="s">
        <v>6991</v>
      </c>
      <c r="J1900" t="s">
        <v>63</v>
      </c>
      <c r="K1900" t="s">
        <v>64</v>
      </c>
      <c r="L1900">
        <v>5</v>
      </c>
      <c r="M1900" t="s">
        <v>6992</v>
      </c>
      <c r="N1900" t="s">
        <v>59</v>
      </c>
      <c r="O1900" t="s">
        <v>47</v>
      </c>
      <c r="P1900" t="s">
        <v>47</v>
      </c>
      <c r="Y1900" t="s">
        <v>6991</v>
      </c>
      <c r="AG1900" t="s">
        <v>48</v>
      </c>
    </row>
    <row r="1901" spans="1:33">
      <c r="A1901" t="s">
        <v>6993</v>
      </c>
      <c r="B1901" t="s">
        <v>6994</v>
      </c>
      <c r="D1901" t="s">
        <v>40</v>
      </c>
      <c r="E1901" t="s">
        <v>41</v>
      </c>
      <c r="J1901" t="s">
        <v>290</v>
      </c>
      <c r="K1901" t="s">
        <v>291</v>
      </c>
      <c r="L1901">
        <v>5</v>
      </c>
      <c r="M1901" t="s">
        <v>6995</v>
      </c>
      <c r="N1901" t="s">
        <v>59</v>
      </c>
      <c r="O1901" t="s">
        <v>47</v>
      </c>
      <c r="P1901" t="s">
        <v>47</v>
      </c>
      <c r="Y1901" t="s">
        <v>6996</v>
      </c>
      <c r="AG1901" t="s">
        <v>48</v>
      </c>
    </row>
    <row r="1902" spans="1:33">
      <c r="A1902" t="s">
        <v>6997</v>
      </c>
      <c r="B1902" t="s">
        <v>6998</v>
      </c>
      <c r="D1902" t="s">
        <v>40</v>
      </c>
      <c r="E1902" t="s">
        <v>41</v>
      </c>
      <c r="J1902" t="s">
        <v>129</v>
      </c>
      <c r="K1902" t="s">
        <v>130</v>
      </c>
      <c r="L1902">
        <v>5</v>
      </c>
      <c r="M1902" t="s">
        <v>6999</v>
      </c>
      <c r="N1902" t="s">
        <v>218</v>
      </c>
      <c r="O1902" t="s">
        <v>47</v>
      </c>
      <c r="P1902" t="s">
        <v>47</v>
      </c>
      <c r="Y1902" t="s">
        <v>7000</v>
      </c>
      <c r="AG1902" t="s">
        <v>48</v>
      </c>
    </row>
    <row r="1903" spans="1:33">
      <c r="A1903" t="s">
        <v>7001</v>
      </c>
      <c r="B1903" t="s">
        <v>7002</v>
      </c>
      <c r="D1903" t="s">
        <v>40</v>
      </c>
      <c r="E1903" t="s">
        <v>41</v>
      </c>
      <c r="J1903" t="s">
        <v>162</v>
      </c>
      <c r="K1903" t="s">
        <v>163</v>
      </c>
      <c r="L1903">
        <v>5</v>
      </c>
      <c r="M1903" t="s">
        <v>6999</v>
      </c>
      <c r="N1903" t="s">
        <v>59</v>
      </c>
      <c r="O1903" t="s">
        <v>47</v>
      </c>
      <c r="P1903" t="s">
        <v>47</v>
      </c>
      <c r="Y1903" t="s">
        <v>7003</v>
      </c>
      <c r="AG1903" t="s">
        <v>48</v>
      </c>
    </row>
    <row r="1904" spans="1:33">
      <c r="A1904" t="s">
        <v>117</v>
      </c>
      <c r="B1904" t="s">
        <v>7004</v>
      </c>
      <c r="D1904" t="s">
        <v>40</v>
      </c>
      <c r="E1904" t="s">
        <v>41</v>
      </c>
      <c r="H1904" t="s">
        <v>7005</v>
      </c>
      <c r="J1904" t="s">
        <v>162</v>
      </c>
      <c r="K1904" t="s">
        <v>163</v>
      </c>
      <c r="L1904">
        <v>5</v>
      </c>
      <c r="M1904" t="s">
        <v>6999</v>
      </c>
      <c r="N1904" t="s">
        <v>59</v>
      </c>
      <c r="O1904" t="s">
        <v>47</v>
      </c>
      <c r="P1904" t="s">
        <v>47</v>
      </c>
      <c r="Y1904" t="s">
        <v>7005</v>
      </c>
      <c r="AG1904" t="s">
        <v>48</v>
      </c>
    </row>
    <row r="1905" spans="1:33">
      <c r="A1905" t="s">
        <v>7006</v>
      </c>
      <c r="B1905" t="s">
        <v>7007</v>
      </c>
      <c r="D1905" t="s">
        <v>40</v>
      </c>
      <c r="E1905" t="s">
        <v>41</v>
      </c>
      <c r="J1905" t="s">
        <v>162</v>
      </c>
      <c r="K1905" t="s">
        <v>163</v>
      </c>
      <c r="L1905">
        <v>5</v>
      </c>
      <c r="M1905" t="s">
        <v>6999</v>
      </c>
      <c r="N1905" t="s">
        <v>59</v>
      </c>
      <c r="O1905" t="s">
        <v>47</v>
      </c>
      <c r="P1905" t="s">
        <v>47</v>
      </c>
      <c r="Y1905" t="s">
        <v>7008</v>
      </c>
      <c r="AG1905" t="s">
        <v>48</v>
      </c>
    </row>
    <row r="1906" spans="1:33">
      <c r="A1906" t="s">
        <v>7009</v>
      </c>
      <c r="B1906" t="s">
        <v>7010</v>
      </c>
      <c r="D1906" t="s">
        <v>40</v>
      </c>
      <c r="E1906" t="s">
        <v>41</v>
      </c>
      <c r="J1906" t="s">
        <v>270</v>
      </c>
      <c r="K1906" t="s">
        <v>271</v>
      </c>
      <c r="L1906">
        <v>5</v>
      </c>
      <c r="M1906" t="s">
        <v>7011</v>
      </c>
      <c r="N1906" t="s">
        <v>59</v>
      </c>
      <c r="O1906" t="s">
        <v>47</v>
      </c>
      <c r="P1906" t="s">
        <v>47</v>
      </c>
      <c r="Y1906" t="s">
        <v>7012</v>
      </c>
      <c r="AG1906" t="s">
        <v>48</v>
      </c>
    </row>
    <row r="1907" spans="1:33">
      <c r="A1907" t="s">
        <v>7013</v>
      </c>
      <c r="B1907" t="s">
        <v>7014</v>
      </c>
      <c r="D1907" t="s">
        <v>40</v>
      </c>
      <c r="E1907" t="s">
        <v>41</v>
      </c>
      <c r="J1907" t="s">
        <v>2439</v>
      </c>
      <c r="K1907" t="s">
        <v>2440</v>
      </c>
      <c r="L1907">
        <v>5</v>
      </c>
      <c r="M1907" t="s">
        <v>7011</v>
      </c>
      <c r="N1907" t="s">
        <v>59</v>
      </c>
      <c r="O1907" t="s">
        <v>47</v>
      </c>
      <c r="P1907" t="s">
        <v>47</v>
      </c>
      <c r="Y1907" t="s">
        <v>7015</v>
      </c>
      <c r="AG1907" t="s">
        <v>48</v>
      </c>
    </row>
    <row r="1908" spans="1:33">
      <c r="A1908" t="s">
        <v>7016</v>
      </c>
      <c r="B1908" t="s">
        <v>7017</v>
      </c>
      <c r="D1908" t="s">
        <v>40</v>
      </c>
      <c r="E1908" t="s">
        <v>41</v>
      </c>
      <c r="J1908" t="s">
        <v>270</v>
      </c>
      <c r="K1908" t="s">
        <v>271</v>
      </c>
      <c r="L1908">
        <v>5</v>
      </c>
      <c r="M1908" t="s">
        <v>7011</v>
      </c>
      <c r="N1908" t="s">
        <v>59</v>
      </c>
      <c r="O1908" t="s">
        <v>47</v>
      </c>
      <c r="P1908" t="s">
        <v>47</v>
      </c>
      <c r="Y1908" t="s">
        <v>7018</v>
      </c>
      <c r="AG1908" t="s">
        <v>48</v>
      </c>
    </row>
    <row r="1909" spans="1:33">
      <c r="A1909" t="s">
        <v>7019</v>
      </c>
      <c r="B1909" t="s">
        <v>7020</v>
      </c>
      <c r="D1909" t="s">
        <v>40</v>
      </c>
      <c r="E1909" t="s">
        <v>41</v>
      </c>
      <c r="J1909" t="s">
        <v>270</v>
      </c>
      <c r="K1909" t="s">
        <v>271</v>
      </c>
      <c r="L1909">
        <v>5</v>
      </c>
      <c r="M1909" t="s">
        <v>7021</v>
      </c>
      <c r="N1909" t="s">
        <v>59</v>
      </c>
      <c r="O1909" t="s">
        <v>47</v>
      </c>
      <c r="P1909" t="s">
        <v>47</v>
      </c>
      <c r="Y1909" t="s">
        <v>7022</v>
      </c>
      <c r="AG1909" t="s">
        <v>48</v>
      </c>
    </row>
    <row r="1910" spans="1:33">
      <c r="A1910" t="s">
        <v>7023</v>
      </c>
      <c r="B1910" t="s">
        <v>7024</v>
      </c>
      <c r="D1910" t="s">
        <v>40</v>
      </c>
      <c r="E1910" t="s">
        <v>41</v>
      </c>
      <c r="J1910" t="s">
        <v>290</v>
      </c>
      <c r="K1910" t="s">
        <v>291</v>
      </c>
      <c r="L1910">
        <v>5</v>
      </c>
      <c r="M1910" t="s">
        <v>7021</v>
      </c>
      <c r="N1910" t="s">
        <v>59</v>
      </c>
      <c r="O1910" t="s">
        <v>47</v>
      </c>
      <c r="P1910" t="s">
        <v>47</v>
      </c>
      <c r="Y1910" t="s">
        <v>7025</v>
      </c>
      <c r="AG1910" t="s">
        <v>48</v>
      </c>
    </row>
    <row r="1911" spans="1:33">
      <c r="A1911" t="s">
        <v>7026</v>
      </c>
      <c r="B1911" t="s">
        <v>7027</v>
      </c>
      <c r="D1911" t="s">
        <v>40</v>
      </c>
      <c r="E1911" t="s">
        <v>41</v>
      </c>
      <c r="J1911" t="s">
        <v>129</v>
      </c>
      <c r="K1911" t="s">
        <v>130</v>
      </c>
      <c r="L1911">
        <v>5</v>
      </c>
      <c r="M1911" t="s">
        <v>7021</v>
      </c>
      <c r="N1911" t="s">
        <v>192</v>
      </c>
      <c r="O1911" t="s">
        <v>47</v>
      </c>
      <c r="P1911" t="s">
        <v>47</v>
      </c>
      <c r="Y1911" t="s">
        <v>7028</v>
      </c>
      <c r="AG1911" t="s">
        <v>48</v>
      </c>
    </row>
    <row r="1912" spans="1:33">
      <c r="A1912" t="s">
        <v>7029</v>
      </c>
      <c r="B1912" t="s">
        <v>7030</v>
      </c>
      <c r="D1912" t="s">
        <v>40</v>
      </c>
      <c r="E1912" t="s">
        <v>41</v>
      </c>
      <c r="J1912" t="s">
        <v>270</v>
      </c>
      <c r="K1912" t="s">
        <v>271</v>
      </c>
      <c r="L1912">
        <v>5</v>
      </c>
      <c r="M1912" t="s">
        <v>7021</v>
      </c>
      <c r="N1912" t="s">
        <v>59</v>
      </c>
      <c r="O1912" t="s">
        <v>47</v>
      </c>
      <c r="P1912" t="s">
        <v>47</v>
      </c>
      <c r="Y1912" t="s">
        <v>7031</v>
      </c>
      <c r="AG1912" t="s">
        <v>48</v>
      </c>
    </row>
    <row r="1913" spans="1:33">
      <c r="A1913" t="s">
        <v>7032</v>
      </c>
      <c r="B1913" t="s">
        <v>7033</v>
      </c>
      <c r="D1913" t="s">
        <v>40</v>
      </c>
      <c r="E1913" t="s">
        <v>41</v>
      </c>
      <c r="J1913" t="s">
        <v>270</v>
      </c>
      <c r="K1913" t="s">
        <v>271</v>
      </c>
      <c r="L1913">
        <v>5</v>
      </c>
      <c r="M1913" t="s">
        <v>7034</v>
      </c>
      <c r="N1913" t="s">
        <v>59</v>
      </c>
      <c r="O1913" t="s">
        <v>47</v>
      </c>
      <c r="P1913" t="s">
        <v>47</v>
      </c>
      <c r="Y1913" t="s">
        <v>7035</v>
      </c>
      <c r="AG1913" t="s">
        <v>48</v>
      </c>
    </row>
    <row r="1914" spans="1:33">
      <c r="A1914" t="s">
        <v>7036</v>
      </c>
      <c r="B1914" t="s">
        <v>7037</v>
      </c>
      <c r="D1914" t="s">
        <v>40</v>
      </c>
      <c r="E1914" t="s">
        <v>41</v>
      </c>
      <c r="J1914" t="s">
        <v>162</v>
      </c>
      <c r="K1914" t="s">
        <v>163</v>
      </c>
      <c r="L1914">
        <v>5</v>
      </c>
      <c r="M1914" t="s">
        <v>7034</v>
      </c>
      <c r="N1914" t="s">
        <v>59</v>
      </c>
      <c r="O1914" t="s">
        <v>47</v>
      </c>
      <c r="P1914" t="s">
        <v>47</v>
      </c>
      <c r="Y1914" t="s">
        <v>7038</v>
      </c>
      <c r="AG1914" t="s">
        <v>48</v>
      </c>
    </row>
    <row r="1915" spans="1:33">
      <c r="A1915" t="s">
        <v>7039</v>
      </c>
      <c r="B1915" t="s">
        <v>7040</v>
      </c>
      <c r="D1915" t="s">
        <v>40</v>
      </c>
      <c r="E1915" t="s">
        <v>41</v>
      </c>
      <c r="J1915" t="s">
        <v>270</v>
      </c>
      <c r="K1915" t="s">
        <v>271</v>
      </c>
      <c r="L1915">
        <v>5</v>
      </c>
      <c r="M1915" t="s">
        <v>7041</v>
      </c>
      <c r="N1915" t="s">
        <v>59</v>
      </c>
      <c r="O1915" t="s">
        <v>47</v>
      </c>
      <c r="P1915" t="s">
        <v>47</v>
      </c>
      <c r="Y1915" t="s">
        <v>7042</v>
      </c>
      <c r="AG1915" t="s">
        <v>48</v>
      </c>
    </row>
    <row r="1916" spans="1:33">
      <c r="A1916" t="s">
        <v>7043</v>
      </c>
      <c r="B1916" t="s">
        <v>7044</v>
      </c>
      <c r="D1916" t="s">
        <v>40</v>
      </c>
      <c r="E1916" t="s">
        <v>41</v>
      </c>
      <c r="H1916" t="s">
        <v>7045</v>
      </c>
      <c r="J1916" t="s">
        <v>129</v>
      </c>
      <c r="K1916" t="s">
        <v>130</v>
      </c>
      <c r="L1916">
        <v>5</v>
      </c>
      <c r="M1916" t="s">
        <v>7046</v>
      </c>
      <c r="N1916" t="s">
        <v>218</v>
      </c>
      <c r="O1916" t="s">
        <v>47</v>
      </c>
      <c r="P1916" t="s">
        <v>47</v>
      </c>
      <c r="Y1916" t="s">
        <v>7045</v>
      </c>
      <c r="AG1916" t="s">
        <v>48</v>
      </c>
    </row>
    <row r="1917" spans="1:33">
      <c r="A1917" t="s">
        <v>7047</v>
      </c>
      <c r="B1917" t="s">
        <v>7048</v>
      </c>
      <c r="D1917" t="s">
        <v>40</v>
      </c>
      <c r="E1917" t="s">
        <v>41</v>
      </c>
      <c r="J1917" t="s">
        <v>162</v>
      </c>
      <c r="K1917" t="s">
        <v>163</v>
      </c>
      <c r="L1917">
        <v>5</v>
      </c>
      <c r="M1917" t="s">
        <v>7046</v>
      </c>
      <c r="N1917" t="s">
        <v>59</v>
      </c>
      <c r="O1917" t="s">
        <v>47</v>
      </c>
      <c r="P1917" t="s">
        <v>47</v>
      </c>
      <c r="Y1917" t="s">
        <v>7049</v>
      </c>
      <c r="AG1917" t="s">
        <v>48</v>
      </c>
    </row>
    <row r="1918" spans="1:33">
      <c r="A1918" t="s">
        <v>7050</v>
      </c>
      <c r="B1918" t="s">
        <v>7051</v>
      </c>
      <c r="D1918" t="s">
        <v>40</v>
      </c>
      <c r="E1918" t="s">
        <v>41</v>
      </c>
      <c r="J1918" t="s">
        <v>129</v>
      </c>
      <c r="K1918" t="s">
        <v>130</v>
      </c>
      <c r="L1918">
        <v>5</v>
      </c>
      <c r="M1918" t="s">
        <v>7046</v>
      </c>
      <c r="N1918" t="s">
        <v>218</v>
      </c>
      <c r="O1918" t="s">
        <v>47</v>
      </c>
      <c r="P1918" t="s">
        <v>47</v>
      </c>
      <c r="Y1918" t="s">
        <v>7052</v>
      </c>
      <c r="AG1918" t="s">
        <v>48</v>
      </c>
    </row>
    <row r="1919" spans="1:33">
      <c r="A1919" t="s">
        <v>7053</v>
      </c>
      <c r="B1919" t="s">
        <v>7054</v>
      </c>
      <c r="D1919" t="s">
        <v>40</v>
      </c>
      <c r="E1919" t="s">
        <v>41</v>
      </c>
      <c r="J1919" t="s">
        <v>290</v>
      </c>
      <c r="K1919" t="s">
        <v>291</v>
      </c>
      <c r="L1919">
        <v>5</v>
      </c>
      <c r="M1919" t="s">
        <v>7046</v>
      </c>
      <c r="N1919" t="s">
        <v>59</v>
      </c>
      <c r="O1919" t="s">
        <v>47</v>
      </c>
      <c r="P1919" t="s">
        <v>47</v>
      </c>
      <c r="Y1919" t="s">
        <v>7055</v>
      </c>
      <c r="AG1919" t="s">
        <v>48</v>
      </c>
    </row>
    <row r="1920" spans="1:33">
      <c r="A1920" t="s">
        <v>7056</v>
      </c>
      <c r="B1920" t="s">
        <v>7057</v>
      </c>
      <c r="D1920" t="s">
        <v>40</v>
      </c>
      <c r="E1920" t="s">
        <v>41</v>
      </c>
      <c r="H1920" t="s">
        <v>7058</v>
      </c>
      <c r="J1920" t="s">
        <v>63</v>
      </c>
      <c r="K1920" t="s">
        <v>64</v>
      </c>
      <c r="L1920">
        <v>5</v>
      </c>
      <c r="M1920" t="s">
        <v>7059</v>
      </c>
      <c r="N1920" t="s">
        <v>59</v>
      </c>
      <c r="O1920" t="s">
        <v>47</v>
      </c>
      <c r="P1920" t="s">
        <v>47</v>
      </c>
      <c r="Y1920" t="s">
        <v>7058</v>
      </c>
      <c r="AG1920" t="s">
        <v>48</v>
      </c>
    </row>
    <row r="1921" spans="1:33">
      <c r="A1921" t="s">
        <v>7060</v>
      </c>
      <c r="B1921" t="s">
        <v>7061</v>
      </c>
      <c r="D1921" t="s">
        <v>40</v>
      </c>
      <c r="E1921" t="s">
        <v>41</v>
      </c>
      <c r="J1921" t="s">
        <v>108</v>
      </c>
      <c r="K1921" t="s">
        <v>109</v>
      </c>
      <c r="L1921">
        <v>5</v>
      </c>
      <c r="M1921" t="s">
        <v>7062</v>
      </c>
      <c r="N1921" t="s">
        <v>59</v>
      </c>
      <c r="O1921" t="s">
        <v>47</v>
      </c>
      <c r="P1921" t="s">
        <v>47</v>
      </c>
      <c r="Y1921" t="s">
        <v>7063</v>
      </c>
      <c r="AG1921" t="s">
        <v>48</v>
      </c>
    </row>
    <row r="1922" spans="1:33">
      <c r="A1922" t="s">
        <v>7064</v>
      </c>
      <c r="B1922" t="s">
        <v>7065</v>
      </c>
      <c r="D1922" t="s">
        <v>40</v>
      </c>
      <c r="E1922" t="s">
        <v>41</v>
      </c>
      <c r="J1922" t="s">
        <v>270</v>
      </c>
      <c r="K1922" t="s">
        <v>271</v>
      </c>
      <c r="L1922">
        <v>5</v>
      </c>
      <c r="M1922" t="s">
        <v>7066</v>
      </c>
      <c r="N1922" t="s">
        <v>59</v>
      </c>
      <c r="O1922" t="s">
        <v>47</v>
      </c>
      <c r="P1922" t="s">
        <v>47</v>
      </c>
      <c r="Y1922" t="s">
        <v>7067</v>
      </c>
      <c r="AG1922" t="s">
        <v>48</v>
      </c>
    </row>
    <row r="1923" spans="1:33">
      <c r="A1923" t="s">
        <v>7068</v>
      </c>
      <c r="B1923" t="s">
        <v>7069</v>
      </c>
      <c r="D1923" t="s">
        <v>40</v>
      </c>
      <c r="E1923" t="s">
        <v>41</v>
      </c>
      <c r="J1923" t="s">
        <v>270</v>
      </c>
      <c r="K1923" t="s">
        <v>271</v>
      </c>
      <c r="L1923">
        <v>5</v>
      </c>
      <c r="M1923" t="s">
        <v>7070</v>
      </c>
      <c r="N1923" t="s">
        <v>59</v>
      </c>
      <c r="O1923" t="s">
        <v>47</v>
      </c>
      <c r="P1923" t="s">
        <v>47</v>
      </c>
      <c r="Y1923" t="s">
        <v>7071</v>
      </c>
      <c r="AG1923" t="s">
        <v>48</v>
      </c>
    </row>
    <row r="1924" spans="1:33">
      <c r="A1924" t="s">
        <v>7072</v>
      </c>
      <c r="B1924" t="s">
        <v>7073</v>
      </c>
      <c r="D1924" t="s">
        <v>40</v>
      </c>
      <c r="E1924" t="s">
        <v>41</v>
      </c>
      <c r="H1924" t="s">
        <v>7074</v>
      </c>
      <c r="J1924" t="s">
        <v>114</v>
      </c>
      <c r="K1924" t="s">
        <v>115</v>
      </c>
      <c r="L1924">
        <v>5</v>
      </c>
      <c r="M1924" t="s">
        <v>7075</v>
      </c>
      <c r="N1924" t="s">
        <v>59</v>
      </c>
      <c r="O1924" t="s">
        <v>47</v>
      </c>
      <c r="P1924" t="s">
        <v>47</v>
      </c>
      <c r="Y1924" t="s">
        <v>7074</v>
      </c>
      <c r="AG1924" t="s">
        <v>48</v>
      </c>
    </row>
    <row r="1925" spans="1:33">
      <c r="A1925" t="s">
        <v>7076</v>
      </c>
      <c r="B1925" t="s">
        <v>7077</v>
      </c>
      <c r="D1925" t="s">
        <v>40</v>
      </c>
      <c r="E1925" t="s">
        <v>41</v>
      </c>
      <c r="J1925" t="s">
        <v>123</v>
      </c>
      <c r="K1925" t="s">
        <v>124</v>
      </c>
      <c r="L1925">
        <v>5</v>
      </c>
      <c r="M1925" t="s">
        <v>7075</v>
      </c>
      <c r="N1925" t="s">
        <v>218</v>
      </c>
      <c r="O1925" t="s">
        <v>47</v>
      </c>
      <c r="P1925" t="s">
        <v>47</v>
      </c>
      <c r="Y1925" t="s">
        <v>7078</v>
      </c>
      <c r="AG1925" t="s">
        <v>48</v>
      </c>
    </row>
    <row r="1926" spans="1:33">
      <c r="A1926" t="s">
        <v>7079</v>
      </c>
      <c r="B1926" t="s">
        <v>7080</v>
      </c>
      <c r="D1926" t="s">
        <v>40</v>
      </c>
      <c r="E1926" t="s">
        <v>41</v>
      </c>
      <c r="J1926" t="s">
        <v>312</v>
      </c>
      <c r="K1926" t="s">
        <v>313</v>
      </c>
      <c r="L1926">
        <v>10</v>
      </c>
      <c r="M1926" t="s">
        <v>7081</v>
      </c>
      <c r="N1926" t="s">
        <v>192</v>
      </c>
      <c r="O1926" t="s">
        <v>47</v>
      </c>
      <c r="P1926" t="s">
        <v>47</v>
      </c>
      <c r="Y1926" t="s">
        <v>7082</v>
      </c>
      <c r="AG1926" t="s">
        <v>48</v>
      </c>
    </row>
    <row r="1927" spans="1:33">
      <c r="A1927" t="s">
        <v>7083</v>
      </c>
      <c r="B1927" t="s">
        <v>7084</v>
      </c>
      <c r="D1927" t="s">
        <v>40</v>
      </c>
      <c r="E1927" t="s">
        <v>41</v>
      </c>
      <c r="J1927" t="s">
        <v>270</v>
      </c>
      <c r="K1927" t="s">
        <v>271</v>
      </c>
      <c r="L1927">
        <v>5</v>
      </c>
      <c r="M1927" t="s">
        <v>7085</v>
      </c>
      <c r="N1927" t="s">
        <v>59</v>
      </c>
      <c r="O1927" t="s">
        <v>47</v>
      </c>
      <c r="P1927" t="s">
        <v>47</v>
      </c>
      <c r="Y1927" t="s">
        <v>7086</v>
      </c>
      <c r="AG1927" t="s">
        <v>48</v>
      </c>
    </row>
    <row r="1928" spans="1:33">
      <c r="A1928" t="s">
        <v>7087</v>
      </c>
      <c r="B1928" t="s">
        <v>7088</v>
      </c>
      <c r="D1928" t="s">
        <v>40</v>
      </c>
      <c r="E1928" t="s">
        <v>41</v>
      </c>
      <c r="J1928" t="s">
        <v>270</v>
      </c>
      <c r="K1928" t="s">
        <v>271</v>
      </c>
      <c r="L1928">
        <v>5</v>
      </c>
      <c r="M1928" t="s">
        <v>7089</v>
      </c>
      <c r="N1928" t="s">
        <v>59</v>
      </c>
      <c r="O1928" t="s">
        <v>47</v>
      </c>
      <c r="P1928" t="s">
        <v>47</v>
      </c>
      <c r="Y1928" t="s">
        <v>7090</v>
      </c>
      <c r="AG1928" t="s">
        <v>48</v>
      </c>
    </row>
    <row r="1929" spans="1:33">
      <c r="A1929" t="s">
        <v>7091</v>
      </c>
      <c r="B1929" t="s">
        <v>7092</v>
      </c>
      <c r="D1929" t="s">
        <v>40</v>
      </c>
      <c r="E1929" t="s">
        <v>41</v>
      </c>
      <c r="J1929" t="s">
        <v>270</v>
      </c>
      <c r="K1929" t="s">
        <v>271</v>
      </c>
      <c r="L1929">
        <v>5</v>
      </c>
      <c r="M1929" t="s">
        <v>7089</v>
      </c>
      <c r="N1929" t="s">
        <v>59</v>
      </c>
      <c r="O1929" t="s">
        <v>47</v>
      </c>
      <c r="P1929" t="s">
        <v>47</v>
      </c>
      <c r="Y1929" t="s">
        <v>7093</v>
      </c>
      <c r="AG1929" t="s">
        <v>48</v>
      </c>
    </row>
    <row r="1930" spans="1:33">
      <c r="A1930" t="s">
        <v>7094</v>
      </c>
      <c r="B1930" t="s">
        <v>7095</v>
      </c>
      <c r="D1930" t="s">
        <v>40</v>
      </c>
      <c r="E1930" t="s">
        <v>41</v>
      </c>
      <c r="J1930" t="s">
        <v>108</v>
      </c>
      <c r="K1930" t="s">
        <v>109</v>
      </c>
      <c r="L1930">
        <v>5</v>
      </c>
      <c r="M1930" t="s">
        <v>7096</v>
      </c>
      <c r="N1930" t="s">
        <v>59</v>
      </c>
      <c r="O1930" t="s">
        <v>47</v>
      </c>
      <c r="P1930" t="s">
        <v>47</v>
      </c>
      <c r="Y1930" t="s">
        <v>7097</v>
      </c>
      <c r="AG1930" t="s">
        <v>48</v>
      </c>
    </row>
    <row r="1931" spans="1:33">
      <c r="A1931" t="s">
        <v>7098</v>
      </c>
      <c r="B1931" t="s">
        <v>7099</v>
      </c>
      <c r="D1931" t="s">
        <v>40</v>
      </c>
      <c r="E1931" t="s">
        <v>41</v>
      </c>
      <c r="J1931" t="s">
        <v>290</v>
      </c>
      <c r="K1931" t="s">
        <v>291</v>
      </c>
      <c r="L1931">
        <v>5</v>
      </c>
      <c r="M1931" t="s">
        <v>7100</v>
      </c>
      <c r="N1931" t="s">
        <v>59</v>
      </c>
      <c r="O1931" t="s">
        <v>47</v>
      </c>
      <c r="P1931" t="s">
        <v>47</v>
      </c>
      <c r="Y1931" t="s">
        <v>7101</v>
      </c>
      <c r="AG1931" t="s">
        <v>48</v>
      </c>
    </row>
    <row r="1932" spans="1:33">
      <c r="A1932" t="s">
        <v>7102</v>
      </c>
      <c r="B1932" t="s">
        <v>7103</v>
      </c>
      <c r="D1932" t="s">
        <v>40</v>
      </c>
      <c r="E1932" t="s">
        <v>41</v>
      </c>
      <c r="J1932" t="s">
        <v>114</v>
      </c>
      <c r="K1932" t="s">
        <v>115</v>
      </c>
      <c r="L1932">
        <v>5</v>
      </c>
      <c r="M1932" t="s">
        <v>7104</v>
      </c>
      <c r="N1932" t="s">
        <v>59</v>
      </c>
      <c r="O1932" t="s">
        <v>47</v>
      </c>
      <c r="P1932" t="s">
        <v>47</v>
      </c>
      <c r="Y1932" t="s">
        <v>7105</v>
      </c>
      <c r="AG1932" t="s">
        <v>48</v>
      </c>
    </row>
    <row r="1933" spans="1:33">
      <c r="A1933" t="s">
        <v>7106</v>
      </c>
      <c r="B1933" t="s">
        <v>7107</v>
      </c>
      <c r="D1933" t="s">
        <v>40</v>
      </c>
      <c r="E1933" t="s">
        <v>41</v>
      </c>
      <c r="J1933" t="s">
        <v>162</v>
      </c>
      <c r="K1933" t="s">
        <v>163</v>
      </c>
      <c r="L1933">
        <v>5</v>
      </c>
      <c r="M1933" t="s">
        <v>7108</v>
      </c>
      <c r="N1933" t="s">
        <v>59</v>
      </c>
      <c r="O1933" t="s">
        <v>47</v>
      </c>
      <c r="P1933" t="s">
        <v>47</v>
      </c>
      <c r="Y1933" t="s">
        <v>7109</v>
      </c>
      <c r="AG1933" t="s">
        <v>48</v>
      </c>
    </row>
    <row r="1934" spans="1:33">
      <c r="A1934" t="s">
        <v>7110</v>
      </c>
      <c r="B1934" t="s">
        <v>7111</v>
      </c>
      <c r="D1934" t="s">
        <v>40</v>
      </c>
      <c r="E1934" t="s">
        <v>41</v>
      </c>
      <c r="J1934" t="s">
        <v>129</v>
      </c>
      <c r="K1934" t="s">
        <v>130</v>
      </c>
      <c r="L1934">
        <v>5</v>
      </c>
      <c r="M1934" t="s">
        <v>7112</v>
      </c>
      <c r="N1934" t="s">
        <v>218</v>
      </c>
      <c r="O1934" t="s">
        <v>47</v>
      </c>
      <c r="P1934" t="s">
        <v>47</v>
      </c>
      <c r="Y1934" t="s">
        <v>7113</v>
      </c>
      <c r="AG1934" t="s">
        <v>48</v>
      </c>
    </row>
    <row r="1935" spans="1:33">
      <c r="A1935" t="s">
        <v>7114</v>
      </c>
      <c r="B1935" t="s">
        <v>7115</v>
      </c>
      <c r="D1935" t="s">
        <v>40</v>
      </c>
      <c r="E1935" t="s">
        <v>41</v>
      </c>
      <c r="J1935" t="s">
        <v>162</v>
      </c>
      <c r="K1935" t="s">
        <v>163</v>
      </c>
      <c r="L1935">
        <v>5</v>
      </c>
      <c r="M1935" t="s">
        <v>7116</v>
      </c>
      <c r="N1935" t="s">
        <v>59</v>
      </c>
      <c r="O1935" t="s">
        <v>47</v>
      </c>
      <c r="P1935" t="s">
        <v>47</v>
      </c>
      <c r="Y1935" t="s">
        <v>7117</v>
      </c>
      <c r="AG1935" t="s">
        <v>48</v>
      </c>
    </row>
    <row r="1936" spans="1:33">
      <c r="A1936" t="s">
        <v>7118</v>
      </c>
      <c r="B1936" t="s">
        <v>7119</v>
      </c>
      <c r="D1936" t="s">
        <v>40</v>
      </c>
      <c r="E1936" t="s">
        <v>41</v>
      </c>
      <c r="J1936" t="s">
        <v>108</v>
      </c>
      <c r="K1936" t="s">
        <v>109</v>
      </c>
      <c r="L1936">
        <v>5</v>
      </c>
      <c r="M1936" t="s">
        <v>7120</v>
      </c>
      <c r="N1936" t="s">
        <v>59</v>
      </c>
      <c r="O1936" t="s">
        <v>47</v>
      </c>
      <c r="P1936" t="s">
        <v>47</v>
      </c>
      <c r="Y1936" t="s">
        <v>7121</v>
      </c>
      <c r="AG1936" t="s">
        <v>48</v>
      </c>
    </row>
    <row r="1937" spans="1:33">
      <c r="A1937" t="s">
        <v>7122</v>
      </c>
      <c r="B1937" t="s">
        <v>7123</v>
      </c>
      <c r="D1937" t="s">
        <v>40</v>
      </c>
      <c r="E1937" t="s">
        <v>41</v>
      </c>
      <c r="J1937" t="s">
        <v>290</v>
      </c>
      <c r="K1937" t="s">
        <v>291</v>
      </c>
      <c r="L1937">
        <v>5</v>
      </c>
      <c r="M1937" t="s">
        <v>7120</v>
      </c>
      <c r="N1937" t="s">
        <v>59</v>
      </c>
      <c r="O1937" t="s">
        <v>47</v>
      </c>
      <c r="P1937" t="s">
        <v>47</v>
      </c>
      <c r="Y1937" t="s">
        <v>7124</v>
      </c>
      <c r="AG1937" t="s">
        <v>48</v>
      </c>
    </row>
    <row r="1938" spans="1:33">
      <c r="A1938" t="s">
        <v>7125</v>
      </c>
      <c r="B1938" t="s">
        <v>7126</v>
      </c>
      <c r="D1938" t="s">
        <v>40</v>
      </c>
      <c r="E1938" t="s">
        <v>41</v>
      </c>
      <c r="J1938" t="s">
        <v>290</v>
      </c>
      <c r="K1938" t="s">
        <v>291</v>
      </c>
      <c r="L1938">
        <v>5</v>
      </c>
      <c r="M1938" t="s">
        <v>7120</v>
      </c>
      <c r="N1938" t="s">
        <v>59</v>
      </c>
      <c r="O1938" t="s">
        <v>47</v>
      </c>
      <c r="P1938" t="s">
        <v>47</v>
      </c>
      <c r="Y1938" t="s">
        <v>7127</v>
      </c>
      <c r="AG1938" t="s">
        <v>48</v>
      </c>
    </row>
    <row r="1939" spans="1:33">
      <c r="A1939" t="s">
        <v>7128</v>
      </c>
      <c r="B1939" t="s">
        <v>7129</v>
      </c>
      <c r="D1939" t="s">
        <v>40</v>
      </c>
      <c r="E1939" t="s">
        <v>41</v>
      </c>
      <c r="J1939" t="s">
        <v>114</v>
      </c>
      <c r="K1939" t="s">
        <v>115</v>
      </c>
      <c r="L1939">
        <v>5</v>
      </c>
      <c r="M1939" t="s">
        <v>7120</v>
      </c>
      <c r="N1939" t="s">
        <v>59</v>
      </c>
      <c r="O1939" t="s">
        <v>47</v>
      </c>
      <c r="P1939" t="s">
        <v>47</v>
      </c>
      <c r="Y1939" t="s">
        <v>7130</v>
      </c>
      <c r="AG1939" t="s">
        <v>48</v>
      </c>
    </row>
    <row r="1940" spans="1:33">
      <c r="A1940" t="s">
        <v>7131</v>
      </c>
      <c r="B1940" t="s">
        <v>7132</v>
      </c>
      <c r="D1940" t="s">
        <v>40</v>
      </c>
      <c r="E1940" t="s">
        <v>41</v>
      </c>
      <c r="H1940" t="s">
        <v>7133</v>
      </c>
      <c r="J1940" t="s">
        <v>63</v>
      </c>
      <c r="K1940" t="s">
        <v>64</v>
      </c>
      <c r="L1940">
        <v>5</v>
      </c>
      <c r="M1940" t="s">
        <v>7134</v>
      </c>
      <c r="N1940" t="s">
        <v>59</v>
      </c>
      <c r="O1940" t="s">
        <v>47</v>
      </c>
      <c r="P1940" t="s">
        <v>47</v>
      </c>
      <c r="Y1940" t="s">
        <v>7133</v>
      </c>
      <c r="AG1940" t="s">
        <v>48</v>
      </c>
    </row>
    <row r="1941" spans="1:33">
      <c r="A1941" t="s">
        <v>7135</v>
      </c>
      <c r="B1941" t="s">
        <v>7136</v>
      </c>
      <c r="D1941" t="s">
        <v>40</v>
      </c>
      <c r="E1941" t="s">
        <v>41</v>
      </c>
      <c r="H1941" t="s">
        <v>7137</v>
      </c>
      <c r="J1941" t="s">
        <v>63</v>
      </c>
      <c r="K1941" t="s">
        <v>64</v>
      </c>
      <c r="L1941">
        <v>5</v>
      </c>
      <c r="M1941" t="s">
        <v>7138</v>
      </c>
      <c r="N1941" t="s">
        <v>59</v>
      </c>
      <c r="O1941" t="s">
        <v>47</v>
      </c>
      <c r="P1941" t="s">
        <v>47</v>
      </c>
      <c r="Y1941" t="s">
        <v>7137</v>
      </c>
      <c r="AG1941" t="s">
        <v>48</v>
      </c>
    </row>
    <row r="1942" spans="1:33">
      <c r="A1942" t="s">
        <v>7139</v>
      </c>
      <c r="B1942" t="s">
        <v>7140</v>
      </c>
      <c r="D1942" t="s">
        <v>40</v>
      </c>
      <c r="E1942" t="s">
        <v>41</v>
      </c>
      <c r="J1942" t="s">
        <v>114</v>
      </c>
      <c r="K1942" t="s">
        <v>115</v>
      </c>
      <c r="L1942">
        <v>5</v>
      </c>
      <c r="M1942" t="s">
        <v>7141</v>
      </c>
      <c r="N1942" t="s">
        <v>59</v>
      </c>
      <c r="O1942" t="s">
        <v>47</v>
      </c>
      <c r="P1942" t="s">
        <v>47</v>
      </c>
      <c r="Y1942" t="s">
        <v>7142</v>
      </c>
      <c r="AG1942" t="s">
        <v>48</v>
      </c>
    </row>
    <row r="1943" spans="1:33">
      <c r="A1943" t="s">
        <v>7143</v>
      </c>
      <c r="B1943" t="s">
        <v>7144</v>
      </c>
      <c r="D1943" t="s">
        <v>40</v>
      </c>
      <c r="E1943" t="s">
        <v>41</v>
      </c>
      <c r="J1943" t="s">
        <v>108</v>
      </c>
      <c r="K1943" t="s">
        <v>109</v>
      </c>
      <c r="L1943">
        <v>5</v>
      </c>
      <c r="M1943" t="s">
        <v>7145</v>
      </c>
      <c r="N1943" t="s">
        <v>59</v>
      </c>
      <c r="O1943" t="s">
        <v>47</v>
      </c>
      <c r="P1943" t="s">
        <v>47</v>
      </c>
      <c r="Y1943" t="s">
        <v>7146</v>
      </c>
      <c r="AG1943" t="s">
        <v>48</v>
      </c>
    </row>
    <row r="1944" spans="1:33">
      <c r="A1944" t="s">
        <v>7147</v>
      </c>
      <c r="B1944" t="s">
        <v>7148</v>
      </c>
      <c r="D1944" t="s">
        <v>40</v>
      </c>
      <c r="E1944" t="s">
        <v>41</v>
      </c>
      <c r="J1944" t="s">
        <v>129</v>
      </c>
      <c r="K1944" t="s">
        <v>130</v>
      </c>
      <c r="L1944">
        <v>5</v>
      </c>
      <c r="M1944" t="s">
        <v>7145</v>
      </c>
      <c r="N1944" t="s">
        <v>192</v>
      </c>
      <c r="O1944" t="s">
        <v>47</v>
      </c>
      <c r="P1944" t="s">
        <v>47</v>
      </c>
      <c r="Y1944" t="s">
        <v>7149</v>
      </c>
      <c r="AG1944" t="s">
        <v>48</v>
      </c>
    </row>
    <row r="1945" spans="1:33">
      <c r="A1945" t="s">
        <v>7150</v>
      </c>
      <c r="B1945" t="s">
        <v>7151</v>
      </c>
      <c r="D1945" t="s">
        <v>40</v>
      </c>
      <c r="E1945" t="s">
        <v>41</v>
      </c>
      <c r="J1945" t="s">
        <v>162</v>
      </c>
      <c r="K1945" t="s">
        <v>163</v>
      </c>
      <c r="L1945">
        <v>5</v>
      </c>
      <c r="M1945" t="s">
        <v>7145</v>
      </c>
      <c r="N1945" t="s">
        <v>59</v>
      </c>
      <c r="O1945" t="s">
        <v>47</v>
      </c>
      <c r="P1945" t="s">
        <v>47</v>
      </c>
      <c r="Y1945" t="s">
        <v>7152</v>
      </c>
      <c r="AG1945" t="s">
        <v>48</v>
      </c>
    </row>
    <row r="1946" spans="1:33">
      <c r="A1946" t="s">
        <v>7153</v>
      </c>
      <c r="B1946" t="s">
        <v>7154</v>
      </c>
      <c r="D1946" t="s">
        <v>40</v>
      </c>
      <c r="E1946" t="s">
        <v>41</v>
      </c>
      <c r="J1946" t="s">
        <v>290</v>
      </c>
      <c r="K1946" t="s">
        <v>291</v>
      </c>
      <c r="L1946">
        <v>5</v>
      </c>
      <c r="M1946" t="s">
        <v>7155</v>
      </c>
      <c r="N1946" t="s">
        <v>59</v>
      </c>
      <c r="O1946" t="s">
        <v>47</v>
      </c>
      <c r="P1946" t="s">
        <v>47</v>
      </c>
      <c r="Y1946" t="s">
        <v>7156</v>
      </c>
      <c r="AG1946" t="s">
        <v>48</v>
      </c>
    </row>
    <row r="1947" spans="1:33">
      <c r="A1947" t="s">
        <v>7157</v>
      </c>
      <c r="B1947" t="s">
        <v>7158</v>
      </c>
      <c r="D1947" t="s">
        <v>40</v>
      </c>
      <c r="E1947" t="s">
        <v>41</v>
      </c>
      <c r="J1947" t="s">
        <v>129</v>
      </c>
      <c r="K1947" t="s">
        <v>130</v>
      </c>
      <c r="L1947">
        <v>5</v>
      </c>
      <c r="M1947" t="s">
        <v>7159</v>
      </c>
      <c r="N1947" t="s">
        <v>218</v>
      </c>
      <c r="O1947" t="s">
        <v>47</v>
      </c>
      <c r="P1947" t="s">
        <v>47</v>
      </c>
      <c r="Y1947" t="s">
        <v>7160</v>
      </c>
      <c r="AG1947" t="s">
        <v>48</v>
      </c>
    </row>
    <row r="1948" spans="1:33">
      <c r="A1948" t="s">
        <v>7161</v>
      </c>
      <c r="B1948" t="s">
        <v>7162</v>
      </c>
      <c r="D1948" t="s">
        <v>40</v>
      </c>
      <c r="E1948" t="s">
        <v>41</v>
      </c>
      <c r="J1948" t="s">
        <v>290</v>
      </c>
      <c r="K1948" t="s">
        <v>291</v>
      </c>
      <c r="L1948">
        <v>5</v>
      </c>
      <c r="M1948" t="s">
        <v>7159</v>
      </c>
      <c r="N1948" t="s">
        <v>59</v>
      </c>
      <c r="O1948" t="s">
        <v>47</v>
      </c>
      <c r="P1948" t="s">
        <v>47</v>
      </c>
      <c r="Y1948" t="s">
        <v>7163</v>
      </c>
      <c r="AG1948" t="s">
        <v>48</v>
      </c>
    </row>
    <row r="1949" spans="1:33">
      <c r="A1949" t="s">
        <v>7164</v>
      </c>
      <c r="B1949" t="s">
        <v>7165</v>
      </c>
      <c r="D1949" t="s">
        <v>40</v>
      </c>
      <c r="E1949" t="s">
        <v>41</v>
      </c>
      <c r="J1949" t="s">
        <v>129</v>
      </c>
      <c r="K1949" t="s">
        <v>130</v>
      </c>
      <c r="L1949">
        <v>5</v>
      </c>
      <c r="M1949" t="s">
        <v>7166</v>
      </c>
      <c r="N1949" t="s">
        <v>192</v>
      </c>
      <c r="O1949" t="s">
        <v>47</v>
      </c>
      <c r="P1949" t="s">
        <v>47</v>
      </c>
      <c r="Y1949" t="s">
        <v>7167</v>
      </c>
      <c r="AG1949" t="s">
        <v>48</v>
      </c>
    </row>
    <row r="1950" spans="1:33">
      <c r="A1950" t="s">
        <v>7168</v>
      </c>
      <c r="B1950" t="s">
        <v>7169</v>
      </c>
      <c r="D1950" t="s">
        <v>40</v>
      </c>
      <c r="E1950" t="s">
        <v>41</v>
      </c>
      <c r="J1950" t="s">
        <v>290</v>
      </c>
      <c r="K1950" t="s">
        <v>291</v>
      </c>
      <c r="L1950">
        <v>5</v>
      </c>
      <c r="M1950" t="s">
        <v>7170</v>
      </c>
      <c r="N1950" t="s">
        <v>59</v>
      </c>
      <c r="O1950" t="s">
        <v>47</v>
      </c>
      <c r="P1950" t="s">
        <v>47</v>
      </c>
      <c r="Y1950" t="s">
        <v>7171</v>
      </c>
      <c r="AG1950" t="s">
        <v>48</v>
      </c>
    </row>
    <row r="1951" spans="1:33">
      <c r="A1951" t="s">
        <v>7172</v>
      </c>
      <c r="B1951" t="s">
        <v>7173</v>
      </c>
      <c r="D1951" t="s">
        <v>40</v>
      </c>
      <c r="E1951" t="s">
        <v>41</v>
      </c>
      <c r="J1951" t="s">
        <v>129</v>
      </c>
      <c r="K1951" t="s">
        <v>130</v>
      </c>
      <c r="L1951">
        <v>5</v>
      </c>
      <c r="M1951" t="s">
        <v>7174</v>
      </c>
      <c r="N1951" t="s">
        <v>192</v>
      </c>
      <c r="O1951" t="s">
        <v>47</v>
      </c>
      <c r="P1951" t="s">
        <v>47</v>
      </c>
      <c r="Y1951" t="s">
        <v>7175</v>
      </c>
      <c r="AG1951" t="s">
        <v>48</v>
      </c>
    </row>
    <row r="1952" spans="1:33">
      <c r="A1952" t="s">
        <v>7176</v>
      </c>
      <c r="B1952" t="s">
        <v>7177</v>
      </c>
      <c r="D1952" t="s">
        <v>40</v>
      </c>
      <c r="E1952" t="s">
        <v>41</v>
      </c>
      <c r="J1952" t="s">
        <v>290</v>
      </c>
      <c r="K1952" t="s">
        <v>291</v>
      </c>
      <c r="L1952">
        <v>5</v>
      </c>
      <c r="M1952" t="s">
        <v>7178</v>
      </c>
      <c r="N1952" t="s">
        <v>59</v>
      </c>
      <c r="O1952" t="s">
        <v>47</v>
      </c>
      <c r="P1952" t="s">
        <v>47</v>
      </c>
      <c r="Y1952" t="s">
        <v>7179</v>
      </c>
      <c r="AG1952" t="s">
        <v>48</v>
      </c>
    </row>
    <row r="1953" spans="1:33">
      <c r="A1953" t="s">
        <v>7180</v>
      </c>
      <c r="B1953" t="s">
        <v>7181</v>
      </c>
      <c r="D1953" t="s">
        <v>40</v>
      </c>
      <c r="E1953" t="s">
        <v>41</v>
      </c>
      <c r="H1953" t="s">
        <v>7182</v>
      </c>
      <c r="J1953" t="s">
        <v>129</v>
      </c>
      <c r="K1953" t="s">
        <v>130</v>
      </c>
      <c r="L1953">
        <v>5</v>
      </c>
      <c r="M1953" t="s">
        <v>7183</v>
      </c>
      <c r="N1953" t="s">
        <v>192</v>
      </c>
      <c r="O1953" t="s">
        <v>47</v>
      </c>
      <c r="P1953" t="s">
        <v>47</v>
      </c>
      <c r="Y1953" t="s">
        <v>7182</v>
      </c>
      <c r="AG1953" t="s">
        <v>48</v>
      </c>
    </row>
    <row r="1954" spans="1:33">
      <c r="A1954" t="s">
        <v>7184</v>
      </c>
      <c r="B1954" t="s">
        <v>7185</v>
      </c>
      <c r="D1954" t="s">
        <v>40</v>
      </c>
      <c r="E1954" t="s">
        <v>41</v>
      </c>
      <c r="J1954" t="s">
        <v>290</v>
      </c>
      <c r="K1954" t="s">
        <v>291</v>
      </c>
      <c r="L1954">
        <v>5</v>
      </c>
      <c r="M1954" t="s">
        <v>7186</v>
      </c>
      <c r="N1954" t="s">
        <v>59</v>
      </c>
      <c r="O1954" t="s">
        <v>47</v>
      </c>
      <c r="P1954" t="s">
        <v>47</v>
      </c>
      <c r="Y1954" t="s">
        <v>7187</v>
      </c>
      <c r="AG1954" t="s">
        <v>48</v>
      </c>
    </row>
    <row r="1955" spans="1:33">
      <c r="A1955" t="s">
        <v>7188</v>
      </c>
      <c r="B1955" t="s">
        <v>7189</v>
      </c>
      <c r="D1955" t="s">
        <v>40</v>
      </c>
      <c r="E1955" t="s">
        <v>41</v>
      </c>
      <c r="H1955" t="s">
        <v>7190</v>
      </c>
      <c r="J1955" t="s">
        <v>147</v>
      </c>
      <c r="K1955" t="s">
        <v>148</v>
      </c>
      <c r="L1955">
        <v>6</v>
      </c>
      <c r="M1955" t="s">
        <v>7191</v>
      </c>
      <c r="N1955" t="s">
        <v>59</v>
      </c>
      <c r="O1955" t="s">
        <v>47</v>
      </c>
      <c r="P1955" t="s">
        <v>47</v>
      </c>
      <c r="Y1955" t="s">
        <v>7190</v>
      </c>
      <c r="AG1955" t="s">
        <v>48</v>
      </c>
    </row>
    <row r="1956" spans="1:33">
      <c r="A1956" t="s">
        <v>7192</v>
      </c>
      <c r="B1956" t="s">
        <v>7193</v>
      </c>
      <c r="D1956" t="s">
        <v>40</v>
      </c>
      <c r="E1956" t="s">
        <v>41</v>
      </c>
      <c r="J1956" t="s">
        <v>108</v>
      </c>
      <c r="K1956" t="s">
        <v>109</v>
      </c>
      <c r="L1956">
        <v>5</v>
      </c>
      <c r="M1956" t="s">
        <v>7194</v>
      </c>
      <c r="N1956" t="s">
        <v>59</v>
      </c>
      <c r="O1956" t="s">
        <v>47</v>
      </c>
      <c r="P1956" t="s">
        <v>47</v>
      </c>
      <c r="Y1956" t="s">
        <v>7195</v>
      </c>
      <c r="AG1956" t="s">
        <v>48</v>
      </c>
    </row>
    <row r="1957" spans="1:33">
      <c r="A1957" t="s">
        <v>7196</v>
      </c>
      <c r="B1957" t="s">
        <v>7197</v>
      </c>
      <c r="D1957" t="s">
        <v>40</v>
      </c>
      <c r="E1957" t="s">
        <v>41</v>
      </c>
      <c r="J1957" t="s">
        <v>129</v>
      </c>
      <c r="K1957" t="s">
        <v>130</v>
      </c>
      <c r="L1957">
        <v>5</v>
      </c>
      <c r="M1957" t="s">
        <v>7194</v>
      </c>
      <c r="N1957" t="s">
        <v>192</v>
      </c>
      <c r="O1957" t="s">
        <v>47</v>
      </c>
      <c r="P1957" t="s">
        <v>47</v>
      </c>
      <c r="Y1957" t="s">
        <v>7198</v>
      </c>
      <c r="AG1957" t="s">
        <v>48</v>
      </c>
    </row>
    <row r="1958" spans="1:33">
      <c r="A1958" t="s">
        <v>7199</v>
      </c>
      <c r="B1958" t="s">
        <v>7200</v>
      </c>
      <c r="D1958" t="s">
        <v>40</v>
      </c>
      <c r="E1958" t="s">
        <v>41</v>
      </c>
      <c r="J1958" t="s">
        <v>114</v>
      </c>
      <c r="K1958" t="s">
        <v>115</v>
      </c>
      <c r="L1958">
        <v>5</v>
      </c>
      <c r="M1958" t="s">
        <v>7194</v>
      </c>
      <c r="N1958" t="s">
        <v>59</v>
      </c>
      <c r="O1958" t="s">
        <v>47</v>
      </c>
      <c r="P1958" t="s">
        <v>47</v>
      </c>
      <c r="Y1958" t="s">
        <v>7201</v>
      </c>
      <c r="AG1958" t="s">
        <v>48</v>
      </c>
    </row>
    <row r="1959" spans="1:33">
      <c r="A1959" t="s">
        <v>7202</v>
      </c>
      <c r="B1959" t="s">
        <v>7203</v>
      </c>
      <c r="D1959" t="s">
        <v>40</v>
      </c>
      <c r="E1959" t="s">
        <v>41</v>
      </c>
      <c r="J1959" t="s">
        <v>270</v>
      </c>
      <c r="K1959" t="s">
        <v>271</v>
      </c>
      <c r="L1959">
        <v>5</v>
      </c>
      <c r="M1959" t="s">
        <v>7204</v>
      </c>
      <c r="N1959" t="s">
        <v>59</v>
      </c>
      <c r="O1959" t="s">
        <v>47</v>
      </c>
      <c r="P1959" t="s">
        <v>47</v>
      </c>
      <c r="Y1959" t="s">
        <v>7205</v>
      </c>
      <c r="AG1959" t="s">
        <v>48</v>
      </c>
    </row>
    <row r="1960" spans="1:33">
      <c r="A1960" t="s">
        <v>7206</v>
      </c>
      <c r="B1960" t="s">
        <v>7207</v>
      </c>
      <c r="D1960" t="s">
        <v>40</v>
      </c>
      <c r="E1960" t="s">
        <v>41</v>
      </c>
      <c r="H1960" t="s">
        <v>7208</v>
      </c>
      <c r="J1960" t="s">
        <v>162</v>
      </c>
      <c r="K1960" t="s">
        <v>163</v>
      </c>
      <c r="L1960">
        <v>5</v>
      </c>
      <c r="M1960" t="s">
        <v>7209</v>
      </c>
      <c r="N1960" t="s">
        <v>59</v>
      </c>
      <c r="O1960" t="s">
        <v>47</v>
      </c>
      <c r="P1960" t="s">
        <v>47</v>
      </c>
      <c r="Y1960" t="s">
        <v>7208</v>
      </c>
      <c r="AG1960" t="s">
        <v>48</v>
      </c>
    </row>
    <row r="1961" spans="1:33">
      <c r="A1961" t="s">
        <v>7210</v>
      </c>
      <c r="B1961" t="s">
        <v>7211</v>
      </c>
      <c r="D1961" t="s">
        <v>40</v>
      </c>
      <c r="E1961" t="s">
        <v>41</v>
      </c>
      <c r="J1961" t="s">
        <v>162</v>
      </c>
      <c r="K1961" t="s">
        <v>163</v>
      </c>
      <c r="L1961">
        <v>5</v>
      </c>
      <c r="M1961" t="s">
        <v>7209</v>
      </c>
      <c r="N1961" t="s">
        <v>59</v>
      </c>
      <c r="O1961" t="s">
        <v>47</v>
      </c>
      <c r="P1961" t="s">
        <v>47</v>
      </c>
      <c r="Y1961" t="s">
        <v>7212</v>
      </c>
      <c r="AG1961" t="s">
        <v>48</v>
      </c>
    </row>
    <row r="1962" spans="1:33">
      <c r="A1962" t="s">
        <v>117</v>
      </c>
      <c r="B1962" t="s">
        <v>7213</v>
      </c>
      <c r="D1962" t="s">
        <v>40</v>
      </c>
      <c r="E1962" t="s">
        <v>41</v>
      </c>
      <c r="J1962" t="s">
        <v>108</v>
      </c>
      <c r="K1962" t="s">
        <v>109</v>
      </c>
      <c r="L1962">
        <v>5</v>
      </c>
      <c r="M1962" t="s">
        <v>7209</v>
      </c>
      <c r="N1962" t="s">
        <v>59</v>
      </c>
      <c r="O1962" t="s">
        <v>47</v>
      </c>
      <c r="P1962" t="s">
        <v>47</v>
      </c>
      <c r="Y1962" t="s">
        <v>7214</v>
      </c>
      <c r="AG1962" t="s">
        <v>48</v>
      </c>
    </row>
    <row r="1963" spans="1:33">
      <c r="A1963" t="s">
        <v>7215</v>
      </c>
      <c r="B1963" t="s">
        <v>7216</v>
      </c>
      <c r="D1963" t="s">
        <v>40</v>
      </c>
      <c r="E1963" t="s">
        <v>41</v>
      </c>
      <c r="J1963" t="s">
        <v>270</v>
      </c>
      <c r="K1963" t="s">
        <v>271</v>
      </c>
      <c r="L1963">
        <v>5</v>
      </c>
      <c r="M1963" t="s">
        <v>7217</v>
      </c>
      <c r="N1963" t="s">
        <v>59</v>
      </c>
      <c r="O1963" t="s">
        <v>47</v>
      </c>
      <c r="P1963" t="s">
        <v>47</v>
      </c>
      <c r="Y1963" t="s">
        <v>7218</v>
      </c>
      <c r="AG1963" t="s">
        <v>48</v>
      </c>
    </row>
    <row r="1964" spans="1:33">
      <c r="A1964" t="s">
        <v>7219</v>
      </c>
      <c r="B1964" t="s">
        <v>7220</v>
      </c>
      <c r="D1964" t="s">
        <v>40</v>
      </c>
      <c r="E1964" t="s">
        <v>41</v>
      </c>
      <c r="J1964" t="s">
        <v>114</v>
      </c>
      <c r="K1964" t="s">
        <v>115</v>
      </c>
      <c r="L1964">
        <v>5</v>
      </c>
      <c r="M1964" t="s">
        <v>7217</v>
      </c>
      <c r="N1964" t="s">
        <v>59</v>
      </c>
      <c r="O1964" t="s">
        <v>47</v>
      </c>
      <c r="P1964" t="s">
        <v>47</v>
      </c>
      <c r="Y1964" t="s">
        <v>7221</v>
      </c>
      <c r="AG1964" t="s">
        <v>48</v>
      </c>
    </row>
    <row r="1965" spans="1:33">
      <c r="A1965" t="s">
        <v>7222</v>
      </c>
      <c r="B1965" t="s">
        <v>7223</v>
      </c>
      <c r="D1965" t="s">
        <v>40</v>
      </c>
      <c r="E1965" t="s">
        <v>41</v>
      </c>
      <c r="J1965" t="s">
        <v>290</v>
      </c>
      <c r="K1965" t="s">
        <v>291</v>
      </c>
      <c r="L1965">
        <v>5</v>
      </c>
      <c r="M1965" t="s">
        <v>7217</v>
      </c>
      <c r="N1965" t="s">
        <v>59</v>
      </c>
      <c r="O1965" t="s">
        <v>47</v>
      </c>
      <c r="P1965" t="s">
        <v>47</v>
      </c>
      <c r="Y1965" t="s">
        <v>7224</v>
      </c>
      <c r="AG1965" t="s">
        <v>48</v>
      </c>
    </row>
    <row r="1966" spans="1:33">
      <c r="A1966" t="s">
        <v>7225</v>
      </c>
      <c r="B1966" t="s">
        <v>7226</v>
      </c>
      <c r="D1966" t="s">
        <v>40</v>
      </c>
      <c r="E1966" t="s">
        <v>41</v>
      </c>
      <c r="J1966" t="s">
        <v>108</v>
      </c>
      <c r="K1966" t="s">
        <v>109</v>
      </c>
      <c r="L1966">
        <v>5</v>
      </c>
      <c r="M1966" t="s">
        <v>7227</v>
      </c>
      <c r="N1966" t="s">
        <v>59</v>
      </c>
      <c r="O1966" t="s">
        <v>47</v>
      </c>
      <c r="P1966" t="s">
        <v>47</v>
      </c>
      <c r="Y1966" t="s">
        <v>7228</v>
      </c>
      <c r="AG1966" t="s">
        <v>48</v>
      </c>
    </row>
    <row r="1967" spans="1:33">
      <c r="A1967" t="s">
        <v>7229</v>
      </c>
      <c r="B1967" t="s">
        <v>7230</v>
      </c>
      <c r="D1967" t="s">
        <v>40</v>
      </c>
      <c r="E1967" t="s">
        <v>41</v>
      </c>
      <c r="J1967" t="s">
        <v>43</v>
      </c>
      <c r="K1967" t="s">
        <v>44</v>
      </c>
      <c r="L1967">
        <v>5</v>
      </c>
      <c r="M1967" t="s">
        <v>7227</v>
      </c>
      <c r="N1967" t="s">
        <v>192</v>
      </c>
      <c r="O1967" t="s">
        <v>47</v>
      </c>
      <c r="P1967" t="s">
        <v>47</v>
      </c>
      <c r="Y1967" t="s">
        <v>7231</v>
      </c>
      <c r="AG1967" t="s">
        <v>48</v>
      </c>
    </row>
    <row r="1968" spans="1:33">
      <c r="A1968" t="s">
        <v>7232</v>
      </c>
      <c r="B1968" t="s">
        <v>7233</v>
      </c>
      <c r="D1968" t="s">
        <v>40</v>
      </c>
      <c r="E1968" t="s">
        <v>41</v>
      </c>
      <c r="J1968" t="s">
        <v>290</v>
      </c>
      <c r="K1968" t="s">
        <v>291</v>
      </c>
      <c r="L1968">
        <v>5</v>
      </c>
      <c r="M1968" t="s">
        <v>7227</v>
      </c>
      <c r="N1968" t="s">
        <v>59</v>
      </c>
      <c r="O1968" t="s">
        <v>47</v>
      </c>
      <c r="P1968" t="s">
        <v>47</v>
      </c>
      <c r="Y1968" t="s">
        <v>7234</v>
      </c>
      <c r="AG1968" t="s">
        <v>48</v>
      </c>
    </row>
    <row r="1969" spans="1:33">
      <c r="A1969" t="s">
        <v>7235</v>
      </c>
      <c r="B1969" t="s">
        <v>7236</v>
      </c>
      <c r="D1969" t="s">
        <v>40</v>
      </c>
      <c r="E1969" t="s">
        <v>41</v>
      </c>
      <c r="H1969" t="s">
        <v>7237</v>
      </c>
      <c r="J1969" t="s">
        <v>63</v>
      </c>
      <c r="K1969" t="s">
        <v>64</v>
      </c>
      <c r="L1969">
        <v>5</v>
      </c>
      <c r="M1969" t="s">
        <v>7238</v>
      </c>
      <c r="N1969" t="s">
        <v>59</v>
      </c>
      <c r="O1969" t="s">
        <v>47</v>
      </c>
      <c r="P1969" t="s">
        <v>47</v>
      </c>
      <c r="Y1969" t="s">
        <v>7237</v>
      </c>
      <c r="AG1969" t="s">
        <v>48</v>
      </c>
    </row>
    <row r="1970" spans="1:33">
      <c r="A1970" t="s">
        <v>7239</v>
      </c>
      <c r="B1970" t="s">
        <v>7240</v>
      </c>
      <c r="D1970" t="s">
        <v>40</v>
      </c>
      <c r="E1970" t="s">
        <v>41</v>
      </c>
      <c r="J1970" t="s">
        <v>108</v>
      </c>
      <c r="K1970" t="s">
        <v>109</v>
      </c>
      <c r="L1970">
        <v>5</v>
      </c>
      <c r="M1970" t="s">
        <v>7241</v>
      </c>
      <c r="N1970" t="s">
        <v>59</v>
      </c>
      <c r="O1970" t="s">
        <v>47</v>
      </c>
      <c r="P1970" t="s">
        <v>47</v>
      </c>
      <c r="Y1970" t="s">
        <v>7242</v>
      </c>
      <c r="AG1970" t="s">
        <v>48</v>
      </c>
    </row>
    <row r="1971" spans="1:33">
      <c r="A1971" t="s">
        <v>7243</v>
      </c>
      <c r="B1971" t="s">
        <v>7244</v>
      </c>
      <c r="D1971" t="s">
        <v>40</v>
      </c>
      <c r="E1971" t="s">
        <v>41</v>
      </c>
      <c r="H1971" t="s">
        <v>7245</v>
      </c>
      <c r="J1971" t="s">
        <v>290</v>
      </c>
      <c r="K1971" t="s">
        <v>291</v>
      </c>
      <c r="L1971">
        <v>5</v>
      </c>
      <c r="M1971" t="s">
        <v>7246</v>
      </c>
      <c r="N1971" t="s">
        <v>59</v>
      </c>
      <c r="O1971" t="s">
        <v>47</v>
      </c>
      <c r="P1971" t="s">
        <v>47</v>
      </c>
      <c r="Y1971" t="s">
        <v>7245</v>
      </c>
      <c r="AG1971" t="s">
        <v>48</v>
      </c>
    </row>
    <row r="1972" spans="1:33">
      <c r="A1972" t="s">
        <v>7247</v>
      </c>
      <c r="B1972" t="s">
        <v>7248</v>
      </c>
      <c r="D1972" t="s">
        <v>40</v>
      </c>
      <c r="E1972" t="s">
        <v>41</v>
      </c>
      <c r="J1972" t="s">
        <v>108</v>
      </c>
      <c r="K1972" t="s">
        <v>109</v>
      </c>
      <c r="L1972">
        <v>5</v>
      </c>
      <c r="M1972" t="s">
        <v>7246</v>
      </c>
      <c r="N1972" t="s">
        <v>59</v>
      </c>
      <c r="O1972" t="s">
        <v>47</v>
      </c>
      <c r="P1972" t="s">
        <v>47</v>
      </c>
      <c r="Y1972" t="s">
        <v>7249</v>
      </c>
      <c r="AG1972" t="s">
        <v>48</v>
      </c>
    </row>
    <row r="1973" spans="1:33">
      <c r="A1973" t="s">
        <v>7250</v>
      </c>
      <c r="B1973" t="s">
        <v>7251</v>
      </c>
      <c r="D1973" t="s">
        <v>40</v>
      </c>
      <c r="E1973" t="s">
        <v>41</v>
      </c>
      <c r="H1973" t="s">
        <v>7252</v>
      </c>
      <c r="J1973" t="s">
        <v>63</v>
      </c>
      <c r="K1973" t="s">
        <v>64</v>
      </c>
      <c r="L1973">
        <v>5</v>
      </c>
      <c r="M1973" t="s">
        <v>7253</v>
      </c>
      <c r="N1973" t="s">
        <v>59</v>
      </c>
      <c r="O1973" t="s">
        <v>47</v>
      </c>
      <c r="P1973" t="s">
        <v>47</v>
      </c>
      <c r="Y1973" t="s">
        <v>7252</v>
      </c>
      <c r="AG1973" t="s">
        <v>48</v>
      </c>
    </row>
    <row r="1974" spans="1:33">
      <c r="A1974" t="s">
        <v>7254</v>
      </c>
      <c r="B1974" t="s">
        <v>7255</v>
      </c>
      <c r="D1974" t="s">
        <v>40</v>
      </c>
      <c r="E1974" t="s">
        <v>41</v>
      </c>
      <c r="H1974" t="s">
        <v>7256</v>
      </c>
      <c r="J1974" t="s">
        <v>63</v>
      </c>
      <c r="K1974" t="s">
        <v>64</v>
      </c>
      <c r="L1974">
        <v>5</v>
      </c>
      <c r="M1974" t="s">
        <v>7257</v>
      </c>
      <c r="N1974" t="s">
        <v>59</v>
      </c>
      <c r="O1974" t="s">
        <v>47</v>
      </c>
      <c r="P1974" t="s">
        <v>47</v>
      </c>
      <c r="Y1974" t="s">
        <v>7256</v>
      </c>
      <c r="AG1974" t="s">
        <v>48</v>
      </c>
    </row>
    <row r="1975" spans="1:33">
      <c r="A1975" t="s">
        <v>7258</v>
      </c>
      <c r="B1975" t="s">
        <v>7259</v>
      </c>
      <c r="D1975" t="s">
        <v>40</v>
      </c>
      <c r="E1975" t="s">
        <v>41</v>
      </c>
      <c r="J1975" t="s">
        <v>270</v>
      </c>
      <c r="K1975" t="s">
        <v>271</v>
      </c>
      <c r="L1975">
        <v>5</v>
      </c>
      <c r="M1975" t="s">
        <v>7260</v>
      </c>
      <c r="N1975" t="s">
        <v>59</v>
      </c>
      <c r="O1975" t="s">
        <v>47</v>
      </c>
      <c r="P1975" t="s">
        <v>47</v>
      </c>
      <c r="Y1975" t="s">
        <v>7261</v>
      </c>
      <c r="AG1975" t="s">
        <v>48</v>
      </c>
    </row>
    <row r="1976" spans="1:33">
      <c r="A1976" t="s">
        <v>7262</v>
      </c>
      <c r="B1976" t="s">
        <v>7263</v>
      </c>
      <c r="D1976" t="s">
        <v>40</v>
      </c>
      <c r="E1976" t="s">
        <v>41</v>
      </c>
      <c r="J1976" t="s">
        <v>290</v>
      </c>
      <c r="K1976" t="s">
        <v>291</v>
      </c>
      <c r="L1976">
        <v>5</v>
      </c>
      <c r="M1976" t="s">
        <v>7260</v>
      </c>
      <c r="N1976" t="s">
        <v>59</v>
      </c>
      <c r="O1976" t="s">
        <v>47</v>
      </c>
      <c r="P1976" t="s">
        <v>47</v>
      </c>
      <c r="Y1976" t="s">
        <v>7264</v>
      </c>
      <c r="AG1976" t="s">
        <v>48</v>
      </c>
    </row>
    <row r="1977" spans="1:33">
      <c r="A1977" t="s">
        <v>7265</v>
      </c>
      <c r="B1977" t="s">
        <v>7266</v>
      </c>
      <c r="D1977" t="s">
        <v>40</v>
      </c>
      <c r="E1977" t="s">
        <v>41</v>
      </c>
      <c r="J1977" t="s">
        <v>270</v>
      </c>
      <c r="K1977" t="s">
        <v>271</v>
      </c>
      <c r="L1977">
        <v>5</v>
      </c>
      <c r="M1977" t="s">
        <v>7260</v>
      </c>
      <c r="N1977" t="s">
        <v>59</v>
      </c>
      <c r="O1977" t="s">
        <v>47</v>
      </c>
      <c r="P1977" t="s">
        <v>47</v>
      </c>
      <c r="Y1977" t="s">
        <v>7267</v>
      </c>
      <c r="AG1977" t="s">
        <v>48</v>
      </c>
    </row>
    <row r="1978" spans="1:33">
      <c r="A1978" t="s">
        <v>7268</v>
      </c>
      <c r="B1978" t="s">
        <v>7269</v>
      </c>
      <c r="D1978" t="s">
        <v>40</v>
      </c>
      <c r="E1978" t="s">
        <v>41</v>
      </c>
      <c r="J1978" t="s">
        <v>290</v>
      </c>
      <c r="K1978" t="s">
        <v>291</v>
      </c>
      <c r="L1978">
        <v>5</v>
      </c>
      <c r="M1978" t="s">
        <v>7260</v>
      </c>
      <c r="N1978" t="s">
        <v>59</v>
      </c>
      <c r="O1978" t="s">
        <v>47</v>
      </c>
      <c r="P1978" t="s">
        <v>47</v>
      </c>
      <c r="Y1978" t="s">
        <v>7270</v>
      </c>
      <c r="AG1978" t="s">
        <v>48</v>
      </c>
    </row>
    <row r="1979" spans="1:33">
      <c r="A1979" t="s">
        <v>7271</v>
      </c>
      <c r="B1979" t="s">
        <v>7272</v>
      </c>
      <c r="D1979" t="s">
        <v>40</v>
      </c>
      <c r="E1979" t="s">
        <v>41</v>
      </c>
      <c r="H1979" t="s">
        <v>7273</v>
      </c>
      <c r="J1979" t="s">
        <v>63</v>
      </c>
      <c r="K1979" t="s">
        <v>64</v>
      </c>
      <c r="L1979">
        <v>5</v>
      </c>
      <c r="M1979" t="s">
        <v>7274</v>
      </c>
      <c r="N1979" t="s">
        <v>59</v>
      </c>
      <c r="O1979" t="s">
        <v>47</v>
      </c>
      <c r="P1979" t="s">
        <v>47</v>
      </c>
      <c r="Y1979" t="s">
        <v>7273</v>
      </c>
      <c r="AG1979" t="s">
        <v>48</v>
      </c>
    </row>
    <row r="1980" spans="1:33">
      <c r="A1980" t="s">
        <v>7275</v>
      </c>
      <c r="B1980" t="s">
        <v>7276</v>
      </c>
      <c r="D1980" t="s">
        <v>40</v>
      </c>
      <c r="E1980" t="s">
        <v>41</v>
      </c>
      <c r="J1980" t="s">
        <v>290</v>
      </c>
      <c r="K1980" t="s">
        <v>291</v>
      </c>
      <c r="L1980">
        <v>5</v>
      </c>
      <c r="M1980" t="s">
        <v>7277</v>
      </c>
      <c r="N1980" t="s">
        <v>59</v>
      </c>
      <c r="O1980" t="s">
        <v>47</v>
      </c>
      <c r="P1980" t="s">
        <v>47</v>
      </c>
      <c r="Y1980" t="s">
        <v>7278</v>
      </c>
      <c r="AG1980" t="s">
        <v>48</v>
      </c>
    </row>
    <row r="1981" spans="1:33">
      <c r="A1981" t="s">
        <v>7279</v>
      </c>
      <c r="B1981" t="s">
        <v>7280</v>
      </c>
      <c r="D1981" t="s">
        <v>40</v>
      </c>
      <c r="E1981" t="s">
        <v>41</v>
      </c>
      <c r="J1981" t="s">
        <v>270</v>
      </c>
      <c r="K1981" t="s">
        <v>271</v>
      </c>
      <c r="L1981">
        <v>5</v>
      </c>
      <c r="M1981" t="s">
        <v>7281</v>
      </c>
      <c r="N1981" t="s">
        <v>59</v>
      </c>
      <c r="O1981" t="s">
        <v>47</v>
      </c>
      <c r="P1981" t="s">
        <v>47</v>
      </c>
      <c r="Y1981" t="s">
        <v>7282</v>
      </c>
      <c r="AG1981" t="s">
        <v>48</v>
      </c>
    </row>
    <row r="1982" spans="1:33">
      <c r="A1982" t="s">
        <v>7283</v>
      </c>
      <c r="B1982" t="s">
        <v>7284</v>
      </c>
      <c r="D1982" t="s">
        <v>40</v>
      </c>
      <c r="E1982" t="s">
        <v>41</v>
      </c>
      <c r="J1982" t="s">
        <v>162</v>
      </c>
      <c r="K1982" t="s">
        <v>163</v>
      </c>
      <c r="L1982">
        <v>5</v>
      </c>
      <c r="M1982" t="s">
        <v>7285</v>
      </c>
      <c r="N1982" t="s">
        <v>59</v>
      </c>
      <c r="O1982" t="s">
        <v>47</v>
      </c>
      <c r="P1982" t="s">
        <v>47</v>
      </c>
      <c r="Y1982" t="s">
        <v>7286</v>
      </c>
      <c r="AG1982" t="s">
        <v>48</v>
      </c>
    </row>
    <row r="1983" spans="1:33">
      <c r="A1983" t="s">
        <v>117</v>
      </c>
      <c r="B1983" t="s">
        <v>7287</v>
      </c>
      <c r="D1983" t="s">
        <v>40</v>
      </c>
      <c r="E1983" t="s">
        <v>41</v>
      </c>
      <c r="J1983" t="s">
        <v>162</v>
      </c>
      <c r="K1983" t="s">
        <v>163</v>
      </c>
      <c r="L1983">
        <v>5</v>
      </c>
      <c r="M1983" t="s">
        <v>7285</v>
      </c>
      <c r="N1983" t="s">
        <v>59</v>
      </c>
      <c r="O1983" t="s">
        <v>47</v>
      </c>
      <c r="P1983" t="s">
        <v>47</v>
      </c>
      <c r="Y1983" t="s">
        <v>7288</v>
      </c>
      <c r="AG1983" t="s">
        <v>48</v>
      </c>
    </row>
    <row r="1984" spans="1:33">
      <c r="A1984" t="s">
        <v>7289</v>
      </c>
      <c r="B1984" t="s">
        <v>7290</v>
      </c>
      <c r="D1984" t="s">
        <v>40</v>
      </c>
      <c r="E1984" t="s">
        <v>41</v>
      </c>
      <c r="J1984" t="s">
        <v>129</v>
      </c>
      <c r="K1984" t="s">
        <v>130</v>
      </c>
      <c r="L1984">
        <v>5</v>
      </c>
      <c r="M1984" t="s">
        <v>7285</v>
      </c>
      <c r="N1984" t="s">
        <v>218</v>
      </c>
      <c r="O1984" t="s">
        <v>47</v>
      </c>
      <c r="P1984" t="s">
        <v>47</v>
      </c>
      <c r="Y1984" t="s">
        <v>7291</v>
      </c>
      <c r="AG1984" t="s">
        <v>48</v>
      </c>
    </row>
    <row r="1985" spans="1:33">
      <c r="A1985" t="s">
        <v>7292</v>
      </c>
      <c r="B1985" t="s">
        <v>7293</v>
      </c>
      <c r="D1985" t="s">
        <v>40</v>
      </c>
      <c r="E1985" t="s">
        <v>41</v>
      </c>
      <c r="H1985" t="s">
        <v>7294</v>
      </c>
      <c r="J1985" t="s">
        <v>63</v>
      </c>
      <c r="K1985" t="s">
        <v>64</v>
      </c>
      <c r="L1985">
        <v>5</v>
      </c>
      <c r="M1985" t="s">
        <v>7295</v>
      </c>
      <c r="N1985" t="s">
        <v>59</v>
      </c>
      <c r="O1985" t="s">
        <v>47</v>
      </c>
      <c r="P1985" t="s">
        <v>47</v>
      </c>
      <c r="Y1985" t="s">
        <v>7294</v>
      </c>
      <c r="AG1985" t="s">
        <v>48</v>
      </c>
    </row>
    <row r="1986" spans="1:33">
      <c r="A1986" t="s">
        <v>7296</v>
      </c>
      <c r="B1986" t="s">
        <v>7297</v>
      </c>
      <c r="D1986" t="s">
        <v>40</v>
      </c>
      <c r="E1986" t="s">
        <v>41</v>
      </c>
      <c r="J1986" t="s">
        <v>114</v>
      </c>
      <c r="K1986" t="s">
        <v>115</v>
      </c>
      <c r="L1986">
        <v>5</v>
      </c>
      <c r="M1986" t="s">
        <v>7298</v>
      </c>
      <c r="N1986" t="s">
        <v>59</v>
      </c>
      <c r="O1986" t="s">
        <v>47</v>
      </c>
      <c r="P1986" t="s">
        <v>47</v>
      </c>
      <c r="Y1986" t="s">
        <v>7299</v>
      </c>
      <c r="AG1986" t="s">
        <v>48</v>
      </c>
    </row>
    <row r="1987" spans="1:33">
      <c r="A1987" t="s">
        <v>7300</v>
      </c>
      <c r="B1987" t="s">
        <v>7301</v>
      </c>
      <c r="D1987" t="s">
        <v>40</v>
      </c>
      <c r="E1987" t="s">
        <v>41</v>
      </c>
      <c r="J1987" t="s">
        <v>162</v>
      </c>
      <c r="K1987" t="s">
        <v>163</v>
      </c>
      <c r="L1987">
        <v>5</v>
      </c>
      <c r="M1987" t="s">
        <v>7302</v>
      </c>
      <c r="N1987" t="s">
        <v>59</v>
      </c>
      <c r="O1987" t="s">
        <v>47</v>
      </c>
      <c r="P1987" t="s">
        <v>47</v>
      </c>
      <c r="Y1987" t="s">
        <v>7303</v>
      </c>
      <c r="AG1987" t="s">
        <v>48</v>
      </c>
    </row>
    <row r="1988" spans="1:33">
      <c r="A1988" t="s">
        <v>7304</v>
      </c>
      <c r="B1988" t="s">
        <v>7305</v>
      </c>
      <c r="D1988" t="s">
        <v>40</v>
      </c>
      <c r="E1988" t="s">
        <v>41</v>
      </c>
      <c r="J1988" t="s">
        <v>290</v>
      </c>
      <c r="K1988" t="s">
        <v>291</v>
      </c>
      <c r="L1988">
        <v>5</v>
      </c>
      <c r="M1988" t="s">
        <v>7302</v>
      </c>
      <c r="N1988" t="s">
        <v>59</v>
      </c>
      <c r="O1988" t="s">
        <v>47</v>
      </c>
      <c r="P1988" t="s">
        <v>47</v>
      </c>
      <c r="Y1988" t="s">
        <v>7306</v>
      </c>
      <c r="AG1988" t="s">
        <v>48</v>
      </c>
    </row>
    <row r="1989" spans="1:33">
      <c r="A1989" t="s">
        <v>7307</v>
      </c>
      <c r="B1989" t="s">
        <v>7308</v>
      </c>
      <c r="D1989" t="s">
        <v>40</v>
      </c>
      <c r="E1989" t="s">
        <v>41</v>
      </c>
      <c r="J1989" t="s">
        <v>108</v>
      </c>
      <c r="K1989" t="s">
        <v>109</v>
      </c>
      <c r="L1989">
        <v>5</v>
      </c>
      <c r="M1989" t="s">
        <v>7302</v>
      </c>
      <c r="N1989" t="s">
        <v>59</v>
      </c>
      <c r="O1989" t="s">
        <v>47</v>
      </c>
      <c r="P1989" t="s">
        <v>47</v>
      </c>
      <c r="Y1989" t="s">
        <v>7309</v>
      </c>
      <c r="AG1989" t="s">
        <v>48</v>
      </c>
    </row>
    <row r="1990" spans="1:33">
      <c r="A1990" t="s">
        <v>7310</v>
      </c>
      <c r="B1990" t="s">
        <v>7311</v>
      </c>
      <c r="D1990" t="s">
        <v>40</v>
      </c>
      <c r="E1990" t="s">
        <v>41</v>
      </c>
      <c r="J1990" t="s">
        <v>270</v>
      </c>
      <c r="K1990" t="s">
        <v>271</v>
      </c>
      <c r="L1990">
        <v>5</v>
      </c>
      <c r="M1990" t="s">
        <v>7312</v>
      </c>
      <c r="N1990" t="s">
        <v>59</v>
      </c>
      <c r="O1990" t="s">
        <v>47</v>
      </c>
      <c r="P1990" t="s">
        <v>47</v>
      </c>
      <c r="Y1990" t="s">
        <v>7313</v>
      </c>
      <c r="AG1990" t="s">
        <v>48</v>
      </c>
    </row>
    <row r="1991" spans="1:33">
      <c r="A1991" t="s">
        <v>7314</v>
      </c>
      <c r="B1991" t="s">
        <v>7315</v>
      </c>
      <c r="D1991" t="s">
        <v>40</v>
      </c>
      <c r="E1991" t="s">
        <v>41</v>
      </c>
      <c r="H1991" t="s">
        <v>7316</v>
      </c>
      <c r="J1991" t="s">
        <v>162</v>
      </c>
      <c r="K1991" t="s">
        <v>163</v>
      </c>
      <c r="L1991">
        <v>5</v>
      </c>
      <c r="M1991" t="s">
        <v>7317</v>
      </c>
      <c r="N1991" t="s">
        <v>59</v>
      </c>
      <c r="O1991" t="s">
        <v>47</v>
      </c>
      <c r="P1991" t="s">
        <v>47</v>
      </c>
      <c r="Y1991" t="s">
        <v>7316</v>
      </c>
      <c r="AG1991" t="s">
        <v>48</v>
      </c>
    </row>
    <row r="1992" spans="1:33">
      <c r="A1992" t="s">
        <v>7318</v>
      </c>
      <c r="B1992" t="s">
        <v>7319</v>
      </c>
      <c r="D1992" t="s">
        <v>40</v>
      </c>
      <c r="E1992" t="s">
        <v>41</v>
      </c>
      <c r="J1992" t="s">
        <v>290</v>
      </c>
      <c r="K1992" t="s">
        <v>291</v>
      </c>
      <c r="L1992">
        <v>5</v>
      </c>
      <c r="M1992" t="s">
        <v>7320</v>
      </c>
      <c r="N1992" t="s">
        <v>59</v>
      </c>
      <c r="O1992" t="s">
        <v>47</v>
      </c>
      <c r="P1992" t="s">
        <v>47</v>
      </c>
      <c r="Y1992" t="s">
        <v>7321</v>
      </c>
      <c r="AG1992" t="s">
        <v>48</v>
      </c>
    </row>
    <row r="1993" spans="1:33">
      <c r="A1993" t="s">
        <v>7322</v>
      </c>
      <c r="B1993" t="s">
        <v>7323</v>
      </c>
      <c r="D1993" t="s">
        <v>40</v>
      </c>
      <c r="E1993" t="s">
        <v>41</v>
      </c>
      <c r="H1993" t="s">
        <v>7324</v>
      </c>
      <c r="J1993" t="s">
        <v>290</v>
      </c>
      <c r="K1993" t="s">
        <v>291</v>
      </c>
      <c r="L1993">
        <v>5</v>
      </c>
      <c r="M1993" t="s">
        <v>7325</v>
      </c>
      <c r="N1993" t="s">
        <v>59</v>
      </c>
      <c r="O1993" t="s">
        <v>47</v>
      </c>
      <c r="P1993" t="s">
        <v>47</v>
      </c>
      <c r="Y1993" t="s">
        <v>7324</v>
      </c>
      <c r="AG1993" t="s">
        <v>48</v>
      </c>
    </row>
    <row r="1994" spans="1:33">
      <c r="A1994" t="s">
        <v>7326</v>
      </c>
      <c r="B1994" t="s">
        <v>7327</v>
      </c>
      <c r="D1994" t="s">
        <v>40</v>
      </c>
      <c r="E1994" t="s">
        <v>41</v>
      </c>
      <c r="J1994" t="s">
        <v>43</v>
      </c>
      <c r="K1994" t="s">
        <v>44</v>
      </c>
      <c r="L1994">
        <v>5</v>
      </c>
      <c r="M1994" t="s">
        <v>7328</v>
      </c>
      <c r="N1994" t="s">
        <v>192</v>
      </c>
      <c r="O1994" t="s">
        <v>47</v>
      </c>
      <c r="P1994" t="s">
        <v>47</v>
      </c>
      <c r="Y1994" t="s">
        <v>7329</v>
      </c>
      <c r="AG1994" t="s">
        <v>48</v>
      </c>
    </row>
    <row r="1995" spans="1:33">
      <c r="A1995" t="s">
        <v>7330</v>
      </c>
      <c r="B1995" t="s">
        <v>7331</v>
      </c>
      <c r="D1995" t="s">
        <v>40</v>
      </c>
      <c r="E1995" t="s">
        <v>41</v>
      </c>
      <c r="J1995" t="s">
        <v>290</v>
      </c>
      <c r="K1995" t="s">
        <v>291</v>
      </c>
      <c r="L1995">
        <v>5</v>
      </c>
      <c r="M1995" t="s">
        <v>7328</v>
      </c>
      <c r="N1995" t="s">
        <v>59</v>
      </c>
      <c r="O1995" t="s">
        <v>47</v>
      </c>
      <c r="P1995" t="s">
        <v>47</v>
      </c>
      <c r="Y1995" t="s">
        <v>7332</v>
      </c>
      <c r="AG1995" t="s">
        <v>48</v>
      </c>
    </row>
    <row r="1996" spans="1:33">
      <c r="A1996" t="s">
        <v>7333</v>
      </c>
      <c r="B1996" t="s">
        <v>7334</v>
      </c>
      <c r="D1996" t="s">
        <v>40</v>
      </c>
      <c r="E1996" t="s">
        <v>41</v>
      </c>
      <c r="J1996" t="s">
        <v>123</v>
      </c>
      <c r="K1996" t="s">
        <v>124</v>
      </c>
      <c r="L1996">
        <v>5</v>
      </c>
      <c r="M1996" t="s">
        <v>7335</v>
      </c>
      <c r="N1996" t="s">
        <v>218</v>
      </c>
      <c r="O1996" t="s">
        <v>47</v>
      </c>
      <c r="P1996" t="s">
        <v>47</v>
      </c>
      <c r="Y1996" t="s">
        <v>7336</v>
      </c>
      <c r="AG1996" t="s">
        <v>48</v>
      </c>
    </row>
    <row r="1997" spans="1:33">
      <c r="A1997" t="s">
        <v>7337</v>
      </c>
      <c r="B1997" t="s">
        <v>7338</v>
      </c>
      <c r="D1997" t="s">
        <v>40</v>
      </c>
      <c r="E1997" t="s">
        <v>41</v>
      </c>
      <c r="J1997" t="s">
        <v>290</v>
      </c>
      <c r="K1997" t="s">
        <v>291</v>
      </c>
      <c r="L1997">
        <v>5</v>
      </c>
      <c r="M1997" t="s">
        <v>7339</v>
      </c>
      <c r="N1997" t="s">
        <v>59</v>
      </c>
      <c r="O1997" t="s">
        <v>47</v>
      </c>
      <c r="P1997" t="s">
        <v>47</v>
      </c>
      <c r="Y1997" t="s">
        <v>7340</v>
      </c>
      <c r="AG1997" t="s">
        <v>48</v>
      </c>
    </row>
    <row r="1998" spans="1:33">
      <c r="A1998" t="s">
        <v>7341</v>
      </c>
      <c r="B1998" t="s">
        <v>7342</v>
      </c>
      <c r="D1998" t="s">
        <v>40</v>
      </c>
      <c r="E1998" t="s">
        <v>41</v>
      </c>
      <c r="J1998" t="s">
        <v>290</v>
      </c>
      <c r="K1998" t="s">
        <v>291</v>
      </c>
      <c r="L1998">
        <v>5</v>
      </c>
      <c r="M1998" t="s">
        <v>7339</v>
      </c>
      <c r="N1998" t="s">
        <v>59</v>
      </c>
      <c r="O1998" t="s">
        <v>47</v>
      </c>
      <c r="P1998" t="s">
        <v>47</v>
      </c>
      <c r="Y1998" t="s">
        <v>7343</v>
      </c>
      <c r="AG1998" t="s">
        <v>48</v>
      </c>
    </row>
    <row r="1999" spans="1:33">
      <c r="A1999" t="s">
        <v>7344</v>
      </c>
      <c r="B1999" t="s">
        <v>7345</v>
      </c>
      <c r="D1999" t="s">
        <v>40</v>
      </c>
      <c r="E1999" t="s">
        <v>41</v>
      </c>
      <c r="J1999" t="s">
        <v>129</v>
      </c>
      <c r="K1999" t="s">
        <v>130</v>
      </c>
      <c r="L1999">
        <v>5</v>
      </c>
      <c r="M1999" t="s">
        <v>7346</v>
      </c>
      <c r="N1999" t="s">
        <v>218</v>
      </c>
      <c r="O1999" t="s">
        <v>47</v>
      </c>
      <c r="P1999" t="s">
        <v>47</v>
      </c>
      <c r="Y1999" t="s">
        <v>7347</v>
      </c>
      <c r="AG1999" t="s">
        <v>48</v>
      </c>
    </row>
    <row r="2000" spans="1:33">
      <c r="A2000" t="s">
        <v>7348</v>
      </c>
      <c r="B2000" t="s">
        <v>7349</v>
      </c>
      <c r="D2000" t="s">
        <v>40</v>
      </c>
      <c r="E2000" t="s">
        <v>41</v>
      </c>
      <c r="J2000" t="s">
        <v>108</v>
      </c>
      <c r="K2000" t="s">
        <v>109</v>
      </c>
      <c r="L2000">
        <v>5</v>
      </c>
      <c r="M2000" t="s">
        <v>7350</v>
      </c>
      <c r="N2000" t="s">
        <v>59</v>
      </c>
      <c r="O2000" t="s">
        <v>47</v>
      </c>
      <c r="P2000" t="s">
        <v>47</v>
      </c>
      <c r="Y2000" t="s">
        <v>7351</v>
      </c>
      <c r="AG2000" t="s">
        <v>48</v>
      </c>
    </row>
    <row r="2001" spans="1:33">
      <c r="A2001" t="s">
        <v>7352</v>
      </c>
      <c r="B2001" t="s">
        <v>7353</v>
      </c>
      <c r="D2001" t="s">
        <v>40</v>
      </c>
      <c r="E2001" t="s">
        <v>41</v>
      </c>
      <c r="H2001" t="s">
        <v>7354</v>
      </c>
      <c r="J2001" t="s">
        <v>63</v>
      </c>
      <c r="K2001" t="s">
        <v>64</v>
      </c>
      <c r="L2001">
        <v>5</v>
      </c>
      <c r="M2001" t="s">
        <v>7355</v>
      </c>
      <c r="N2001" t="s">
        <v>59</v>
      </c>
      <c r="O2001" t="s">
        <v>47</v>
      </c>
      <c r="P2001" t="s">
        <v>47</v>
      </c>
      <c r="Y2001" t="s">
        <v>7354</v>
      </c>
      <c r="AG2001" t="s">
        <v>48</v>
      </c>
    </row>
    <row r="2002" spans="1:33">
      <c r="A2002" t="s">
        <v>7356</v>
      </c>
      <c r="B2002" t="s">
        <v>7357</v>
      </c>
      <c r="D2002" t="s">
        <v>40</v>
      </c>
      <c r="E2002" t="s">
        <v>41</v>
      </c>
      <c r="J2002" t="s">
        <v>108</v>
      </c>
      <c r="K2002" t="s">
        <v>109</v>
      </c>
      <c r="L2002">
        <v>5</v>
      </c>
      <c r="M2002" t="s">
        <v>7358</v>
      </c>
      <c r="N2002" t="s">
        <v>59</v>
      </c>
      <c r="O2002" t="s">
        <v>47</v>
      </c>
      <c r="P2002" t="s">
        <v>47</v>
      </c>
      <c r="Y2002" t="s">
        <v>7359</v>
      </c>
      <c r="AG2002" t="s">
        <v>48</v>
      </c>
    </row>
    <row r="2003" spans="1:33">
      <c r="A2003" t="s">
        <v>7360</v>
      </c>
      <c r="B2003" t="s">
        <v>7361</v>
      </c>
      <c r="D2003" t="s">
        <v>40</v>
      </c>
      <c r="E2003" t="s">
        <v>41</v>
      </c>
      <c r="J2003" t="s">
        <v>290</v>
      </c>
      <c r="K2003" t="s">
        <v>291</v>
      </c>
      <c r="L2003">
        <v>5</v>
      </c>
      <c r="M2003" t="s">
        <v>7362</v>
      </c>
      <c r="N2003" t="s">
        <v>59</v>
      </c>
      <c r="O2003" t="s">
        <v>47</v>
      </c>
      <c r="P2003" t="s">
        <v>47</v>
      </c>
      <c r="Y2003" t="s">
        <v>7363</v>
      </c>
      <c r="AG2003" t="s">
        <v>48</v>
      </c>
    </row>
    <row r="2004" spans="1:33">
      <c r="A2004" t="s">
        <v>7364</v>
      </c>
      <c r="B2004" t="s">
        <v>7365</v>
      </c>
      <c r="D2004" t="s">
        <v>40</v>
      </c>
      <c r="E2004" t="s">
        <v>41</v>
      </c>
      <c r="J2004" t="s">
        <v>108</v>
      </c>
      <c r="K2004" t="s">
        <v>109</v>
      </c>
      <c r="L2004">
        <v>5</v>
      </c>
      <c r="M2004" t="s">
        <v>7366</v>
      </c>
      <c r="N2004" t="s">
        <v>59</v>
      </c>
      <c r="O2004" t="s">
        <v>47</v>
      </c>
      <c r="P2004" t="s">
        <v>47</v>
      </c>
      <c r="Y2004" t="s">
        <v>7367</v>
      </c>
      <c r="AG2004" t="s">
        <v>48</v>
      </c>
    </row>
    <row r="2005" spans="1:33">
      <c r="A2005" t="s">
        <v>7368</v>
      </c>
      <c r="B2005" t="s">
        <v>7369</v>
      </c>
      <c r="D2005" t="s">
        <v>40</v>
      </c>
      <c r="E2005" t="s">
        <v>41</v>
      </c>
      <c r="J2005" t="s">
        <v>123</v>
      </c>
      <c r="K2005" t="s">
        <v>124</v>
      </c>
      <c r="L2005">
        <v>5</v>
      </c>
      <c r="M2005" t="s">
        <v>7370</v>
      </c>
      <c r="N2005" t="s">
        <v>218</v>
      </c>
      <c r="O2005" t="s">
        <v>47</v>
      </c>
      <c r="P2005" t="s">
        <v>47</v>
      </c>
      <c r="Y2005" t="s">
        <v>7371</v>
      </c>
      <c r="AG2005" t="s">
        <v>48</v>
      </c>
    </row>
    <row r="2006" spans="1:33">
      <c r="A2006" t="s">
        <v>7372</v>
      </c>
      <c r="B2006" t="s">
        <v>7373</v>
      </c>
      <c r="D2006" t="s">
        <v>40</v>
      </c>
      <c r="E2006" t="s">
        <v>41</v>
      </c>
      <c r="J2006" t="s">
        <v>290</v>
      </c>
      <c r="K2006" t="s">
        <v>291</v>
      </c>
      <c r="L2006">
        <v>5</v>
      </c>
      <c r="M2006" t="s">
        <v>7374</v>
      </c>
      <c r="N2006" t="s">
        <v>59</v>
      </c>
      <c r="O2006" t="s">
        <v>47</v>
      </c>
      <c r="P2006" t="s">
        <v>47</v>
      </c>
      <c r="Y2006" t="s">
        <v>7375</v>
      </c>
      <c r="AG2006" t="s">
        <v>48</v>
      </c>
    </row>
    <row r="2007" spans="1:33">
      <c r="A2007" t="s">
        <v>7376</v>
      </c>
      <c r="B2007" t="s">
        <v>7377</v>
      </c>
      <c r="D2007" t="s">
        <v>40</v>
      </c>
      <c r="E2007" t="s">
        <v>41</v>
      </c>
      <c r="J2007" t="s">
        <v>290</v>
      </c>
      <c r="K2007" t="s">
        <v>291</v>
      </c>
      <c r="L2007">
        <v>5</v>
      </c>
      <c r="M2007" t="s">
        <v>7378</v>
      </c>
      <c r="N2007" t="s">
        <v>59</v>
      </c>
      <c r="O2007" t="s">
        <v>47</v>
      </c>
      <c r="P2007" t="s">
        <v>47</v>
      </c>
      <c r="Y2007" t="s">
        <v>7379</v>
      </c>
      <c r="AG2007" t="s">
        <v>48</v>
      </c>
    </row>
    <row r="2008" spans="1:33">
      <c r="A2008" t="s">
        <v>7380</v>
      </c>
      <c r="B2008" t="s">
        <v>7381</v>
      </c>
      <c r="D2008" t="s">
        <v>40</v>
      </c>
      <c r="E2008" t="s">
        <v>41</v>
      </c>
      <c r="J2008" t="s">
        <v>162</v>
      </c>
      <c r="K2008" t="s">
        <v>163</v>
      </c>
      <c r="L2008">
        <v>5</v>
      </c>
      <c r="M2008" t="s">
        <v>7382</v>
      </c>
      <c r="N2008" t="s">
        <v>59</v>
      </c>
      <c r="O2008" t="s">
        <v>47</v>
      </c>
      <c r="P2008" t="s">
        <v>47</v>
      </c>
      <c r="Y2008" t="s">
        <v>7383</v>
      </c>
      <c r="AG2008" t="s">
        <v>48</v>
      </c>
    </row>
    <row r="2009" spans="1:33">
      <c r="A2009" t="s">
        <v>7384</v>
      </c>
      <c r="B2009" t="s">
        <v>7385</v>
      </c>
      <c r="D2009" t="s">
        <v>40</v>
      </c>
      <c r="E2009" t="s">
        <v>41</v>
      </c>
      <c r="J2009" t="s">
        <v>290</v>
      </c>
      <c r="K2009" t="s">
        <v>291</v>
      </c>
      <c r="L2009">
        <v>5</v>
      </c>
      <c r="M2009" t="s">
        <v>7386</v>
      </c>
      <c r="N2009" t="s">
        <v>59</v>
      </c>
      <c r="O2009" t="s">
        <v>47</v>
      </c>
      <c r="P2009" t="s">
        <v>47</v>
      </c>
      <c r="Y2009" t="s">
        <v>7387</v>
      </c>
      <c r="AG2009" t="s">
        <v>48</v>
      </c>
    </row>
    <row r="2010" spans="1:33">
      <c r="A2010" t="s">
        <v>7388</v>
      </c>
      <c r="B2010" t="s">
        <v>7389</v>
      </c>
      <c r="D2010" t="s">
        <v>40</v>
      </c>
      <c r="E2010" t="s">
        <v>41</v>
      </c>
      <c r="J2010" t="s">
        <v>290</v>
      </c>
      <c r="K2010" t="s">
        <v>291</v>
      </c>
      <c r="L2010">
        <v>5</v>
      </c>
      <c r="M2010" t="s">
        <v>7390</v>
      </c>
      <c r="N2010" t="s">
        <v>59</v>
      </c>
      <c r="O2010" t="s">
        <v>47</v>
      </c>
      <c r="P2010" t="s">
        <v>47</v>
      </c>
      <c r="Y2010" t="s">
        <v>7391</v>
      </c>
      <c r="AG2010" t="s">
        <v>48</v>
      </c>
    </row>
    <row r="2011" spans="1:33">
      <c r="A2011" t="s">
        <v>7392</v>
      </c>
      <c r="B2011" t="s">
        <v>7393</v>
      </c>
      <c r="D2011" t="s">
        <v>40</v>
      </c>
      <c r="E2011" t="s">
        <v>41</v>
      </c>
      <c r="J2011" t="s">
        <v>290</v>
      </c>
      <c r="K2011" t="s">
        <v>291</v>
      </c>
      <c r="L2011">
        <v>5</v>
      </c>
      <c r="M2011" t="s">
        <v>7394</v>
      </c>
      <c r="N2011" t="s">
        <v>59</v>
      </c>
      <c r="O2011" t="s">
        <v>47</v>
      </c>
      <c r="P2011" t="s">
        <v>47</v>
      </c>
      <c r="Y2011" t="s">
        <v>7395</v>
      </c>
      <c r="AG2011" t="s">
        <v>48</v>
      </c>
    </row>
    <row r="2012" spans="1:33">
      <c r="A2012" t="s">
        <v>7396</v>
      </c>
      <c r="B2012" t="s">
        <v>7397</v>
      </c>
      <c r="D2012" t="s">
        <v>40</v>
      </c>
      <c r="E2012" t="s">
        <v>41</v>
      </c>
      <c r="H2012" t="s">
        <v>7398</v>
      </c>
      <c r="J2012" t="s">
        <v>290</v>
      </c>
      <c r="K2012" t="s">
        <v>291</v>
      </c>
      <c r="L2012">
        <v>5</v>
      </c>
      <c r="M2012" t="s">
        <v>7399</v>
      </c>
      <c r="N2012" t="s">
        <v>59</v>
      </c>
      <c r="O2012" t="s">
        <v>47</v>
      </c>
      <c r="P2012" t="s">
        <v>47</v>
      </c>
      <c r="Y2012" t="s">
        <v>7398</v>
      </c>
      <c r="AG2012" t="s">
        <v>48</v>
      </c>
    </row>
    <row r="2013" spans="1:33">
      <c r="A2013" t="s">
        <v>7400</v>
      </c>
      <c r="B2013" t="s">
        <v>7401</v>
      </c>
      <c r="D2013" t="s">
        <v>40</v>
      </c>
      <c r="E2013" t="s">
        <v>41</v>
      </c>
      <c r="J2013" t="s">
        <v>290</v>
      </c>
      <c r="K2013" t="s">
        <v>291</v>
      </c>
      <c r="L2013">
        <v>5</v>
      </c>
      <c r="M2013" t="s">
        <v>7402</v>
      </c>
      <c r="N2013" t="s">
        <v>59</v>
      </c>
      <c r="O2013" t="s">
        <v>47</v>
      </c>
      <c r="P2013" t="s">
        <v>47</v>
      </c>
      <c r="Y2013" t="s">
        <v>7403</v>
      </c>
      <c r="AG2013" t="s">
        <v>48</v>
      </c>
    </row>
    <row r="2014" spans="1:33">
      <c r="A2014" t="s">
        <v>7404</v>
      </c>
      <c r="B2014" t="s">
        <v>7405</v>
      </c>
      <c r="D2014" t="s">
        <v>40</v>
      </c>
      <c r="E2014" t="s">
        <v>41</v>
      </c>
      <c r="H2014" t="s">
        <v>7406</v>
      </c>
      <c r="J2014" t="s">
        <v>63</v>
      </c>
      <c r="K2014" t="s">
        <v>64</v>
      </c>
      <c r="L2014">
        <v>5</v>
      </c>
      <c r="M2014" t="s">
        <v>7407</v>
      </c>
      <c r="N2014" t="s">
        <v>59</v>
      </c>
      <c r="O2014" t="s">
        <v>47</v>
      </c>
      <c r="P2014" t="s">
        <v>47</v>
      </c>
      <c r="Y2014" t="s">
        <v>7406</v>
      </c>
      <c r="AG2014" t="s">
        <v>48</v>
      </c>
    </row>
    <row r="2015" spans="1:33">
      <c r="A2015" t="s">
        <v>7408</v>
      </c>
      <c r="B2015" t="s">
        <v>7409</v>
      </c>
      <c r="D2015" t="s">
        <v>40</v>
      </c>
      <c r="E2015" t="s">
        <v>41</v>
      </c>
      <c r="J2015" t="s">
        <v>108</v>
      </c>
      <c r="K2015" t="s">
        <v>109</v>
      </c>
      <c r="L2015">
        <v>5</v>
      </c>
      <c r="M2015" t="s">
        <v>7410</v>
      </c>
      <c r="N2015" t="s">
        <v>59</v>
      </c>
      <c r="O2015" t="s">
        <v>47</v>
      </c>
      <c r="P2015" t="s">
        <v>47</v>
      </c>
      <c r="Y2015" t="s">
        <v>7411</v>
      </c>
      <c r="AG2015" t="s">
        <v>48</v>
      </c>
    </row>
    <row r="2016" spans="1:33">
      <c r="A2016" t="s">
        <v>7412</v>
      </c>
      <c r="B2016" t="s">
        <v>7413</v>
      </c>
      <c r="D2016" t="s">
        <v>40</v>
      </c>
      <c r="E2016" t="s">
        <v>41</v>
      </c>
      <c r="J2016" t="s">
        <v>108</v>
      </c>
      <c r="K2016" t="s">
        <v>109</v>
      </c>
      <c r="L2016">
        <v>5</v>
      </c>
      <c r="M2016" t="s">
        <v>7410</v>
      </c>
      <c r="N2016" t="s">
        <v>59</v>
      </c>
      <c r="O2016" t="s">
        <v>47</v>
      </c>
      <c r="P2016" t="s">
        <v>47</v>
      </c>
      <c r="Y2016" t="s">
        <v>7414</v>
      </c>
      <c r="AG2016" t="s">
        <v>48</v>
      </c>
    </row>
    <row r="2017" spans="1:33">
      <c r="A2017" t="s">
        <v>7415</v>
      </c>
      <c r="B2017" t="s">
        <v>7416</v>
      </c>
      <c r="D2017" t="s">
        <v>40</v>
      </c>
      <c r="E2017" t="s">
        <v>41</v>
      </c>
      <c r="J2017" t="s">
        <v>129</v>
      </c>
      <c r="K2017" t="s">
        <v>130</v>
      </c>
      <c r="L2017">
        <v>5</v>
      </c>
      <c r="M2017" t="s">
        <v>7410</v>
      </c>
      <c r="N2017" t="s">
        <v>218</v>
      </c>
      <c r="O2017" t="s">
        <v>47</v>
      </c>
      <c r="P2017" t="s">
        <v>47</v>
      </c>
      <c r="Y2017" t="s">
        <v>7417</v>
      </c>
      <c r="AG2017" t="s">
        <v>48</v>
      </c>
    </row>
    <row r="2018" spans="1:33">
      <c r="A2018" t="s">
        <v>7418</v>
      </c>
      <c r="B2018" t="s">
        <v>7419</v>
      </c>
      <c r="D2018" t="s">
        <v>40</v>
      </c>
      <c r="E2018" t="s">
        <v>41</v>
      </c>
      <c r="H2018" t="s">
        <v>7420</v>
      </c>
      <c r="J2018" t="s">
        <v>63</v>
      </c>
      <c r="K2018" t="s">
        <v>64</v>
      </c>
      <c r="L2018">
        <v>5</v>
      </c>
      <c r="M2018" t="s">
        <v>7421</v>
      </c>
      <c r="N2018" t="s">
        <v>59</v>
      </c>
      <c r="O2018" t="s">
        <v>47</v>
      </c>
      <c r="P2018" t="s">
        <v>47</v>
      </c>
      <c r="Y2018" t="s">
        <v>7420</v>
      </c>
      <c r="AG2018" t="s">
        <v>48</v>
      </c>
    </row>
    <row r="2019" spans="1:33">
      <c r="A2019" t="s">
        <v>7422</v>
      </c>
      <c r="B2019" t="s">
        <v>7423</v>
      </c>
      <c r="D2019" t="s">
        <v>40</v>
      </c>
      <c r="E2019" t="s">
        <v>41</v>
      </c>
      <c r="J2019" t="s">
        <v>270</v>
      </c>
      <c r="K2019" t="s">
        <v>271</v>
      </c>
      <c r="L2019">
        <v>5</v>
      </c>
      <c r="M2019" t="s">
        <v>7424</v>
      </c>
      <c r="N2019" t="s">
        <v>59</v>
      </c>
      <c r="O2019" t="s">
        <v>47</v>
      </c>
      <c r="P2019" t="s">
        <v>47</v>
      </c>
      <c r="Y2019" t="s">
        <v>7425</v>
      </c>
      <c r="AG2019" t="s">
        <v>48</v>
      </c>
    </row>
    <row r="2020" spans="1:33">
      <c r="A2020" t="s">
        <v>7426</v>
      </c>
      <c r="B2020" t="s">
        <v>7427</v>
      </c>
      <c r="D2020" t="s">
        <v>40</v>
      </c>
      <c r="E2020" t="s">
        <v>41</v>
      </c>
      <c r="J2020" t="s">
        <v>114</v>
      </c>
      <c r="K2020" t="s">
        <v>115</v>
      </c>
      <c r="L2020">
        <v>5</v>
      </c>
      <c r="M2020" t="s">
        <v>7428</v>
      </c>
      <c r="N2020" t="s">
        <v>59</v>
      </c>
      <c r="O2020" t="s">
        <v>47</v>
      </c>
      <c r="P2020" t="s">
        <v>47</v>
      </c>
      <c r="Y2020" t="s">
        <v>7429</v>
      </c>
      <c r="AG2020" t="s">
        <v>48</v>
      </c>
    </row>
    <row r="2021" spans="1:33">
      <c r="A2021" t="s">
        <v>7430</v>
      </c>
      <c r="B2021" t="s">
        <v>7431</v>
      </c>
      <c r="D2021" t="s">
        <v>40</v>
      </c>
      <c r="E2021" t="s">
        <v>41</v>
      </c>
      <c r="H2021" t="s">
        <v>7432</v>
      </c>
      <c r="J2021" t="s">
        <v>270</v>
      </c>
      <c r="K2021" t="s">
        <v>271</v>
      </c>
      <c r="L2021">
        <v>5</v>
      </c>
      <c r="M2021" t="s">
        <v>7428</v>
      </c>
      <c r="N2021" t="s">
        <v>59</v>
      </c>
      <c r="O2021" t="s">
        <v>47</v>
      </c>
      <c r="P2021" t="s">
        <v>47</v>
      </c>
      <c r="Y2021" t="s">
        <v>7432</v>
      </c>
      <c r="AG2021" t="s">
        <v>48</v>
      </c>
    </row>
    <row r="2022" spans="1:33">
      <c r="A2022" t="s">
        <v>7433</v>
      </c>
      <c r="B2022" t="s">
        <v>7434</v>
      </c>
      <c r="D2022" t="s">
        <v>40</v>
      </c>
      <c r="E2022" t="s">
        <v>41</v>
      </c>
      <c r="J2022" t="s">
        <v>290</v>
      </c>
      <c r="K2022" t="s">
        <v>291</v>
      </c>
      <c r="L2022">
        <v>5</v>
      </c>
      <c r="M2022" t="s">
        <v>7435</v>
      </c>
      <c r="N2022" t="s">
        <v>59</v>
      </c>
      <c r="O2022" t="s">
        <v>47</v>
      </c>
      <c r="P2022" t="s">
        <v>47</v>
      </c>
      <c r="Y2022" t="s">
        <v>7436</v>
      </c>
      <c r="AG2022" t="s">
        <v>48</v>
      </c>
    </row>
    <row r="2023" spans="1:33">
      <c r="A2023" t="s">
        <v>7437</v>
      </c>
      <c r="B2023" t="s">
        <v>7438</v>
      </c>
      <c r="D2023" t="s">
        <v>40</v>
      </c>
      <c r="E2023" t="s">
        <v>41</v>
      </c>
      <c r="J2023" t="s">
        <v>290</v>
      </c>
      <c r="K2023" t="s">
        <v>291</v>
      </c>
      <c r="L2023">
        <v>5</v>
      </c>
      <c r="M2023" t="s">
        <v>7439</v>
      </c>
      <c r="N2023" t="s">
        <v>59</v>
      </c>
      <c r="O2023" t="s">
        <v>47</v>
      </c>
      <c r="P2023" t="s">
        <v>47</v>
      </c>
      <c r="Y2023" t="s">
        <v>7440</v>
      </c>
      <c r="AG2023" t="s">
        <v>48</v>
      </c>
    </row>
    <row r="2024" spans="1:33">
      <c r="A2024" t="s">
        <v>7441</v>
      </c>
      <c r="B2024" t="s">
        <v>7442</v>
      </c>
      <c r="D2024" t="s">
        <v>40</v>
      </c>
      <c r="E2024" t="s">
        <v>41</v>
      </c>
      <c r="J2024" t="s">
        <v>290</v>
      </c>
      <c r="K2024" t="s">
        <v>291</v>
      </c>
      <c r="L2024">
        <v>5</v>
      </c>
      <c r="M2024" t="s">
        <v>7443</v>
      </c>
      <c r="N2024" t="s">
        <v>59</v>
      </c>
      <c r="O2024" t="s">
        <v>47</v>
      </c>
      <c r="P2024" t="s">
        <v>47</v>
      </c>
      <c r="Y2024" t="s">
        <v>7444</v>
      </c>
      <c r="AG2024" t="s">
        <v>48</v>
      </c>
    </row>
    <row r="2025" spans="1:33">
      <c r="A2025" t="s">
        <v>7445</v>
      </c>
      <c r="B2025" t="s">
        <v>7446</v>
      </c>
      <c r="D2025" t="s">
        <v>40</v>
      </c>
      <c r="E2025" t="s">
        <v>41</v>
      </c>
      <c r="H2025" t="s">
        <v>7447</v>
      </c>
      <c r="J2025" t="s">
        <v>270</v>
      </c>
      <c r="K2025" t="s">
        <v>271</v>
      </c>
      <c r="L2025">
        <v>5</v>
      </c>
      <c r="M2025" t="s">
        <v>7443</v>
      </c>
      <c r="N2025" t="s">
        <v>59</v>
      </c>
      <c r="O2025" t="s">
        <v>47</v>
      </c>
      <c r="P2025" t="s">
        <v>47</v>
      </c>
      <c r="Y2025" t="s">
        <v>7447</v>
      </c>
      <c r="AG2025" t="s">
        <v>48</v>
      </c>
    </row>
    <row r="2026" spans="1:33">
      <c r="A2026" t="s">
        <v>7448</v>
      </c>
      <c r="B2026" t="s">
        <v>7449</v>
      </c>
      <c r="D2026" t="s">
        <v>40</v>
      </c>
      <c r="E2026" t="s">
        <v>41</v>
      </c>
      <c r="J2026" t="s">
        <v>290</v>
      </c>
      <c r="K2026" t="s">
        <v>291</v>
      </c>
      <c r="L2026">
        <v>5</v>
      </c>
      <c r="M2026" t="s">
        <v>7450</v>
      </c>
      <c r="N2026" t="s">
        <v>59</v>
      </c>
      <c r="O2026" t="s">
        <v>47</v>
      </c>
      <c r="P2026" t="s">
        <v>47</v>
      </c>
      <c r="Y2026" t="s">
        <v>7451</v>
      </c>
      <c r="AG2026" t="s">
        <v>48</v>
      </c>
    </row>
    <row r="2027" spans="1:33">
      <c r="A2027" t="s">
        <v>7452</v>
      </c>
      <c r="B2027" t="s">
        <v>7453</v>
      </c>
      <c r="D2027" t="s">
        <v>40</v>
      </c>
      <c r="E2027" t="s">
        <v>41</v>
      </c>
      <c r="J2027" t="s">
        <v>290</v>
      </c>
      <c r="K2027" t="s">
        <v>291</v>
      </c>
      <c r="L2027">
        <v>5</v>
      </c>
      <c r="M2027" t="s">
        <v>7450</v>
      </c>
      <c r="N2027" t="s">
        <v>59</v>
      </c>
      <c r="O2027" t="s">
        <v>47</v>
      </c>
      <c r="P2027" t="s">
        <v>47</v>
      </c>
      <c r="Y2027" t="s">
        <v>7454</v>
      </c>
      <c r="AG2027" t="s">
        <v>48</v>
      </c>
    </row>
    <row r="2028" spans="1:33">
      <c r="A2028" t="s">
        <v>7455</v>
      </c>
      <c r="B2028" t="s">
        <v>7456</v>
      </c>
      <c r="D2028" t="s">
        <v>40</v>
      </c>
      <c r="E2028" t="s">
        <v>41</v>
      </c>
      <c r="J2028" t="s">
        <v>270</v>
      </c>
      <c r="K2028" t="s">
        <v>271</v>
      </c>
      <c r="L2028">
        <v>5</v>
      </c>
      <c r="M2028" t="s">
        <v>7450</v>
      </c>
      <c r="N2028" t="s">
        <v>59</v>
      </c>
      <c r="O2028" t="s">
        <v>47</v>
      </c>
      <c r="P2028" t="s">
        <v>47</v>
      </c>
      <c r="Y2028" t="s">
        <v>7457</v>
      </c>
      <c r="AG2028" t="s">
        <v>48</v>
      </c>
    </row>
    <row r="2029" spans="1:33">
      <c r="A2029" t="s">
        <v>7458</v>
      </c>
      <c r="B2029" t="s">
        <v>7459</v>
      </c>
      <c r="D2029" t="s">
        <v>40</v>
      </c>
      <c r="E2029" t="s">
        <v>41</v>
      </c>
      <c r="J2029" t="s">
        <v>129</v>
      </c>
      <c r="K2029" t="s">
        <v>130</v>
      </c>
      <c r="L2029">
        <v>5</v>
      </c>
      <c r="M2029" t="s">
        <v>7450</v>
      </c>
      <c r="N2029" t="s">
        <v>192</v>
      </c>
      <c r="O2029" t="s">
        <v>47</v>
      </c>
      <c r="P2029" t="s">
        <v>47</v>
      </c>
      <c r="Y2029" t="s">
        <v>7460</v>
      </c>
      <c r="AG2029" t="s">
        <v>48</v>
      </c>
    </row>
    <row r="2030" spans="1:33">
      <c r="A2030" t="s">
        <v>7461</v>
      </c>
      <c r="B2030" t="s">
        <v>7462</v>
      </c>
      <c r="D2030" t="s">
        <v>40</v>
      </c>
      <c r="E2030" t="s">
        <v>41</v>
      </c>
      <c r="J2030" t="s">
        <v>290</v>
      </c>
      <c r="K2030" t="s">
        <v>291</v>
      </c>
      <c r="L2030">
        <v>5</v>
      </c>
      <c r="M2030" t="s">
        <v>7463</v>
      </c>
      <c r="N2030" t="s">
        <v>59</v>
      </c>
      <c r="O2030" t="s">
        <v>47</v>
      </c>
      <c r="P2030" t="s">
        <v>47</v>
      </c>
      <c r="Y2030" t="s">
        <v>7464</v>
      </c>
      <c r="AG2030" t="s">
        <v>48</v>
      </c>
    </row>
    <row r="2031" spans="1:33">
      <c r="A2031" t="s">
        <v>7465</v>
      </c>
      <c r="B2031" t="s">
        <v>7466</v>
      </c>
      <c r="D2031" t="s">
        <v>40</v>
      </c>
      <c r="E2031" t="s">
        <v>41</v>
      </c>
      <c r="J2031" t="s">
        <v>290</v>
      </c>
      <c r="K2031" t="s">
        <v>291</v>
      </c>
      <c r="L2031">
        <v>5</v>
      </c>
      <c r="M2031" t="s">
        <v>7467</v>
      </c>
      <c r="N2031" t="s">
        <v>59</v>
      </c>
      <c r="O2031" t="s">
        <v>47</v>
      </c>
      <c r="P2031" t="s">
        <v>47</v>
      </c>
      <c r="Y2031" t="s">
        <v>7468</v>
      </c>
      <c r="AG2031" t="s">
        <v>48</v>
      </c>
    </row>
    <row r="2032" spans="1:33">
      <c r="A2032" t="s">
        <v>7469</v>
      </c>
      <c r="B2032" t="s">
        <v>7470</v>
      </c>
      <c r="D2032" t="s">
        <v>40</v>
      </c>
      <c r="E2032" t="s">
        <v>41</v>
      </c>
      <c r="H2032" t="s">
        <v>7471</v>
      </c>
      <c r="J2032" t="s">
        <v>290</v>
      </c>
      <c r="K2032" t="s">
        <v>291</v>
      </c>
      <c r="L2032">
        <v>5</v>
      </c>
      <c r="M2032" t="s">
        <v>7472</v>
      </c>
      <c r="N2032" t="s">
        <v>59</v>
      </c>
      <c r="O2032" t="s">
        <v>47</v>
      </c>
      <c r="P2032" t="s">
        <v>47</v>
      </c>
      <c r="Y2032" t="s">
        <v>7471</v>
      </c>
      <c r="AG2032" t="s">
        <v>48</v>
      </c>
    </row>
    <row r="2033" spans="1:33">
      <c r="A2033" t="s">
        <v>7473</v>
      </c>
      <c r="B2033" t="s">
        <v>7474</v>
      </c>
      <c r="D2033" t="s">
        <v>40</v>
      </c>
      <c r="E2033" t="s">
        <v>41</v>
      </c>
      <c r="J2033" t="s">
        <v>114</v>
      </c>
      <c r="K2033" t="s">
        <v>115</v>
      </c>
      <c r="L2033">
        <v>5</v>
      </c>
      <c r="M2033" t="s">
        <v>7475</v>
      </c>
      <c r="N2033" t="s">
        <v>59</v>
      </c>
      <c r="O2033" t="s">
        <v>47</v>
      </c>
      <c r="P2033" t="s">
        <v>47</v>
      </c>
      <c r="Y2033" t="s">
        <v>7476</v>
      </c>
      <c r="AG2033" t="s">
        <v>48</v>
      </c>
    </row>
    <row r="2034" spans="1:33">
      <c r="A2034" t="s">
        <v>7477</v>
      </c>
      <c r="B2034" t="s">
        <v>7478</v>
      </c>
      <c r="D2034" t="s">
        <v>40</v>
      </c>
      <c r="E2034" t="s">
        <v>41</v>
      </c>
      <c r="J2034" t="s">
        <v>290</v>
      </c>
      <c r="K2034" t="s">
        <v>291</v>
      </c>
      <c r="L2034">
        <v>5</v>
      </c>
      <c r="M2034" t="s">
        <v>7479</v>
      </c>
      <c r="N2034" t="s">
        <v>59</v>
      </c>
      <c r="O2034" t="s">
        <v>47</v>
      </c>
      <c r="P2034" t="s">
        <v>47</v>
      </c>
      <c r="Y2034" t="s">
        <v>7480</v>
      </c>
      <c r="AG2034" t="s">
        <v>48</v>
      </c>
    </row>
    <row r="2035" spans="1:33">
      <c r="A2035" t="s">
        <v>7481</v>
      </c>
      <c r="B2035" t="s">
        <v>7482</v>
      </c>
      <c r="D2035" t="s">
        <v>40</v>
      </c>
      <c r="E2035" t="s">
        <v>41</v>
      </c>
      <c r="J2035" t="s">
        <v>162</v>
      </c>
      <c r="K2035" t="s">
        <v>163</v>
      </c>
      <c r="L2035">
        <v>5</v>
      </c>
      <c r="M2035" t="s">
        <v>7479</v>
      </c>
      <c r="N2035" t="s">
        <v>59</v>
      </c>
      <c r="O2035" t="s">
        <v>47</v>
      </c>
      <c r="P2035" t="s">
        <v>47</v>
      </c>
      <c r="Y2035" t="s">
        <v>7483</v>
      </c>
      <c r="AG2035" t="s">
        <v>48</v>
      </c>
    </row>
    <row r="2036" spans="1:33">
      <c r="A2036" t="s">
        <v>7484</v>
      </c>
      <c r="B2036" t="s">
        <v>7485</v>
      </c>
      <c r="D2036" t="s">
        <v>40</v>
      </c>
      <c r="E2036" t="s">
        <v>41</v>
      </c>
      <c r="J2036" t="s">
        <v>123</v>
      </c>
      <c r="K2036" t="s">
        <v>124</v>
      </c>
      <c r="L2036">
        <v>5</v>
      </c>
      <c r="M2036" t="s">
        <v>7479</v>
      </c>
      <c r="N2036" t="s">
        <v>218</v>
      </c>
      <c r="O2036" t="s">
        <v>47</v>
      </c>
      <c r="P2036" t="s">
        <v>47</v>
      </c>
      <c r="Y2036" t="s">
        <v>7486</v>
      </c>
      <c r="AG2036" t="s">
        <v>48</v>
      </c>
    </row>
    <row r="2037" spans="1:33">
      <c r="A2037" t="s">
        <v>7487</v>
      </c>
      <c r="B2037" t="s">
        <v>7488</v>
      </c>
      <c r="D2037" t="s">
        <v>40</v>
      </c>
      <c r="E2037" t="s">
        <v>41</v>
      </c>
      <c r="J2037" t="s">
        <v>290</v>
      </c>
      <c r="K2037" t="s">
        <v>291</v>
      </c>
      <c r="L2037">
        <v>5</v>
      </c>
      <c r="M2037" t="s">
        <v>7479</v>
      </c>
      <c r="N2037" t="s">
        <v>59</v>
      </c>
      <c r="O2037" t="s">
        <v>47</v>
      </c>
      <c r="P2037" t="s">
        <v>47</v>
      </c>
      <c r="Y2037" t="s">
        <v>7489</v>
      </c>
      <c r="AG2037" t="s">
        <v>48</v>
      </c>
    </row>
    <row r="2038" spans="1:33">
      <c r="A2038" t="s">
        <v>7490</v>
      </c>
      <c r="B2038" t="s">
        <v>7491</v>
      </c>
      <c r="D2038" t="s">
        <v>40</v>
      </c>
      <c r="E2038" t="s">
        <v>41</v>
      </c>
      <c r="H2038" t="s">
        <v>7492</v>
      </c>
      <c r="J2038" t="s">
        <v>129</v>
      </c>
      <c r="K2038" t="s">
        <v>130</v>
      </c>
      <c r="L2038">
        <v>5</v>
      </c>
      <c r="M2038" t="s">
        <v>7493</v>
      </c>
      <c r="N2038" t="s">
        <v>192</v>
      </c>
      <c r="O2038" t="s">
        <v>47</v>
      </c>
      <c r="P2038" t="s">
        <v>47</v>
      </c>
      <c r="Y2038" t="s">
        <v>7492</v>
      </c>
      <c r="AG2038" t="s">
        <v>48</v>
      </c>
    </row>
    <row r="2039" spans="1:33">
      <c r="A2039" t="s">
        <v>7494</v>
      </c>
      <c r="B2039" t="s">
        <v>7495</v>
      </c>
      <c r="D2039" t="s">
        <v>40</v>
      </c>
      <c r="E2039" t="s">
        <v>41</v>
      </c>
      <c r="H2039" t="s">
        <v>7496</v>
      </c>
      <c r="J2039" t="s">
        <v>63</v>
      </c>
      <c r="K2039" t="s">
        <v>64</v>
      </c>
      <c r="L2039">
        <v>5</v>
      </c>
      <c r="M2039" t="s">
        <v>7497</v>
      </c>
      <c r="N2039" t="s">
        <v>59</v>
      </c>
      <c r="O2039" t="s">
        <v>47</v>
      </c>
      <c r="P2039" t="s">
        <v>47</v>
      </c>
      <c r="Y2039" t="s">
        <v>7496</v>
      </c>
      <c r="AG2039" t="s">
        <v>48</v>
      </c>
    </row>
    <row r="2040" spans="1:33">
      <c r="A2040" t="s">
        <v>7498</v>
      </c>
      <c r="B2040" t="s">
        <v>7499</v>
      </c>
      <c r="D2040" t="s">
        <v>40</v>
      </c>
      <c r="E2040" t="s">
        <v>41</v>
      </c>
      <c r="J2040" t="s">
        <v>290</v>
      </c>
      <c r="K2040" t="s">
        <v>291</v>
      </c>
      <c r="L2040">
        <v>5</v>
      </c>
      <c r="M2040" t="s">
        <v>7500</v>
      </c>
      <c r="N2040" t="s">
        <v>59</v>
      </c>
      <c r="O2040" t="s">
        <v>47</v>
      </c>
      <c r="P2040" t="s">
        <v>47</v>
      </c>
      <c r="Y2040" t="s">
        <v>7501</v>
      </c>
      <c r="AG2040" t="s">
        <v>48</v>
      </c>
    </row>
    <row r="2041" spans="1:33">
      <c r="A2041" t="s">
        <v>7502</v>
      </c>
      <c r="B2041" t="s">
        <v>7503</v>
      </c>
      <c r="D2041" t="s">
        <v>40</v>
      </c>
      <c r="E2041" t="s">
        <v>41</v>
      </c>
      <c r="H2041" t="s">
        <v>7504</v>
      </c>
      <c r="J2041" t="s">
        <v>290</v>
      </c>
      <c r="K2041" t="s">
        <v>291</v>
      </c>
      <c r="L2041">
        <v>5</v>
      </c>
      <c r="M2041" t="s">
        <v>7505</v>
      </c>
      <c r="N2041" t="s">
        <v>59</v>
      </c>
      <c r="O2041" t="s">
        <v>47</v>
      </c>
      <c r="P2041" t="s">
        <v>47</v>
      </c>
      <c r="Y2041" t="s">
        <v>7504</v>
      </c>
      <c r="AG2041" t="s">
        <v>48</v>
      </c>
    </row>
    <row r="2042" spans="1:33">
      <c r="A2042" t="s">
        <v>7506</v>
      </c>
      <c r="B2042" t="s">
        <v>7507</v>
      </c>
      <c r="D2042" t="s">
        <v>40</v>
      </c>
      <c r="E2042" t="s">
        <v>41</v>
      </c>
      <c r="J2042" t="s">
        <v>108</v>
      </c>
      <c r="K2042" t="s">
        <v>109</v>
      </c>
      <c r="L2042">
        <v>5</v>
      </c>
      <c r="M2042" t="s">
        <v>7505</v>
      </c>
      <c r="N2042" t="s">
        <v>59</v>
      </c>
      <c r="O2042" t="s">
        <v>47</v>
      </c>
      <c r="P2042" t="s">
        <v>47</v>
      </c>
      <c r="Y2042" t="s">
        <v>7508</v>
      </c>
      <c r="AG2042" t="s">
        <v>48</v>
      </c>
    </row>
    <row r="2043" spans="1:33">
      <c r="A2043" t="s">
        <v>7509</v>
      </c>
      <c r="B2043" t="s">
        <v>7510</v>
      </c>
      <c r="D2043" t="s">
        <v>40</v>
      </c>
      <c r="E2043" t="s">
        <v>41</v>
      </c>
      <c r="J2043" t="s">
        <v>270</v>
      </c>
      <c r="K2043" t="s">
        <v>271</v>
      </c>
      <c r="L2043">
        <v>5</v>
      </c>
      <c r="M2043" t="s">
        <v>7505</v>
      </c>
      <c r="N2043" t="s">
        <v>59</v>
      </c>
      <c r="O2043" t="s">
        <v>47</v>
      </c>
      <c r="P2043" t="s">
        <v>47</v>
      </c>
      <c r="Y2043" t="s">
        <v>7511</v>
      </c>
      <c r="AG2043" t="s">
        <v>48</v>
      </c>
    </row>
    <row r="2044" spans="1:33">
      <c r="A2044" t="s">
        <v>117</v>
      </c>
      <c r="B2044" t="s">
        <v>7512</v>
      </c>
      <c r="D2044" t="s">
        <v>40</v>
      </c>
      <c r="E2044" t="s">
        <v>41</v>
      </c>
      <c r="J2044" t="s">
        <v>290</v>
      </c>
      <c r="K2044" t="s">
        <v>291</v>
      </c>
      <c r="L2044">
        <v>5</v>
      </c>
      <c r="M2044" t="s">
        <v>7505</v>
      </c>
      <c r="N2044" t="s">
        <v>59</v>
      </c>
      <c r="O2044" t="s">
        <v>47</v>
      </c>
      <c r="P2044" t="s">
        <v>47</v>
      </c>
      <c r="Y2044" t="s">
        <v>7513</v>
      </c>
      <c r="AG2044" t="s">
        <v>48</v>
      </c>
    </row>
    <row r="2045" spans="1:33">
      <c r="A2045" t="s">
        <v>7514</v>
      </c>
      <c r="B2045" t="s">
        <v>7515</v>
      </c>
      <c r="D2045" t="s">
        <v>40</v>
      </c>
      <c r="E2045" t="s">
        <v>41</v>
      </c>
      <c r="J2045" t="s">
        <v>129</v>
      </c>
      <c r="K2045" t="s">
        <v>130</v>
      </c>
      <c r="L2045">
        <v>5</v>
      </c>
      <c r="M2045" t="s">
        <v>7516</v>
      </c>
      <c r="N2045" t="s">
        <v>218</v>
      </c>
      <c r="O2045" t="s">
        <v>47</v>
      </c>
      <c r="P2045" t="s">
        <v>47</v>
      </c>
      <c r="Y2045" t="s">
        <v>7517</v>
      </c>
      <c r="AG2045" t="s">
        <v>48</v>
      </c>
    </row>
    <row r="2046" spans="1:33">
      <c r="A2046" t="s">
        <v>7518</v>
      </c>
      <c r="B2046" t="s">
        <v>7519</v>
      </c>
      <c r="D2046" t="s">
        <v>40</v>
      </c>
      <c r="E2046" t="s">
        <v>41</v>
      </c>
      <c r="J2046" t="s">
        <v>290</v>
      </c>
      <c r="K2046" t="s">
        <v>291</v>
      </c>
      <c r="L2046">
        <v>5</v>
      </c>
      <c r="M2046" t="s">
        <v>7516</v>
      </c>
      <c r="N2046" t="s">
        <v>59</v>
      </c>
      <c r="O2046" t="s">
        <v>47</v>
      </c>
      <c r="P2046" t="s">
        <v>47</v>
      </c>
      <c r="Y2046" t="s">
        <v>7520</v>
      </c>
      <c r="AG2046" t="s">
        <v>48</v>
      </c>
    </row>
    <row r="2047" spans="1:33">
      <c r="A2047" t="s">
        <v>7521</v>
      </c>
      <c r="B2047" t="s">
        <v>7522</v>
      </c>
      <c r="D2047" t="s">
        <v>40</v>
      </c>
      <c r="E2047" t="s">
        <v>41</v>
      </c>
      <c r="J2047" t="s">
        <v>162</v>
      </c>
      <c r="K2047" t="s">
        <v>163</v>
      </c>
      <c r="L2047">
        <v>5</v>
      </c>
      <c r="M2047" t="s">
        <v>7523</v>
      </c>
      <c r="N2047" t="s">
        <v>59</v>
      </c>
      <c r="O2047" t="s">
        <v>47</v>
      </c>
      <c r="P2047" t="s">
        <v>47</v>
      </c>
      <c r="Y2047" t="s">
        <v>7524</v>
      </c>
      <c r="AG2047" t="s">
        <v>48</v>
      </c>
    </row>
    <row r="2048" spans="1:33">
      <c r="A2048" t="s">
        <v>7525</v>
      </c>
      <c r="B2048" t="s">
        <v>7526</v>
      </c>
      <c r="D2048" t="s">
        <v>40</v>
      </c>
      <c r="E2048" t="s">
        <v>41</v>
      </c>
      <c r="J2048" t="s">
        <v>162</v>
      </c>
      <c r="K2048" t="s">
        <v>163</v>
      </c>
      <c r="L2048">
        <v>5</v>
      </c>
      <c r="M2048" t="s">
        <v>7527</v>
      </c>
      <c r="N2048" t="s">
        <v>59</v>
      </c>
      <c r="O2048" t="s">
        <v>47</v>
      </c>
      <c r="P2048" t="s">
        <v>47</v>
      </c>
      <c r="Y2048" t="s">
        <v>7528</v>
      </c>
      <c r="AG2048" t="s">
        <v>48</v>
      </c>
    </row>
    <row r="2049" spans="1:33">
      <c r="A2049" t="s">
        <v>7529</v>
      </c>
      <c r="B2049" t="s">
        <v>7530</v>
      </c>
      <c r="D2049" t="s">
        <v>40</v>
      </c>
      <c r="E2049" t="s">
        <v>41</v>
      </c>
      <c r="J2049" t="s">
        <v>290</v>
      </c>
      <c r="K2049" t="s">
        <v>291</v>
      </c>
      <c r="L2049">
        <v>5</v>
      </c>
      <c r="M2049" t="s">
        <v>7531</v>
      </c>
      <c r="N2049" t="s">
        <v>59</v>
      </c>
      <c r="O2049" t="s">
        <v>47</v>
      </c>
      <c r="P2049" t="s">
        <v>47</v>
      </c>
      <c r="Y2049" t="s">
        <v>7532</v>
      </c>
      <c r="AG2049" t="s">
        <v>48</v>
      </c>
    </row>
    <row r="2050" spans="1:33">
      <c r="A2050" t="s">
        <v>7533</v>
      </c>
      <c r="B2050" t="s">
        <v>7534</v>
      </c>
      <c r="D2050" t="s">
        <v>40</v>
      </c>
      <c r="E2050" t="s">
        <v>41</v>
      </c>
      <c r="J2050" t="s">
        <v>290</v>
      </c>
      <c r="K2050" t="s">
        <v>291</v>
      </c>
      <c r="L2050">
        <v>5</v>
      </c>
      <c r="M2050" t="s">
        <v>7535</v>
      </c>
      <c r="N2050" t="s">
        <v>59</v>
      </c>
      <c r="O2050" t="s">
        <v>47</v>
      </c>
      <c r="P2050" t="s">
        <v>47</v>
      </c>
      <c r="Y2050" t="s">
        <v>7536</v>
      </c>
      <c r="AG2050" t="s">
        <v>48</v>
      </c>
    </row>
    <row r="2051" spans="1:33">
      <c r="A2051" t="s">
        <v>7537</v>
      </c>
      <c r="B2051" t="s">
        <v>7538</v>
      </c>
      <c r="D2051" t="s">
        <v>40</v>
      </c>
      <c r="E2051" t="s">
        <v>41</v>
      </c>
      <c r="J2051" t="s">
        <v>114</v>
      </c>
      <c r="K2051" t="s">
        <v>115</v>
      </c>
      <c r="L2051">
        <v>5</v>
      </c>
      <c r="M2051" t="s">
        <v>7535</v>
      </c>
      <c r="N2051" t="s">
        <v>59</v>
      </c>
      <c r="O2051" t="s">
        <v>47</v>
      </c>
      <c r="P2051" t="s">
        <v>47</v>
      </c>
      <c r="Y2051" t="s">
        <v>7539</v>
      </c>
      <c r="AG2051" t="s">
        <v>48</v>
      </c>
    </row>
    <row r="2052" spans="1:33">
      <c r="A2052" t="s">
        <v>7540</v>
      </c>
      <c r="B2052" t="s">
        <v>7541</v>
      </c>
      <c r="D2052" t="s">
        <v>40</v>
      </c>
      <c r="E2052" t="s">
        <v>41</v>
      </c>
      <c r="J2052" t="s">
        <v>290</v>
      </c>
      <c r="K2052" t="s">
        <v>291</v>
      </c>
      <c r="L2052">
        <v>5</v>
      </c>
      <c r="M2052" t="s">
        <v>7535</v>
      </c>
      <c r="N2052" t="s">
        <v>59</v>
      </c>
      <c r="O2052" t="s">
        <v>47</v>
      </c>
      <c r="P2052" t="s">
        <v>47</v>
      </c>
      <c r="Y2052" t="s">
        <v>7542</v>
      </c>
      <c r="AG2052" t="s">
        <v>48</v>
      </c>
    </row>
    <row r="2053" spans="1:33">
      <c r="A2053" t="s">
        <v>7543</v>
      </c>
      <c r="B2053" t="s">
        <v>7544</v>
      </c>
      <c r="D2053" t="s">
        <v>40</v>
      </c>
      <c r="E2053" t="s">
        <v>41</v>
      </c>
      <c r="H2053" t="s">
        <v>7545</v>
      </c>
      <c r="J2053" t="s">
        <v>123</v>
      </c>
      <c r="K2053" t="s">
        <v>124</v>
      </c>
      <c r="L2053">
        <v>5</v>
      </c>
      <c r="M2053" t="s">
        <v>7546</v>
      </c>
      <c r="N2053" t="s">
        <v>218</v>
      </c>
      <c r="O2053" t="s">
        <v>47</v>
      </c>
      <c r="P2053" t="s">
        <v>47</v>
      </c>
      <c r="Y2053" t="s">
        <v>7545</v>
      </c>
      <c r="AG2053" t="s">
        <v>48</v>
      </c>
    </row>
    <row r="2054" spans="1:33">
      <c r="A2054" t="s">
        <v>7547</v>
      </c>
      <c r="B2054" t="s">
        <v>7548</v>
      </c>
      <c r="D2054" t="s">
        <v>40</v>
      </c>
      <c r="E2054" t="s">
        <v>41</v>
      </c>
      <c r="J2054" t="s">
        <v>290</v>
      </c>
      <c r="K2054" t="s">
        <v>291</v>
      </c>
      <c r="L2054">
        <v>5</v>
      </c>
      <c r="M2054" t="s">
        <v>7549</v>
      </c>
      <c r="N2054" t="s">
        <v>59</v>
      </c>
      <c r="O2054" t="s">
        <v>47</v>
      </c>
      <c r="P2054" t="s">
        <v>47</v>
      </c>
      <c r="Y2054" t="s">
        <v>7550</v>
      </c>
      <c r="AG2054" t="s">
        <v>48</v>
      </c>
    </row>
    <row r="2055" spans="1:33">
      <c r="A2055" t="s">
        <v>7551</v>
      </c>
      <c r="B2055" t="s">
        <v>7552</v>
      </c>
      <c r="D2055" t="s">
        <v>40</v>
      </c>
      <c r="E2055" t="s">
        <v>41</v>
      </c>
      <c r="J2055" t="s">
        <v>290</v>
      </c>
      <c r="K2055" t="s">
        <v>291</v>
      </c>
      <c r="L2055">
        <v>5</v>
      </c>
      <c r="M2055" t="s">
        <v>7549</v>
      </c>
      <c r="N2055" t="s">
        <v>59</v>
      </c>
      <c r="O2055" t="s">
        <v>47</v>
      </c>
      <c r="P2055" t="s">
        <v>47</v>
      </c>
      <c r="Y2055" t="s">
        <v>7553</v>
      </c>
      <c r="AG2055" t="s">
        <v>48</v>
      </c>
    </row>
    <row r="2056" spans="1:33">
      <c r="A2056" t="s">
        <v>7554</v>
      </c>
      <c r="B2056" t="s">
        <v>7555</v>
      </c>
      <c r="D2056" t="s">
        <v>40</v>
      </c>
      <c r="E2056" t="s">
        <v>41</v>
      </c>
      <c r="J2056" t="s">
        <v>108</v>
      </c>
      <c r="K2056" t="s">
        <v>109</v>
      </c>
      <c r="L2056">
        <v>5</v>
      </c>
      <c r="M2056" t="s">
        <v>7549</v>
      </c>
      <c r="N2056" t="s">
        <v>59</v>
      </c>
      <c r="O2056" t="s">
        <v>47</v>
      </c>
      <c r="P2056" t="s">
        <v>47</v>
      </c>
      <c r="Y2056" t="s">
        <v>7556</v>
      </c>
      <c r="AG2056" t="s">
        <v>48</v>
      </c>
    </row>
    <row r="2057" spans="1:33">
      <c r="A2057" t="s">
        <v>7557</v>
      </c>
      <c r="B2057" t="s">
        <v>7558</v>
      </c>
      <c r="D2057" t="s">
        <v>40</v>
      </c>
      <c r="E2057" t="s">
        <v>41</v>
      </c>
      <c r="J2057" t="s">
        <v>290</v>
      </c>
      <c r="K2057" t="s">
        <v>291</v>
      </c>
      <c r="L2057">
        <v>5</v>
      </c>
      <c r="M2057" t="s">
        <v>7549</v>
      </c>
      <c r="N2057" t="s">
        <v>59</v>
      </c>
      <c r="O2057" t="s">
        <v>47</v>
      </c>
      <c r="P2057" t="s">
        <v>47</v>
      </c>
      <c r="Y2057" t="s">
        <v>7559</v>
      </c>
      <c r="AG2057" t="s">
        <v>48</v>
      </c>
    </row>
    <row r="2058" spans="1:33">
      <c r="A2058" t="s">
        <v>7560</v>
      </c>
      <c r="B2058" t="s">
        <v>7561</v>
      </c>
      <c r="D2058" t="s">
        <v>40</v>
      </c>
      <c r="E2058" t="s">
        <v>41</v>
      </c>
      <c r="H2058" t="s">
        <v>7562</v>
      </c>
      <c r="J2058" t="s">
        <v>63</v>
      </c>
      <c r="K2058" t="s">
        <v>64</v>
      </c>
      <c r="L2058">
        <v>5</v>
      </c>
      <c r="M2058" t="s">
        <v>7563</v>
      </c>
      <c r="N2058" t="s">
        <v>59</v>
      </c>
      <c r="O2058" t="s">
        <v>47</v>
      </c>
      <c r="P2058" t="s">
        <v>47</v>
      </c>
      <c r="Y2058" t="s">
        <v>7562</v>
      </c>
      <c r="AG2058" t="s">
        <v>48</v>
      </c>
    </row>
    <row r="2059" spans="1:33">
      <c r="A2059" t="s">
        <v>7564</v>
      </c>
      <c r="B2059" t="s">
        <v>7565</v>
      </c>
      <c r="D2059" t="s">
        <v>40</v>
      </c>
      <c r="E2059" t="s">
        <v>41</v>
      </c>
      <c r="J2059" t="s">
        <v>129</v>
      </c>
      <c r="K2059" t="s">
        <v>130</v>
      </c>
      <c r="L2059">
        <v>5</v>
      </c>
      <c r="M2059" t="s">
        <v>7566</v>
      </c>
      <c r="N2059" t="s">
        <v>218</v>
      </c>
      <c r="O2059" t="s">
        <v>47</v>
      </c>
      <c r="P2059" t="s">
        <v>47</v>
      </c>
      <c r="Y2059" t="s">
        <v>7567</v>
      </c>
      <c r="AG2059" t="s">
        <v>48</v>
      </c>
    </row>
    <row r="2060" spans="1:33">
      <c r="A2060" t="s">
        <v>7568</v>
      </c>
      <c r="B2060" t="s">
        <v>7569</v>
      </c>
      <c r="D2060" t="s">
        <v>40</v>
      </c>
      <c r="E2060" t="s">
        <v>41</v>
      </c>
      <c r="J2060" t="s">
        <v>270</v>
      </c>
      <c r="K2060" t="s">
        <v>271</v>
      </c>
      <c r="L2060">
        <v>5</v>
      </c>
      <c r="M2060" t="s">
        <v>7566</v>
      </c>
      <c r="N2060" t="s">
        <v>59</v>
      </c>
      <c r="O2060" t="s">
        <v>47</v>
      </c>
      <c r="P2060" t="s">
        <v>47</v>
      </c>
      <c r="Y2060" t="s">
        <v>7570</v>
      </c>
      <c r="AG2060" t="s">
        <v>48</v>
      </c>
    </row>
    <row r="2061" spans="1:33">
      <c r="A2061" t="s">
        <v>7571</v>
      </c>
      <c r="B2061" t="s">
        <v>7572</v>
      </c>
      <c r="D2061" t="s">
        <v>40</v>
      </c>
      <c r="E2061" t="s">
        <v>41</v>
      </c>
      <c r="J2061" t="s">
        <v>162</v>
      </c>
      <c r="K2061" t="s">
        <v>163</v>
      </c>
      <c r="L2061">
        <v>5</v>
      </c>
      <c r="M2061" t="s">
        <v>7573</v>
      </c>
      <c r="N2061" t="s">
        <v>59</v>
      </c>
      <c r="O2061" t="s">
        <v>47</v>
      </c>
      <c r="P2061" t="s">
        <v>47</v>
      </c>
      <c r="Y2061" t="s">
        <v>7574</v>
      </c>
      <c r="AG2061" t="s">
        <v>48</v>
      </c>
    </row>
    <row r="2062" spans="1:33">
      <c r="A2062" t="s">
        <v>7575</v>
      </c>
      <c r="B2062" t="s">
        <v>7576</v>
      </c>
      <c r="D2062" t="s">
        <v>40</v>
      </c>
      <c r="E2062" t="s">
        <v>41</v>
      </c>
      <c r="J2062" t="s">
        <v>108</v>
      </c>
      <c r="K2062" t="s">
        <v>109</v>
      </c>
      <c r="L2062">
        <v>5</v>
      </c>
      <c r="M2062" t="s">
        <v>7577</v>
      </c>
      <c r="N2062" t="s">
        <v>59</v>
      </c>
      <c r="O2062" t="s">
        <v>47</v>
      </c>
      <c r="P2062" t="s">
        <v>47</v>
      </c>
      <c r="Y2062" t="s">
        <v>7578</v>
      </c>
      <c r="AG2062" t="s">
        <v>48</v>
      </c>
    </row>
    <row r="2063" spans="1:33">
      <c r="A2063" t="s">
        <v>7579</v>
      </c>
      <c r="B2063" t="s">
        <v>7580</v>
      </c>
      <c r="D2063" t="s">
        <v>40</v>
      </c>
      <c r="E2063" t="s">
        <v>41</v>
      </c>
      <c r="H2063" t="s">
        <v>7581</v>
      </c>
      <c r="J2063" t="s">
        <v>4737</v>
      </c>
      <c r="K2063" t="s">
        <v>4738</v>
      </c>
      <c r="L2063">
        <v>5</v>
      </c>
      <c r="M2063" t="s">
        <v>7577</v>
      </c>
      <c r="N2063" t="s">
        <v>192</v>
      </c>
      <c r="O2063" t="s">
        <v>47</v>
      </c>
      <c r="P2063" t="s">
        <v>47</v>
      </c>
      <c r="Y2063" t="s">
        <v>7581</v>
      </c>
      <c r="AG2063" t="s">
        <v>48</v>
      </c>
    </row>
    <row r="2064" spans="1:33">
      <c r="A2064" t="s">
        <v>7582</v>
      </c>
      <c r="B2064" t="s">
        <v>7583</v>
      </c>
      <c r="D2064" t="s">
        <v>40</v>
      </c>
      <c r="E2064" t="s">
        <v>41</v>
      </c>
      <c r="J2064" t="s">
        <v>162</v>
      </c>
      <c r="K2064" t="s">
        <v>163</v>
      </c>
      <c r="L2064">
        <v>5</v>
      </c>
      <c r="M2064" t="s">
        <v>7577</v>
      </c>
      <c r="N2064" t="s">
        <v>59</v>
      </c>
      <c r="O2064" t="s">
        <v>47</v>
      </c>
      <c r="P2064" t="s">
        <v>47</v>
      </c>
      <c r="Y2064" t="s">
        <v>7584</v>
      </c>
      <c r="AG2064" t="s">
        <v>48</v>
      </c>
    </row>
    <row r="2065" spans="1:33">
      <c r="A2065" t="s">
        <v>7585</v>
      </c>
      <c r="B2065" t="s">
        <v>7586</v>
      </c>
      <c r="D2065" t="s">
        <v>40</v>
      </c>
      <c r="E2065" t="s">
        <v>41</v>
      </c>
      <c r="J2065" t="s">
        <v>290</v>
      </c>
      <c r="K2065" t="s">
        <v>291</v>
      </c>
      <c r="L2065">
        <v>5</v>
      </c>
      <c r="M2065" t="s">
        <v>7587</v>
      </c>
      <c r="N2065" t="s">
        <v>59</v>
      </c>
      <c r="O2065" t="s">
        <v>47</v>
      </c>
      <c r="P2065" t="s">
        <v>47</v>
      </c>
      <c r="Y2065" t="s">
        <v>7588</v>
      </c>
      <c r="AG2065" t="s">
        <v>48</v>
      </c>
    </row>
    <row r="2066" spans="1:33">
      <c r="A2066" t="s">
        <v>7589</v>
      </c>
      <c r="B2066" t="s">
        <v>7590</v>
      </c>
      <c r="D2066" t="s">
        <v>40</v>
      </c>
      <c r="E2066" t="s">
        <v>41</v>
      </c>
      <c r="J2066" t="s">
        <v>162</v>
      </c>
      <c r="K2066" t="s">
        <v>163</v>
      </c>
      <c r="L2066">
        <v>5</v>
      </c>
      <c r="M2066" t="s">
        <v>7591</v>
      </c>
      <c r="N2066" t="s">
        <v>59</v>
      </c>
      <c r="O2066" t="s">
        <v>47</v>
      </c>
      <c r="P2066" t="s">
        <v>47</v>
      </c>
      <c r="Y2066" t="s">
        <v>7592</v>
      </c>
      <c r="AG2066" t="s">
        <v>48</v>
      </c>
    </row>
    <row r="2067" spans="1:33">
      <c r="A2067" t="s">
        <v>7593</v>
      </c>
      <c r="B2067" t="s">
        <v>7594</v>
      </c>
      <c r="D2067" t="s">
        <v>40</v>
      </c>
      <c r="E2067" t="s">
        <v>41</v>
      </c>
      <c r="J2067" t="s">
        <v>290</v>
      </c>
      <c r="K2067" t="s">
        <v>291</v>
      </c>
      <c r="L2067">
        <v>5</v>
      </c>
      <c r="M2067" t="s">
        <v>7591</v>
      </c>
      <c r="N2067" t="s">
        <v>59</v>
      </c>
      <c r="O2067" t="s">
        <v>47</v>
      </c>
      <c r="P2067" t="s">
        <v>47</v>
      </c>
      <c r="Y2067" t="s">
        <v>7595</v>
      </c>
      <c r="AG2067" t="s">
        <v>48</v>
      </c>
    </row>
    <row r="2068" spans="1:33">
      <c r="A2068" t="s">
        <v>7596</v>
      </c>
      <c r="B2068" t="s">
        <v>7597</v>
      </c>
      <c r="D2068" t="s">
        <v>40</v>
      </c>
      <c r="E2068" t="s">
        <v>41</v>
      </c>
      <c r="J2068" t="s">
        <v>215</v>
      </c>
      <c r="K2068" t="s">
        <v>216</v>
      </c>
      <c r="L2068">
        <v>6</v>
      </c>
      <c r="M2068" t="s">
        <v>7598</v>
      </c>
      <c r="N2068" t="s">
        <v>192</v>
      </c>
      <c r="O2068" t="s">
        <v>47</v>
      </c>
      <c r="P2068" t="s">
        <v>47</v>
      </c>
      <c r="Y2068" t="s">
        <v>7599</v>
      </c>
      <c r="AG2068" t="s">
        <v>48</v>
      </c>
    </row>
    <row r="2069" spans="1:33">
      <c r="A2069" t="s">
        <v>7600</v>
      </c>
      <c r="B2069" t="s">
        <v>7601</v>
      </c>
      <c r="D2069" t="s">
        <v>40</v>
      </c>
      <c r="E2069" t="s">
        <v>41</v>
      </c>
      <c r="J2069" t="s">
        <v>270</v>
      </c>
      <c r="K2069" t="s">
        <v>271</v>
      </c>
      <c r="L2069">
        <v>5</v>
      </c>
      <c r="M2069" t="s">
        <v>7602</v>
      </c>
      <c r="N2069" t="s">
        <v>59</v>
      </c>
      <c r="O2069" t="s">
        <v>47</v>
      </c>
      <c r="P2069" t="s">
        <v>47</v>
      </c>
      <c r="Y2069" t="s">
        <v>7603</v>
      </c>
      <c r="AG2069" t="s">
        <v>48</v>
      </c>
    </row>
    <row r="2070" spans="1:33">
      <c r="A2070" t="s">
        <v>7604</v>
      </c>
      <c r="B2070" t="s">
        <v>7605</v>
      </c>
      <c r="D2070" t="s">
        <v>40</v>
      </c>
      <c r="E2070" t="s">
        <v>41</v>
      </c>
      <c r="J2070" t="s">
        <v>290</v>
      </c>
      <c r="K2070" t="s">
        <v>291</v>
      </c>
      <c r="L2070">
        <v>5</v>
      </c>
      <c r="M2070" t="s">
        <v>7602</v>
      </c>
      <c r="N2070" t="s">
        <v>59</v>
      </c>
      <c r="O2070" t="s">
        <v>47</v>
      </c>
      <c r="P2070" t="s">
        <v>47</v>
      </c>
      <c r="Y2070" t="s">
        <v>7606</v>
      </c>
      <c r="AG2070" t="s">
        <v>48</v>
      </c>
    </row>
    <row r="2071" spans="1:33">
      <c r="A2071" t="s">
        <v>7607</v>
      </c>
      <c r="B2071" t="s">
        <v>7608</v>
      </c>
      <c r="D2071" t="s">
        <v>40</v>
      </c>
      <c r="E2071" t="s">
        <v>41</v>
      </c>
      <c r="J2071" t="s">
        <v>290</v>
      </c>
      <c r="K2071" t="s">
        <v>291</v>
      </c>
      <c r="L2071">
        <v>5</v>
      </c>
      <c r="M2071" t="s">
        <v>7602</v>
      </c>
      <c r="N2071" t="s">
        <v>59</v>
      </c>
      <c r="O2071" t="s">
        <v>47</v>
      </c>
      <c r="P2071" t="s">
        <v>47</v>
      </c>
      <c r="Y2071" t="s">
        <v>7609</v>
      </c>
      <c r="AG2071" t="s">
        <v>48</v>
      </c>
    </row>
    <row r="2072" spans="1:33">
      <c r="A2072" t="s">
        <v>7610</v>
      </c>
      <c r="B2072" t="s">
        <v>7611</v>
      </c>
      <c r="D2072" t="s">
        <v>40</v>
      </c>
      <c r="E2072" t="s">
        <v>41</v>
      </c>
      <c r="J2072" t="s">
        <v>290</v>
      </c>
      <c r="K2072" t="s">
        <v>291</v>
      </c>
      <c r="L2072">
        <v>5</v>
      </c>
      <c r="M2072" t="s">
        <v>7602</v>
      </c>
      <c r="N2072" t="s">
        <v>59</v>
      </c>
      <c r="O2072" t="s">
        <v>47</v>
      </c>
      <c r="P2072" t="s">
        <v>47</v>
      </c>
      <c r="Y2072" t="s">
        <v>7612</v>
      </c>
      <c r="AG2072" t="s">
        <v>48</v>
      </c>
    </row>
    <row r="2073" spans="1:33">
      <c r="A2073" t="s">
        <v>7613</v>
      </c>
      <c r="B2073" t="s">
        <v>7614</v>
      </c>
      <c r="D2073" t="s">
        <v>40</v>
      </c>
      <c r="E2073" t="s">
        <v>41</v>
      </c>
      <c r="H2073" t="s">
        <v>7615</v>
      </c>
      <c r="J2073" t="s">
        <v>123</v>
      </c>
      <c r="K2073" t="s">
        <v>124</v>
      </c>
      <c r="L2073">
        <v>5</v>
      </c>
      <c r="M2073" t="s">
        <v>7616</v>
      </c>
      <c r="N2073" t="s">
        <v>218</v>
      </c>
      <c r="O2073" t="s">
        <v>47</v>
      </c>
      <c r="P2073" t="s">
        <v>47</v>
      </c>
      <c r="Y2073" t="s">
        <v>7615</v>
      </c>
      <c r="AG2073" t="s">
        <v>48</v>
      </c>
    </row>
    <row r="2074" spans="1:33">
      <c r="A2074" t="s">
        <v>117</v>
      </c>
      <c r="B2074" t="s">
        <v>7617</v>
      </c>
      <c r="D2074" t="s">
        <v>40</v>
      </c>
      <c r="E2074" t="s">
        <v>41</v>
      </c>
      <c r="H2074" t="s">
        <v>7618</v>
      </c>
      <c r="J2074" t="s">
        <v>63</v>
      </c>
      <c r="K2074" t="s">
        <v>64</v>
      </c>
      <c r="L2074">
        <v>5</v>
      </c>
      <c r="M2074" t="s">
        <v>7619</v>
      </c>
      <c r="N2074" t="s">
        <v>59</v>
      </c>
      <c r="O2074" t="s">
        <v>47</v>
      </c>
      <c r="P2074" t="s">
        <v>47</v>
      </c>
      <c r="Y2074" t="s">
        <v>7618</v>
      </c>
      <c r="AG2074" t="s">
        <v>48</v>
      </c>
    </row>
    <row r="2075" spans="1:33">
      <c r="A2075" t="s">
        <v>7620</v>
      </c>
      <c r="B2075" t="s">
        <v>7621</v>
      </c>
      <c r="D2075" t="s">
        <v>40</v>
      </c>
      <c r="E2075" t="s">
        <v>41</v>
      </c>
      <c r="J2075" t="s">
        <v>270</v>
      </c>
      <c r="K2075" t="s">
        <v>271</v>
      </c>
      <c r="L2075">
        <v>5</v>
      </c>
      <c r="M2075" t="s">
        <v>7622</v>
      </c>
      <c r="N2075" t="s">
        <v>59</v>
      </c>
      <c r="O2075" t="s">
        <v>47</v>
      </c>
      <c r="P2075" t="s">
        <v>47</v>
      </c>
      <c r="Y2075" t="s">
        <v>7623</v>
      </c>
      <c r="AG2075" t="s">
        <v>48</v>
      </c>
    </row>
    <row r="2076" spans="1:33">
      <c r="A2076" t="s">
        <v>117</v>
      </c>
      <c r="B2076" t="s">
        <v>7624</v>
      </c>
      <c r="D2076" t="s">
        <v>40</v>
      </c>
      <c r="E2076" t="s">
        <v>41</v>
      </c>
      <c r="J2076" t="s">
        <v>129</v>
      </c>
      <c r="K2076" t="s">
        <v>130</v>
      </c>
      <c r="L2076">
        <v>5</v>
      </c>
      <c r="M2076" t="s">
        <v>7625</v>
      </c>
      <c r="N2076" t="s">
        <v>192</v>
      </c>
      <c r="O2076" t="s">
        <v>47</v>
      </c>
      <c r="P2076" t="s">
        <v>47</v>
      </c>
      <c r="Y2076" t="s">
        <v>7626</v>
      </c>
      <c r="AG2076" t="s">
        <v>48</v>
      </c>
    </row>
    <row r="2077" spans="1:33">
      <c r="A2077" t="s">
        <v>7627</v>
      </c>
      <c r="B2077" t="s">
        <v>7628</v>
      </c>
      <c r="D2077" t="s">
        <v>40</v>
      </c>
      <c r="E2077" t="s">
        <v>41</v>
      </c>
      <c r="J2077" t="s">
        <v>270</v>
      </c>
      <c r="K2077" t="s">
        <v>271</v>
      </c>
      <c r="L2077">
        <v>5</v>
      </c>
      <c r="M2077" t="s">
        <v>7625</v>
      </c>
      <c r="N2077" t="s">
        <v>59</v>
      </c>
      <c r="O2077" t="s">
        <v>47</v>
      </c>
      <c r="P2077" t="s">
        <v>47</v>
      </c>
      <c r="Y2077" t="s">
        <v>7629</v>
      </c>
      <c r="AG2077" t="s">
        <v>48</v>
      </c>
    </row>
    <row r="2078" spans="1:33">
      <c r="A2078" t="s">
        <v>7630</v>
      </c>
      <c r="B2078" t="s">
        <v>7631</v>
      </c>
      <c r="D2078" t="s">
        <v>40</v>
      </c>
      <c r="E2078" t="s">
        <v>41</v>
      </c>
      <c r="J2078" t="s">
        <v>270</v>
      </c>
      <c r="K2078" t="s">
        <v>271</v>
      </c>
      <c r="L2078">
        <v>5</v>
      </c>
      <c r="M2078" t="s">
        <v>7625</v>
      </c>
      <c r="N2078" t="s">
        <v>59</v>
      </c>
      <c r="O2078" t="s">
        <v>47</v>
      </c>
      <c r="P2078" t="s">
        <v>47</v>
      </c>
      <c r="Y2078" t="s">
        <v>7632</v>
      </c>
      <c r="AG2078" t="s">
        <v>48</v>
      </c>
    </row>
    <row r="2079" spans="1:33">
      <c r="A2079" t="s">
        <v>7633</v>
      </c>
      <c r="B2079" t="s">
        <v>7634</v>
      </c>
      <c r="D2079" t="s">
        <v>40</v>
      </c>
      <c r="E2079" t="s">
        <v>41</v>
      </c>
      <c r="J2079" t="s">
        <v>129</v>
      </c>
      <c r="K2079" t="s">
        <v>130</v>
      </c>
      <c r="L2079">
        <v>5</v>
      </c>
      <c r="M2079" t="s">
        <v>7635</v>
      </c>
      <c r="N2079" t="s">
        <v>218</v>
      </c>
      <c r="O2079" t="s">
        <v>47</v>
      </c>
      <c r="P2079" t="s">
        <v>47</v>
      </c>
      <c r="Y2079" t="s">
        <v>7636</v>
      </c>
      <c r="AG2079" t="s">
        <v>48</v>
      </c>
    </row>
    <row r="2080" spans="1:33">
      <c r="A2080" t="s">
        <v>7637</v>
      </c>
      <c r="B2080" t="s">
        <v>7638</v>
      </c>
      <c r="D2080" t="s">
        <v>40</v>
      </c>
      <c r="E2080" t="s">
        <v>41</v>
      </c>
      <c r="J2080" t="s">
        <v>290</v>
      </c>
      <c r="K2080" t="s">
        <v>291</v>
      </c>
      <c r="L2080">
        <v>5</v>
      </c>
      <c r="M2080" t="s">
        <v>7639</v>
      </c>
      <c r="N2080" t="s">
        <v>59</v>
      </c>
      <c r="O2080" t="s">
        <v>47</v>
      </c>
      <c r="P2080" t="s">
        <v>47</v>
      </c>
      <c r="Y2080" t="s">
        <v>7640</v>
      </c>
      <c r="AG2080" t="s">
        <v>48</v>
      </c>
    </row>
    <row r="2081" spans="1:33">
      <c r="A2081" t="s">
        <v>7641</v>
      </c>
      <c r="B2081" t="s">
        <v>7642</v>
      </c>
      <c r="D2081" t="s">
        <v>40</v>
      </c>
      <c r="E2081" t="s">
        <v>41</v>
      </c>
      <c r="J2081" t="s">
        <v>290</v>
      </c>
      <c r="K2081" t="s">
        <v>291</v>
      </c>
      <c r="L2081">
        <v>5</v>
      </c>
      <c r="M2081" t="s">
        <v>7643</v>
      </c>
      <c r="N2081" t="s">
        <v>59</v>
      </c>
      <c r="O2081" t="s">
        <v>47</v>
      </c>
      <c r="P2081" t="s">
        <v>47</v>
      </c>
      <c r="Y2081" t="s">
        <v>7644</v>
      </c>
      <c r="AG2081" t="s">
        <v>48</v>
      </c>
    </row>
    <row r="2082" spans="1:33">
      <c r="A2082" t="s">
        <v>117</v>
      </c>
      <c r="B2082" t="s">
        <v>7645</v>
      </c>
      <c r="D2082" t="s">
        <v>40</v>
      </c>
      <c r="E2082" t="s">
        <v>41</v>
      </c>
      <c r="J2082" t="s">
        <v>162</v>
      </c>
      <c r="K2082" t="s">
        <v>163</v>
      </c>
      <c r="L2082">
        <v>5</v>
      </c>
      <c r="M2082" t="s">
        <v>7646</v>
      </c>
      <c r="N2082" t="s">
        <v>59</v>
      </c>
      <c r="O2082" t="s">
        <v>47</v>
      </c>
      <c r="P2082" t="s">
        <v>47</v>
      </c>
      <c r="Y2082" t="s">
        <v>7647</v>
      </c>
      <c r="AG2082" t="s">
        <v>48</v>
      </c>
    </row>
    <row r="2083" spans="1:33">
      <c r="A2083" t="s">
        <v>117</v>
      </c>
      <c r="B2083" t="s">
        <v>7648</v>
      </c>
      <c r="D2083" t="s">
        <v>40</v>
      </c>
      <c r="E2083" t="s">
        <v>41</v>
      </c>
      <c r="J2083" t="s">
        <v>108</v>
      </c>
      <c r="K2083" t="s">
        <v>109</v>
      </c>
      <c r="L2083">
        <v>5</v>
      </c>
      <c r="M2083" t="s">
        <v>7649</v>
      </c>
      <c r="N2083" t="s">
        <v>59</v>
      </c>
      <c r="O2083" t="s">
        <v>47</v>
      </c>
      <c r="P2083" t="s">
        <v>47</v>
      </c>
      <c r="Y2083" t="s">
        <v>7650</v>
      </c>
      <c r="AG2083" t="s">
        <v>48</v>
      </c>
    </row>
    <row r="2084" spans="1:33">
      <c r="A2084" t="s">
        <v>7651</v>
      </c>
      <c r="B2084" t="s">
        <v>7652</v>
      </c>
      <c r="D2084" t="s">
        <v>40</v>
      </c>
      <c r="E2084" t="s">
        <v>41</v>
      </c>
      <c r="J2084" t="s">
        <v>290</v>
      </c>
      <c r="K2084" t="s">
        <v>291</v>
      </c>
      <c r="L2084">
        <v>5</v>
      </c>
      <c r="M2084" t="s">
        <v>7653</v>
      </c>
      <c r="N2084" t="s">
        <v>59</v>
      </c>
      <c r="O2084" t="s">
        <v>47</v>
      </c>
      <c r="P2084" t="s">
        <v>47</v>
      </c>
      <c r="Y2084" t="s">
        <v>7654</v>
      </c>
      <c r="AG2084" t="s">
        <v>48</v>
      </c>
    </row>
    <row r="2085" spans="1:33">
      <c r="A2085" t="s">
        <v>7655</v>
      </c>
      <c r="B2085" t="s">
        <v>7656</v>
      </c>
      <c r="D2085" t="s">
        <v>40</v>
      </c>
      <c r="E2085" t="s">
        <v>41</v>
      </c>
      <c r="J2085" t="s">
        <v>162</v>
      </c>
      <c r="K2085" t="s">
        <v>163</v>
      </c>
      <c r="L2085">
        <v>5</v>
      </c>
      <c r="M2085" t="s">
        <v>7657</v>
      </c>
      <c r="N2085" t="s">
        <v>59</v>
      </c>
      <c r="O2085" t="s">
        <v>47</v>
      </c>
      <c r="P2085" t="s">
        <v>47</v>
      </c>
      <c r="Y2085" t="s">
        <v>7658</v>
      </c>
      <c r="AG2085" t="s">
        <v>48</v>
      </c>
    </row>
    <row r="2086" spans="1:33">
      <c r="A2086" t="s">
        <v>7659</v>
      </c>
      <c r="B2086" t="s">
        <v>7660</v>
      </c>
      <c r="D2086" t="s">
        <v>40</v>
      </c>
      <c r="E2086" t="s">
        <v>41</v>
      </c>
      <c r="J2086" t="s">
        <v>162</v>
      </c>
      <c r="K2086" t="s">
        <v>163</v>
      </c>
      <c r="L2086">
        <v>5</v>
      </c>
      <c r="M2086" t="s">
        <v>7661</v>
      </c>
      <c r="N2086" t="s">
        <v>59</v>
      </c>
      <c r="O2086" t="s">
        <v>47</v>
      </c>
      <c r="P2086" t="s">
        <v>47</v>
      </c>
      <c r="Y2086" t="s">
        <v>7662</v>
      </c>
      <c r="AG2086" t="s">
        <v>48</v>
      </c>
    </row>
    <row r="2087" spans="1:33">
      <c r="A2087" t="s">
        <v>7663</v>
      </c>
      <c r="B2087" t="s">
        <v>7664</v>
      </c>
      <c r="D2087" t="s">
        <v>40</v>
      </c>
      <c r="E2087" t="s">
        <v>41</v>
      </c>
      <c r="J2087" t="s">
        <v>108</v>
      </c>
      <c r="K2087" t="s">
        <v>109</v>
      </c>
      <c r="L2087">
        <v>5</v>
      </c>
      <c r="M2087" t="s">
        <v>7661</v>
      </c>
      <c r="N2087" t="s">
        <v>59</v>
      </c>
      <c r="O2087" t="s">
        <v>47</v>
      </c>
      <c r="P2087" t="s">
        <v>47</v>
      </c>
      <c r="Y2087" t="s">
        <v>7665</v>
      </c>
      <c r="AG2087" t="s">
        <v>48</v>
      </c>
    </row>
    <row r="2088" spans="1:33">
      <c r="A2088" t="s">
        <v>7666</v>
      </c>
      <c r="B2088" t="s">
        <v>7667</v>
      </c>
      <c r="D2088" t="s">
        <v>40</v>
      </c>
      <c r="E2088" t="s">
        <v>41</v>
      </c>
      <c r="J2088" t="s">
        <v>290</v>
      </c>
      <c r="K2088" t="s">
        <v>291</v>
      </c>
      <c r="L2088">
        <v>5</v>
      </c>
      <c r="M2088" t="s">
        <v>7661</v>
      </c>
      <c r="N2088" t="s">
        <v>59</v>
      </c>
      <c r="O2088" t="s">
        <v>47</v>
      </c>
      <c r="P2088" t="s">
        <v>47</v>
      </c>
      <c r="Y2088" t="s">
        <v>7668</v>
      </c>
      <c r="AG2088" t="s">
        <v>48</v>
      </c>
    </row>
    <row r="2089" spans="1:33">
      <c r="A2089" t="s">
        <v>7669</v>
      </c>
      <c r="B2089" t="s">
        <v>7670</v>
      </c>
      <c r="D2089" t="s">
        <v>40</v>
      </c>
      <c r="E2089" t="s">
        <v>41</v>
      </c>
      <c r="J2089" t="s">
        <v>114</v>
      </c>
      <c r="K2089" t="s">
        <v>115</v>
      </c>
      <c r="L2089">
        <v>5</v>
      </c>
      <c r="M2089" t="s">
        <v>7671</v>
      </c>
      <c r="N2089" t="s">
        <v>59</v>
      </c>
      <c r="O2089" t="s">
        <v>47</v>
      </c>
      <c r="P2089" t="s">
        <v>47</v>
      </c>
      <c r="Y2089" t="s">
        <v>7672</v>
      </c>
      <c r="AG2089" t="s">
        <v>48</v>
      </c>
    </row>
    <row r="2090" spans="1:33">
      <c r="A2090" t="s">
        <v>7673</v>
      </c>
      <c r="B2090" t="s">
        <v>7674</v>
      </c>
      <c r="D2090" t="s">
        <v>40</v>
      </c>
      <c r="E2090" t="s">
        <v>41</v>
      </c>
      <c r="J2090" t="s">
        <v>129</v>
      </c>
      <c r="K2090" t="s">
        <v>130</v>
      </c>
      <c r="L2090">
        <v>5</v>
      </c>
      <c r="M2090" t="s">
        <v>7671</v>
      </c>
      <c r="N2090" t="s">
        <v>218</v>
      </c>
      <c r="O2090" t="s">
        <v>47</v>
      </c>
      <c r="P2090" t="s">
        <v>47</v>
      </c>
      <c r="Y2090" t="s">
        <v>7675</v>
      </c>
      <c r="AG2090" t="s">
        <v>48</v>
      </c>
    </row>
    <row r="2091" spans="1:33">
      <c r="A2091" t="s">
        <v>7676</v>
      </c>
      <c r="B2091" t="s">
        <v>7677</v>
      </c>
      <c r="D2091" t="s">
        <v>40</v>
      </c>
      <c r="E2091" t="s">
        <v>41</v>
      </c>
      <c r="J2091" t="s">
        <v>290</v>
      </c>
      <c r="K2091" t="s">
        <v>291</v>
      </c>
      <c r="L2091">
        <v>5</v>
      </c>
      <c r="M2091" t="s">
        <v>7671</v>
      </c>
      <c r="N2091" t="s">
        <v>59</v>
      </c>
      <c r="O2091" t="s">
        <v>47</v>
      </c>
      <c r="P2091" t="s">
        <v>47</v>
      </c>
      <c r="Y2091" t="s">
        <v>7678</v>
      </c>
      <c r="AG2091" t="s">
        <v>48</v>
      </c>
    </row>
    <row r="2092" spans="1:33">
      <c r="A2092" t="s">
        <v>7679</v>
      </c>
      <c r="B2092" t="s">
        <v>7680</v>
      </c>
      <c r="D2092" t="s">
        <v>40</v>
      </c>
      <c r="E2092" t="s">
        <v>41</v>
      </c>
      <c r="H2092" t="s">
        <v>7681</v>
      </c>
      <c r="J2092" t="s">
        <v>63</v>
      </c>
      <c r="K2092" t="s">
        <v>64</v>
      </c>
      <c r="L2092">
        <v>5</v>
      </c>
      <c r="M2092" t="s">
        <v>7682</v>
      </c>
      <c r="N2092" t="s">
        <v>59</v>
      </c>
      <c r="O2092" t="s">
        <v>47</v>
      </c>
      <c r="P2092" t="s">
        <v>47</v>
      </c>
      <c r="Y2092" t="s">
        <v>7681</v>
      </c>
      <c r="AG2092" t="s">
        <v>48</v>
      </c>
    </row>
    <row r="2093" spans="1:33">
      <c r="A2093" t="s">
        <v>7683</v>
      </c>
      <c r="B2093" t="s">
        <v>7684</v>
      </c>
      <c r="D2093" t="s">
        <v>40</v>
      </c>
      <c r="E2093" t="s">
        <v>41</v>
      </c>
      <c r="H2093" t="s">
        <v>7685</v>
      </c>
      <c r="J2093" t="s">
        <v>63</v>
      </c>
      <c r="K2093" t="s">
        <v>64</v>
      </c>
      <c r="L2093">
        <v>5</v>
      </c>
      <c r="M2093" t="s">
        <v>7686</v>
      </c>
      <c r="N2093" t="s">
        <v>59</v>
      </c>
      <c r="O2093" t="s">
        <v>47</v>
      </c>
      <c r="P2093" t="s">
        <v>47</v>
      </c>
      <c r="Y2093" t="s">
        <v>7685</v>
      </c>
      <c r="AG2093" t="s">
        <v>48</v>
      </c>
    </row>
    <row r="2094" spans="1:33">
      <c r="A2094" t="s">
        <v>7687</v>
      </c>
      <c r="B2094" t="s">
        <v>7688</v>
      </c>
      <c r="D2094" t="s">
        <v>40</v>
      </c>
      <c r="E2094" t="s">
        <v>41</v>
      </c>
      <c r="J2094" t="s">
        <v>290</v>
      </c>
      <c r="K2094" t="s">
        <v>291</v>
      </c>
      <c r="L2094">
        <v>5</v>
      </c>
      <c r="M2094" t="s">
        <v>7689</v>
      </c>
      <c r="N2094" t="s">
        <v>59</v>
      </c>
      <c r="O2094" t="s">
        <v>47</v>
      </c>
      <c r="P2094" t="s">
        <v>47</v>
      </c>
      <c r="Y2094" t="s">
        <v>7690</v>
      </c>
      <c r="AG2094" t="s">
        <v>48</v>
      </c>
    </row>
    <row r="2095" spans="1:33">
      <c r="A2095" t="s">
        <v>7691</v>
      </c>
      <c r="B2095" t="s">
        <v>7692</v>
      </c>
      <c r="D2095" t="s">
        <v>40</v>
      </c>
      <c r="E2095" t="s">
        <v>41</v>
      </c>
      <c r="J2095" t="s">
        <v>86</v>
      </c>
      <c r="K2095" t="s">
        <v>87</v>
      </c>
      <c r="L2095">
        <v>5</v>
      </c>
      <c r="M2095" t="s">
        <v>7689</v>
      </c>
      <c r="N2095" t="s">
        <v>192</v>
      </c>
      <c r="O2095" t="s">
        <v>47</v>
      </c>
      <c r="P2095" t="s">
        <v>47</v>
      </c>
      <c r="Y2095" t="s">
        <v>7693</v>
      </c>
      <c r="AG2095" t="s">
        <v>48</v>
      </c>
    </row>
    <row r="2096" spans="1:33">
      <c r="A2096" t="s">
        <v>7694</v>
      </c>
      <c r="B2096" t="s">
        <v>7695</v>
      </c>
      <c r="D2096" t="s">
        <v>40</v>
      </c>
      <c r="E2096" t="s">
        <v>41</v>
      </c>
      <c r="H2096" t="s">
        <v>7696</v>
      </c>
      <c r="J2096" t="s">
        <v>63</v>
      </c>
      <c r="K2096" t="s">
        <v>64</v>
      </c>
      <c r="L2096">
        <v>5</v>
      </c>
      <c r="M2096" t="s">
        <v>7697</v>
      </c>
      <c r="N2096" t="s">
        <v>59</v>
      </c>
      <c r="O2096" t="s">
        <v>47</v>
      </c>
      <c r="P2096" t="s">
        <v>47</v>
      </c>
      <c r="Y2096" t="s">
        <v>7696</v>
      </c>
      <c r="AG2096" t="s">
        <v>48</v>
      </c>
    </row>
    <row r="2097" spans="1:33">
      <c r="A2097" t="s">
        <v>7698</v>
      </c>
      <c r="B2097" t="s">
        <v>7699</v>
      </c>
      <c r="D2097" t="s">
        <v>40</v>
      </c>
      <c r="E2097" t="s">
        <v>41</v>
      </c>
      <c r="J2097" t="s">
        <v>162</v>
      </c>
      <c r="K2097" t="s">
        <v>163</v>
      </c>
      <c r="L2097">
        <v>5</v>
      </c>
      <c r="M2097" t="s">
        <v>7700</v>
      </c>
      <c r="N2097" t="s">
        <v>59</v>
      </c>
      <c r="O2097" t="s">
        <v>47</v>
      </c>
      <c r="P2097" t="s">
        <v>47</v>
      </c>
      <c r="Y2097" t="s">
        <v>7701</v>
      </c>
      <c r="AG2097" t="s">
        <v>48</v>
      </c>
    </row>
    <row r="2098" spans="1:33">
      <c r="A2098" t="s">
        <v>7702</v>
      </c>
      <c r="B2098" t="s">
        <v>7703</v>
      </c>
      <c r="D2098" t="s">
        <v>40</v>
      </c>
      <c r="E2098" t="s">
        <v>41</v>
      </c>
      <c r="J2098" t="s">
        <v>290</v>
      </c>
      <c r="K2098" t="s">
        <v>291</v>
      </c>
      <c r="L2098">
        <v>5</v>
      </c>
      <c r="M2098" t="s">
        <v>7700</v>
      </c>
      <c r="N2098" t="s">
        <v>59</v>
      </c>
      <c r="O2098" t="s">
        <v>47</v>
      </c>
      <c r="P2098" t="s">
        <v>47</v>
      </c>
      <c r="Y2098" t="s">
        <v>7704</v>
      </c>
      <c r="AG2098" t="s">
        <v>48</v>
      </c>
    </row>
    <row r="2099" spans="1:33">
      <c r="A2099" t="s">
        <v>7705</v>
      </c>
      <c r="B2099" t="s">
        <v>7706</v>
      </c>
      <c r="D2099" t="s">
        <v>40</v>
      </c>
      <c r="E2099" t="s">
        <v>41</v>
      </c>
      <c r="J2099" t="s">
        <v>129</v>
      </c>
      <c r="K2099" t="s">
        <v>130</v>
      </c>
      <c r="L2099">
        <v>5</v>
      </c>
      <c r="M2099" t="s">
        <v>7707</v>
      </c>
      <c r="N2099" t="s">
        <v>218</v>
      </c>
      <c r="O2099" t="s">
        <v>47</v>
      </c>
      <c r="P2099" t="s">
        <v>47</v>
      </c>
      <c r="Y2099" t="s">
        <v>7708</v>
      </c>
      <c r="AG2099" t="s">
        <v>48</v>
      </c>
    </row>
    <row r="2100" spans="1:33">
      <c r="A2100" t="s">
        <v>7709</v>
      </c>
      <c r="B2100" t="s">
        <v>7710</v>
      </c>
      <c r="D2100" t="s">
        <v>40</v>
      </c>
      <c r="E2100" t="s">
        <v>41</v>
      </c>
      <c r="J2100" t="s">
        <v>290</v>
      </c>
      <c r="K2100" t="s">
        <v>291</v>
      </c>
      <c r="L2100">
        <v>5</v>
      </c>
      <c r="M2100" t="s">
        <v>7711</v>
      </c>
      <c r="N2100" t="s">
        <v>59</v>
      </c>
      <c r="O2100" t="s">
        <v>47</v>
      </c>
      <c r="P2100" t="s">
        <v>47</v>
      </c>
      <c r="Y2100" t="s">
        <v>7712</v>
      </c>
      <c r="AG2100" t="s">
        <v>48</v>
      </c>
    </row>
    <row r="2101" spans="1:33">
      <c r="A2101" t="s">
        <v>7713</v>
      </c>
      <c r="B2101" t="s">
        <v>7714</v>
      </c>
      <c r="D2101" t="s">
        <v>40</v>
      </c>
      <c r="E2101" t="s">
        <v>41</v>
      </c>
      <c r="J2101" t="s">
        <v>114</v>
      </c>
      <c r="K2101" t="s">
        <v>115</v>
      </c>
      <c r="L2101">
        <v>5</v>
      </c>
      <c r="M2101" t="s">
        <v>7711</v>
      </c>
      <c r="N2101" t="s">
        <v>59</v>
      </c>
      <c r="O2101" t="s">
        <v>47</v>
      </c>
      <c r="P2101" t="s">
        <v>47</v>
      </c>
      <c r="Y2101" t="s">
        <v>7715</v>
      </c>
      <c r="AG2101" t="s">
        <v>48</v>
      </c>
    </row>
    <row r="2102" spans="1:33">
      <c r="A2102" t="s">
        <v>117</v>
      </c>
      <c r="B2102" t="s">
        <v>7716</v>
      </c>
      <c r="D2102" t="s">
        <v>40</v>
      </c>
      <c r="E2102" t="s">
        <v>41</v>
      </c>
      <c r="H2102" t="s">
        <v>7717</v>
      </c>
      <c r="J2102" t="s">
        <v>63</v>
      </c>
      <c r="K2102" t="s">
        <v>64</v>
      </c>
      <c r="L2102">
        <v>5</v>
      </c>
      <c r="M2102" t="s">
        <v>7718</v>
      </c>
      <c r="N2102" t="s">
        <v>59</v>
      </c>
      <c r="O2102" t="s">
        <v>47</v>
      </c>
      <c r="P2102" t="s">
        <v>47</v>
      </c>
      <c r="Y2102" t="s">
        <v>7717</v>
      </c>
      <c r="AG2102" t="s">
        <v>48</v>
      </c>
    </row>
    <row r="2103" spans="1:33">
      <c r="A2103" t="s">
        <v>7719</v>
      </c>
      <c r="B2103" t="s">
        <v>7720</v>
      </c>
      <c r="D2103" t="s">
        <v>40</v>
      </c>
      <c r="E2103" t="s">
        <v>41</v>
      </c>
      <c r="H2103" t="s">
        <v>7721</v>
      </c>
      <c r="J2103" t="s">
        <v>270</v>
      </c>
      <c r="K2103" t="s">
        <v>271</v>
      </c>
      <c r="L2103">
        <v>5</v>
      </c>
      <c r="M2103" t="s">
        <v>7722</v>
      </c>
      <c r="N2103" t="s">
        <v>59</v>
      </c>
      <c r="O2103" t="s">
        <v>47</v>
      </c>
      <c r="P2103" t="s">
        <v>47</v>
      </c>
      <c r="Y2103" t="s">
        <v>7721</v>
      </c>
      <c r="AG2103" t="s">
        <v>48</v>
      </c>
    </row>
    <row r="2104" spans="1:33">
      <c r="A2104" t="s">
        <v>7723</v>
      </c>
      <c r="B2104" t="s">
        <v>7724</v>
      </c>
      <c r="D2104" t="s">
        <v>40</v>
      </c>
      <c r="E2104" t="s">
        <v>41</v>
      </c>
      <c r="J2104" t="s">
        <v>108</v>
      </c>
      <c r="K2104" t="s">
        <v>109</v>
      </c>
      <c r="L2104">
        <v>5</v>
      </c>
      <c r="M2104" t="s">
        <v>7722</v>
      </c>
      <c r="N2104" t="s">
        <v>59</v>
      </c>
      <c r="O2104" t="s">
        <v>47</v>
      </c>
      <c r="P2104" t="s">
        <v>47</v>
      </c>
      <c r="Y2104" t="s">
        <v>7725</v>
      </c>
      <c r="AG2104" t="s">
        <v>48</v>
      </c>
    </row>
    <row r="2105" spans="1:33">
      <c r="A2105" t="s">
        <v>7726</v>
      </c>
      <c r="B2105" t="s">
        <v>7727</v>
      </c>
      <c r="D2105" t="s">
        <v>40</v>
      </c>
      <c r="E2105" t="s">
        <v>41</v>
      </c>
      <c r="J2105" t="s">
        <v>290</v>
      </c>
      <c r="K2105" t="s">
        <v>291</v>
      </c>
      <c r="L2105">
        <v>5</v>
      </c>
      <c r="M2105" t="s">
        <v>7722</v>
      </c>
      <c r="N2105" t="s">
        <v>59</v>
      </c>
      <c r="O2105" t="s">
        <v>47</v>
      </c>
      <c r="P2105" t="s">
        <v>47</v>
      </c>
      <c r="Y2105" t="s">
        <v>7728</v>
      </c>
      <c r="AG2105" t="s">
        <v>48</v>
      </c>
    </row>
    <row r="2106" spans="1:33">
      <c r="A2106" t="s">
        <v>7729</v>
      </c>
      <c r="B2106" t="s">
        <v>7730</v>
      </c>
      <c r="D2106" t="s">
        <v>40</v>
      </c>
      <c r="E2106" t="s">
        <v>41</v>
      </c>
      <c r="J2106" t="s">
        <v>129</v>
      </c>
      <c r="K2106" t="s">
        <v>130</v>
      </c>
      <c r="L2106">
        <v>5</v>
      </c>
      <c r="M2106" t="s">
        <v>7722</v>
      </c>
      <c r="N2106" t="s">
        <v>218</v>
      </c>
      <c r="O2106" t="s">
        <v>47</v>
      </c>
      <c r="P2106" t="s">
        <v>47</v>
      </c>
      <c r="Y2106" t="s">
        <v>7731</v>
      </c>
      <c r="AG2106" t="s">
        <v>48</v>
      </c>
    </row>
    <row r="2107" spans="1:33">
      <c r="A2107" t="s">
        <v>7732</v>
      </c>
      <c r="B2107" t="s">
        <v>7733</v>
      </c>
      <c r="D2107" t="s">
        <v>40</v>
      </c>
      <c r="E2107" t="s">
        <v>41</v>
      </c>
      <c r="J2107" t="s">
        <v>290</v>
      </c>
      <c r="K2107" t="s">
        <v>291</v>
      </c>
      <c r="L2107">
        <v>5</v>
      </c>
      <c r="M2107" t="s">
        <v>7734</v>
      </c>
      <c r="N2107" t="s">
        <v>59</v>
      </c>
      <c r="O2107" t="s">
        <v>47</v>
      </c>
      <c r="P2107" t="s">
        <v>47</v>
      </c>
      <c r="Y2107" t="s">
        <v>7735</v>
      </c>
      <c r="AG2107" t="s">
        <v>48</v>
      </c>
    </row>
    <row r="2108" spans="1:33">
      <c r="A2108" t="s">
        <v>7736</v>
      </c>
      <c r="B2108" t="s">
        <v>7737</v>
      </c>
      <c r="D2108" t="s">
        <v>40</v>
      </c>
      <c r="E2108" t="s">
        <v>41</v>
      </c>
      <c r="J2108" t="s">
        <v>270</v>
      </c>
      <c r="K2108" t="s">
        <v>271</v>
      </c>
      <c r="L2108">
        <v>5</v>
      </c>
      <c r="M2108" t="s">
        <v>7734</v>
      </c>
      <c r="N2108" t="s">
        <v>59</v>
      </c>
      <c r="O2108" t="s">
        <v>47</v>
      </c>
      <c r="P2108" t="s">
        <v>47</v>
      </c>
      <c r="Y2108" t="s">
        <v>7738</v>
      </c>
      <c r="AG2108" t="s">
        <v>48</v>
      </c>
    </row>
    <row r="2109" spans="1:33">
      <c r="A2109" t="s">
        <v>7739</v>
      </c>
      <c r="B2109" t="s">
        <v>7740</v>
      </c>
      <c r="D2109" t="s">
        <v>40</v>
      </c>
      <c r="E2109" t="s">
        <v>41</v>
      </c>
      <c r="J2109" t="s">
        <v>129</v>
      </c>
      <c r="K2109" t="s">
        <v>130</v>
      </c>
      <c r="L2109">
        <v>5</v>
      </c>
      <c r="M2109" t="s">
        <v>7734</v>
      </c>
      <c r="N2109" t="s">
        <v>192</v>
      </c>
      <c r="O2109" t="s">
        <v>47</v>
      </c>
      <c r="P2109" t="s">
        <v>47</v>
      </c>
      <c r="Y2109" t="s">
        <v>7741</v>
      </c>
      <c r="AG2109" t="s">
        <v>48</v>
      </c>
    </row>
    <row r="2110" spans="1:33">
      <c r="A2110" t="s">
        <v>7742</v>
      </c>
      <c r="B2110" t="s">
        <v>7743</v>
      </c>
      <c r="D2110" t="s">
        <v>40</v>
      </c>
      <c r="E2110" t="s">
        <v>41</v>
      </c>
      <c r="J2110" t="s">
        <v>290</v>
      </c>
      <c r="K2110" t="s">
        <v>291</v>
      </c>
      <c r="L2110">
        <v>5</v>
      </c>
      <c r="M2110" t="s">
        <v>7734</v>
      </c>
      <c r="N2110" t="s">
        <v>59</v>
      </c>
      <c r="O2110" t="s">
        <v>47</v>
      </c>
      <c r="P2110" t="s">
        <v>47</v>
      </c>
      <c r="Y2110" t="s">
        <v>7744</v>
      </c>
      <c r="AG2110" t="s">
        <v>48</v>
      </c>
    </row>
    <row r="2111" spans="1:33">
      <c r="A2111" t="s">
        <v>117</v>
      </c>
      <c r="B2111" t="s">
        <v>7745</v>
      </c>
      <c r="D2111" t="s">
        <v>40</v>
      </c>
      <c r="E2111" t="s">
        <v>41</v>
      </c>
      <c r="H2111" t="s">
        <v>7746</v>
      </c>
      <c r="J2111" t="s">
        <v>43</v>
      </c>
      <c r="K2111" t="s">
        <v>44</v>
      </c>
      <c r="L2111">
        <v>5</v>
      </c>
      <c r="M2111" t="s">
        <v>7747</v>
      </c>
      <c r="N2111" t="s">
        <v>192</v>
      </c>
      <c r="O2111" t="s">
        <v>47</v>
      </c>
      <c r="P2111" t="s">
        <v>47</v>
      </c>
      <c r="Y2111" t="s">
        <v>7746</v>
      </c>
      <c r="AG2111" t="s">
        <v>48</v>
      </c>
    </row>
    <row r="2112" spans="1:33">
      <c r="A2112" t="s">
        <v>7748</v>
      </c>
      <c r="B2112" t="s">
        <v>7749</v>
      </c>
      <c r="D2112" t="s">
        <v>40</v>
      </c>
      <c r="E2112" t="s">
        <v>41</v>
      </c>
      <c r="J2112" t="s">
        <v>290</v>
      </c>
      <c r="K2112" t="s">
        <v>291</v>
      </c>
      <c r="L2112">
        <v>5</v>
      </c>
      <c r="M2112" t="s">
        <v>7750</v>
      </c>
      <c r="N2112" t="s">
        <v>59</v>
      </c>
      <c r="O2112" t="s">
        <v>47</v>
      </c>
      <c r="P2112" t="s">
        <v>47</v>
      </c>
      <c r="Y2112" t="s">
        <v>7751</v>
      </c>
      <c r="AG2112" t="s">
        <v>48</v>
      </c>
    </row>
    <row r="2113" spans="1:33">
      <c r="A2113" t="s">
        <v>7752</v>
      </c>
      <c r="B2113" t="s">
        <v>7753</v>
      </c>
      <c r="D2113" t="s">
        <v>40</v>
      </c>
      <c r="E2113" t="s">
        <v>41</v>
      </c>
      <c r="J2113" t="s">
        <v>270</v>
      </c>
      <c r="K2113" t="s">
        <v>271</v>
      </c>
      <c r="L2113">
        <v>5</v>
      </c>
      <c r="M2113" t="s">
        <v>7754</v>
      </c>
      <c r="N2113" t="s">
        <v>59</v>
      </c>
      <c r="O2113" t="s">
        <v>47</v>
      </c>
      <c r="P2113" t="s">
        <v>47</v>
      </c>
      <c r="Y2113" t="s">
        <v>7755</v>
      </c>
      <c r="AG2113" t="s">
        <v>48</v>
      </c>
    </row>
    <row r="2114" spans="1:33">
      <c r="A2114" t="s">
        <v>7756</v>
      </c>
      <c r="B2114" t="s">
        <v>7757</v>
      </c>
      <c r="D2114" t="s">
        <v>40</v>
      </c>
      <c r="E2114" t="s">
        <v>41</v>
      </c>
      <c r="J2114" t="s">
        <v>2439</v>
      </c>
      <c r="K2114" t="s">
        <v>2440</v>
      </c>
      <c r="L2114">
        <v>5</v>
      </c>
      <c r="M2114" t="s">
        <v>7758</v>
      </c>
      <c r="N2114" t="s">
        <v>59</v>
      </c>
      <c r="O2114" t="s">
        <v>47</v>
      </c>
      <c r="P2114" t="s">
        <v>47</v>
      </c>
      <c r="Y2114" t="s">
        <v>7759</v>
      </c>
      <c r="AG2114" t="s">
        <v>48</v>
      </c>
    </row>
    <row r="2115" spans="1:33">
      <c r="A2115" t="s">
        <v>7760</v>
      </c>
      <c r="B2115" t="s">
        <v>7761</v>
      </c>
      <c r="D2115" t="s">
        <v>40</v>
      </c>
      <c r="E2115" t="s">
        <v>41</v>
      </c>
      <c r="J2115" t="s">
        <v>123</v>
      </c>
      <c r="K2115" t="s">
        <v>124</v>
      </c>
      <c r="L2115">
        <v>5</v>
      </c>
      <c r="M2115" t="s">
        <v>7758</v>
      </c>
      <c r="N2115" t="s">
        <v>218</v>
      </c>
      <c r="O2115" t="s">
        <v>47</v>
      </c>
      <c r="P2115" t="s">
        <v>47</v>
      </c>
      <c r="Y2115" t="s">
        <v>7762</v>
      </c>
      <c r="AG2115" t="s">
        <v>48</v>
      </c>
    </row>
    <row r="2116" spans="1:33">
      <c r="A2116" t="s">
        <v>7763</v>
      </c>
      <c r="B2116" t="s">
        <v>7764</v>
      </c>
      <c r="D2116" t="s">
        <v>40</v>
      </c>
      <c r="E2116" t="s">
        <v>41</v>
      </c>
      <c r="J2116" t="s">
        <v>114</v>
      </c>
      <c r="K2116" t="s">
        <v>115</v>
      </c>
      <c r="L2116">
        <v>5</v>
      </c>
      <c r="M2116" t="s">
        <v>7765</v>
      </c>
      <c r="N2116" t="s">
        <v>59</v>
      </c>
      <c r="O2116" t="s">
        <v>47</v>
      </c>
      <c r="P2116" t="s">
        <v>47</v>
      </c>
      <c r="Y2116" t="s">
        <v>7766</v>
      </c>
      <c r="AG2116" t="s">
        <v>48</v>
      </c>
    </row>
    <row r="2117" spans="1:33">
      <c r="A2117" t="s">
        <v>7767</v>
      </c>
      <c r="B2117" t="s">
        <v>7768</v>
      </c>
      <c r="D2117" t="s">
        <v>40</v>
      </c>
      <c r="E2117" t="s">
        <v>41</v>
      </c>
      <c r="J2117" t="s">
        <v>114</v>
      </c>
      <c r="K2117" t="s">
        <v>115</v>
      </c>
      <c r="L2117">
        <v>5</v>
      </c>
      <c r="M2117" t="s">
        <v>7769</v>
      </c>
      <c r="N2117" t="s">
        <v>59</v>
      </c>
      <c r="O2117" t="s">
        <v>47</v>
      </c>
      <c r="P2117" t="s">
        <v>47</v>
      </c>
      <c r="Y2117" t="s">
        <v>7770</v>
      </c>
      <c r="AG2117" t="s">
        <v>48</v>
      </c>
    </row>
    <row r="2118" spans="1:33">
      <c r="A2118" t="s">
        <v>7771</v>
      </c>
      <c r="B2118" t="s">
        <v>7772</v>
      </c>
      <c r="D2118" t="s">
        <v>40</v>
      </c>
      <c r="E2118" t="s">
        <v>41</v>
      </c>
      <c r="J2118" t="s">
        <v>290</v>
      </c>
      <c r="K2118" t="s">
        <v>291</v>
      </c>
      <c r="L2118">
        <v>5</v>
      </c>
      <c r="M2118" t="s">
        <v>7773</v>
      </c>
      <c r="N2118" t="s">
        <v>59</v>
      </c>
      <c r="O2118" t="s">
        <v>47</v>
      </c>
      <c r="P2118" t="s">
        <v>47</v>
      </c>
      <c r="Y2118" t="s">
        <v>7774</v>
      </c>
      <c r="AG2118" t="s">
        <v>48</v>
      </c>
    </row>
    <row r="2119" spans="1:33">
      <c r="A2119" t="s">
        <v>7775</v>
      </c>
      <c r="B2119" t="s">
        <v>7776</v>
      </c>
      <c r="D2119" t="s">
        <v>40</v>
      </c>
      <c r="E2119" t="s">
        <v>41</v>
      </c>
      <c r="J2119" t="s">
        <v>290</v>
      </c>
      <c r="K2119" t="s">
        <v>291</v>
      </c>
      <c r="L2119">
        <v>5</v>
      </c>
      <c r="M2119" t="s">
        <v>7777</v>
      </c>
      <c r="N2119" t="s">
        <v>59</v>
      </c>
      <c r="O2119" t="s">
        <v>47</v>
      </c>
      <c r="P2119" t="s">
        <v>47</v>
      </c>
      <c r="Y2119" t="s">
        <v>7778</v>
      </c>
      <c r="AG2119" t="s">
        <v>48</v>
      </c>
    </row>
    <row r="2120" spans="1:33">
      <c r="A2120" t="s">
        <v>7779</v>
      </c>
      <c r="B2120" t="s">
        <v>7780</v>
      </c>
      <c r="D2120" t="s">
        <v>40</v>
      </c>
      <c r="E2120" t="s">
        <v>41</v>
      </c>
      <c r="H2120" t="s">
        <v>7781</v>
      </c>
      <c r="J2120" t="s">
        <v>63</v>
      </c>
      <c r="K2120" t="s">
        <v>64</v>
      </c>
      <c r="L2120">
        <v>5</v>
      </c>
      <c r="M2120" t="s">
        <v>7782</v>
      </c>
      <c r="N2120" t="s">
        <v>59</v>
      </c>
      <c r="O2120" t="s">
        <v>47</v>
      </c>
      <c r="P2120" t="s">
        <v>47</v>
      </c>
      <c r="Y2120" t="s">
        <v>7781</v>
      </c>
      <c r="AG2120" t="s">
        <v>48</v>
      </c>
    </row>
    <row r="2121" spans="1:33">
      <c r="A2121" t="s">
        <v>117</v>
      </c>
      <c r="B2121" t="s">
        <v>7783</v>
      </c>
      <c r="D2121" t="s">
        <v>40</v>
      </c>
      <c r="E2121" t="s">
        <v>41</v>
      </c>
      <c r="J2121" t="s">
        <v>108</v>
      </c>
      <c r="K2121" t="s">
        <v>109</v>
      </c>
      <c r="L2121">
        <v>5</v>
      </c>
      <c r="M2121" t="s">
        <v>7784</v>
      </c>
      <c r="N2121" t="s">
        <v>59</v>
      </c>
      <c r="O2121" t="s">
        <v>47</v>
      </c>
      <c r="P2121" t="s">
        <v>47</v>
      </c>
      <c r="Y2121" t="s">
        <v>7785</v>
      </c>
      <c r="AG2121" t="s">
        <v>48</v>
      </c>
    </row>
    <row r="2122" spans="1:33">
      <c r="A2122" t="s">
        <v>7786</v>
      </c>
      <c r="B2122" t="s">
        <v>7787</v>
      </c>
      <c r="D2122" t="s">
        <v>40</v>
      </c>
      <c r="E2122" t="s">
        <v>41</v>
      </c>
      <c r="J2122" t="s">
        <v>290</v>
      </c>
      <c r="K2122" t="s">
        <v>291</v>
      </c>
      <c r="L2122">
        <v>5</v>
      </c>
      <c r="M2122" t="s">
        <v>7784</v>
      </c>
      <c r="N2122" t="s">
        <v>59</v>
      </c>
      <c r="O2122" t="s">
        <v>47</v>
      </c>
      <c r="P2122" t="s">
        <v>47</v>
      </c>
      <c r="Y2122" t="s">
        <v>7788</v>
      </c>
      <c r="AG2122" t="s">
        <v>48</v>
      </c>
    </row>
    <row r="2123" spans="1:33">
      <c r="A2123" t="s">
        <v>7789</v>
      </c>
      <c r="B2123" t="s">
        <v>7790</v>
      </c>
      <c r="D2123" t="s">
        <v>40</v>
      </c>
      <c r="E2123" t="s">
        <v>41</v>
      </c>
      <c r="J2123" t="s">
        <v>290</v>
      </c>
      <c r="K2123" t="s">
        <v>291</v>
      </c>
      <c r="L2123">
        <v>5</v>
      </c>
      <c r="M2123" t="s">
        <v>7784</v>
      </c>
      <c r="N2123" t="s">
        <v>59</v>
      </c>
      <c r="O2123" t="s">
        <v>47</v>
      </c>
      <c r="P2123" t="s">
        <v>47</v>
      </c>
      <c r="Y2123" t="s">
        <v>7791</v>
      </c>
      <c r="AG2123" t="s">
        <v>48</v>
      </c>
    </row>
    <row r="2124" spans="1:33">
      <c r="A2124" t="s">
        <v>7792</v>
      </c>
      <c r="B2124" t="s">
        <v>7793</v>
      </c>
      <c r="D2124" t="s">
        <v>40</v>
      </c>
      <c r="E2124" t="s">
        <v>41</v>
      </c>
      <c r="J2124" t="s">
        <v>270</v>
      </c>
      <c r="K2124" t="s">
        <v>271</v>
      </c>
      <c r="L2124">
        <v>5</v>
      </c>
      <c r="M2124" t="s">
        <v>7794</v>
      </c>
      <c r="N2124" t="s">
        <v>59</v>
      </c>
      <c r="O2124" t="s">
        <v>47</v>
      </c>
      <c r="P2124" t="s">
        <v>47</v>
      </c>
      <c r="Y2124" t="s">
        <v>7795</v>
      </c>
      <c r="AG2124" t="s">
        <v>48</v>
      </c>
    </row>
    <row r="2125" spans="1:33">
      <c r="A2125" t="s">
        <v>7796</v>
      </c>
      <c r="B2125" t="s">
        <v>7797</v>
      </c>
      <c r="D2125" t="s">
        <v>40</v>
      </c>
      <c r="E2125" t="s">
        <v>41</v>
      </c>
      <c r="J2125" t="s">
        <v>270</v>
      </c>
      <c r="K2125" t="s">
        <v>271</v>
      </c>
      <c r="L2125">
        <v>5</v>
      </c>
      <c r="M2125" t="s">
        <v>7794</v>
      </c>
      <c r="N2125" t="s">
        <v>59</v>
      </c>
      <c r="O2125" t="s">
        <v>47</v>
      </c>
      <c r="P2125" t="s">
        <v>47</v>
      </c>
      <c r="Y2125" t="s">
        <v>7798</v>
      </c>
      <c r="AG2125" t="s">
        <v>48</v>
      </c>
    </row>
    <row r="2126" spans="1:33">
      <c r="A2126" t="s">
        <v>7799</v>
      </c>
      <c r="B2126" t="s">
        <v>7800</v>
      </c>
      <c r="D2126" t="s">
        <v>40</v>
      </c>
      <c r="E2126" t="s">
        <v>41</v>
      </c>
      <c r="J2126" t="s">
        <v>290</v>
      </c>
      <c r="K2126" t="s">
        <v>291</v>
      </c>
      <c r="L2126">
        <v>5</v>
      </c>
      <c r="M2126" t="s">
        <v>7801</v>
      </c>
      <c r="N2126" t="s">
        <v>59</v>
      </c>
      <c r="O2126" t="s">
        <v>47</v>
      </c>
      <c r="P2126" t="s">
        <v>47</v>
      </c>
      <c r="Y2126" t="s">
        <v>7802</v>
      </c>
      <c r="AG2126" t="s">
        <v>48</v>
      </c>
    </row>
    <row r="2127" spans="1:33">
      <c r="A2127" t="s">
        <v>7803</v>
      </c>
      <c r="B2127" t="s">
        <v>7804</v>
      </c>
      <c r="D2127" t="s">
        <v>40</v>
      </c>
      <c r="E2127" t="s">
        <v>41</v>
      </c>
      <c r="J2127" t="s">
        <v>129</v>
      </c>
      <c r="K2127" t="s">
        <v>130</v>
      </c>
      <c r="L2127">
        <v>5</v>
      </c>
      <c r="M2127" t="s">
        <v>7805</v>
      </c>
      <c r="N2127" t="s">
        <v>192</v>
      </c>
      <c r="O2127" t="s">
        <v>47</v>
      </c>
      <c r="P2127" t="s">
        <v>47</v>
      </c>
      <c r="Y2127" t="s">
        <v>7806</v>
      </c>
      <c r="AG2127" t="s">
        <v>48</v>
      </c>
    </row>
    <row r="2128" spans="1:33">
      <c r="A2128" t="s">
        <v>117</v>
      </c>
      <c r="B2128" t="s">
        <v>7807</v>
      </c>
      <c r="D2128" t="s">
        <v>40</v>
      </c>
      <c r="E2128" t="s">
        <v>41</v>
      </c>
      <c r="J2128" t="s">
        <v>290</v>
      </c>
      <c r="K2128" t="s">
        <v>291</v>
      </c>
      <c r="L2128">
        <v>5</v>
      </c>
      <c r="M2128" t="s">
        <v>7808</v>
      </c>
      <c r="N2128" t="s">
        <v>59</v>
      </c>
      <c r="O2128" t="s">
        <v>47</v>
      </c>
      <c r="P2128" t="s">
        <v>47</v>
      </c>
      <c r="Y2128" t="s">
        <v>7809</v>
      </c>
      <c r="AG2128" t="s">
        <v>48</v>
      </c>
    </row>
    <row r="2129" spans="1:33">
      <c r="A2129" t="s">
        <v>7810</v>
      </c>
      <c r="B2129" t="s">
        <v>7811</v>
      </c>
      <c r="D2129" t="s">
        <v>40</v>
      </c>
      <c r="E2129" t="s">
        <v>41</v>
      </c>
      <c r="J2129" t="s">
        <v>108</v>
      </c>
      <c r="K2129" t="s">
        <v>109</v>
      </c>
      <c r="L2129">
        <v>5</v>
      </c>
      <c r="M2129" t="s">
        <v>7808</v>
      </c>
      <c r="N2129" t="s">
        <v>59</v>
      </c>
      <c r="O2129" t="s">
        <v>47</v>
      </c>
      <c r="P2129" t="s">
        <v>47</v>
      </c>
      <c r="Y2129" t="s">
        <v>7812</v>
      </c>
      <c r="AG2129" t="s">
        <v>48</v>
      </c>
    </row>
    <row r="2130" spans="1:33">
      <c r="A2130" t="s">
        <v>7813</v>
      </c>
      <c r="B2130" t="s">
        <v>7814</v>
      </c>
      <c r="D2130" t="s">
        <v>40</v>
      </c>
      <c r="E2130" t="s">
        <v>41</v>
      </c>
      <c r="J2130" t="s">
        <v>270</v>
      </c>
      <c r="K2130" t="s">
        <v>271</v>
      </c>
      <c r="L2130">
        <v>5</v>
      </c>
      <c r="M2130" t="s">
        <v>7815</v>
      </c>
      <c r="N2130" t="s">
        <v>59</v>
      </c>
      <c r="O2130" t="s">
        <v>47</v>
      </c>
      <c r="P2130" t="s">
        <v>47</v>
      </c>
      <c r="Y2130" t="s">
        <v>7816</v>
      </c>
      <c r="AG2130" t="s">
        <v>48</v>
      </c>
    </row>
    <row r="2131" spans="1:33">
      <c r="A2131" t="s">
        <v>7817</v>
      </c>
      <c r="B2131" t="s">
        <v>7818</v>
      </c>
      <c r="D2131" t="s">
        <v>40</v>
      </c>
      <c r="E2131" t="s">
        <v>41</v>
      </c>
      <c r="J2131" t="s">
        <v>43</v>
      </c>
      <c r="K2131" t="s">
        <v>44</v>
      </c>
      <c r="L2131">
        <v>5</v>
      </c>
      <c r="M2131" t="s">
        <v>7819</v>
      </c>
      <c r="N2131" t="s">
        <v>218</v>
      </c>
      <c r="O2131" t="s">
        <v>47</v>
      </c>
      <c r="P2131" t="s">
        <v>47</v>
      </c>
      <c r="Y2131" t="s">
        <v>7820</v>
      </c>
      <c r="AG2131" t="s">
        <v>48</v>
      </c>
    </row>
    <row r="2132" spans="1:33">
      <c r="A2132" t="s">
        <v>7821</v>
      </c>
      <c r="B2132" t="s">
        <v>7822</v>
      </c>
      <c r="D2132" t="s">
        <v>40</v>
      </c>
      <c r="E2132" t="s">
        <v>41</v>
      </c>
      <c r="J2132" t="s">
        <v>290</v>
      </c>
      <c r="K2132" t="s">
        <v>291</v>
      </c>
      <c r="L2132">
        <v>5</v>
      </c>
      <c r="M2132" t="s">
        <v>7819</v>
      </c>
      <c r="N2132" t="s">
        <v>59</v>
      </c>
      <c r="O2132" t="s">
        <v>47</v>
      </c>
      <c r="P2132" t="s">
        <v>47</v>
      </c>
      <c r="Y2132" t="s">
        <v>7823</v>
      </c>
      <c r="AG2132" t="s">
        <v>48</v>
      </c>
    </row>
    <row r="2133" spans="1:33">
      <c r="A2133" t="s">
        <v>117</v>
      </c>
      <c r="B2133" t="s">
        <v>7824</v>
      </c>
      <c r="D2133" t="s">
        <v>40</v>
      </c>
      <c r="E2133" t="s">
        <v>41</v>
      </c>
      <c r="J2133" t="s">
        <v>290</v>
      </c>
      <c r="K2133" t="s">
        <v>291</v>
      </c>
      <c r="L2133">
        <v>5</v>
      </c>
      <c r="M2133" t="s">
        <v>7819</v>
      </c>
      <c r="N2133" t="s">
        <v>59</v>
      </c>
      <c r="O2133" t="s">
        <v>47</v>
      </c>
      <c r="P2133" t="s">
        <v>47</v>
      </c>
      <c r="Y2133" t="s">
        <v>7825</v>
      </c>
      <c r="AG2133" t="s">
        <v>48</v>
      </c>
    </row>
    <row r="2134" spans="1:33">
      <c r="A2134" t="s">
        <v>7826</v>
      </c>
      <c r="B2134" t="s">
        <v>7827</v>
      </c>
      <c r="D2134" t="s">
        <v>40</v>
      </c>
      <c r="E2134" t="s">
        <v>41</v>
      </c>
      <c r="J2134" t="s">
        <v>108</v>
      </c>
      <c r="K2134" t="s">
        <v>109</v>
      </c>
      <c r="L2134">
        <v>5</v>
      </c>
      <c r="M2134" t="s">
        <v>7828</v>
      </c>
      <c r="N2134" t="s">
        <v>59</v>
      </c>
      <c r="O2134" t="s">
        <v>47</v>
      </c>
      <c r="P2134" t="s">
        <v>47</v>
      </c>
      <c r="Y2134" t="s">
        <v>7829</v>
      </c>
      <c r="AG2134" t="s">
        <v>48</v>
      </c>
    </row>
    <row r="2135" spans="1:33">
      <c r="A2135" t="s">
        <v>7830</v>
      </c>
      <c r="B2135" t="s">
        <v>7831</v>
      </c>
      <c r="D2135" t="s">
        <v>40</v>
      </c>
      <c r="E2135" t="s">
        <v>41</v>
      </c>
      <c r="J2135" t="s">
        <v>290</v>
      </c>
      <c r="K2135" t="s">
        <v>291</v>
      </c>
      <c r="L2135">
        <v>5</v>
      </c>
      <c r="M2135" t="s">
        <v>7832</v>
      </c>
      <c r="N2135" t="s">
        <v>59</v>
      </c>
      <c r="O2135" t="s">
        <v>47</v>
      </c>
      <c r="P2135" t="s">
        <v>47</v>
      </c>
      <c r="Y2135" t="s">
        <v>7833</v>
      </c>
      <c r="AG2135" t="s">
        <v>48</v>
      </c>
    </row>
    <row r="2136" spans="1:33">
      <c r="A2136" t="s">
        <v>7834</v>
      </c>
      <c r="B2136" t="s">
        <v>7835</v>
      </c>
      <c r="D2136" t="s">
        <v>40</v>
      </c>
      <c r="E2136" t="s">
        <v>41</v>
      </c>
      <c r="J2136" t="s">
        <v>290</v>
      </c>
      <c r="K2136" t="s">
        <v>291</v>
      </c>
      <c r="L2136">
        <v>5</v>
      </c>
      <c r="M2136" t="s">
        <v>7836</v>
      </c>
      <c r="N2136" t="s">
        <v>59</v>
      </c>
      <c r="O2136" t="s">
        <v>47</v>
      </c>
      <c r="P2136" t="s">
        <v>47</v>
      </c>
      <c r="Y2136" t="s">
        <v>7837</v>
      </c>
      <c r="AG2136" t="s">
        <v>48</v>
      </c>
    </row>
    <row r="2137" spans="1:33">
      <c r="A2137" t="s">
        <v>7838</v>
      </c>
      <c r="B2137" t="s">
        <v>7839</v>
      </c>
      <c r="D2137" t="s">
        <v>40</v>
      </c>
      <c r="E2137" t="s">
        <v>41</v>
      </c>
      <c r="J2137" t="s">
        <v>43</v>
      </c>
      <c r="K2137" t="s">
        <v>44</v>
      </c>
      <c r="L2137">
        <v>5</v>
      </c>
      <c r="M2137" t="s">
        <v>7836</v>
      </c>
      <c r="N2137" t="s">
        <v>192</v>
      </c>
      <c r="O2137" t="s">
        <v>47</v>
      </c>
      <c r="P2137" t="s">
        <v>47</v>
      </c>
      <c r="Y2137" t="s">
        <v>7840</v>
      </c>
      <c r="AG2137" t="s">
        <v>48</v>
      </c>
    </row>
    <row r="2138" spans="1:33">
      <c r="A2138" t="s">
        <v>7841</v>
      </c>
      <c r="B2138" t="s">
        <v>7842</v>
      </c>
      <c r="D2138" t="s">
        <v>40</v>
      </c>
      <c r="E2138" t="s">
        <v>41</v>
      </c>
      <c r="J2138" t="s">
        <v>114</v>
      </c>
      <c r="K2138" t="s">
        <v>115</v>
      </c>
      <c r="L2138">
        <v>5</v>
      </c>
      <c r="M2138" t="s">
        <v>7843</v>
      </c>
      <c r="N2138" t="s">
        <v>59</v>
      </c>
      <c r="O2138" t="s">
        <v>47</v>
      </c>
      <c r="P2138" t="s">
        <v>47</v>
      </c>
      <c r="Y2138" t="s">
        <v>7844</v>
      </c>
      <c r="AG2138" t="s">
        <v>48</v>
      </c>
    </row>
    <row r="2139" spans="1:33">
      <c r="A2139" t="s">
        <v>7845</v>
      </c>
      <c r="B2139" t="s">
        <v>7846</v>
      </c>
      <c r="D2139" t="s">
        <v>40</v>
      </c>
      <c r="E2139" t="s">
        <v>41</v>
      </c>
      <c r="J2139" t="s">
        <v>290</v>
      </c>
      <c r="K2139" t="s">
        <v>291</v>
      </c>
      <c r="L2139">
        <v>5</v>
      </c>
      <c r="M2139" t="s">
        <v>7843</v>
      </c>
      <c r="N2139" t="s">
        <v>59</v>
      </c>
      <c r="O2139" t="s">
        <v>47</v>
      </c>
      <c r="P2139" t="s">
        <v>47</v>
      </c>
      <c r="Y2139" t="s">
        <v>7847</v>
      </c>
      <c r="AG2139" t="s">
        <v>48</v>
      </c>
    </row>
    <row r="2140" spans="1:33">
      <c r="A2140" t="s">
        <v>7848</v>
      </c>
      <c r="B2140" t="s">
        <v>7849</v>
      </c>
      <c r="D2140" t="s">
        <v>40</v>
      </c>
      <c r="E2140" t="s">
        <v>41</v>
      </c>
      <c r="J2140" t="s">
        <v>290</v>
      </c>
      <c r="K2140" t="s">
        <v>291</v>
      </c>
      <c r="L2140">
        <v>5</v>
      </c>
      <c r="M2140" t="s">
        <v>7843</v>
      </c>
      <c r="N2140" t="s">
        <v>59</v>
      </c>
      <c r="O2140" t="s">
        <v>47</v>
      </c>
      <c r="P2140" t="s">
        <v>47</v>
      </c>
      <c r="Y2140" t="s">
        <v>7850</v>
      </c>
      <c r="AG2140" t="s">
        <v>48</v>
      </c>
    </row>
    <row r="2141" spans="1:33">
      <c r="A2141" t="s">
        <v>7851</v>
      </c>
      <c r="B2141" t="s">
        <v>7852</v>
      </c>
      <c r="D2141" t="s">
        <v>40</v>
      </c>
      <c r="E2141" t="s">
        <v>41</v>
      </c>
      <c r="H2141" t="s">
        <v>7853</v>
      </c>
      <c r="J2141" t="s">
        <v>129</v>
      </c>
      <c r="K2141" t="s">
        <v>130</v>
      </c>
      <c r="L2141">
        <v>5</v>
      </c>
      <c r="M2141" t="s">
        <v>7854</v>
      </c>
      <c r="N2141" t="s">
        <v>192</v>
      </c>
      <c r="O2141" t="s">
        <v>47</v>
      </c>
      <c r="P2141" t="s">
        <v>47</v>
      </c>
      <c r="Y2141" t="s">
        <v>7853</v>
      </c>
      <c r="AG2141" t="s">
        <v>48</v>
      </c>
    </row>
    <row r="2142" spans="1:33">
      <c r="A2142" t="s">
        <v>7855</v>
      </c>
      <c r="B2142" t="s">
        <v>7856</v>
      </c>
      <c r="D2142" t="s">
        <v>40</v>
      </c>
      <c r="E2142" t="s">
        <v>41</v>
      </c>
      <c r="J2142" t="s">
        <v>162</v>
      </c>
      <c r="K2142" t="s">
        <v>163</v>
      </c>
      <c r="L2142">
        <v>5</v>
      </c>
      <c r="M2142" t="s">
        <v>7857</v>
      </c>
      <c r="N2142" t="s">
        <v>59</v>
      </c>
      <c r="O2142" t="s">
        <v>47</v>
      </c>
      <c r="P2142" t="s">
        <v>47</v>
      </c>
      <c r="Y2142" t="s">
        <v>7858</v>
      </c>
      <c r="AG2142" t="s">
        <v>48</v>
      </c>
    </row>
    <row r="2143" spans="1:33">
      <c r="A2143" t="s">
        <v>7859</v>
      </c>
      <c r="B2143" t="s">
        <v>7860</v>
      </c>
      <c r="D2143" t="s">
        <v>40</v>
      </c>
      <c r="E2143" t="s">
        <v>41</v>
      </c>
      <c r="J2143" t="s">
        <v>270</v>
      </c>
      <c r="K2143" t="s">
        <v>271</v>
      </c>
      <c r="L2143">
        <v>5</v>
      </c>
      <c r="M2143" t="s">
        <v>7861</v>
      </c>
      <c r="N2143" t="s">
        <v>59</v>
      </c>
      <c r="O2143" t="s">
        <v>47</v>
      </c>
      <c r="P2143" t="s">
        <v>47</v>
      </c>
      <c r="Y2143" t="s">
        <v>7862</v>
      </c>
      <c r="AG2143" t="s">
        <v>48</v>
      </c>
    </row>
    <row r="2144" spans="1:33">
      <c r="A2144" t="s">
        <v>7863</v>
      </c>
      <c r="B2144" t="s">
        <v>7864</v>
      </c>
      <c r="D2144" t="s">
        <v>40</v>
      </c>
      <c r="E2144" t="s">
        <v>41</v>
      </c>
      <c r="H2144" t="s">
        <v>7865</v>
      </c>
      <c r="J2144" t="s">
        <v>123</v>
      </c>
      <c r="K2144" t="s">
        <v>124</v>
      </c>
      <c r="L2144">
        <v>5</v>
      </c>
      <c r="M2144" t="s">
        <v>7866</v>
      </c>
      <c r="N2144" t="s">
        <v>218</v>
      </c>
      <c r="O2144" t="s">
        <v>47</v>
      </c>
      <c r="P2144" t="s">
        <v>47</v>
      </c>
      <c r="Y2144" t="s">
        <v>7865</v>
      </c>
      <c r="AG2144" t="s">
        <v>48</v>
      </c>
    </row>
    <row r="2145" spans="1:33">
      <c r="A2145" t="s">
        <v>7867</v>
      </c>
      <c r="B2145" t="s">
        <v>7868</v>
      </c>
      <c r="D2145" t="s">
        <v>40</v>
      </c>
      <c r="E2145" t="s">
        <v>41</v>
      </c>
      <c r="H2145" t="s">
        <v>7869</v>
      </c>
      <c r="J2145" t="s">
        <v>290</v>
      </c>
      <c r="K2145" t="s">
        <v>291</v>
      </c>
      <c r="L2145">
        <v>5</v>
      </c>
      <c r="M2145" t="s">
        <v>7866</v>
      </c>
      <c r="N2145" t="s">
        <v>59</v>
      </c>
      <c r="O2145" t="s">
        <v>47</v>
      </c>
      <c r="P2145" t="s">
        <v>47</v>
      </c>
      <c r="Y2145" t="s">
        <v>7869</v>
      </c>
      <c r="AG2145" t="s">
        <v>48</v>
      </c>
    </row>
    <row r="2146" spans="1:33">
      <c r="A2146" t="s">
        <v>7870</v>
      </c>
      <c r="B2146" t="s">
        <v>7871</v>
      </c>
      <c r="D2146" t="s">
        <v>40</v>
      </c>
      <c r="E2146" t="s">
        <v>41</v>
      </c>
      <c r="J2146" t="s">
        <v>1418</v>
      </c>
      <c r="K2146" t="s">
        <v>1419</v>
      </c>
      <c r="L2146">
        <v>5</v>
      </c>
      <c r="M2146" t="s">
        <v>7866</v>
      </c>
      <c r="N2146" t="s">
        <v>218</v>
      </c>
      <c r="O2146" t="s">
        <v>47</v>
      </c>
      <c r="P2146" t="s">
        <v>47</v>
      </c>
      <c r="Y2146" t="s">
        <v>7872</v>
      </c>
      <c r="AG2146" t="s">
        <v>48</v>
      </c>
    </row>
    <row r="2147" spans="1:33">
      <c r="A2147" t="s">
        <v>7873</v>
      </c>
      <c r="B2147" t="s">
        <v>7874</v>
      </c>
      <c r="D2147" t="s">
        <v>40</v>
      </c>
      <c r="E2147" t="s">
        <v>41</v>
      </c>
      <c r="J2147" t="s">
        <v>108</v>
      </c>
      <c r="K2147" t="s">
        <v>109</v>
      </c>
      <c r="L2147">
        <v>5</v>
      </c>
      <c r="M2147" t="s">
        <v>7875</v>
      </c>
      <c r="N2147" t="s">
        <v>59</v>
      </c>
      <c r="O2147" t="s">
        <v>47</v>
      </c>
      <c r="P2147" t="s">
        <v>47</v>
      </c>
      <c r="Y2147" t="s">
        <v>7876</v>
      </c>
      <c r="AG2147" t="s">
        <v>48</v>
      </c>
    </row>
    <row r="2148" spans="1:33">
      <c r="A2148" t="s">
        <v>7877</v>
      </c>
      <c r="B2148" t="s">
        <v>7878</v>
      </c>
      <c r="D2148" t="s">
        <v>40</v>
      </c>
      <c r="E2148" t="s">
        <v>41</v>
      </c>
      <c r="J2148" t="s">
        <v>108</v>
      </c>
      <c r="K2148" t="s">
        <v>109</v>
      </c>
      <c r="L2148">
        <v>5</v>
      </c>
      <c r="M2148" t="s">
        <v>7879</v>
      </c>
      <c r="N2148" t="s">
        <v>59</v>
      </c>
      <c r="O2148" t="s">
        <v>47</v>
      </c>
      <c r="P2148" t="s">
        <v>47</v>
      </c>
      <c r="Y2148" t="s">
        <v>7880</v>
      </c>
      <c r="AG2148" t="s">
        <v>48</v>
      </c>
    </row>
    <row r="2149" spans="1:33">
      <c r="A2149" t="s">
        <v>7881</v>
      </c>
      <c r="B2149" t="s">
        <v>7882</v>
      </c>
      <c r="D2149" t="s">
        <v>40</v>
      </c>
      <c r="E2149" t="s">
        <v>41</v>
      </c>
      <c r="J2149" t="s">
        <v>290</v>
      </c>
      <c r="K2149" t="s">
        <v>291</v>
      </c>
      <c r="L2149">
        <v>5</v>
      </c>
      <c r="M2149" t="s">
        <v>7879</v>
      </c>
      <c r="N2149" t="s">
        <v>59</v>
      </c>
      <c r="O2149" t="s">
        <v>47</v>
      </c>
      <c r="P2149" t="s">
        <v>47</v>
      </c>
      <c r="Y2149" t="s">
        <v>7883</v>
      </c>
      <c r="AG2149" t="s">
        <v>48</v>
      </c>
    </row>
    <row r="2150" spans="1:33">
      <c r="A2150" t="s">
        <v>7884</v>
      </c>
      <c r="B2150" t="s">
        <v>7885</v>
      </c>
      <c r="D2150" t="s">
        <v>40</v>
      </c>
      <c r="E2150" t="s">
        <v>41</v>
      </c>
      <c r="J2150" t="s">
        <v>162</v>
      </c>
      <c r="K2150" t="s">
        <v>163</v>
      </c>
      <c r="L2150">
        <v>5</v>
      </c>
      <c r="M2150" t="s">
        <v>7879</v>
      </c>
      <c r="N2150" t="s">
        <v>59</v>
      </c>
      <c r="O2150" t="s">
        <v>47</v>
      </c>
      <c r="P2150" t="s">
        <v>47</v>
      </c>
      <c r="Y2150" t="s">
        <v>7886</v>
      </c>
      <c r="AG2150" t="s">
        <v>48</v>
      </c>
    </row>
    <row r="2151" spans="1:33">
      <c r="A2151" t="s">
        <v>7887</v>
      </c>
      <c r="B2151" t="s">
        <v>7888</v>
      </c>
      <c r="D2151" t="s">
        <v>40</v>
      </c>
      <c r="E2151" t="s">
        <v>41</v>
      </c>
      <c r="J2151" t="s">
        <v>129</v>
      </c>
      <c r="K2151" t="s">
        <v>130</v>
      </c>
      <c r="L2151">
        <v>5</v>
      </c>
      <c r="M2151" t="s">
        <v>7879</v>
      </c>
      <c r="N2151" t="s">
        <v>192</v>
      </c>
      <c r="O2151" t="s">
        <v>47</v>
      </c>
      <c r="P2151" t="s">
        <v>47</v>
      </c>
      <c r="Y2151" t="s">
        <v>7889</v>
      </c>
      <c r="AG2151" t="s">
        <v>48</v>
      </c>
    </row>
    <row r="2152" spans="1:33">
      <c r="A2152" t="s">
        <v>7890</v>
      </c>
      <c r="B2152" t="s">
        <v>7891</v>
      </c>
      <c r="D2152" t="s">
        <v>40</v>
      </c>
      <c r="E2152" t="s">
        <v>41</v>
      </c>
      <c r="J2152" t="s">
        <v>290</v>
      </c>
      <c r="K2152" t="s">
        <v>291</v>
      </c>
      <c r="L2152">
        <v>5</v>
      </c>
      <c r="M2152" t="s">
        <v>7892</v>
      </c>
      <c r="N2152" t="s">
        <v>59</v>
      </c>
      <c r="O2152" t="s">
        <v>47</v>
      </c>
      <c r="P2152" t="s">
        <v>47</v>
      </c>
      <c r="Y2152" t="s">
        <v>7893</v>
      </c>
      <c r="AG2152" t="s">
        <v>48</v>
      </c>
    </row>
    <row r="2153" spans="1:33">
      <c r="A2153" t="s">
        <v>7894</v>
      </c>
      <c r="B2153" t="s">
        <v>7895</v>
      </c>
      <c r="D2153" t="s">
        <v>40</v>
      </c>
      <c r="E2153" t="s">
        <v>41</v>
      </c>
      <c r="H2153" t="s">
        <v>7896</v>
      </c>
      <c r="J2153" t="s">
        <v>108</v>
      </c>
      <c r="K2153" t="s">
        <v>109</v>
      </c>
      <c r="L2153">
        <v>5</v>
      </c>
      <c r="M2153" t="s">
        <v>7892</v>
      </c>
      <c r="N2153" t="s">
        <v>59</v>
      </c>
      <c r="O2153" t="s">
        <v>47</v>
      </c>
      <c r="P2153" t="s">
        <v>47</v>
      </c>
      <c r="Y2153" t="s">
        <v>7896</v>
      </c>
      <c r="AG2153" t="s">
        <v>48</v>
      </c>
    </row>
    <row r="2154" spans="1:33">
      <c r="A2154" t="s">
        <v>7897</v>
      </c>
      <c r="B2154" t="s">
        <v>7898</v>
      </c>
      <c r="D2154" t="s">
        <v>40</v>
      </c>
      <c r="E2154" t="s">
        <v>41</v>
      </c>
      <c r="J2154" t="s">
        <v>108</v>
      </c>
      <c r="K2154" t="s">
        <v>109</v>
      </c>
      <c r="L2154">
        <v>5</v>
      </c>
      <c r="M2154" t="s">
        <v>7892</v>
      </c>
      <c r="N2154" t="s">
        <v>59</v>
      </c>
      <c r="O2154" t="s">
        <v>47</v>
      </c>
      <c r="P2154" t="s">
        <v>47</v>
      </c>
      <c r="Y2154" t="s">
        <v>7899</v>
      </c>
      <c r="AG2154" t="s">
        <v>48</v>
      </c>
    </row>
    <row r="2155" spans="1:33">
      <c r="A2155" t="s">
        <v>7900</v>
      </c>
      <c r="B2155" t="s">
        <v>7901</v>
      </c>
      <c r="D2155" t="s">
        <v>40</v>
      </c>
      <c r="E2155" t="s">
        <v>41</v>
      </c>
      <c r="J2155" t="s">
        <v>270</v>
      </c>
      <c r="K2155" t="s">
        <v>271</v>
      </c>
      <c r="L2155">
        <v>5</v>
      </c>
      <c r="M2155" t="s">
        <v>7902</v>
      </c>
      <c r="N2155" t="s">
        <v>59</v>
      </c>
      <c r="O2155" t="s">
        <v>47</v>
      </c>
      <c r="P2155" t="s">
        <v>47</v>
      </c>
      <c r="Y2155" t="s">
        <v>7903</v>
      </c>
      <c r="AG2155" t="s">
        <v>48</v>
      </c>
    </row>
    <row r="2156" spans="1:33">
      <c r="A2156" t="s">
        <v>7904</v>
      </c>
      <c r="B2156" t="s">
        <v>7905</v>
      </c>
      <c r="D2156" t="s">
        <v>40</v>
      </c>
      <c r="E2156" t="s">
        <v>41</v>
      </c>
      <c r="J2156" t="s">
        <v>108</v>
      </c>
      <c r="K2156" t="s">
        <v>109</v>
      </c>
      <c r="L2156">
        <v>5</v>
      </c>
      <c r="M2156" t="s">
        <v>7906</v>
      </c>
      <c r="N2156" t="s">
        <v>59</v>
      </c>
      <c r="O2156" t="s">
        <v>47</v>
      </c>
      <c r="P2156" t="s">
        <v>47</v>
      </c>
      <c r="Y2156" t="s">
        <v>7907</v>
      </c>
      <c r="AG2156" t="s">
        <v>48</v>
      </c>
    </row>
    <row r="2157" spans="1:33">
      <c r="A2157" t="s">
        <v>117</v>
      </c>
      <c r="B2157" t="s">
        <v>7908</v>
      </c>
      <c r="D2157" t="s">
        <v>40</v>
      </c>
      <c r="E2157" t="s">
        <v>41</v>
      </c>
      <c r="J2157" t="s">
        <v>290</v>
      </c>
      <c r="K2157" t="s">
        <v>291</v>
      </c>
      <c r="L2157">
        <v>5</v>
      </c>
      <c r="M2157" t="s">
        <v>7906</v>
      </c>
      <c r="N2157" t="s">
        <v>59</v>
      </c>
      <c r="O2157" t="s">
        <v>47</v>
      </c>
      <c r="P2157" t="s">
        <v>47</v>
      </c>
      <c r="Y2157" t="s">
        <v>7909</v>
      </c>
      <c r="AG2157" t="s">
        <v>48</v>
      </c>
    </row>
    <row r="2158" spans="1:33">
      <c r="A2158" t="s">
        <v>7910</v>
      </c>
      <c r="B2158" t="s">
        <v>7911</v>
      </c>
      <c r="D2158" t="s">
        <v>40</v>
      </c>
      <c r="E2158" t="s">
        <v>41</v>
      </c>
      <c r="J2158" t="s">
        <v>290</v>
      </c>
      <c r="K2158" t="s">
        <v>291</v>
      </c>
      <c r="L2158">
        <v>5</v>
      </c>
      <c r="M2158" t="s">
        <v>7906</v>
      </c>
      <c r="N2158" t="s">
        <v>59</v>
      </c>
      <c r="O2158" t="s">
        <v>47</v>
      </c>
      <c r="P2158" t="s">
        <v>47</v>
      </c>
      <c r="Y2158" t="s">
        <v>7912</v>
      </c>
      <c r="AG2158" t="s">
        <v>48</v>
      </c>
    </row>
    <row r="2159" spans="1:33">
      <c r="A2159" t="s">
        <v>7913</v>
      </c>
      <c r="B2159" t="s">
        <v>7914</v>
      </c>
      <c r="D2159" t="s">
        <v>40</v>
      </c>
      <c r="E2159" t="s">
        <v>41</v>
      </c>
      <c r="J2159" t="s">
        <v>108</v>
      </c>
      <c r="K2159" t="s">
        <v>109</v>
      </c>
      <c r="L2159">
        <v>5</v>
      </c>
      <c r="M2159" t="s">
        <v>7915</v>
      </c>
      <c r="N2159" t="s">
        <v>59</v>
      </c>
      <c r="O2159" t="s">
        <v>47</v>
      </c>
      <c r="P2159" t="s">
        <v>47</v>
      </c>
      <c r="Y2159" t="s">
        <v>7916</v>
      </c>
      <c r="AG2159" t="s">
        <v>48</v>
      </c>
    </row>
    <row r="2160" spans="1:33">
      <c r="A2160" t="s">
        <v>7917</v>
      </c>
      <c r="B2160" t="s">
        <v>7918</v>
      </c>
      <c r="D2160" t="s">
        <v>40</v>
      </c>
      <c r="E2160" t="s">
        <v>41</v>
      </c>
      <c r="J2160" t="s">
        <v>290</v>
      </c>
      <c r="K2160" t="s">
        <v>291</v>
      </c>
      <c r="L2160">
        <v>5</v>
      </c>
      <c r="M2160" t="s">
        <v>7919</v>
      </c>
      <c r="N2160" t="s">
        <v>59</v>
      </c>
      <c r="O2160" t="s">
        <v>47</v>
      </c>
      <c r="P2160" t="s">
        <v>47</v>
      </c>
      <c r="Y2160" t="s">
        <v>7920</v>
      </c>
      <c r="AG2160" t="s">
        <v>48</v>
      </c>
    </row>
    <row r="2161" spans="1:33">
      <c r="A2161" t="s">
        <v>7921</v>
      </c>
      <c r="B2161" t="s">
        <v>7922</v>
      </c>
      <c r="D2161" t="s">
        <v>40</v>
      </c>
      <c r="E2161" t="s">
        <v>41</v>
      </c>
      <c r="J2161" t="s">
        <v>290</v>
      </c>
      <c r="K2161" t="s">
        <v>291</v>
      </c>
      <c r="L2161">
        <v>5</v>
      </c>
      <c r="M2161" t="s">
        <v>7919</v>
      </c>
      <c r="N2161" t="s">
        <v>59</v>
      </c>
      <c r="O2161" t="s">
        <v>47</v>
      </c>
      <c r="P2161" t="s">
        <v>47</v>
      </c>
      <c r="Y2161" t="s">
        <v>7923</v>
      </c>
      <c r="AG2161" t="s">
        <v>48</v>
      </c>
    </row>
    <row r="2162" spans="1:33">
      <c r="A2162" t="s">
        <v>7924</v>
      </c>
      <c r="B2162" t="s">
        <v>7925</v>
      </c>
      <c r="D2162" t="s">
        <v>40</v>
      </c>
      <c r="E2162" t="s">
        <v>41</v>
      </c>
      <c r="J2162" t="s">
        <v>1418</v>
      </c>
      <c r="K2162" t="s">
        <v>1419</v>
      </c>
      <c r="L2162">
        <v>5</v>
      </c>
      <c r="M2162" t="s">
        <v>7919</v>
      </c>
      <c r="N2162" t="s">
        <v>218</v>
      </c>
      <c r="O2162" t="s">
        <v>47</v>
      </c>
      <c r="P2162" t="s">
        <v>47</v>
      </c>
      <c r="Y2162" t="s">
        <v>7926</v>
      </c>
      <c r="AG2162" t="s">
        <v>48</v>
      </c>
    </row>
    <row r="2163" spans="1:33">
      <c r="A2163" t="s">
        <v>7927</v>
      </c>
      <c r="B2163" t="s">
        <v>7928</v>
      </c>
      <c r="D2163" t="s">
        <v>40</v>
      </c>
      <c r="E2163" t="s">
        <v>41</v>
      </c>
      <c r="J2163" t="s">
        <v>290</v>
      </c>
      <c r="K2163" t="s">
        <v>291</v>
      </c>
      <c r="L2163">
        <v>5</v>
      </c>
      <c r="M2163" t="s">
        <v>7919</v>
      </c>
      <c r="N2163" t="s">
        <v>59</v>
      </c>
      <c r="O2163" t="s">
        <v>47</v>
      </c>
      <c r="P2163" t="s">
        <v>47</v>
      </c>
      <c r="Y2163" t="s">
        <v>7929</v>
      </c>
      <c r="AG2163" t="s">
        <v>48</v>
      </c>
    </row>
    <row r="2164" spans="1:33">
      <c r="A2164" t="s">
        <v>7930</v>
      </c>
      <c r="B2164" t="s">
        <v>7931</v>
      </c>
      <c r="D2164" t="s">
        <v>40</v>
      </c>
      <c r="E2164" t="s">
        <v>41</v>
      </c>
      <c r="H2164" t="s">
        <v>7932</v>
      </c>
      <c r="J2164" t="s">
        <v>63</v>
      </c>
      <c r="K2164" t="s">
        <v>64</v>
      </c>
      <c r="L2164">
        <v>5</v>
      </c>
      <c r="M2164" t="s">
        <v>7933</v>
      </c>
      <c r="N2164" t="s">
        <v>59</v>
      </c>
      <c r="O2164" t="s">
        <v>47</v>
      </c>
      <c r="P2164" t="s">
        <v>47</v>
      </c>
      <c r="Y2164" t="s">
        <v>7932</v>
      </c>
      <c r="AG2164" t="s">
        <v>48</v>
      </c>
    </row>
    <row r="2165" spans="1:33">
      <c r="A2165" t="s">
        <v>7934</v>
      </c>
      <c r="B2165" t="s">
        <v>7935</v>
      </c>
      <c r="D2165" t="s">
        <v>40</v>
      </c>
      <c r="E2165" t="s">
        <v>41</v>
      </c>
      <c r="J2165" t="s">
        <v>129</v>
      </c>
      <c r="K2165" t="s">
        <v>130</v>
      </c>
      <c r="L2165">
        <v>5</v>
      </c>
      <c r="M2165" t="s">
        <v>7936</v>
      </c>
      <c r="N2165" t="s">
        <v>218</v>
      </c>
      <c r="O2165" t="s">
        <v>47</v>
      </c>
      <c r="P2165" t="s">
        <v>47</v>
      </c>
      <c r="Y2165" t="s">
        <v>7937</v>
      </c>
      <c r="AG2165" t="s">
        <v>48</v>
      </c>
    </row>
    <row r="2166" spans="1:33">
      <c r="A2166" t="s">
        <v>7938</v>
      </c>
      <c r="B2166" t="s">
        <v>7939</v>
      </c>
      <c r="D2166" t="s">
        <v>40</v>
      </c>
      <c r="E2166" t="s">
        <v>41</v>
      </c>
      <c r="J2166" t="s">
        <v>270</v>
      </c>
      <c r="K2166" t="s">
        <v>271</v>
      </c>
      <c r="L2166">
        <v>5</v>
      </c>
      <c r="M2166" t="s">
        <v>7936</v>
      </c>
      <c r="N2166" t="s">
        <v>59</v>
      </c>
      <c r="O2166" t="s">
        <v>47</v>
      </c>
      <c r="P2166" t="s">
        <v>47</v>
      </c>
      <c r="Y2166" t="s">
        <v>7940</v>
      </c>
      <c r="AG2166" t="s">
        <v>48</v>
      </c>
    </row>
    <row r="2167" spans="1:33">
      <c r="A2167" t="s">
        <v>7941</v>
      </c>
      <c r="B2167" t="s">
        <v>7942</v>
      </c>
      <c r="D2167" t="s">
        <v>40</v>
      </c>
      <c r="E2167" t="s">
        <v>41</v>
      </c>
      <c r="J2167" t="s">
        <v>290</v>
      </c>
      <c r="K2167" t="s">
        <v>291</v>
      </c>
      <c r="L2167">
        <v>5</v>
      </c>
      <c r="M2167" t="s">
        <v>7943</v>
      </c>
      <c r="N2167" t="s">
        <v>59</v>
      </c>
      <c r="O2167" t="s">
        <v>47</v>
      </c>
      <c r="P2167" t="s">
        <v>47</v>
      </c>
      <c r="Y2167" t="s">
        <v>7944</v>
      </c>
      <c r="AG2167" t="s">
        <v>48</v>
      </c>
    </row>
    <row r="2168" spans="1:33">
      <c r="A2168" t="s">
        <v>7945</v>
      </c>
      <c r="B2168" t="s">
        <v>7946</v>
      </c>
      <c r="D2168" t="s">
        <v>40</v>
      </c>
      <c r="E2168" t="s">
        <v>41</v>
      </c>
      <c r="J2168" t="s">
        <v>290</v>
      </c>
      <c r="K2168" t="s">
        <v>291</v>
      </c>
      <c r="L2168">
        <v>5</v>
      </c>
      <c r="M2168" t="s">
        <v>7947</v>
      </c>
      <c r="N2168" t="s">
        <v>59</v>
      </c>
      <c r="O2168" t="s">
        <v>47</v>
      </c>
      <c r="P2168" t="s">
        <v>47</v>
      </c>
      <c r="Y2168" t="s">
        <v>7948</v>
      </c>
      <c r="AG2168" t="s">
        <v>48</v>
      </c>
    </row>
    <row r="2169" spans="1:33">
      <c r="A2169" t="s">
        <v>7949</v>
      </c>
      <c r="B2169" t="s">
        <v>7950</v>
      </c>
      <c r="D2169" t="s">
        <v>40</v>
      </c>
      <c r="E2169" t="s">
        <v>41</v>
      </c>
      <c r="J2169" t="s">
        <v>270</v>
      </c>
      <c r="K2169" t="s">
        <v>271</v>
      </c>
      <c r="L2169">
        <v>5</v>
      </c>
      <c r="M2169" t="s">
        <v>7947</v>
      </c>
      <c r="N2169" t="s">
        <v>59</v>
      </c>
      <c r="O2169" t="s">
        <v>47</v>
      </c>
      <c r="P2169" t="s">
        <v>47</v>
      </c>
      <c r="Y2169" t="s">
        <v>7951</v>
      </c>
      <c r="AG2169" t="s">
        <v>48</v>
      </c>
    </row>
    <row r="2170" spans="1:33">
      <c r="A2170" t="s">
        <v>7952</v>
      </c>
      <c r="B2170" t="s">
        <v>7953</v>
      </c>
      <c r="D2170" t="s">
        <v>40</v>
      </c>
      <c r="E2170" t="s">
        <v>41</v>
      </c>
      <c r="J2170" t="s">
        <v>290</v>
      </c>
      <c r="K2170" t="s">
        <v>291</v>
      </c>
      <c r="L2170">
        <v>5</v>
      </c>
      <c r="M2170" t="s">
        <v>7954</v>
      </c>
      <c r="N2170" t="s">
        <v>59</v>
      </c>
      <c r="O2170" t="s">
        <v>47</v>
      </c>
      <c r="P2170" t="s">
        <v>47</v>
      </c>
      <c r="Y2170" t="s">
        <v>7955</v>
      </c>
      <c r="AG2170" t="s">
        <v>48</v>
      </c>
    </row>
    <row r="2171" spans="1:33">
      <c r="A2171" t="s">
        <v>7956</v>
      </c>
      <c r="B2171" t="s">
        <v>7957</v>
      </c>
      <c r="D2171" t="s">
        <v>40</v>
      </c>
      <c r="E2171" t="s">
        <v>41</v>
      </c>
      <c r="J2171" t="s">
        <v>108</v>
      </c>
      <c r="K2171" t="s">
        <v>109</v>
      </c>
      <c r="L2171">
        <v>5</v>
      </c>
      <c r="M2171" t="s">
        <v>7958</v>
      </c>
      <c r="N2171" t="s">
        <v>59</v>
      </c>
      <c r="O2171" t="s">
        <v>47</v>
      </c>
      <c r="P2171" t="s">
        <v>47</v>
      </c>
      <c r="Y2171" t="s">
        <v>7959</v>
      </c>
      <c r="AG2171" t="s">
        <v>48</v>
      </c>
    </row>
    <row r="2172" spans="1:33">
      <c r="A2172" t="s">
        <v>7960</v>
      </c>
      <c r="B2172" t="s">
        <v>7961</v>
      </c>
      <c r="D2172" t="s">
        <v>40</v>
      </c>
      <c r="E2172" t="s">
        <v>41</v>
      </c>
      <c r="J2172" t="s">
        <v>290</v>
      </c>
      <c r="K2172" t="s">
        <v>291</v>
      </c>
      <c r="L2172">
        <v>5</v>
      </c>
      <c r="M2172" t="s">
        <v>7958</v>
      </c>
      <c r="N2172" t="s">
        <v>59</v>
      </c>
      <c r="O2172" t="s">
        <v>47</v>
      </c>
      <c r="P2172" t="s">
        <v>47</v>
      </c>
      <c r="Y2172" t="s">
        <v>7962</v>
      </c>
      <c r="AG2172" t="s">
        <v>48</v>
      </c>
    </row>
    <row r="2173" spans="1:33">
      <c r="A2173" t="s">
        <v>7963</v>
      </c>
      <c r="B2173" t="s">
        <v>7964</v>
      </c>
      <c r="D2173" t="s">
        <v>40</v>
      </c>
      <c r="E2173" t="s">
        <v>41</v>
      </c>
      <c r="J2173" t="s">
        <v>129</v>
      </c>
      <c r="K2173" t="s">
        <v>130</v>
      </c>
      <c r="L2173">
        <v>5</v>
      </c>
      <c r="M2173" t="s">
        <v>7958</v>
      </c>
      <c r="N2173" t="s">
        <v>218</v>
      </c>
      <c r="O2173" t="s">
        <v>47</v>
      </c>
      <c r="P2173" t="s">
        <v>47</v>
      </c>
      <c r="Y2173" t="s">
        <v>7965</v>
      </c>
      <c r="AG2173" t="s">
        <v>48</v>
      </c>
    </row>
    <row r="2174" spans="1:33">
      <c r="A2174" t="s">
        <v>7966</v>
      </c>
      <c r="B2174" t="s">
        <v>7967</v>
      </c>
      <c r="D2174" t="s">
        <v>40</v>
      </c>
      <c r="E2174" t="s">
        <v>41</v>
      </c>
      <c r="J2174" t="s">
        <v>290</v>
      </c>
      <c r="K2174" t="s">
        <v>291</v>
      </c>
      <c r="L2174">
        <v>5</v>
      </c>
      <c r="M2174" t="s">
        <v>7958</v>
      </c>
      <c r="N2174" t="s">
        <v>59</v>
      </c>
      <c r="O2174" t="s">
        <v>47</v>
      </c>
      <c r="P2174" t="s">
        <v>47</v>
      </c>
      <c r="Y2174" t="s">
        <v>7968</v>
      </c>
      <c r="AG2174" t="s">
        <v>48</v>
      </c>
    </row>
    <row r="2175" spans="1:33">
      <c r="A2175" t="s">
        <v>7969</v>
      </c>
      <c r="B2175" t="s">
        <v>7970</v>
      </c>
      <c r="D2175" t="s">
        <v>40</v>
      </c>
      <c r="E2175" t="s">
        <v>41</v>
      </c>
      <c r="J2175" t="s">
        <v>290</v>
      </c>
      <c r="K2175" t="s">
        <v>291</v>
      </c>
      <c r="L2175">
        <v>5</v>
      </c>
      <c r="M2175" t="s">
        <v>7971</v>
      </c>
      <c r="N2175" t="s">
        <v>59</v>
      </c>
      <c r="O2175" t="s">
        <v>47</v>
      </c>
      <c r="P2175" t="s">
        <v>47</v>
      </c>
      <c r="Y2175" t="s">
        <v>7972</v>
      </c>
      <c r="AG2175" t="s">
        <v>48</v>
      </c>
    </row>
    <row r="2176" spans="1:33">
      <c r="A2176" t="s">
        <v>7973</v>
      </c>
      <c r="B2176" t="s">
        <v>7974</v>
      </c>
      <c r="D2176" t="s">
        <v>40</v>
      </c>
      <c r="E2176" t="s">
        <v>41</v>
      </c>
      <c r="J2176" t="s">
        <v>290</v>
      </c>
      <c r="K2176" t="s">
        <v>291</v>
      </c>
      <c r="L2176">
        <v>5</v>
      </c>
      <c r="M2176" t="s">
        <v>7971</v>
      </c>
      <c r="N2176" t="s">
        <v>59</v>
      </c>
      <c r="O2176" t="s">
        <v>47</v>
      </c>
      <c r="P2176" t="s">
        <v>47</v>
      </c>
      <c r="Y2176" t="s">
        <v>7975</v>
      </c>
      <c r="AG2176" t="s">
        <v>48</v>
      </c>
    </row>
    <row r="2177" spans="1:33">
      <c r="A2177" t="s">
        <v>7976</v>
      </c>
      <c r="B2177" t="s">
        <v>7977</v>
      </c>
      <c r="D2177" t="s">
        <v>40</v>
      </c>
      <c r="E2177" t="s">
        <v>41</v>
      </c>
      <c r="J2177" t="s">
        <v>290</v>
      </c>
      <c r="K2177" t="s">
        <v>291</v>
      </c>
      <c r="L2177">
        <v>5</v>
      </c>
      <c r="M2177" t="s">
        <v>7971</v>
      </c>
      <c r="N2177" t="s">
        <v>59</v>
      </c>
      <c r="O2177" t="s">
        <v>47</v>
      </c>
      <c r="P2177" t="s">
        <v>47</v>
      </c>
      <c r="Y2177" t="s">
        <v>7978</v>
      </c>
      <c r="AG2177" t="s">
        <v>48</v>
      </c>
    </row>
    <row r="2178" spans="1:33">
      <c r="A2178" t="s">
        <v>7979</v>
      </c>
      <c r="B2178" t="s">
        <v>7980</v>
      </c>
      <c r="D2178" t="s">
        <v>40</v>
      </c>
      <c r="E2178" t="s">
        <v>41</v>
      </c>
      <c r="J2178" t="s">
        <v>290</v>
      </c>
      <c r="K2178" t="s">
        <v>291</v>
      </c>
      <c r="L2178">
        <v>5</v>
      </c>
      <c r="M2178" t="s">
        <v>7971</v>
      </c>
      <c r="N2178" t="s">
        <v>59</v>
      </c>
      <c r="O2178" t="s">
        <v>47</v>
      </c>
      <c r="P2178" t="s">
        <v>47</v>
      </c>
      <c r="Y2178" t="s">
        <v>7981</v>
      </c>
      <c r="AG2178" t="s">
        <v>48</v>
      </c>
    </row>
    <row r="2179" spans="1:33">
      <c r="A2179" t="s">
        <v>7982</v>
      </c>
      <c r="B2179" t="s">
        <v>7983</v>
      </c>
      <c r="D2179" t="s">
        <v>40</v>
      </c>
      <c r="E2179" t="s">
        <v>41</v>
      </c>
      <c r="J2179" t="s">
        <v>270</v>
      </c>
      <c r="K2179" t="s">
        <v>271</v>
      </c>
      <c r="L2179">
        <v>5</v>
      </c>
      <c r="M2179" t="s">
        <v>7984</v>
      </c>
      <c r="N2179" t="s">
        <v>59</v>
      </c>
      <c r="O2179" t="s">
        <v>47</v>
      </c>
      <c r="P2179" t="s">
        <v>47</v>
      </c>
      <c r="Y2179" t="s">
        <v>7985</v>
      </c>
      <c r="AG2179" t="s">
        <v>48</v>
      </c>
    </row>
    <row r="2180" spans="1:33">
      <c r="A2180" t="s">
        <v>117</v>
      </c>
      <c r="B2180" t="s">
        <v>7986</v>
      </c>
      <c r="D2180" t="s">
        <v>40</v>
      </c>
      <c r="E2180" t="s">
        <v>41</v>
      </c>
      <c r="H2180" t="s">
        <v>7987</v>
      </c>
      <c r="J2180" t="s">
        <v>129</v>
      </c>
      <c r="K2180" t="s">
        <v>130</v>
      </c>
      <c r="L2180">
        <v>5</v>
      </c>
      <c r="M2180" t="s">
        <v>7988</v>
      </c>
      <c r="N2180" t="s">
        <v>218</v>
      </c>
      <c r="O2180" t="s">
        <v>47</v>
      </c>
      <c r="P2180" t="s">
        <v>47</v>
      </c>
      <c r="Y2180" t="s">
        <v>7987</v>
      </c>
      <c r="AG2180" t="s">
        <v>48</v>
      </c>
    </row>
    <row r="2181" spans="1:33">
      <c r="A2181" t="s">
        <v>7989</v>
      </c>
      <c r="B2181" t="s">
        <v>7990</v>
      </c>
      <c r="D2181" t="s">
        <v>40</v>
      </c>
      <c r="E2181" t="s">
        <v>41</v>
      </c>
      <c r="J2181" t="s">
        <v>162</v>
      </c>
      <c r="K2181" t="s">
        <v>163</v>
      </c>
      <c r="L2181">
        <v>5</v>
      </c>
      <c r="M2181" t="s">
        <v>7991</v>
      </c>
      <c r="N2181" t="s">
        <v>59</v>
      </c>
      <c r="O2181" t="s">
        <v>47</v>
      </c>
      <c r="P2181" t="s">
        <v>47</v>
      </c>
      <c r="Y2181" t="s">
        <v>7992</v>
      </c>
      <c r="AG2181" t="s">
        <v>48</v>
      </c>
    </row>
    <row r="2182" spans="1:33">
      <c r="A2182" t="s">
        <v>7993</v>
      </c>
      <c r="B2182" t="s">
        <v>7994</v>
      </c>
      <c r="D2182" t="s">
        <v>40</v>
      </c>
      <c r="E2182" t="s">
        <v>41</v>
      </c>
      <c r="J2182" t="s">
        <v>290</v>
      </c>
      <c r="K2182" t="s">
        <v>291</v>
      </c>
      <c r="L2182">
        <v>5</v>
      </c>
      <c r="M2182" t="s">
        <v>7991</v>
      </c>
      <c r="N2182" t="s">
        <v>59</v>
      </c>
      <c r="O2182" t="s">
        <v>47</v>
      </c>
      <c r="P2182" t="s">
        <v>47</v>
      </c>
      <c r="Y2182" t="s">
        <v>7995</v>
      </c>
      <c r="AG2182" t="s">
        <v>48</v>
      </c>
    </row>
    <row r="2183" spans="1:33">
      <c r="A2183" t="s">
        <v>7996</v>
      </c>
      <c r="B2183" t="s">
        <v>7997</v>
      </c>
      <c r="D2183" t="s">
        <v>40</v>
      </c>
      <c r="E2183" t="s">
        <v>41</v>
      </c>
      <c r="J2183" t="s">
        <v>270</v>
      </c>
      <c r="K2183" t="s">
        <v>271</v>
      </c>
      <c r="L2183">
        <v>5</v>
      </c>
      <c r="M2183" t="s">
        <v>7998</v>
      </c>
      <c r="N2183" t="s">
        <v>59</v>
      </c>
      <c r="O2183" t="s">
        <v>47</v>
      </c>
      <c r="P2183" t="s">
        <v>47</v>
      </c>
      <c r="Y2183" t="s">
        <v>7999</v>
      </c>
      <c r="AG2183" t="s">
        <v>48</v>
      </c>
    </row>
    <row r="2184" spans="1:33">
      <c r="A2184" t="s">
        <v>8000</v>
      </c>
      <c r="B2184" t="s">
        <v>8001</v>
      </c>
      <c r="D2184" t="s">
        <v>40</v>
      </c>
      <c r="E2184" t="s">
        <v>41</v>
      </c>
      <c r="J2184" t="s">
        <v>108</v>
      </c>
      <c r="K2184" t="s">
        <v>109</v>
      </c>
      <c r="L2184">
        <v>5</v>
      </c>
      <c r="M2184" t="s">
        <v>8002</v>
      </c>
      <c r="N2184" t="s">
        <v>59</v>
      </c>
      <c r="O2184" t="s">
        <v>47</v>
      </c>
      <c r="P2184" t="s">
        <v>47</v>
      </c>
      <c r="Y2184" t="s">
        <v>8003</v>
      </c>
      <c r="AG2184" t="s">
        <v>48</v>
      </c>
    </row>
    <row r="2185" spans="1:33">
      <c r="A2185" t="s">
        <v>8004</v>
      </c>
      <c r="B2185" t="s">
        <v>8005</v>
      </c>
      <c r="D2185" t="s">
        <v>40</v>
      </c>
      <c r="E2185" t="s">
        <v>41</v>
      </c>
      <c r="J2185" t="s">
        <v>86</v>
      </c>
      <c r="K2185" t="s">
        <v>87</v>
      </c>
      <c r="L2185">
        <v>5</v>
      </c>
      <c r="M2185" t="s">
        <v>8002</v>
      </c>
      <c r="N2185" t="s">
        <v>192</v>
      </c>
      <c r="O2185" t="s">
        <v>47</v>
      </c>
      <c r="P2185" t="s">
        <v>47</v>
      </c>
      <c r="Y2185" t="s">
        <v>8006</v>
      </c>
      <c r="AG2185" t="s">
        <v>48</v>
      </c>
    </row>
    <row r="2186" spans="1:33">
      <c r="A2186" t="s">
        <v>8007</v>
      </c>
      <c r="B2186" t="s">
        <v>8008</v>
      </c>
      <c r="D2186" t="s">
        <v>40</v>
      </c>
      <c r="E2186" t="s">
        <v>41</v>
      </c>
      <c r="J2186" t="s">
        <v>290</v>
      </c>
      <c r="K2186" t="s">
        <v>291</v>
      </c>
      <c r="L2186">
        <v>5</v>
      </c>
      <c r="M2186" t="s">
        <v>8002</v>
      </c>
      <c r="N2186" t="s">
        <v>59</v>
      </c>
      <c r="O2186" t="s">
        <v>47</v>
      </c>
      <c r="P2186" t="s">
        <v>47</v>
      </c>
      <c r="Y2186" t="s">
        <v>8009</v>
      </c>
      <c r="AG2186" t="s">
        <v>48</v>
      </c>
    </row>
    <row r="2187" spans="1:33">
      <c r="A2187" t="s">
        <v>8010</v>
      </c>
      <c r="B2187" t="s">
        <v>8011</v>
      </c>
      <c r="D2187" t="s">
        <v>40</v>
      </c>
      <c r="E2187" t="s">
        <v>41</v>
      </c>
      <c r="J2187" t="s">
        <v>162</v>
      </c>
      <c r="K2187" t="s">
        <v>163</v>
      </c>
      <c r="L2187">
        <v>5</v>
      </c>
      <c r="M2187" t="s">
        <v>8012</v>
      </c>
      <c r="N2187" t="s">
        <v>59</v>
      </c>
      <c r="O2187" t="s">
        <v>47</v>
      </c>
      <c r="P2187" t="s">
        <v>47</v>
      </c>
      <c r="Y2187" t="s">
        <v>8013</v>
      </c>
      <c r="AG2187" t="s">
        <v>48</v>
      </c>
    </row>
    <row r="2188" spans="1:33">
      <c r="A2188" t="s">
        <v>8014</v>
      </c>
      <c r="B2188" t="s">
        <v>8015</v>
      </c>
      <c r="D2188" t="s">
        <v>40</v>
      </c>
      <c r="E2188" t="s">
        <v>41</v>
      </c>
      <c r="J2188" t="s">
        <v>162</v>
      </c>
      <c r="K2188" t="s">
        <v>163</v>
      </c>
      <c r="L2188">
        <v>5</v>
      </c>
      <c r="M2188" t="s">
        <v>8016</v>
      </c>
      <c r="N2188" t="s">
        <v>59</v>
      </c>
      <c r="O2188" t="s">
        <v>47</v>
      </c>
      <c r="P2188" t="s">
        <v>47</v>
      </c>
      <c r="Y2188" t="s">
        <v>8017</v>
      </c>
      <c r="AG2188" t="s">
        <v>48</v>
      </c>
    </row>
    <row r="2189" spans="1:33">
      <c r="A2189" t="s">
        <v>8018</v>
      </c>
      <c r="B2189" t="s">
        <v>8019</v>
      </c>
      <c r="D2189" t="s">
        <v>40</v>
      </c>
      <c r="E2189" t="s">
        <v>41</v>
      </c>
      <c r="J2189" t="s">
        <v>290</v>
      </c>
      <c r="K2189" t="s">
        <v>291</v>
      </c>
      <c r="L2189">
        <v>5</v>
      </c>
      <c r="M2189" t="s">
        <v>8020</v>
      </c>
      <c r="N2189" t="s">
        <v>59</v>
      </c>
      <c r="O2189" t="s">
        <v>47</v>
      </c>
      <c r="P2189" t="s">
        <v>47</v>
      </c>
      <c r="Y2189" t="s">
        <v>8021</v>
      </c>
      <c r="AG2189" t="s">
        <v>48</v>
      </c>
    </row>
    <row r="2190" spans="1:33">
      <c r="A2190" t="s">
        <v>8022</v>
      </c>
      <c r="B2190" t="s">
        <v>8023</v>
      </c>
      <c r="D2190" t="s">
        <v>40</v>
      </c>
      <c r="E2190" t="s">
        <v>41</v>
      </c>
      <c r="J2190" t="s">
        <v>290</v>
      </c>
      <c r="K2190" t="s">
        <v>291</v>
      </c>
      <c r="L2190">
        <v>5</v>
      </c>
      <c r="M2190" t="s">
        <v>8024</v>
      </c>
      <c r="N2190" t="s">
        <v>59</v>
      </c>
      <c r="O2190" t="s">
        <v>47</v>
      </c>
      <c r="P2190" t="s">
        <v>47</v>
      </c>
      <c r="Y2190" t="s">
        <v>8025</v>
      </c>
      <c r="AG2190" t="s">
        <v>48</v>
      </c>
    </row>
    <row r="2191" spans="1:33">
      <c r="A2191" t="s">
        <v>8026</v>
      </c>
      <c r="B2191" t="s">
        <v>8027</v>
      </c>
      <c r="D2191" t="s">
        <v>40</v>
      </c>
      <c r="E2191" t="s">
        <v>41</v>
      </c>
      <c r="J2191" t="s">
        <v>129</v>
      </c>
      <c r="K2191" t="s">
        <v>130</v>
      </c>
      <c r="L2191">
        <v>5</v>
      </c>
      <c r="M2191" t="s">
        <v>8024</v>
      </c>
      <c r="N2191" t="s">
        <v>218</v>
      </c>
      <c r="O2191" t="s">
        <v>47</v>
      </c>
      <c r="P2191" t="s">
        <v>47</v>
      </c>
      <c r="Y2191" t="s">
        <v>8028</v>
      </c>
      <c r="AG2191" t="s">
        <v>48</v>
      </c>
    </row>
    <row r="2192" spans="1:33">
      <c r="A2192" t="s">
        <v>8029</v>
      </c>
      <c r="B2192" t="s">
        <v>8030</v>
      </c>
      <c r="D2192" t="s">
        <v>40</v>
      </c>
      <c r="E2192" t="s">
        <v>41</v>
      </c>
      <c r="J2192" t="s">
        <v>290</v>
      </c>
      <c r="K2192" t="s">
        <v>291</v>
      </c>
      <c r="L2192">
        <v>5</v>
      </c>
      <c r="M2192" t="s">
        <v>8031</v>
      </c>
      <c r="N2192" t="s">
        <v>59</v>
      </c>
      <c r="O2192" t="s">
        <v>47</v>
      </c>
      <c r="P2192" t="s">
        <v>47</v>
      </c>
      <c r="Y2192" t="s">
        <v>8032</v>
      </c>
      <c r="AG2192" t="s">
        <v>48</v>
      </c>
    </row>
    <row r="2193" spans="1:33">
      <c r="A2193" t="s">
        <v>8033</v>
      </c>
      <c r="B2193" t="s">
        <v>8034</v>
      </c>
      <c r="D2193" t="s">
        <v>40</v>
      </c>
      <c r="E2193" t="s">
        <v>41</v>
      </c>
      <c r="J2193" t="s">
        <v>129</v>
      </c>
      <c r="K2193" t="s">
        <v>130</v>
      </c>
      <c r="L2193">
        <v>5</v>
      </c>
      <c r="M2193" t="s">
        <v>8031</v>
      </c>
      <c r="N2193" t="s">
        <v>192</v>
      </c>
      <c r="O2193" t="s">
        <v>47</v>
      </c>
      <c r="P2193" t="s">
        <v>47</v>
      </c>
      <c r="Y2193" t="s">
        <v>8035</v>
      </c>
      <c r="AG2193" t="s">
        <v>48</v>
      </c>
    </row>
    <row r="2194" spans="1:33">
      <c r="A2194" t="s">
        <v>8036</v>
      </c>
      <c r="B2194" t="s">
        <v>8037</v>
      </c>
      <c r="D2194" t="s">
        <v>40</v>
      </c>
      <c r="E2194" t="s">
        <v>41</v>
      </c>
      <c r="J2194" t="s">
        <v>290</v>
      </c>
      <c r="K2194" t="s">
        <v>291</v>
      </c>
      <c r="L2194">
        <v>5</v>
      </c>
      <c r="M2194" t="s">
        <v>8031</v>
      </c>
      <c r="N2194" t="s">
        <v>59</v>
      </c>
      <c r="O2194" t="s">
        <v>47</v>
      </c>
      <c r="P2194" t="s">
        <v>47</v>
      </c>
      <c r="Y2194" t="s">
        <v>8038</v>
      </c>
      <c r="AG2194" t="s">
        <v>48</v>
      </c>
    </row>
    <row r="2195" spans="1:33">
      <c r="A2195" t="s">
        <v>8039</v>
      </c>
      <c r="B2195" t="s">
        <v>8040</v>
      </c>
      <c r="D2195" t="s">
        <v>40</v>
      </c>
      <c r="E2195" t="s">
        <v>41</v>
      </c>
      <c r="H2195" t="s">
        <v>8041</v>
      </c>
      <c r="J2195" t="s">
        <v>108</v>
      </c>
      <c r="K2195" t="s">
        <v>109</v>
      </c>
      <c r="L2195">
        <v>5</v>
      </c>
      <c r="M2195" t="s">
        <v>8042</v>
      </c>
      <c r="N2195" t="s">
        <v>59</v>
      </c>
      <c r="O2195" t="s">
        <v>47</v>
      </c>
      <c r="P2195" t="s">
        <v>47</v>
      </c>
      <c r="Y2195" t="s">
        <v>8041</v>
      </c>
      <c r="AG2195" t="s">
        <v>48</v>
      </c>
    </row>
    <row r="2196" spans="1:33">
      <c r="A2196" t="s">
        <v>8043</v>
      </c>
      <c r="B2196" t="s">
        <v>8044</v>
      </c>
      <c r="D2196" t="s">
        <v>40</v>
      </c>
      <c r="E2196" t="s">
        <v>41</v>
      </c>
      <c r="H2196" t="s">
        <v>8045</v>
      </c>
      <c r="J2196" t="s">
        <v>290</v>
      </c>
      <c r="K2196" t="s">
        <v>291</v>
      </c>
      <c r="L2196">
        <v>5</v>
      </c>
      <c r="M2196" t="s">
        <v>8042</v>
      </c>
      <c r="N2196" t="s">
        <v>59</v>
      </c>
      <c r="O2196" t="s">
        <v>47</v>
      </c>
      <c r="P2196" t="s">
        <v>47</v>
      </c>
      <c r="Y2196" t="s">
        <v>8045</v>
      </c>
      <c r="AG2196" t="s">
        <v>48</v>
      </c>
    </row>
    <row r="2197" spans="1:33">
      <c r="A2197" t="s">
        <v>8046</v>
      </c>
      <c r="B2197" t="s">
        <v>8047</v>
      </c>
      <c r="D2197" t="s">
        <v>40</v>
      </c>
      <c r="E2197" t="s">
        <v>41</v>
      </c>
      <c r="J2197" t="s">
        <v>162</v>
      </c>
      <c r="K2197" t="s">
        <v>163</v>
      </c>
      <c r="L2197">
        <v>5</v>
      </c>
      <c r="M2197" t="s">
        <v>8048</v>
      </c>
      <c r="N2197" t="s">
        <v>59</v>
      </c>
      <c r="O2197" t="s">
        <v>47</v>
      </c>
      <c r="P2197" t="s">
        <v>47</v>
      </c>
      <c r="Y2197" t="s">
        <v>8049</v>
      </c>
      <c r="AG2197" t="s">
        <v>48</v>
      </c>
    </row>
    <row r="2198" spans="1:33">
      <c r="A2198" t="s">
        <v>8050</v>
      </c>
      <c r="B2198" t="s">
        <v>8051</v>
      </c>
      <c r="D2198" t="s">
        <v>40</v>
      </c>
      <c r="E2198" t="s">
        <v>41</v>
      </c>
      <c r="J2198" t="s">
        <v>290</v>
      </c>
      <c r="K2198" t="s">
        <v>291</v>
      </c>
      <c r="L2198">
        <v>5</v>
      </c>
      <c r="M2198" t="s">
        <v>8052</v>
      </c>
      <c r="N2198" t="s">
        <v>59</v>
      </c>
      <c r="O2198" t="s">
        <v>47</v>
      </c>
      <c r="P2198" t="s">
        <v>47</v>
      </c>
      <c r="Y2198" t="s">
        <v>8053</v>
      </c>
      <c r="AG2198" t="s">
        <v>48</v>
      </c>
    </row>
    <row r="2199" spans="1:33">
      <c r="A2199" t="s">
        <v>8054</v>
      </c>
      <c r="B2199" t="s">
        <v>8055</v>
      </c>
      <c r="D2199" t="s">
        <v>40</v>
      </c>
      <c r="E2199" t="s">
        <v>41</v>
      </c>
      <c r="J2199" t="s">
        <v>290</v>
      </c>
      <c r="K2199" t="s">
        <v>291</v>
      </c>
      <c r="L2199">
        <v>5</v>
      </c>
      <c r="M2199" t="s">
        <v>8056</v>
      </c>
      <c r="N2199" t="s">
        <v>59</v>
      </c>
      <c r="O2199" t="s">
        <v>47</v>
      </c>
      <c r="P2199" t="s">
        <v>47</v>
      </c>
      <c r="Y2199" t="s">
        <v>8057</v>
      </c>
      <c r="AG2199" t="s">
        <v>48</v>
      </c>
    </row>
    <row r="2200" spans="1:33">
      <c r="A2200" t="s">
        <v>8058</v>
      </c>
      <c r="B2200" t="s">
        <v>8059</v>
      </c>
      <c r="D2200" t="s">
        <v>40</v>
      </c>
      <c r="E2200" t="s">
        <v>41</v>
      </c>
      <c r="J2200" t="s">
        <v>114</v>
      </c>
      <c r="K2200" t="s">
        <v>115</v>
      </c>
      <c r="L2200">
        <v>5</v>
      </c>
      <c r="M2200" t="s">
        <v>8060</v>
      </c>
      <c r="N2200" t="s">
        <v>59</v>
      </c>
      <c r="O2200" t="s">
        <v>47</v>
      </c>
      <c r="P2200" t="s">
        <v>47</v>
      </c>
      <c r="Y2200" t="s">
        <v>8061</v>
      </c>
      <c r="AG2200" t="s">
        <v>48</v>
      </c>
    </row>
    <row r="2201" spans="1:33">
      <c r="A2201" t="s">
        <v>8062</v>
      </c>
      <c r="B2201" t="s">
        <v>8063</v>
      </c>
      <c r="D2201" t="s">
        <v>40</v>
      </c>
      <c r="E2201" t="s">
        <v>41</v>
      </c>
      <c r="J2201" t="s">
        <v>290</v>
      </c>
      <c r="K2201" t="s">
        <v>291</v>
      </c>
      <c r="L2201">
        <v>5</v>
      </c>
      <c r="M2201" t="s">
        <v>8064</v>
      </c>
      <c r="N2201" t="s">
        <v>59</v>
      </c>
      <c r="O2201" t="s">
        <v>47</v>
      </c>
      <c r="P2201" t="s">
        <v>47</v>
      </c>
      <c r="Y2201" t="s">
        <v>8065</v>
      </c>
      <c r="AG2201" t="s">
        <v>48</v>
      </c>
    </row>
    <row r="2202" spans="1:33">
      <c r="A2202" t="s">
        <v>8066</v>
      </c>
      <c r="B2202" t="s">
        <v>8067</v>
      </c>
      <c r="D2202" t="s">
        <v>40</v>
      </c>
      <c r="E2202" t="s">
        <v>41</v>
      </c>
      <c r="H2202" t="s">
        <v>8068</v>
      </c>
      <c r="J2202" t="s">
        <v>290</v>
      </c>
      <c r="K2202" t="s">
        <v>291</v>
      </c>
      <c r="L2202">
        <v>5</v>
      </c>
      <c r="M2202" t="s">
        <v>8069</v>
      </c>
      <c r="N2202" t="s">
        <v>59</v>
      </c>
      <c r="O2202" t="s">
        <v>47</v>
      </c>
      <c r="P2202" t="s">
        <v>47</v>
      </c>
      <c r="Y2202" t="s">
        <v>8068</v>
      </c>
      <c r="AG2202" t="s">
        <v>48</v>
      </c>
    </row>
    <row r="2203" spans="1:33">
      <c r="A2203" t="s">
        <v>8070</v>
      </c>
      <c r="B2203" t="s">
        <v>8071</v>
      </c>
      <c r="D2203" t="s">
        <v>40</v>
      </c>
      <c r="E2203" t="s">
        <v>41</v>
      </c>
      <c r="J2203" t="s">
        <v>114</v>
      </c>
      <c r="K2203" t="s">
        <v>115</v>
      </c>
      <c r="L2203">
        <v>5</v>
      </c>
      <c r="M2203" t="s">
        <v>8072</v>
      </c>
      <c r="N2203" t="s">
        <v>59</v>
      </c>
      <c r="O2203" t="s">
        <v>47</v>
      </c>
      <c r="P2203" t="s">
        <v>47</v>
      </c>
      <c r="Y2203" t="s">
        <v>8073</v>
      </c>
      <c r="AG2203" t="s">
        <v>48</v>
      </c>
    </row>
    <row r="2204" spans="1:33">
      <c r="A2204" t="s">
        <v>8074</v>
      </c>
      <c r="B2204" t="s">
        <v>8075</v>
      </c>
      <c r="D2204" t="s">
        <v>40</v>
      </c>
      <c r="E2204" t="s">
        <v>41</v>
      </c>
      <c r="J2204" t="s">
        <v>290</v>
      </c>
      <c r="K2204" t="s">
        <v>291</v>
      </c>
      <c r="L2204">
        <v>5</v>
      </c>
      <c r="M2204" t="s">
        <v>8076</v>
      </c>
      <c r="N2204" t="s">
        <v>59</v>
      </c>
      <c r="O2204" t="s">
        <v>47</v>
      </c>
      <c r="P2204" t="s">
        <v>47</v>
      </c>
      <c r="Y2204" t="s">
        <v>8077</v>
      </c>
      <c r="AG2204" t="s">
        <v>48</v>
      </c>
    </row>
    <row r="2205" spans="1:33">
      <c r="A2205" t="s">
        <v>8078</v>
      </c>
      <c r="B2205" t="s">
        <v>8079</v>
      </c>
      <c r="D2205" t="s">
        <v>40</v>
      </c>
      <c r="E2205" t="s">
        <v>41</v>
      </c>
      <c r="J2205" t="s">
        <v>290</v>
      </c>
      <c r="K2205" t="s">
        <v>291</v>
      </c>
      <c r="L2205">
        <v>5</v>
      </c>
      <c r="M2205" t="s">
        <v>8080</v>
      </c>
      <c r="N2205" t="s">
        <v>59</v>
      </c>
      <c r="O2205" t="s">
        <v>47</v>
      </c>
      <c r="P2205" t="s">
        <v>47</v>
      </c>
      <c r="Y2205" t="s">
        <v>8081</v>
      </c>
      <c r="AG2205" t="s">
        <v>48</v>
      </c>
    </row>
    <row r="2206" spans="1:33">
      <c r="A2206" t="s">
        <v>8082</v>
      </c>
      <c r="B2206" t="s">
        <v>8083</v>
      </c>
      <c r="D2206" t="s">
        <v>40</v>
      </c>
      <c r="E2206" t="s">
        <v>41</v>
      </c>
      <c r="J2206" t="s">
        <v>290</v>
      </c>
      <c r="K2206" t="s">
        <v>291</v>
      </c>
      <c r="L2206">
        <v>5</v>
      </c>
      <c r="M2206" t="s">
        <v>8080</v>
      </c>
      <c r="N2206" t="s">
        <v>59</v>
      </c>
      <c r="O2206" t="s">
        <v>47</v>
      </c>
      <c r="P2206" t="s">
        <v>47</v>
      </c>
      <c r="Y2206" t="s">
        <v>8084</v>
      </c>
      <c r="AG2206" t="s">
        <v>48</v>
      </c>
    </row>
    <row r="2207" spans="1:33">
      <c r="A2207" t="s">
        <v>8085</v>
      </c>
      <c r="B2207" t="s">
        <v>8086</v>
      </c>
      <c r="D2207" t="s">
        <v>40</v>
      </c>
      <c r="E2207" t="s">
        <v>41</v>
      </c>
      <c r="J2207" t="s">
        <v>290</v>
      </c>
      <c r="K2207" t="s">
        <v>291</v>
      </c>
      <c r="L2207">
        <v>5</v>
      </c>
      <c r="M2207" t="s">
        <v>8080</v>
      </c>
      <c r="N2207" t="s">
        <v>59</v>
      </c>
      <c r="O2207" t="s">
        <v>47</v>
      </c>
      <c r="P2207" t="s">
        <v>47</v>
      </c>
      <c r="Y2207" t="s">
        <v>8087</v>
      </c>
      <c r="AG2207" t="s">
        <v>48</v>
      </c>
    </row>
    <row r="2208" spans="1:33">
      <c r="A2208" t="s">
        <v>8088</v>
      </c>
      <c r="B2208" t="s">
        <v>8089</v>
      </c>
      <c r="D2208" t="s">
        <v>40</v>
      </c>
      <c r="E2208" t="s">
        <v>41</v>
      </c>
      <c r="J2208" t="s">
        <v>290</v>
      </c>
      <c r="K2208" t="s">
        <v>291</v>
      </c>
      <c r="L2208">
        <v>5</v>
      </c>
      <c r="M2208" t="s">
        <v>8090</v>
      </c>
      <c r="N2208" t="s">
        <v>59</v>
      </c>
      <c r="O2208" t="s">
        <v>47</v>
      </c>
      <c r="P2208" t="s">
        <v>47</v>
      </c>
      <c r="Y2208" t="s">
        <v>8091</v>
      </c>
      <c r="AG2208" t="s">
        <v>48</v>
      </c>
    </row>
    <row r="2209" spans="1:33">
      <c r="A2209" t="s">
        <v>8092</v>
      </c>
      <c r="B2209" t="s">
        <v>8093</v>
      </c>
      <c r="D2209" t="s">
        <v>40</v>
      </c>
      <c r="E2209" t="s">
        <v>41</v>
      </c>
      <c r="J2209" t="s">
        <v>108</v>
      </c>
      <c r="K2209" t="s">
        <v>109</v>
      </c>
      <c r="L2209">
        <v>5</v>
      </c>
      <c r="M2209" t="s">
        <v>8090</v>
      </c>
      <c r="N2209" t="s">
        <v>59</v>
      </c>
      <c r="O2209" t="s">
        <v>47</v>
      </c>
      <c r="P2209" t="s">
        <v>47</v>
      </c>
      <c r="Y2209" t="s">
        <v>8094</v>
      </c>
      <c r="AG2209" t="s">
        <v>48</v>
      </c>
    </row>
    <row r="2210" spans="1:33">
      <c r="A2210" t="s">
        <v>8095</v>
      </c>
      <c r="B2210" t="s">
        <v>8096</v>
      </c>
      <c r="D2210" t="s">
        <v>40</v>
      </c>
      <c r="E2210" t="s">
        <v>41</v>
      </c>
      <c r="J2210" t="s">
        <v>123</v>
      </c>
      <c r="K2210" t="s">
        <v>124</v>
      </c>
      <c r="L2210">
        <v>5</v>
      </c>
      <c r="M2210" t="s">
        <v>8090</v>
      </c>
      <c r="N2210" t="s">
        <v>218</v>
      </c>
      <c r="O2210" t="s">
        <v>47</v>
      </c>
      <c r="P2210" t="s">
        <v>47</v>
      </c>
      <c r="Y2210" t="s">
        <v>8097</v>
      </c>
      <c r="AG2210" t="s">
        <v>48</v>
      </c>
    </row>
    <row r="2211" spans="1:33">
      <c r="A2211" t="s">
        <v>8098</v>
      </c>
      <c r="B2211" t="s">
        <v>8099</v>
      </c>
      <c r="D2211" t="s">
        <v>40</v>
      </c>
      <c r="E2211" t="s">
        <v>41</v>
      </c>
      <c r="J2211" t="s">
        <v>290</v>
      </c>
      <c r="K2211" t="s">
        <v>291</v>
      </c>
      <c r="L2211">
        <v>5</v>
      </c>
      <c r="M2211" t="s">
        <v>8100</v>
      </c>
      <c r="N2211" t="s">
        <v>59</v>
      </c>
      <c r="O2211" t="s">
        <v>47</v>
      </c>
      <c r="P2211" t="s">
        <v>47</v>
      </c>
      <c r="Y2211" t="s">
        <v>8101</v>
      </c>
      <c r="AG2211" t="s">
        <v>48</v>
      </c>
    </row>
    <row r="2212" spans="1:33">
      <c r="A2212" t="s">
        <v>8102</v>
      </c>
      <c r="B2212" t="s">
        <v>8103</v>
      </c>
      <c r="D2212" t="s">
        <v>40</v>
      </c>
      <c r="E2212" t="s">
        <v>41</v>
      </c>
      <c r="J2212" t="s">
        <v>290</v>
      </c>
      <c r="K2212" t="s">
        <v>291</v>
      </c>
      <c r="L2212">
        <v>5</v>
      </c>
      <c r="M2212" t="s">
        <v>8104</v>
      </c>
      <c r="N2212" t="s">
        <v>59</v>
      </c>
      <c r="O2212" t="s">
        <v>47</v>
      </c>
      <c r="P2212" t="s">
        <v>47</v>
      </c>
      <c r="Y2212" t="s">
        <v>8105</v>
      </c>
      <c r="AG2212" t="s">
        <v>48</v>
      </c>
    </row>
    <row r="2213" spans="1:33">
      <c r="A2213" t="s">
        <v>8106</v>
      </c>
      <c r="B2213" t="s">
        <v>8107</v>
      </c>
      <c r="D2213" t="s">
        <v>40</v>
      </c>
      <c r="E2213" t="s">
        <v>41</v>
      </c>
      <c r="J2213" t="s">
        <v>43</v>
      </c>
      <c r="K2213" t="s">
        <v>44</v>
      </c>
      <c r="L2213">
        <v>5</v>
      </c>
      <c r="M2213" t="s">
        <v>8104</v>
      </c>
      <c r="N2213" t="s">
        <v>192</v>
      </c>
      <c r="O2213" t="s">
        <v>47</v>
      </c>
      <c r="P2213" t="s">
        <v>47</v>
      </c>
      <c r="Y2213" t="s">
        <v>8108</v>
      </c>
      <c r="AG2213" t="s">
        <v>48</v>
      </c>
    </row>
    <row r="2214" spans="1:33">
      <c r="A2214" t="s">
        <v>8109</v>
      </c>
      <c r="B2214" t="s">
        <v>8110</v>
      </c>
      <c r="D2214" t="s">
        <v>40</v>
      </c>
      <c r="E2214" t="s">
        <v>41</v>
      </c>
      <c r="H2214" t="s">
        <v>8111</v>
      </c>
      <c r="J2214" t="s">
        <v>63</v>
      </c>
      <c r="K2214" t="s">
        <v>64</v>
      </c>
      <c r="L2214">
        <v>5</v>
      </c>
      <c r="M2214" t="s">
        <v>8112</v>
      </c>
      <c r="N2214" t="s">
        <v>59</v>
      </c>
      <c r="O2214" t="s">
        <v>47</v>
      </c>
      <c r="P2214" t="s">
        <v>47</v>
      </c>
      <c r="Y2214" t="s">
        <v>8111</v>
      </c>
      <c r="AG2214" t="s">
        <v>48</v>
      </c>
    </row>
    <row r="2215" spans="1:33">
      <c r="A2215" t="s">
        <v>8113</v>
      </c>
      <c r="B2215" t="s">
        <v>8114</v>
      </c>
      <c r="D2215" t="s">
        <v>40</v>
      </c>
      <c r="E2215" t="s">
        <v>41</v>
      </c>
      <c r="H2215" t="s">
        <v>8115</v>
      </c>
      <c r="J2215" t="s">
        <v>129</v>
      </c>
      <c r="K2215" t="s">
        <v>130</v>
      </c>
      <c r="L2215">
        <v>5</v>
      </c>
      <c r="M2215" t="s">
        <v>8116</v>
      </c>
      <c r="N2215" t="s">
        <v>192</v>
      </c>
      <c r="O2215" t="s">
        <v>47</v>
      </c>
      <c r="P2215" t="s">
        <v>47</v>
      </c>
      <c r="Y2215" t="s">
        <v>8115</v>
      </c>
      <c r="AG2215" t="s">
        <v>48</v>
      </c>
    </row>
    <row r="2216" spans="1:33">
      <c r="A2216" t="s">
        <v>8117</v>
      </c>
      <c r="B2216" t="s">
        <v>8118</v>
      </c>
      <c r="D2216" t="s">
        <v>40</v>
      </c>
      <c r="E2216" t="s">
        <v>41</v>
      </c>
      <c r="J2216" t="s">
        <v>108</v>
      </c>
      <c r="K2216" t="s">
        <v>109</v>
      </c>
      <c r="L2216">
        <v>5</v>
      </c>
      <c r="M2216" t="s">
        <v>8119</v>
      </c>
      <c r="N2216" t="s">
        <v>59</v>
      </c>
      <c r="O2216" t="s">
        <v>47</v>
      </c>
      <c r="P2216" t="s">
        <v>47</v>
      </c>
      <c r="Y2216" t="s">
        <v>8120</v>
      </c>
      <c r="AG2216" t="s">
        <v>48</v>
      </c>
    </row>
    <row r="2217" spans="1:33">
      <c r="A2217" t="s">
        <v>8121</v>
      </c>
      <c r="B2217" t="s">
        <v>8122</v>
      </c>
      <c r="D2217" t="s">
        <v>40</v>
      </c>
      <c r="E2217" t="s">
        <v>41</v>
      </c>
      <c r="J2217" t="s">
        <v>114</v>
      </c>
      <c r="K2217" t="s">
        <v>115</v>
      </c>
      <c r="L2217">
        <v>5</v>
      </c>
      <c r="M2217" t="s">
        <v>8119</v>
      </c>
      <c r="N2217" t="s">
        <v>59</v>
      </c>
      <c r="O2217" t="s">
        <v>47</v>
      </c>
      <c r="P2217" t="s">
        <v>47</v>
      </c>
      <c r="Y2217" t="s">
        <v>8123</v>
      </c>
      <c r="AG2217" t="s">
        <v>48</v>
      </c>
    </row>
    <row r="2218" spans="1:33">
      <c r="A2218" t="s">
        <v>8124</v>
      </c>
      <c r="B2218" t="s">
        <v>8125</v>
      </c>
      <c r="D2218" t="s">
        <v>40</v>
      </c>
      <c r="E2218" t="s">
        <v>41</v>
      </c>
      <c r="J2218" t="s">
        <v>114</v>
      </c>
      <c r="K2218" t="s">
        <v>115</v>
      </c>
      <c r="L2218">
        <v>5</v>
      </c>
      <c r="M2218" t="s">
        <v>8119</v>
      </c>
      <c r="N2218" t="s">
        <v>59</v>
      </c>
      <c r="O2218" t="s">
        <v>47</v>
      </c>
      <c r="P2218" t="s">
        <v>47</v>
      </c>
      <c r="Y2218" t="s">
        <v>8126</v>
      </c>
      <c r="AG2218" t="s">
        <v>48</v>
      </c>
    </row>
    <row r="2219" spans="1:33">
      <c r="A2219" t="s">
        <v>8127</v>
      </c>
      <c r="B2219" t="s">
        <v>8128</v>
      </c>
      <c r="D2219" t="s">
        <v>40</v>
      </c>
      <c r="E2219" t="s">
        <v>41</v>
      </c>
      <c r="J2219" t="s">
        <v>108</v>
      </c>
      <c r="K2219" t="s">
        <v>109</v>
      </c>
      <c r="L2219">
        <v>5</v>
      </c>
      <c r="M2219" t="s">
        <v>8129</v>
      </c>
      <c r="N2219" t="s">
        <v>59</v>
      </c>
      <c r="O2219" t="s">
        <v>47</v>
      </c>
      <c r="P2219" t="s">
        <v>47</v>
      </c>
      <c r="Y2219" t="s">
        <v>8130</v>
      </c>
      <c r="AG2219" t="s">
        <v>48</v>
      </c>
    </row>
    <row r="2220" spans="1:33">
      <c r="A2220" t="s">
        <v>8131</v>
      </c>
      <c r="B2220" t="s">
        <v>8132</v>
      </c>
      <c r="D2220" t="s">
        <v>40</v>
      </c>
      <c r="E2220" t="s">
        <v>41</v>
      </c>
      <c r="J2220" t="s">
        <v>290</v>
      </c>
      <c r="K2220" t="s">
        <v>291</v>
      </c>
      <c r="L2220">
        <v>5</v>
      </c>
      <c r="M2220" t="s">
        <v>8133</v>
      </c>
      <c r="N2220" t="s">
        <v>59</v>
      </c>
      <c r="O2220" t="s">
        <v>47</v>
      </c>
      <c r="P2220" t="s">
        <v>47</v>
      </c>
      <c r="Y2220" t="s">
        <v>8134</v>
      </c>
      <c r="AG2220" t="s">
        <v>48</v>
      </c>
    </row>
    <row r="2221" spans="1:33">
      <c r="A2221" t="s">
        <v>8135</v>
      </c>
      <c r="B2221" t="s">
        <v>8136</v>
      </c>
      <c r="D2221" t="s">
        <v>40</v>
      </c>
      <c r="E2221" t="s">
        <v>41</v>
      </c>
      <c r="J2221" t="s">
        <v>290</v>
      </c>
      <c r="K2221" t="s">
        <v>291</v>
      </c>
      <c r="L2221">
        <v>5</v>
      </c>
      <c r="M2221" t="s">
        <v>8137</v>
      </c>
      <c r="N2221" t="s">
        <v>59</v>
      </c>
      <c r="O2221" t="s">
        <v>47</v>
      </c>
      <c r="P2221" t="s">
        <v>47</v>
      </c>
      <c r="Y2221" t="s">
        <v>8138</v>
      </c>
      <c r="AG2221" t="s">
        <v>48</v>
      </c>
    </row>
    <row r="2222" spans="1:33">
      <c r="A2222" t="s">
        <v>8139</v>
      </c>
      <c r="B2222" t="s">
        <v>8140</v>
      </c>
      <c r="D2222" t="s">
        <v>40</v>
      </c>
      <c r="E2222" t="s">
        <v>41</v>
      </c>
      <c r="J2222" t="s">
        <v>290</v>
      </c>
      <c r="K2222" t="s">
        <v>291</v>
      </c>
      <c r="L2222">
        <v>5</v>
      </c>
      <c r="M2222" t="s">
        <v>8141</v>
      </c>
      <c r="N2222" t="s">
        <v>59</v>
      </c>
      <c r="O2222" t="s">
        <v>47</v>
      </c>
      <c r="P2222" t="s">
        <v>47</v>
      </c>
      <c r="Y2222" t="s">
        <v>8142</v>
      </c>
      <c r="AG2222" t="s">
        <v>48</v>
      </c>
    </row>
    <row r="2223" spans="1:33">
      <c r="A2223" t="s">
        <v>8143</v>
      </c>
      <c r="B2223" t="s">
        <v>8144</v>
      </c>
      <c r="D2223" t="s">
        <v>40</v>
      </c>
      <c r="E2223" t="s">
        <v>41</v>
      </c>
      <c r="J2223" t="s">
        <v>162</v>
      </c>
      <c r="K2223" t="s">
        <v>163</v>
      </c>
      <c r="L2223">
        <v>5</v>
      </c>
      <c r="M2223" t="s">
        <v>8141</v>
      </c>
      <c r="N2223" t="s">
        <v>59</v>
      </c>
      <c r="O2223" t="s">
        <v>47</v>
      </c>
      <c r="P2223" t="s">
        <v>47</v>
      </c>
      <c r="Y2223" t="s">
        <v>8145</v>
      </c>
      <c r="AG2223" t="s">
        <v>48</v>
      </c>
    </row>
    <row r="2224" spans="1:33">
      <c r="A2224" t="s">
        <v>8146</v>
      </c>
      <c r="B2224" t="s">
        <v>8147</v>
      </c>
      <c r="D2224" t="s">
        <v>40</v>
      </c>
      <c r="E2224" t="s">
        <v>41</v>
      </c>
      <c r="J2224" t="s">
        <v>129</v>
      </c>
      <c r="K2224" t="s">
        <v>130</v>
      </c>
      <c r="L2224">
        <v>5</v>
      </c>
      <c r="M2224" t="s">
        <v>8141</v>
      </c>
      <c r="N2224" t="s">
        <v>192</v>
      </c>
      <c r="O2224" t="s">
        <v>47</v>
      </c>
      <c r="P2224" t="s">
        <v>47</v>
      </c>
      <c r="Y2224" t="s">
        <v>8148</v>
      </c>
      <c r="AG2224" t="s">
        <v>48</v>
      </c>
    </row>
    <row r="2225" spans="1:33">
      <c r="A2225" t="s">
        <v>8149</v>
      </c>
      <c r="B2225" t="s">
        <v>8150</v>
      </c>
      <c r="D2225" t="s">
        <v>40</v>
      </c>
      <c r="E2225" t="s">
        <v>41</v>
      </c>
      <c r="H2225" t="s">
        <v>8151</v>
      </c>
      <c r="J2225" t="s">
        <v>290</v>
      </c>
      <c r="K2225" t="s">
        <v>291</v>
      </c>
      <c r="L2225">
        <v>5</v>
      </c>
      <c r="M2225" t="s">
        <v>8152</v>
      </c>
      <c r="N2225" t="s">
        <v>59</v>
      </c>
      <c r="O2225" t="s">
        <v>47</v>
      </c>
      <c r="P2225" t="s">
        <v>47</v>
      </c>
      <c r="Y2225" t="s">
        <v>8151</v>
      </c>
      <c r="AG2225" t="s">
        <v>48</v>
      </c>
    </row>
    <row r="2226" spans="1:33">
      <c r="A2226" t="s">
        <v>8153</v>
      </c>
      <c r="B2226" t="s">
        <v>8154</v>
      </c>
      <c r="D2226" t="s">
        <v>40</v>
      </c>
      <c r="E2226" t="s">
        <v>41</v>
      </c>
      <c r="J2226" t="s">
        <v>162</v>
      </c>
      <c r="K2226" t="s">
        <v>163</v>
      </c>
      <c r="L2226">
        <v>5</v>
      </c>
      <c r="M2226" t="s">
        <v>8155</v>
      </c>
      <c r="N2226" t="s">
        <v>59</v>
      </c>
      <c r="O2226" t="s">
        <v>47</v>
      </c>
      <c r="P2226" t="s">
        <v>47</v>
      </c>
      <c r="Y2226" t="s">
        <v>8156</v>
      </c>
      <c r="AG2226" t="s">
        <v>48</v>
      </c>
    </row>
    <row r="2227" spans="1:33">
      <c r="A2227" t="s">
        <v>8157</v>
      </c>
      <c r="B2227" t="s">
        <v>8158</v>
      </c>
      <c r="D2227" t="s">
        <v>40</v>
      </c>
      <c r="E2227" t="s">
        <v>41</v>
      </c>
      <c r="J2227" t="s">
        <v>123</v>
      </c>
      <c r="K2227" t="s">
        <v>124</v>
      </c>
      <c r="L2227">
        <v>5</v>
      </c>
      <c r="M2227" t="s">
        <v>8155</v>
      </c>
      <c r="N2227" t="s">
        <v>218</v>
      </c>
      <c r="O2227" t="s">
        <v>47</v>
      </c>
      <c r="P2227" t="s">
        <v>47</v>
      </c>
      <c r="Y2227" t="s">
        <v>8159</v>
      </c>
      <c r="AG2227" t="s">
        <v>48</v>
      </c>
    </row>
    <row r="2228" spans="1:33">
      <c r="A2228" t="s">
        <v>8160</v>
      </c>
      <c r="B2228" t="s">
        <v>8161</v>
      </c>
      <c r="D2228" t="s">
        <v>40</v>
      </c>
      <c r="E2228" t="s">
        <v>41</v>
      </c>
      <c r="J2228" t="s">
        <v>162</v>
      </c>
      <c r="K2228" t="s">
        <v>163</v>
      </c>
      <c r="L2228">
        <v>5</v>
      </c>
      <c r="M2228" t="s">
        <v>8162</v>
      </c>
      <c r="N2228" t="s">
        <v>59</v>
      </c>
      <c r="O2228" t="s">
        <v>47</v>
      </c>
      <c r="P2228" t="s">
        <v>47</v>
      </c>
      <c r="Y2228" t="s">
        <v>8163</v>
      </c>
      <c r="AG2228" t="s">
        <v>48</v>
      </c>
    </row>
    <row r="2229" spans="1:33">
      <c r="A2229" t="s">
        <v>8164</v>
      </c>
      <c r="B2229" t="s">
        <v>8165</v>
      </c>
      <c r="D2229" t="s">
        <v>40</v>
      </c>
      <c r="E2229" t="s">
        <v>41</v>
      </c>
      <c r="J2229" t="s">
        <v>162</v>
      </c>
      <c r="K2229" t="s">
        <v>163</v>
      </c>
      <c r="L2229">
        <v>5</v>
      </c>
      <c r="M2229" t="s">
        <v>8162</v>
      </c>
      <c r="N2229" t="s">
        <v>59</v>
      </c>
      <c r="O2229" t="s">
        <v>47</v>
      </c>
      <c r="P2229" t="s">
        <v>47</v>
      </c>
      <c r="Y2229" t="s">
        <v>8166</v>
      </c>
      <c r="AG2229" t="s">
        <v>48</v>
      </c>
    </row>
    <row r="2230" spans="1:33">
      <c r="A2230" t="s">
        <v>8167</v>
      </c>
      <c r="B2230" t="s">
        <v>8168</v>
      </c>
      <c r="D2230" t="s">
        <v>40</v>
      </c>
      <c r="E2230" t="s">
        <v>41</v>
      </c>
      <c r="J2230" t="s">
        <v>290</v>
      </c>
      <c r="K2230" t="s">
        <v>291</v>
      </c>
      <c r="L2230">
        <v>5</v>
      </c>
      <c r="M2230" t="s">
        <v>8162</v>
      </c>
      <c r="N2230" t="s">
        <v>59</v>
      </c>
      <c r="O2230" t="s">
        <v>47</v>
      </c>
      <c r="P2230" t="s">
        <v>47</v>
      </c>
      <c r="Y2230" t="s">
        <v>8169</v>
      </c>
      <c r="AG2230" t="s">
        <v>48</v>
      </c>
    </row>
    <row r="2231" spans="1:33">
      <c r="A2231" t="s">
        <v>8170</v>
      </c>
      <c r="B2231" t="s">
        <v>8171</v>
      </c>
      <c r="D2231" t="s">
        <v>40</v>
      </c>
      <c r="E2231" t="s">
        <v>41</v>
      </c>
      <c r="J2231" t="s">
        <v>290</v>
      </c>
      <c r="K2231" t="s">
        <v>291</v>
      </c>
      <c r="L2231">
        <v>5</v>
      </c>
      <c r="M2231" t="s">
        <v>8162</v>
      </c>
      <c r="N2231" t="s">
        <v>59</v>
      </c>
      <c r="O2231" t="s">
        <v>47</v>
      </c>
      <c r="P2231" t="s">
        <v>47</v>
      </c>
      <c r="Y2231" t="s">
        <v>8172</v>
      </c>
      <c r="AG2231" t="s">
        <v>48</v>
      </c>
    </row>
    <row r="2232" spans="1:33">
      <c r="A2232" t="s">
        <v>8173</v>
      </c>
      <c r="B2232" t="s">
        <v>8174</v>
      </c>
      <c r="D2232" t="s">
        <v>40</v>
      </c>
      <c r="E2232" t="s">
        <v>41</v>
      </c>
      <c r="J2232" t="s">
        <v>270</v>
      </c>
      <c r="K2232" t="s">
        <v>271</v>
      </c>
      <c r="L2232">
        <v>5</v>
      </c>
      <c r="M2232" t="s">
        <v>8175</v>
      </c>
      <c r="N2232" t="s">
        <v>59</v>
      </c>
      <c r="O2232" t="s">
        <v>47</v>
      </c>
      <c r="P2232" t="s">
        <v>47</v>
      </c>
      <c r="Y2232" t="s">
        <v>8176</v>
      </c>
      <c r="AG2232" t="s">
        <v>48</v>
      </c>
    </row>
    <row r="2233" spans="1:33">
      <c r="A2233" t="s">
        <v>8177</v>
      </c>
      <c r="B2233" t="s">
        <v>8178</v>
      </c>
      <c r="D2233" t="s">
        <v>40</v>
      </c>
      <c r="E2233" t="s">
        <v>41</v>
      </c>
      <c r="J2233" t="s">
        <v>114</v>
      </c>
      <c r="K2233" t="s">
        <v>115</v>
      </c>
      <c r="L2233">
        <v>5</v>
      </c>
      <c r="M2233" t="s">
        <v>8179</v>
      </c>
      <c r="N2233" t="s">
        <v>59</v>
      </c>
      <c r="O2233" t="s">
        <v>47</v>
      </c>
      <c r="P2233" t="s">
        <v>47</v>
      </c>
      <c r="Y2233" t="s">
        <v>8180</v>
      </c>
      <c r="AG2233" t="s">
        <v>48</v>
      </c>
    </row>
    <row r="2234" spans="1:33">
      <c r="A2234" t="s">
        <v>8181</v>
      </c>
      <c r="B2234" t="s">
        <v>8182</v>
      </c>
      <c r="D2234" t="s">
        <v>40</v>
      </c>
      <c r="E2234" t="s">
        <v>41</v>
      </c>
      <c r="H2234" t="s">
        <v>8183</v>
      </c>
      <c r="J2234" t="s">
        <v>129</v>
      </c>
      <c r="K2234" t="s">
        <v>130</v>
      </c>
      <c r="L2234">
        <v>5</v>
      </c>
      <c r="M2234" t="s">
        <v>8184</v>
      </c>
      <c r="N2234" t="s">
        <v>192</v>
      </c>
      <c r="O2234" t="s">
        <v>47</v>
      </c>
      <c r="P2234" t="s">
        <v>47</v>
      </c>
      <c r="Y2234" t="s">
        <v>8183</v>
      </c>
      <c r="AG2234" t="s">
        <v>48</v>
      </c>
    </row>
    <row r="2235" spans="1:33">
      <c r="A2235" t="s">
        <v>8185</v>
      </c>
      <c r="B2235" t="s">
        <v>8186</v>
      </c>
      <c r="D2235" t="s">
        <v>40</v>
      </c>
      <c r="E2235" t="s">
        <v>41</v>
      </c>
      <c r="J2235" t="s">
        <v>290</v>
      </c>
      <c r="K2235" t="s">
        <v>291</v>
      </c>
      <c r="L2235">
        <v>5</v>
      </c>
      <c r="M2235" t="s">
        <v>8184</v>
      </c>
      <c r="N2235" t="s">
        <v>59</v>
      </c>
      <c r="O2235" t="s">
        <v>47</v>
      </c>
      <c r="P2235" t="s">
        <v>47</v>
      </c>
      <c r="Y2235" t="s">
        <v>8187</v>
      </c>
      <c r="AG2235" t="s">
        <v>48</v>
      </c>
    </row>
    <row r="2236" spans="1:33">
      <c r="A2236" t="s">
        <v>8188</v>
      </c>
      <c r="B2236" t="s">
        <v>8189</v>
      </c>
      <c r="D2236" t="s">
        <v>40</v>
      </c>
      <c r="E2236" t="s">
        <v>41</v>
      </c>
      <c r="J2236" t="s">
        <v>290</v>
      </c>
      <c r="K2236" t="s">
        <v>291</v>
      </c>
      <c r="L2236">
        <v>5</v>
      </c>
      <c r="M2236" t="s">
        <v>8190</v>
      </c>
      <c r="N2236" t="s">
        <v>59</v>
      </c>
      <c r="O2236" t="s">
        <v>47</v>
      </c>
      <c r="P2236" t="s">
        <v>47</v>
      </c>
      <c r="Y2236" t="s">
        <v>8191</v>
      </c>
      <c r="AG2236" t="s">
        <v>48</v>
      </c>
    </row>
    <row r="2237" spans="1:33">
      <c r="A2237" t="s">
        <v>8192</v>
      </c>
      <c r="B2237" t="s">
        <v>8193</v>
      </c>
      <c r="D2237" t="s">
        <v>40</v>
      </c>
      <c r="E2237" t="s">
        <v>41</v>
      </c>
      <c r="J2237" t="s">
        <v>290</v>
      </c>
      <c r="K2237" t="s">
        <v>291</v>
      </c>
      <c r="L2237">
        <v>5</v>
      </c>
      <c r="M2237" t="s">
        <v>8194</v>
      </c>
      <c r="N2237" t="s">
        <v>59</v>
      </c>
      <c r="O2237" t="s">
        <v>47</v>
      </c>
      <c r="P2237" t="s">
        <v>47</v>
      </c>
      <c r="Y2237" t="s">
        <v>8195</v>
      </c>
      <c r="AG2237" t="s">
        <v>48</v>
      </c>
    </row>
    <row r="2238" spans="1:33">
      <c r="A2238" t="s">
        <v>8196</v>
      </c>
      <c r="B2238" t="s">
        <v>8197</v>
      </c>
      <c r="D2238" t="s">
        <v>40</v>
      </c>
      <c r="E2238" t="s">
        <v>41</v>
      </c>
      <c r="J2238" t="s">
        <v>290</v>
      </c>
      <c r="K2238" t="s">
        <v>291</v>
      </c>
      <c r="L2238">
        <v>5</v>
      </c>
      <c r="M2238" t="s">
        <v>8198</v>
      </c>
      <c r="N2238" t="s">
        <v>59</v>
      </c>
      <c r="O2238" t="s">
        <v>47</v>
      </c>
      <c r="P2238" t="s">
        <v>47</v>
      </c>
      <c r="Y2238" t="s">
        <v>8199</v>
      </c>
      <c r="AG2238" t="s">
        <v>48</v>
      </c>
    </row>
    <row r="2239" spans="1:33">
      <c r="A2239" t="s">
        <v>8200</v>
      </c>
      <c r="B2239" t="s">
        <v>8201</v>
      </c>
      <c r="D2239" t="s">
        <v>40</v>
      </c>
      <c r="E2239" t="s">
        <v>41</v>
      </c>
      <c r="J2239" t="s">
        <v>129</v>
      </c>
      <c r="K2239" t="s">
        <v>130</v>
      </c>
      <c r="L2239">
        <v>5</v>
      </c>
      <c r="M2239" t="s">
        <v>8198</v>
      </c>
      <c r="N2239" t="s">
        <v>192</v>
      </c>
      <c r="O2239" t="s">
        <v>47</v>
      </c>
      <c r="P2239" t="s">
        <v>47</v>
      </c>
      <c r="Y2239" t="s">
        <v>8202</v>
      </c>
      <c r="AG2239" t="s">
        <v>48</v>
      </c>
    </row>
    <row r="2240" spans="1:33">
      <c r="A2240" t="s">
        <v>117</v>
      </c>
      <c r="B2240" t="s">
        <v>8203</v>
      </c>
      <c r="D2240" t="s">
        <v>40</v>
      </c>
      <c r="E2240" t="s">
        <v>41</v>
      </c>
      <c r="J2240" t="s">
        <v>162</v>
      </c>
      <c r="K2240" t="s">
        <v>163</v>
      </c>
      <c r="L2240">
        <v>5</v>
      </c>
      <c r="M2240" t="s">
        <v>8204</v>
      </c>
      <c r="N2240" t="s">
        <v>59</v>
      </c>
      <c r="O2240" t="s">
        <v>47</v>
      </c>
      <c r="P2240" t="s">
        <v>47</v>
      </c>
      <c r="Y2240" t="s">
        <v>8205</v>
      </c>
      <c r="AG2240" t="s">
        <v>48</v>
      </c>
    </row>
    <row r="2241" spans="1:33">
      <c r="A2241" t="s">
        <v>8206</v>
      </c>
      <c r="B2241" t="s">
        <v>8207</v>
      </c>
      <c r="D2241" t="s">
        <v>40</v>
      </c>
      <c r="E2241" t="s">
        <v>41</v>
      </c>
      <c r="J2241" t="s">
        <v>290</v>
      </c>
      <c r="K2241" t="s">
        <v>291</v>
      </c>
      <c r="L2241">
        <v>5</v>
      </c>
      <c r="M2241" t="s">
        <v>8208</v>
      </c>
      <c r="N2241" t="s">
        <v>59</v>
      </c>
      <c r="O2241" t="s">
        <v>47</v>
      </c>
      <c r="P2241" t="s">
        <v>47</v>
      </c>
      <c r="Y2241" t="s">
        <v>8209</v>
      </c>
      <c r="AG2241" t="s">
        <v>48</v>
      </c>
    </row>
    <row r="2242" spans="1:33">
      <c r="A2242" t="s">
        <v>8210</v>
      </c>
      <c r="B2242" t="s">
        <v>8211</v>
      </c>
      <c r="D2242" t="s">
        <v>40</v>
      </c>
      <c r="E2242" t="s">
        <v>41</v>
      </c>
      <c r="J2242" t="s">
        <v>290</v>
      </c>
      <c r="K2242" t="s">
        <v>291</v>
      </c>
      <c r="L2242">
        <v>5</v>
      </c>
      <c r="M2242" t="s">
        <v>8208</v>
      </c>
      <c r="N2242" t="s">
        <v>59</v>
      </c>
      <c r="O2242" t="s">
        <v>47</v>
      </c>
      <c r="P2242" t="s">
        <v>47</v>
      </c>
      <c r="Y2242" t="s">
        <v>8212</v>
      </c>
      <c r="AG2242" t="s">
        <v>48</v>
      </c>
    </row>
    <row r="2243" spans="1:33">
      <c r="A2243" t="s">
        <v>8213</v>
      </c>
      <c r="B2243" t="s">
        <v>8214</v>
      </c>
      <c r="D2243" t="s">
        <v>40</v>
      </c>
      <c r="E2243" t="s">
        <v>41</v>
      </c>
      <c r="J2243" t="s">
        <v>108</v>
      </c>
      <c r="K2243" t="s">
        <v>109</v>
      </c>
      <c r="L2243">
        <v>5</v>
      </c>
      <c r="M2243" t="s">
        <v>8208</v>
      </c>
      <c r="N2243" t="s">
        <v>59</v>
      </c>
      <c r="O2243" t="s">
        <v>47</v>
      </c>
      <c r="P2243" t="s">
        <v>47</v>
      </c>
      <c r="Y2243" t="s">
        <v>8215</v>
      </c>
      <c r="AG2243" t="s">
        <v>48</v>
      </c>
    </row>
    <row r="2244" spans="1:33">
      <c r="A2244" t="s">
        <v>8216</v>
      </c>
      <c r="B2244" t="s">
        <v>8217</v>
      </c>
      <c r="D2244" t="s">
        <v>40</v>
      </c>
      <c r="E2244" t="s">
        <v>41</v>
      </c>
      <c r="J2244" t="s">
        <v>290</v>
      </c>
      <c r="K2244" t="s">
        <v>291</v>
      </c>
      <c r="L2244">
        <v>5</v>
      </c>
      <c r="M2244" t="s">
        <v>8208</v>
      </c>
      <c r="N2244" t="s">
        <v>59</v>
      </c>
      <c r="O2244" t="s">
        <v>47</v>
      </c>
      <c r="P2244" t="s">
        <v>47</v>
      </c>
      <c r="Y2244" t="s">
        <v>8218</v>
      </c>
      <c r="AG2244" t="s">
        <v>48</v>
      </c>
    </row>
    <row r="2245" spans="1:33">
      <c r="A2245" t="s">
        <v>8219</v>
      </c>
      <c r="B2245" t="s">
        <v>8220</v>
      </c>
      <c r="D2245" t="s">
        <v>40</v>
      </c>
      <c r="E2245" t="s">
        <v>41</v>
      </c>
      <c r="J2245" t="s">
        <v>108</v>
      </c>
      <c r="K2245" t="s">
        <v>109</v>
      </c>
      <c r="L2245">
        <v>5</v>
      </c>
      <c r="M2245" t="s">
        <v>8221</v>
      </c>
      <c r="N2245" t="s">
        <v>59</v>
      </c>
      <c r="O2245" t="s">
        <v>47</v>
      </c>
      <c r="P2245" t="s">
        <v>47</v>
      </c>
      <c r="Y2245" t="s">
        <v>8222</v>
      </c>
      <c r="AG2245" t="s">
        <v>48</v>
      </c>
    </row>
    <row r="2246" spans="1:33">
      <c r="A2246" t="s">
        <v>8223</v>
      </c>
      <c r="B2246" t="s">
        <v>8224</v>
      </c>
      <c r="D2246" t="s">
        <v>40</v>
      </c>
      <c r="E2246" t="s">
        <v>41</v>
      </c>
      <c r="J2246" t="s">
        <v>108</v>
      </c>
      <c r="K2246" t="s">
        <v>109</v>
      </c>
      <c r="L2246">
        <v>5</v>
      </c>
      <c r="M2246" t="s">
        <v>8221</v>
      </c>
      <c r="N2246" t="s">
        <v>59</v>
      </c>
      <c r="O2246" t="s">
        <v>47</v>
      </c>
      <c r="P2246" t="s">
        <v>47</v>
      </c>
      <c r="Y2246" t="s">
        <v>8225</v>
      </c>
      <c r="AG2246" t="s">
        <v>48</v>
      </c>
    </row>
    <row r="2247" spans="1:33">
      <c r="A2247" t="s">
        <v>8226</v>
      </c>
      <c r="B2247" t="s">
        <v>8227</v>
      </c>
      <c r="D2247" t="s">
        <v>40</v>
      </c>
      <c r="E2247" t="s">
        <v>41</v>
      </c>
      <c r="J2247" t="s">
        <v>108</v>
      </c>
      <c r="K2247" t="s">
        <v>109</v>
      </c>
      <c r="L2247">
        <v>5</v>
      </c>
      <c r="M2247" t="s">
        <v>8221</v>
      </c>
      <c r="N2247" t="s">
        <v>59</v>
      </c>
      <c r="O2247" t="s">
        <v>47</v>
      </c>
      <c r="P2247" t="s">
        <v>47</v>
      </c>
      <c r="Y2247" t="s">
        <v>8228</v>
      </c>
      <c r="AG2247" t="s">
        <v>48</v>
      </c>
    </row>
    <row r="2248" spans="1:33">
      <c r="A2248" t="s">
        <v>8229</v>
      </c>
      <c r="B2248" t="s">
        <v>8230</v>
      </c>
      <c r="D2248" t="s">
        <v>40</v>
      </c>
      <c r="E2248" t="s">
        <v>41</v>
      </c>
      <c r="J2248" t="s">
        <v>123</v>
      </c>
      <c r="K2248" t="s">
        <v>124</v>
      </c>
      <c r="L2248">
        <v>5</v>
      </c>
      <c r="M2248" t="s">
        <v>8221</v>
      </c>
      <c r="N2248" t="s">
        <v>218</v>
      </c>
      <c r="O2248" t="s">
        <v>47</v>
      </c>
      <c r="P2248" t="s">
        <v>47</v>
      </c>
      <c r="Y2248" t="s">
        <v>8231</v>
      </c>
      <c r="AG2248" t="s">
        <v>48</v>
      </c>
    </row>
    <row r="2249" spans="1:33">
      <c r="A2249" t="s">
        <v>8232</v>
      </c>
      <c r="B2249" t="s">
        <v>8233</v>
      </c>
      <c r="D2249" t="s">
        <v>40</v>
      </c>
      <c r="E2249" t="s">
        <v>41</v>
      </c>
      <c r="J2249" t="s">
        <v>290</v>
      </c>
      <c r="K2249" t="s">
        <v>291</v>
      </c>
      <c r="L2249">
        <v>5</v>
      </c>
      <c r="M2249" t="s">
        <v>8234</v>
      </c>
      <c r="N2249" t="s">
        <v>59</v>
      </c>
      <c r="O2249" t="s">
        <v>47</v>
      </c>
      <c r="P2249" t="s">
        <v>47</v>
      </c>
      <c r="Y2249" t="s">
        <v>8235</v>
      </c>
      <c r="AG2249" t="s">
        <v>48</v>
      </c>
    </row>
    <row r="2250" spans="1:33">
      <c r="A2250" t="s">
        <v>8236</v>
      </c>
      <c r="B2250" t="s">
        <v>8237</v>
      </c>
      <c r="D2250" t="s">
        <v>40</v>
      </c>
      <c r="E2250" t="s">
        <v>41</v>
      </c>
      <c r="J2250" t="s">
        <v>290</v>
      </c>
      <c r="K2250" t="s">
        <v>291</v>
      </c>
      <c r="L2250">
        <v>5</v>
      </c>
      <c r="M2250" t="s">
        <v>8238</v>
      </c>
      <c r="N2250" t="s">
        <v>59</v>
      </c>
      <c r="O2250" t="s">
        <v>47</v>
      </c>
      <c r="P2250" t="s">
        <v>47</v>
      </c>
      <c r="Y2250" t="s">
        <v>8239</v>
      </c>
      <c r="AG2250" t="s">
        <v>48</v>
      </c>
    </row>
    <row r="2251" spans="1:33">
      <c r="A2251" t="s">
        <v>8240</v>
      </c>
      <c r="B2251" t="s">
        <v>8241</v>
      </c>
      <c r="D2251" t="s">
        <v>40</v>
      </c>
      <c r="E2251" t="s">
        <v>41</v>
      </c>
      <c r="J2251" t="s">
        <v>290</v>
      </c>
      <c r="K2251" t="s">
        <v>291</v>
      </c>
      <c r="L2251">
        <v>5</v>
      </c>
      <c r="M2251" t="s">
        <v>8242</v>
      </c>
      <c r="N2251" t="s">
        <v>59</v>
      </c>
      <c r="O2251" t="s">
        <v>47</v>
      </c>
      <c r="P2251" t="s">
        <v>47</v>
      </c>
      <c r="Y2251" t="s">
        <v>8243</v>
      </c>
      <c r="AG2251" t="s">
        <v>48</v>
      </c>
    </row>
    <row r="2252" spans="1:33">
      <c r="A2252" t="s">
        <v>8244</v>
      </c>
      <c r="B2252" t="s">
        <v>8245</v>
      </c>
      <c r="D2252" t="s">
        <v>40</v>
      </c>
      <c r="E2252" t="s">
        <v>41</v>
      </c>
      <c r="J2252" t="s">
        <v>290</v>
      </c>
      <c r="K2252" t="s">
        <v>291</v>
      </c>
      <c r="L2252">
        <v>5</v>
      </c>
      <c r="M2252" t="s">
        <v>8246</v>
      </c>
      <c r="N2252" t="s">
        <v>59</v>
      </c>
      <c r="O2252" t="s">
        <v>47</v>
      </c>
      <c r="P2252" t="s">
        <v>47</v>
      </c>
      <c r="Y2252" t="s">
        <v>8247</v>
      </c>
      <c r="AG2252" t="s">
        <v>48</v>
      </c>
    </row>
    <row r="2253" spans="1:33">
      <c r="A2253" t="s">
        <v>8248</v>
      </c>
      <c r="B2253" t="s">
        <v>8249</v>
      </c>
      <c r="D2253" t="s">
        <v>40</v>
      </c>
      <c r="E2253" t="s">
        <v>41</v>
      </c>
      <c r="J2253" t="s">
        <v>290</v>
      </c>
      <c r="K2253" t="s">
        <v>291</v>
      </c>
      <c r="L2253">
        <v>5</v>
      </c>
      <c r="M2253" t="s">
        <v>8246</v>
      </c>
      <c r="N2253" t="s">
        <v>59</v>
      </c>
      <c r="O2253" t="s">
        <v>47</v>
      </c>
      <c r="P2253" t="s">
        <v>47</v>
      </c>
      <c r="Y2253" t="s">
        <v>8250</v>
      </c>
      <c r="AG2253" t="s">
        <v>48</v>
      </c>
    </row>
    <row r="2254" spans="1:33">
      <c r="A2254" t="s">
        <v>8251</v>
      </c>
      <c r="B2254" t="s">
        <v>8252</v>
      </c>
      <c r="D2254" t="s">
        <v>40</v>
      </c>
      <c r="E2254" t="s">
        <v>41</v>
      </c>
      <c r="J2254" t="s">
        <v>162</v>
      </c>
      <c r="K2254" t="s">
        <v>163</v>
      </c>
      <c r="L2254">
        <v>5</v>
      </c>
      <c r="M2254" t="s">
        <v>8253</v>
      </c>
      <c r="N2254" t="s">
        <v>59</v>
      </c>
      <c r="O2254" t="s">
        <v>47</v>
      </c>
      <c r="P2254" t="s">
        <v>47</v>
      </c>
      <c r="Y2254" t="s">
        <v>8254</v>
      </c>
      <c r="AG2254" t="s">
        <v>48</v>
      </c>
    </row>
    <row r="2255" spans="1:33">
      <c r="A2255" t="s">
        <v>8255</v>
      </c>
      <c r="B2255" t="s">
        <v>8256</v>
      </c>
      <c r="D2255" t="s">
        <v>40</v>
      </c>
      <c r="E2255" t="s">
        <v>41</v>
      </c>
      <c r="J2255" t="s">
        <v>290</v>
      </c>
      <c r="K2255" t="s">
        <v>291</v>
      </c>
      <c r="L2255">
        <v>5</v>
      </c>
      <c r="M2255" t="s">
        <v>8257</v>
      </c>
      <c r="N2255" t="s">
        <v>59</v>
      </c>
      <c r="O2255" t="s">
        <v>47</v>
      </c>
      <c r="P2255" t="s">
        <v>47</v>
      </c>
      <c r="Y2255" t="s">
        <v>8258</v>
      </c>
      <c r="AG2255" t="s">
        <v>48</v>
      </c>
    </row>
    <row r="2256" spans="1:33">
      <c r="A2256" t="s">
        <v>8259</v>
      </c>
      <c r="B2256" t="s">
        <v>8260</v>
      </c>
      <c r="D2256" t="s">
        <v>40</v>
      </c>
      <c r="E2256" t="s">
        <v>41</v>
      </c>
      <c r="J2256" t="s">
        <v>162</v>
      </c>
      <c r="K2256" t="s">
        <v>163</v>
      </c>
      <c r="L2256">
        <v>5</v>
      </c>
      <c r="M2256" t="s">
        <v>8261</v>
      </c>
      <c r="N2256" t="s">
        <v>59</v>
      </c>
      <c r="O2256" t="s">
        <v>47</v>
      </c>
      <c r="P2256" t="s">
        <v>47</v>
      </c>
      <c r="Y2256" t="s">
        <v>8262</v>
      </c>
      <c r="AG2256" t="s">
        <v>48</v>
      </c>
    </row>
    <row r="2257" spans="1:33">
      <c r="A2257" t="s">
        <v>8263</v>
      </c>
      <c r="B2257" t="s">
        <v>8264</v>
      </c>
      <c r="D2257" t="s">
        <v>40</v>
      </c>
      <c r="E2257" t="s">
        <v>41</v>
      </c>
      <c r="J2257" t="s">
        <v>162</v>
      </c>
      <c r="K2257" t="s">
        <v>163</v>
      </c>
      <c r="L2257">
        <v>5</v>
      </c>
      <c r="M2257" t="s">
        <v>8261</v>
      </c>
      <c r="N2257" t="s">
        <v>59</v>
      </c>
      <c r="O2257" t="s">
        <v>47</v>
      </c>
      <c r="P2257" t="s">
        <v>47</v>
      </c>
      <c r="Y2257" t="s">
        <v>8265</v>
      </c>
      <c r="AG2257" t="s">
        <v>48</v>
      </c>
    </row>
    <row r="2258" spans="1:33">
      <c r="A2258" t="s">
        <v>8266</v>
      </c>
      <c r="B2258" t="s">
        <v>8267</v>
      </c>
      <c r="D2258" t="s">
        <v>40</v>
      </c>
      <c r="E2258" t="s">
        <v>41</v>
      </c>
      <c r="J2258" t="s">
        <v>123</v>
      </c>
      <c r="K2258" t="s">
        <v>124</v>
      </c>
      <c r="L2258">
        <v>5</v>
      </c>
      <c r="M2258" t="s">
        <v>8261</v>
      </c>
      <c r="N2258" t="s">
        <v>218</v>
      </c>
      <c r="O2258" t="s">
        <v>47</v>
      </c>
      <c r="P2258" t="s">
        <v>47</v>
      </c>
      <c r="Y2258" t="s">
        <v>8268</v>
      </c>
      <c r="AG2258" t="s">
        <v>48</v>
      </c>
    </row>
    <row r="2259" spans="1:33">
      <c r="A2259" t="s">
        <v>8269</v>
      </c>
      <c r="B2259" t="s">
        <v>8270</v>
      </c>
      <c r="D2259" t="s">
        <v>40</v>
      </c>
      <c r="E2259" t="s">
        <v>41</v>
      </c>
      <c r="J2259" t="s">
        <v>270</v>
      </c>
      <c r="K2259" t="s">
        <v>271</v>
      </c>
      <c r="L2259">
        <v>5</v>
      </c>
      <c r="M2259" t="s">
        <v>8271</v>
      </c>
      <c r="N2259" t="s">
        <v>59</v>
      </c>
      <c r="O2259" t="s">
        <v>47</v>
      </c>
      <c r="P2259" t="s">
        <v>47</v>
      </c>
      <c r="Y2259" t="s">
        <v>8272</v>
      </c>
      <c r="AG2259" t="s">
        <v>48</v>
      </c>
    </row>
    <row r="2260" spans="1:33">
      <c r="A2260" t="s">
        <v>8273</v>
      </c>
      <c r="B2260" t="s">
        <v>8274</v>
      </c>
      <c r="D2260" t="s">
        <v>40</v>
      </c>
      <c r="E2260" t="s">
        <v>41</v>
      </c>
      <c r="J2260" t="s">
        <v>4737</v>
      </c>
      <c r="K2260" t="s">
        <v>4738</v>
      </c>
      <c r="L2260">
        <v>5</v>
      </c>
      <c r="M2260" t="s">
        <v>8271</v>
      </c>
      <c r="N2260" t="s">
        <v>192</v>
      </c>
      <c r="O2260" t="s">
        <v>47</v>
      </c>
      <c r="P2260" t="s">
        <v>47</v>
      </c>
      <c r="Y2260" t="s">
        <v>8275</v>
      </c>
      <c r="AG2260" t="s">
        <v>48</v>
      </c>
    </row>
    <row r="2261" spans="1:33">
      <c r="A2261" t="s">
        <v>8276</v>
      </c>
      <c r="B2261" t="s">
        <v>8277</v>
      </c>
      <c r="D2261" t="s">
        <v>40</v>
      </c>
      <c r="E2261" t="s">
        <v>41</v>
      </c>
      <c r="J2261" t="s">
        <v>114</v>
      </c>
      <c r="K2261" t="s">
        <v>115</v>
      </c>
      <c r="L2261">
        <v>5</v>
      </c>
      <c r="M2261" t="s">
        <v>8271</v>
      </c>
      <c r="N2261" t="s">
        <v>59</v>
      </c>
      <c r="O2261" t="s">
        <v>47</v>
      </c>
      <c r="P2261" t="s">
        <v>47</v>
      </c>
      <c r="Y2261" t="s">
        <v>8278</v>
      </c>
      <c r="AG2261" t="s">
        <v>48</v>
      </c>
    </row>
    <row r="2262" spans="1:33">
      <c r="A2262" t="s">
        <v>8279</v>
      </c>
      <c r="B2262" t="s">
        <v>8280</v>
      </c>
      <c r="D2262" t="s">
        <v>40</v>
      </c>
      <c r="E2262" t="s">
        <v>41</v>
      </c>
      <c r="J2262" t="s">
        <v>270</v>
      </c>
      <c r="K2262" t="s">
        <v>271</v>
      </c>
      <c r="L2262">
        <v>5</v>
      </c>
      <c r="M2262" t="s">
        <v>8271</v>
      </c>
      <c r="N2262" t="s">
        <v>59</v>
      </c>
      <c r="O2262" t="s">
        <v>47</v>
      </c>
      <c r="P2262" t="s">
        <v>47</v>
      </c>
      <c r="Y2262" t="s">
        <v>8281</v>
      </c>
      <c r="AG2262" t="s">
        <v>48</v>
      </c>
    </row>
    <row r="2263" spans="1:33">
      <c r="A2263" t="s">
        <v>8282</v>
      </c>
      <c r="B2263" t="s">
        <v>8283</v>
      </c>
      <c r="D2263" t="s">
        <v>40</v>
      </c>
      <c r="E2263" t="s">
        <v>41</v>
      </c>
      <c r="J2263" t="s">
        <v>270</v>
      </c>
      <c r="K2263" t="s">
        <v>271</v>
      </c>
      <c r="L2263">
        <v>5</v>
      </c>
      <c r="M2263" t="s">
        <v>8284</v>
      </c>
      <c r="N2263" t="s">
        <v>59</v>
      </c>
      <c r="O2263" t="s">
        <v>47</v>
      </c>
      <c r="P2263" t="s">
        <v>47</v>
      </c>
      <c r="Y2263" t="s">
        <v>8285</v>
      </c>
      <c r="AG2263" t="s">
        <v>48</v>
      </c>
    </row>
    <row r="2264" spans="1:33">
      <c r="A2264" t="s">
        <v>8286</v>
      </c>
      <c r="B2264" t="s">
        <v>8287</v>
      </c>
      <c r="D2264" t="s">
        <v>40</v>
      </c>
      <c r="E2264" t="s">
        <v>41</v>
      </c>
      <c r="J2264" t="s">
        <v>290</v>
      </c>
      <c r="K2264" t="s">
        <v>291</v>
      </c>
      <c r="L2264">
        <v>5</v>
      </c>
      <c r="M2264" t="s">
        <v>8288</v>
      </c>
      <c r="N2264" t="s">
        <v>59</v>
      </c>
      <c r="O2264" t="s">
        <v>47</v>
      </c>
      <c r="P2264" t="s">
        <v>47</v>
      </c>
      <c r="Y2264" t="s">
        <v>8289</v>
      </c>
      <c r="AG2264" t="s">
        <v>48</v>
      </c>
    </row>
    <row r="2265" spans="1:33">
      <c r="A2265" t="s">
        <v>8290</v>
      </c>
      <c r="B2265" t="s">
        <v>8291</v>
      </c>
      <c r="D2265" t="s">
        <v>40</v>
      </c>
      <c r="E2265" t="s">
        <v>41</v>
      </c>
      <c r="J2265" t="s">
        <v>290</v>
      </c>
      <c r="K2265" t="s">
        <v>291</v>
      </c>
      <c r="L2265">
        <v>5</v>
      </c>
      <c r="M2265" t="s">
        <v>8292</v>
      </c>
      <c r="N2265" t="s">
        <v>59</v>
      </c>
      <c r="O2265" t="s">
        <v>47</v>
      </c>
      <c r="P2265" t="s">
        <v>47</v>
      </c>
      <c r="Y2265" t="s">
        <v>8293</v>
      </c>
      <c r="AG2265" t="s">
        <v>48</v>
      </c>
    </row>
    <row r="2266" spans="1:33">
      <c r="A2266" t="s">
        <v>8294</v>
      </c>
      <c r="B2266" t="s">
        <v>8295</v>
      </c>
      <c r="D2266" t="s">
        <v>40</v>
      </c>
      <c r="E2266" t="s">
        <v>41</v>
      </c>
      <c r="J2266" t="s">
        <v>162</v>
      </c>
      <c r="K2266" t="s">
        <v>163</v>
      </c>
      <c r="L2266">
        <v>5</v>
      </c>
      <c r="M2266" t="s">
        <v>8296</v>
      </c>
      <c r="N2266" t="s">
        <v>59</v>
      </c>
      <c r="O2266" t="s">
        <v>47</v>
      </c>
      <c r="P2266" t="s">
        <v>47</v>
      </c>
      <c r="Y2266" t="s">
        <v>8297</v>
      </c>
      <c r="AG2266" t="s">
        <v>48</v>
      </c>
    </row>
    <row r="2267" spans="1:33">
      <c r="A2267" t="s">
        <v>8298</v>
      </c>
      <c r="B2267" t="s">
        <v>8299</v>
      </c>
      <c r="D2267" t="s">
        <v>40</v>
      </c>
      <c r="E2267" t="s">
        <v>41</v>
      </c>
      <c r="J2267" t="s">
        <v>129</v>
      </c>
      <c r="K2267" t="s">
        <v>130</v>
      </c>
      <c r="L2267">
        <v>5</v>
      </c>
      <c r="M2267" t="s">
        <v>8296</v>
      </c>
      <c r="N2267" t="s">
        <v>192</v>
      </c>
      <c r="O2267" t="s">
        <v>47</v>
      </c>
      <c r="P2267" t="s">
        <v>47</v>
      </c>
      <c r="Y2267" t="s">
        <v>8300</v>
      </c>
      <c r="AG2267" t="s">
        <v>48</v>
      </c>
    </row>
    <row r="2268" spans="1:33">
      <c r="A2268" t="s">
        <v>117</v>
      </c>
      <c r="B2268" t="s">
        <v>8301</v>
      </c>
      <c r="D2268" t="s">
        <v>40</v>
      </c>
      <c r="E2268" t="s">
        <v>41</v>
      </c>
      <c r="J2268" t="s">
        <v>270</v>
      </c>
      <c r="K2268" t="s">
        <v>271</v>
      </c>
      <c r="L2268">
        <v>5</v>
      </c>
      <c r="M2268" t="s">
        <v>8302</v>
      </c>
      <c r="N2268" t="s">
        <v>59</v>
      </c>
      <c r="O2268" t="s">
        <v>47</v>
      </c>
      <c r="P2268" t="s">
        <v>47</v>
      </c>
      <c r="Y2268" t="s">
        <v>8303</v>
      </c>
      <c r="AG2268" t="s">
        <v>48</v>
      </c>
    </row>
    <row r="2269" spans="1:33">
      <c r="A2269" t="s">
        <v>8304</v>
      </c>
      <c r="B2269" t="s">
        <v>8305</v>
      </c>
      <c r="D2269" t="s">
        <v>40</v>
      </c>
      <c r="E2269" t="s">
        <v>41</v>
      </c>
      <c r="J2269" t="s">
        <v>290</v>
      </c>
      <c r="K2269" t="s">
        <v>291</v>
      </c>
      <c r="L2269">
        <v>5</v>
      </c>
      <c r="M2269" t="s">
        <v>8306</v>
      </c>
      <c r="N2269" t="s">
        <v>59</v>
      </c>
      <c r="O2269" t="s">
        <v>47</v>
      </c>
      <c r="P2269" t="s">
        <v>47</v>
      </c>
      <c r="Y2269" t="s">
        <v>8307</v>
      </c>
      <c r="AG2269" t="s">
        <v>48</v>
      </c>
    </row>
    <row r="2270" spans="1:33">
      <c r="A2270" t="s">
        <v>8308</v>
      </c>
      <c r="B2270" t="s">
        <v>8309</v>
      </c>
      <c r="D2270" t="s">
        <v>40</v>
      </c>
      <c r="E2270" t="s">
        <v>41</v>
      </c>
      <c r="J2270" t="s">
        <v>108</v>
      </c>
      <c r="K2270" t="s">
        <v>109</v>
      </c>
      <c r="L2270">
        <v>5</v>
      </c>
      <c r="M2270" t="s">
        <v>8306</v>
      </c>
      <c r="N2270" t="s">
        <v>59</v>
      </c>
      <c r="O2270" t="s">
        <v>47</v>
      </c>
      <c r="P2270" t="s">
        <v>47</v>
      </c>
      <c r="Y2270" t="s">
        <v>8310</v>
      </c>
      <c r="AG2270" t="s">
        <v>48</v>
      </c>
    </row>
    <row r="2271" spans="1:33">
      <c r="A2271" t="s">
        <v>8311</v>
      </c>
      <c r="B2271" t="s">
        <v>8312</v>
      </c>
      <c r="D2271" t="s">
        <v>40</v>
      </c>
      <c r="E2271" t="s">
        <v>41</v>
      </c>
      <c r="J2271" t="s">
        <v>129</v>
      </c>
      <c r="K2271" t="s">
        <v>130</v>
      </c>
      <c r="L2271">
        <v>5</v>
      </c>
      <c r="M2271" t="s">
        <v>8306</v>
      </c>
      <c r="N2271" t="s">
        <v>192</v>
      </c>
      <c r="O2271" t="s">
        <v>47</v>
      </c>
      <c r="P2271" t="s">
        <v>47</v>
      </c>
      <c r="Y2271" t="s">
        <v>8313</v>
      </c>
      <c r="AG2271" t="s">
        <v>48</v>
      </c>
    </row>
    <row r="2272" spans="1:33">
      <c r="A2272" t="s">
        <v>117</v>
      </c>
      <c r="B2272" t="s">
        <v>8314</v>
      </c>
      <c r="D2272" t="s">
        <v>40</v>
      </c>
      <c r="E2272" t="s">
        <v>41</v>
      </c>
      <c r="J2272" t="s">
        <v>270</v>
      </c>
      <c r="K2272" t="s">
        <v>271</v>
      </c>
      <c r="L2272">
        <v>5</v>
      </c>
      <c r="M2272" t="s">
        <v>8315</v>
      </c>
      <c r="N2272" t="s">
        <v>59</v>
      </c>
      <c r="O2272" t="s">
        <v>47</v>
      </c>
      <c r="P2272" t="s">
        <v>47</v>
      </c>
      <c r="Y2272" t="s">
        <v>8316</v>
      </c>
      <c r="AG2272" t="s">
        <v>48</v>
      </c>
    </row>
    <row r="2273" spans="1:33">
      <c r="A2273" t="s">
        <v>8317</v>
      </c>
      <c r="B2273" t="s">
        <v>8318</v>
      </c>
      <c r="D2273" t="s">
        <v>40</v>
      </c>
      <c r="E2273" t="s">
        <v>41</v>
      </c>
      <c r="H2273" t="s">
        <v>8319</v>
      </c>
      <c r="J2273" t="s">
        <v>162</v>
      </c>
      <c r="K2273" t="s">
        <v>163</v>
      </c>
      <c r="L2273">
        <v>5</v>
      </c>
      <c r="M2273" t="s">
        <v>8315</v>
      </c>
      <c r="N2273" t="s">
        <v>59</v>
      </c>
      <c r="O2273" t="s">
        <v>47</v>
      </c>
      <c r="P2273" t="s">
        <v>47</v>
      </c>
      <c r="Y2273" t="s">
        <v>8319</v>
      </c>
      <c r="AG2273" t="s">
        <v>48</v>
      </c>
    </row>
    <row r="2274" spans="1:33">
      <c r="A2274" t="s">
        <v>8320</v>
      </c>
      <c r="B2274" t="s">
        <v>8321</v>
      </c>
      <c r="D2274" t="s">
        <v>40</v>
      </c>
      <c r="E2274" t="s">
        <v>41</v>
      </c>
      <c r="H2274" t="s">
        <v>8322</v>
      </c>
      <c r="J2274" t="s">
        <v>69</v>
      </c>
      <c r="K2274" t="s">
        <v>70</v>
      </c>
      <c r="L2274">
        <v>5</v>
      </c>
      <c r="M2274" t="s">
        <v>8315</v>
      </c>
      <c r="N2274" t="s">
        <v>192</v>
      </c>
      <c r="O2274" t="s">
        <v>47</v>
      </c>
      <c r="P2274" t="s">
        <v>47</v>
      </c>
      <c r="Y2274" t="s">
        <v>8322</v>
      </c>
      <c r="AG2274" t="s">
        <v>48</v>
      </c>
    </row>
    <row r="2275" spans="1:33">
      <c r="A2275" t="s">
        <v>8323</v>
      </c>
      <c r="B2275" t="s">
        <v>8324</v>
      </c>
      <c r="D2275" t="s">
        <v>40</v>
      </c>
      <c r="E2275" t="s">
        <v>41</v>
      </c>
      <c r="J2275" t="s">
        <v>290</v>
      </c>
      <c r="K2275" t="s">
        <v>291</v>
      </c>
      <c r="L2275">
        <v>5</v>
      </c>
      <c r="M2275" t="s">
        <v>8325</v>
      </c>
      <c r="N2275" t="s">
        <v>59</v>
      </c>
      <c r="O2275" t="s">
        <v>47</v>
      </c>
      <c r="P2275" t="s">
        <v>47</v>
      </c>
      <c r="Y2275" t="s">
        <v>8326</v>
      </c>
      <c r="AG2275" t="s">
        <v>48</v>
      </c>
    </row>
    <row r="2276" spans="1:33">
      <c r="A2276" t="s">
        <v>8327</v>
      </c>
      <c r="B2276" t="s">
        <v>8328</v>
      </c>
      <c r="D2276" t="s">
        <v>40</v>
      </c>
      <c r="E2276" t="s">
        <v>41</v>
      </c>
      <c r="J2276" t="s">
        <v>290</v>
      </c>
      <c r="K2276" t="s">
        <v>291</v>
      </c>
      <c r="L2276">
        <v>5</v>
      </c>
      <c r="M2276" t="s">
        <v>8325</v>
      </c>
      <c r="N2276" t="s">
        <v>59</v>
      </c>
      <c r="O2276" t="s">
        <v>47</v>
      </c>
      <c r="P2276" t="s">
        <v>47</v>
      </c>
      <c r="Y2276" t="s">
        <v>8329</v>
      </c>
      <c r="AG2276" t="s">
        <v>48</v>
      </c>
    </row>
    <row r="2277" spans="1:33">
      <c r="A2277" t="s">
        <v>8330</v>
      </c>
      <c r="B2277" t="s">
        <v>8331</v>
      </c>
      <c r="D2277" t="s">
        <v>40</v>
      </c>
      <c r="E2277" t="s">
        <v>41</v>
      </c>
      <c r="J2277" t="s">
        <v>69</v>
      </c>
      <c r="K2277" t="s">
        <v>70</v>
      </c>
      <c r="L2277">
        <v>5</v>
      </c>
      <c r="M2277" t="s">
        <v>8325</v>
      </c>
      <c r="N2277" t="s">
        <v>192</v>
      </c>
      <c r="O2277" t="s">
        <v>47</v>
      </c>
      <c r="P2277" t="s">
        <v>47</v>
      </c>
      <c r="Y2277" t="s">
        <v>8332</v>
      </c>
      <c r="AG2277" t="s">
        <v>48</v>
      </c>
    </row>
    <row r="2278" spans="1:33">
      <c r="A2278" t="s">
        <v>8333</v>
      </c>
      <c r="B2278" t="s">
        <v>8334</v>
      </c>
      <c r="D2278" t="s">
        <v>40</v>
      </c>
      <c r="E2278" t="s">
        <v>41</v>
      </c>
      <c r="J2278" t="s">
        <v>290</v>
      </c>
      <c r="K2278" t="s">
        <v>291</v>
      </c>
      <c r="L2278">
        <v>5</v>
      </c>
      <c r="M2278" t="s">
        <v>8335</v>
      </c>
      <c r="N2278" t="s">
        <v>59</v>
      </c>
      <c r="O2278" t="s">
        <v>47</v>
      </c>
      <c r="P2278" t="s">
        <v>47</v>
      </c>
      <c r="Y2278" t="s">
        <v>8336</v>
      </c>
      <c r="AG2278" t="s">
        <v>48</v>
      </c>
    </row>
    <row r="2279" spans="1:33">
      <c r="A2279" t="s">
        <v>8337</v>
      </c>
      <c r="B2279" t="s">
        <v>8338</v>
      </c>
      <c r="D2279" t="s">
        <v>40</v>
      </c>
      <c r="E2279" t="s">
        <v>41</v>
      </c>
      <c r="J2279" t="s">
        <v>114</v>
      </c>
      <c r="K2279" t="s">
        <v>115</v>
      </c>
      <c r="L2279">
        <v>5</v>
      </c>
      <c r="M2279" t="s">
        <v>8335</v>
      </c>
      <c r="N2279" t="s">
        <v>59</v>
      </c>
      <c r="O2279" t="s">
        <v>47</v>
      </c>
      <c r="P2279" t="s">
        <v>47</v>
      </c>
      <c r="Y2279" t="s">
        <v>8339</v>
      </c>
      <c r="AG2279" t="s">
        <v>48</v>
      </c>
    </row>
    <row r="2280" spans="1:33">
      <c r="A2280" t="s">
        <v>8340</v>
      </c>
      <c r="B2280" t="s">
        <v>8341</v>
      </c>
      <c r="D2280" t="s">
        <v>40</v>
      </c>
      <c r="E2280" t="s">
        <v>41</v>
      </c>
      <c r="J2280" t="s">
        <v>108</v>
      </c>
      <c r="K2280" t="s">
        <v>109</v>
      </c>
      <c r="L2280">
        <v>5</v>
      </c>
      <c r="M2280" t="s">
        <v>8335</v>
      </c>
      <c r="N2280" t="s">
        <v>59</v>
      </c>
      <c r="O2280" t="s">
        <v>47</v>
      </c>
      <c r="P2280" t="s">
        <v>47</v>
      </c>
      <c r="Y2280" t="s">
        <v>8342</v>
      </c>
      <c r="AG2280" t="s">
        <v>48</v>
      </c>
    </row>
    <row r="2281" spans="1:33">
      <c r="A2281" t="s">
        <v>8343</v>
      </c>
      <c r="B2281" t="s">
        <v>8344</v>
      </c>
      <c r="D2281" t="s">
        <v>40</v>
      </c>
      <c r="E2281" t="s">
        <v>41</v>
      </c>
      <c r="J2281" t="s">
        <v>290</v>
      </c>
      <c r="K2281" t="s">
        <v>291</v>
      </c>
      <c r="L2281">
        <v>5</v>
      </c>
      <c r="M2281" t="s">
        <v>8335</v>
      </c>
      <c r="N2281" t="s">
        <v>59</v>
      </c>
      <c r="O2281" t="s">
        <v>47</v>
      </c>
      <c r="P2281" t="s">
        <v>47</v>
      </c>
      <c r="Y2281" t="s">
        <v>8345</v>
      </c>
      <c r="AG2281" t="s">
        <v>48</v>
      </c>
    </row>
    <row r="2282" spans="1:33">
      <c r="A2282" t="s">
        <v>8346</v>
      </c>
      <c r="B2282" t="s">
        <v>8347</v>
      </c>
      <c r="D2282" t="s">
        <v>40</v>
      </c>
      <c r="E2282" t="s">
        <v>41</v>
      </c>
      <c r="H2282" t="s">
        <v>8348</v>
      </c>
      <c r="J2282" t="s">
        <v>63</v>
      </c>
      <c r="K2282" t="s">
        <v>64</v>
      </c>
      <c r="L2282">
        <v>5</v>
      </c>
      <c r="M2282" t="s">
        <v>8349</v>
      </c>
      <c r="N2282" t="s">
        <v>59</v>
      </c>
      <c r="O2282" t="s">
        <v>47</v>
      </c>
      <c r="P2282" t="s">
        <v>47</v>
      </c>
      <c r="Y2282" t="s">
        <v>8348</v>
      </c>
      <c r="AG2282" t="s">
        <v>48</v>
      </c>
    </row>
    <row r="2283" spans="1:33">
      <c r="A2283" t="s">
        <v>8350</v>
      </c>
      <c r="B2283" t="s">
        <v>8351</v>
      </c>
      <c r="D2283" t="s">
        <v>40</v>
      </c>
      <c r="E2283" t="s">
        <v>41</v>
      </c>
      <c r="H2283" t="s">
        <v>8352</v>
      </c>
      <c r="J2283" t="s">
        <v>56</v>
      </c>
      <c r="K2283" t="s">
        <v>57</v>
      </c>
      <c r="L2283">
        <v>5</v>
      </c>
      <c r="M2283" t="s">
        <v>8353</v>
      </c>
      <c r="N2283" t="s">
        <v>59</v>
      </c>
      <c r="O2283" t="s">
        <v>47</v>
      </c>
      <c r="P2283" t="s">
        <v>47</v>
      </c>
      <c r="Y2283" t="s">
        <v>8352</v>
      </c>
      <c r="AG2283" t="s">
        <v>48</v>
      </c>
    </row>
    <row r="2284" spans="1:33">
      <c r="A2284" t="s">
        <v>8354</v>
      </c>
      <c r="B2284" t="s">
        <v>8355</v>
      </c>
      <c r="D2284" t="s">
        <v>40</v>
      </c>
      <c r="E2284" t="s">
        <v>41</v>
      </c>
      <c r="H2284" t="s">
        <v>8356</v>
      </c>
      <c r="J2284" t="s">
        <v>63</v>
      </c>
      <c r="K2284" t="s">
        <v>64</v>
      </c>
      <c r="L2284">
        <v>5</v>
      </c>
      <c r="M2284" t="s">
        <v>8357</v>
      </c>
      <c r="N2284" t="s">
        <v>59</v>
      </c>
      <c r="O2284" t="s">
        <v>47</v>
      </c>
      <c r="P2284" t="s">
        <v>47</v>
      </c>
      <c r="Y2284" t="s">
        <v>8356</v>
      </c>
      <c r="AG2284" t="s">
        <v>48</v>
      </c>
    </row>
    <row r="2285" spans="1:33">
      <c r="A2285" t="s">
        <v>8358</v>
      </c>
      <c r="B2285" t="s">
        <v>8359</v>
      </c>
      <c r="D2285" t="s">
        <v>40</v>
      </c>
      <c r="E2285" t="s">
        <v>41</v>
      </c>
      <c r="H2285" t="s">
        <v>8360</v>
      </c>
      <c r="J2285" t="s">
        <v>63</v>
      </c>
      <c r="K2285" t="s">
        <v>64</v>
      </c>
      <c r="L2285">
        <v>5</v>
      </c>
      <c r="M2285" t="s">
        <v>8361</v>
      </c>
      <c r="N2285" t="s">
        <v>59</v>
      </c>
      <c r="O2285" t="s">
        <v>47</v>
      </c>
      <c r="P2285" t="s">
        <v>47</v>
      </c>
      <c r="Y2285" t="s">
        <v>8360</v>
      </c>
      <c r="AG2285" t="s">
        <v>48</v>
      </c>
    </row>
    <row r="2286" spans="1:33">
      <c r="A2286" t="s">
        <v>8362</v>
      </c>
      <c r="B2286" t="s">
        <v>8363</v>
      </c>
      <c r="D2286" t="s">
        <v>40</v>
      </c>
      <c r="E2286" t="s">
        <v>41</v>
      </c>
      <c r="J2286" t="s">
        <v>270</v>
      </c>
      <c r="K2286" t="s">
        <v>271</v>
      </c>
      <c r="L2286">
        <v>5</v>
      </c>
      <c r="M2286" t="s">
        <v>8364</v>
      </c>
      <c r="N2286" t="s">
        <v>59</v>
      </c>
      <c r="O2286" t="s">
        <v>47</v>
      </c>
      <c r="P2286" t="s">
        <v>47</v>
      </c>
      <c r="Y2286" t="s">
        <v>8365</v>
      </c>
      <c r="AG2286" t="s">
        <v>48</v>
      </c>
    </row>
    <row r="2287" spans="1:33">
      <c r="A2287" t="s">
        <v>8366</v>
      </c>
      <c r="B2287" t="s">
        <v>8367</v>
      </c>
      <c r="D2287" t="s">
        <v>40</v>
      </c>
      <c r="E2287" t="s">
        <v>41</v>
      </c>
      <c r="J2287" t="s">
        <v>270</v>
      </c>
      <c r="K2287" t="s">
        <v>271</v>
      </c>
      <c r="L2287">
        <v>5</v>
      </c>
      <c r="M2287" t="s">
        <v>8364</v>
      </c>
      <c r="N2287" t="s">
        <v>59</v>
      </c>
      <c r="O2287" t="s">
        <v>47</v>
      </c>
      <c r="P2287" t="s">
        <v>47</v>
      </c>
      <c r="Y2287" t="s">
        <v>8368</v>
      </c>
      <c r="AG2287" t="s">
        <v>48</v>
      </c>
    </row>
    <row r="2288" spans="1:33">
      <c r="A2288" t="s">
        <v>8369</v>
      </c>
      <c r="B2288" t="s">
        <v>8370</v>
      </c>
      <c r="D2288" t="s">
        <v>40</v>
      </c>
      <c r="E2288" t="s">
        <v>41</v>
      </c>
      <c r="J2288" t="s">
        <v>290</v>
      </c>
      <c r="K2288" t="s">
        <v>291</v>
      </c>
      <c r="L2288">
        <v>5</v>
      </c>
      <c r="M2288" t="s">
        <v>8364</v>
      </c>
      <c r="N2288" t="s">
        <v>59</v>
      </c>
      <c r="O2288" t="s">
        <v>47</v>
      </c>
      <c r="P2288" t="s">
        <v>47</v>
      </c>
      <c r="Y2288" t="s">
        <v>8371</v>
      </c>
      <c r="AG2288" t="s">
        <v>48</v>
      </c>
    </row>
    <row r="2289" spans="1:33">
      <c r="A2289" t="s">
        <v>8372</v>
      </c>
      <c r="B2289" t="s">
        <v>8373</v>
      </c>
      <c r="D2289" t="s">
        <v>40</v>
      </c>
      <c r="E2289" t="s">
        <v>41</v>
      </c>
      <c r="J2289" t="s">
        <v>162</v>
      </c>
      <c r="K2289" t="s">
        <v>163</v>
      </c>
      <c r="L2289">
        <v>5</v>
      </c>
      <c r="M2289" t="s">
        <v>8364</v>
      </c>
      <c r="N2289" t="s">
        <v>59</v>
      </c>
      <c r="O2289" t="s">
        <v>47</v>
      </c>
      <c r="P2289" t="s">
        <v>47</v>
      </c>
      <c r="Y2289" t="s">
        <v>8374</v>
      </c>
      <c r="AG2289" t="s">
        <v>48</v>
      </c>
    </row>
    <row r="2290" spans="1:33">
      <c r="A2290" t="s">
        <v>8375</v>
      </c>
      <c r="B2290" t="s">
        <v>8376</v>
      </c>
      <c r="D2290" t="s">
        <v>40</v>
      </c>
      <c r="E2290" t="s">
        <v>41</v>
      </c>
      <c r="H2290" t="s">
        <v>8377</v>
      </c>
      <c r="J2290" t="s">
        <v>63</v>
      </c>
      <c r="K2290" t="s">
        <v>64</v>
      </c>
      <c r="L2290">
        <v>5</v>
      </c>
      <c r="M2290" t="s">
        <v>8378</v>
      </c>
      <c r="N2290" t="s">
        <v>59</v>
      </c>
      <c r="O2290" t="s">
        <v>47</v>
      </c>
      <c r="P2290" t="s">
        <v>47</v>
      </c>
      <c r="Y2290" t="s">
        <v>8377</v>
      </c>
      <c r="AG2290" t="s">
        <v>48</v>
      </c>
    </row>
    <row r="2291" spans="1:33">
      <c r="A2291" t="s">
        <v>8379</v>
      </c>
      <c r="B2291" t="s">
        <v>8380</v>
      </c>
      <c r="D2291" t="s">
        <v>40</v>
      </c>
      <c r="E2291" t="s">
        <v>41</v>
      </c>
      <c r="H2291" t="s">
        <v>8381</v>
      </c>
      <c r="J2291" t="s">
        <v>63</v>
      </c>
      <c r="K2291" t="s">
        <v>64</v>
      </c>
      <c r="L2291">
        <v>5</v>
      </c>
      <c r="M2291" t="s">
        <v>8382</v>
      </c>
      <c r="N2291" t="s">
        <v>59</v>
      </c>
      <c r="O2291" t="s">
        <v>47</v>
      </c>
      <c r="P2291" t="s">
        <v>47</v>
      </c>
      <c r="Y2291" t="s">
        <v>8381</v>
      </c>
      <c r="AG2291" t="s">
        <v>48</v>
      </c>
    </row>
    <row r="2292" spans="1:33">
      <c r="A2292" t="s">
        <v>8383</v>
      </c>
      <c r="B2292" t="s">
        <v>8384</v>
      </c>
      <c r="D2292" t="s">
        <v>40</v>
      </c>
      <c r="E2292" t="s">
        <v>41</v>
      </c>
      <c r="J2292" t="s">
        <v>270</v>
      </c>
      <c r="K2292" t="s">
        <v>271</v>
      </c>
      <c r="L2292">
        <v>5</v>
      </c>
      <c r="M2292" t="s">
        <v>8385</v>
      </c>
      <c r="N2292" t="s">
        <v>59</v>
      </c>
      <c r="O2292" t="s">
        <v>47</v>
      </c>
      <c r="P2292" t="s">
        <v>47</v>
      </c>
      <c r="Y2292" t="s">
        <v>8386</v>
      </c>
      <c r="AG2292" t="s">
        <v>48</v>
      </c>
    </row>
    <row r="2293" spans="1:33">
      <c r="A2293" t="s">
        <v>8387</v>
      </c>
      <c r="B2293" t="s">
        <v>8388</v>
      </c>
      <c r="D2293" t="s">
        <v>40</v>
      </c>
      <c r="E2293" t="s">
        <v>41</v>
      </c>
      <c r="J2293" t="s">
        <v>270</v>
      </c>
      <c r="K2293" t="s">
        <v>271</v>
      </c>
      <c r="L2293">
        <v>5</v>
      </c>
      <c r="M2293" t="s">
        <v>8389</v>
      </c>
      <c r="N2293" t="s">
        <v>59</v>
      </c>
      <c r="O2293" t="s">
        <v>47</v>
      </c>
      <c r="P2293" t="s">
        <v>47</v>
      </c>
      <c r="Y2293" t="s">
        <v>8390</v>
      </c>
      <c r="AG2293" t="s">
        <v>48</v>
      </c>
    </row>
    <row r="2294" spans="1:33">
      <c r="A2294" t="s">
        <v>8391</v>
      </c>
      <c r="B2294" t="s">
        <v>8392</v>
      </c>
      <c r="D2294" t="s">
        <v>40</v>
      </c>
      <c r="E2294" t="s">
        <v>41</v>
      </c>
      <c r="J2294" t="s">
        <v>69</v>
      </c>
      <c r="K2294" t="s">
        <v>70</v>
      </c>
      <c r="L2294">
        <v>5</v>
      </c>
      <c r="M2294" t="s">
        <v>8389</v>
      </c>
      <c r="N2294" t="s">
        <v>46</v>
      </c>
      <c r="O2294" t="s">
        <v>47</v>
      </c>
      <c r="P2294" t="s">
        <v>47</v>
      </c>
      <c r="Y2294" t="s">
        <v>8393</v>
      </c>
      <c r="AG2294" t="s">
        <v>48</v>
      </c>
    </row>
    <row r="2295" spans="1:33">
      <c r="A2295" t="s">
        <v>8394</v>
      </c>
      <c r="B2295" t="s">
        <v>8395</v>
      </c>
      <c r="D2295" t="s">
        <v>40</v>
      </c>
      <c r="E2295" t="s">
        <v>41</v>
      </c>
      <c r="H2295" t="s">
        <v>8396</v>
      </c>
      <c r="J2295" t="s">
        <v>63</v>
      </c>
      <c r="K2295" t="s">
        <v>64</v>
      </c>
      <c r="L2295">
        <v>5</v>
      </c>
      <c r="M2295" t="s">
        <v>8397</v>
      </c>
      <c r="N2295" t="s">
        <v>59</v>
      </c>
      <c r="O2295" t="s">
        <v>47</v>
      </c>
      <c r="P2295" t="s">
        <v>47</v>
      </c>
      <c r="Y2295" t="s">
        <v>8396</v>
      </c>
      <c r="AG2295" t="s">
        <v>48</v>
      </c>
    </row>
    <row r="2296" spans="1:33">
      <c r="A2296" t="s">
        <v>8398</v>
      </c>
      <c r="B2296" t="s">
        <v>8399</v>
      </c>
      <c r="D2296" t="s">
        <v>40</v>
      </c>
      <c r="E2296" t="s">
        <v>41</v>
      </c>
      <c r="J2296" t="s">
        <v>270</v>
      </c>
      <c r="K2296" t="s">
        <v>271</v>
      </c>
      <c r="L2296">
        <v>5</v>
      </c>
      <c r="M2296" t="s">
        <v>8400</v>
      </c>
      <c r="N2296" t="s">
        <v>59</v>
      </c>
      <c r="O2296" t="s">
        <v>47</v>
      </c>
      <c r="P2296" t="s">
        <v>47</v>
      </c>
      <c r="Y2296" t="s">
        <v>8401</v>
      </c>
      <c r="AG2296" t="s">
        <v>48</v>
      </c>
    </row>
    <row r="2297" spans="1:33">
      <c r="A2297" t="s">
        <v>8402</v>
      </c>
      <c r="B2297" t="s">
        <v>8403</v>
      </c>
      <c r="D2297" t="s">
        <v>40</v>
      </c>
      <c r="E2297" t="s">
        <v>41</v>
      </c>
      <c r="H2297" t="s">
        <v>8404</v>
      </c>
      <c r="J2297" t="s">
        <v>129</v>
      </c>
      <c r="K2297" t="s">
        <v>130</v>
      </c>
      <c r="L2297">
        <v>5</v>
      </c>
      <c r="M2297" t="s">
        <v>8405</v>
      </c>
      <c r="N2297" t="s">
        <v>46</v>
      </c>
      <c r="O2297" t="s">
        <v>47</v>
      </c>
      <c r="P2297" t="s">
        <v>47</v>
      </c>
      <c r="Y2297" t="s">
        <v>8404</v>
      </c>
      <c r="AG2297" t="s">
        <v>48</v>
      </c>
    </row>
    <row r="2298" spans="1:33">
      <c r="A2298" t="s">
        <v>8406</v>
      </c>
      <c r="B2298" t="s">
        <v>8407</v>
      </c>
      <c r="D2298" t="s">
        <v>40</v>
      </c>
      <c r="E2298" t="s">
        <v>41</v>
      </c>
      <c r="J2298" t="s">
        <v>290</v>
      </c>
      <c r="K2298" t="s">
        <v>291</v>
      </c>
      <c r="L2298">
        <v>5</v>
      </c>
      <c r="M2298" t="s">
        <v>8408</v>
      </c>
      <c r="N2298" t="s">
        <v>59</v>
      </c>
      <c r="O2298" t="s">
        <v>47</v>
      </c>
      <c r="P2298" t="s">
        <v>47</v>
      </c>
      <c r="Y2298" t="s">
        <v>8409</v>
      </c>
      <c r="AG2298" t="s">
        <v>48</v>
      </c>
    </row>
    <row r="2299" spans="1:33">
      <c r="A2299" t="s">
        <v>8410</v>
      </c>
      <c r="B2299" t="s">
        <v>8411</v>
      </c>
      <c r="D2299" t="s">
        <v>40</v>
      </c>
      <c r="E2299" t="s">
        <v>41</v>
      </c>
      <c r="J2299" t="s">
        <v>108</v>
      </c>
      <c r="K2299" t="s">
        <v>109</v>
      </c>
      <c r="L2299">
        <v>5</v>
      </c>
      <c r="M2299" t="s">
        <v>8408</v>
      </c>
      <c r="N2299" t="s">
        <v>59</v>
      </c>
      <c r="O2299" t="s">
        <v>47</v>
      </c>
      <c r="P2299" t="s">
        <v>47</v>
      </c>
      <c r="Y2299" t="s">
        <v>8412</v>
      </c>
      <c r="AG2299" t="s">
        <v>48</v>
      </c>
    </row>
    <row r="2300" spans="1:33">
      <c r="A2300" t="s">
        <v>8413</v>
      </c>
      <c r="B2300" t="s">
        <v>8414</v>
      </c>
      <c r="D2300" t="s">
        <v>40</v>
      </c>
      <c r="E2300" t="s">
        <v>41</v>
      </c>
      <c r="J2300" t="s">
        <v>108</v>
      </c>
      <c r="K2300" t="s">
        <v>109</v>
      </c>
      <c r="L2300">
        <v>5</v>
      </c>
      <c r="M2300" t="s">
        <v>8415</v>
      </c>
      <c r="N2300" t="s">
        <v>59</v>
      </c>
      <c r="O2300" t="s">
        <v>47</v>
      </c>
      <c r="P2300" t="s">
        <v>47</v>
      </c>
      <c r="Y2300" t="s">
        <v>8416</v>
      </c>
      <c r="AG2300" t="s">
        <v>48</v>
      </c>
    </row>
    <row r="2301" spans="1:33">
      <c r="A2301" t="s">
        <v>8417</v>
      </c>
      <c r="B2301" t="s">
        <v>8418</v>
      </c>
      <c r="D2301" t="s">
        <v>40</v>
      </c>
      <c r="E2301" t="s">
        <v>41</v>
      </c>
      <c r="J2301" t="s">
        <v>129</v>
      </c>
      <c r="K2301" t="s">
        <v>130</v>
      </c>
      <c r="L2301">
        <v>5</v>
      </c>
      <c r="M2301" t="s">
        <v>8415</v>
      </c>
      <c r="N2301" t="s">
        <v>46</v>
      </c>
      <c r="O2301" t="s">
        <v>47</v>
      </c>
      <c r="P2301" t="s">
        <v>47</v>
      </c>
      <c r="Y2301" t="s">
        <v>8419</v>
      </c>
      <c r="AG2301" t="s">
        <v>48</v>
      </c>
    </row>
    <row r="2302" spans="1:33">
      <c r="A2302" t="s">
        <v>8420</v>
      </c>
      <c r="B2302" t="s">
        <v>8421</v>
      </c>
      <c r="D2302" t="s">
        <v>40</v>
      </c>
      <c r="E2302" t="s">
        <v>41</v>
      </c>
      <c r="J2302" t="s">
        <v>290</v>
      </c>
      <c r="K2302" t="s">
        <v>291</v>
      </c>
      <c r="L2302">
        <v>5</v>
      </c>
      <c r="M2302" t="s">
        <v>8415</v>
      </c>
      <c r="N2302" t="s">
        <v>59</v>
      </c>
      <c r="O2302" t="s">
        <v>47</v>
      </c>
      <c r="P2302" t="s">
        <v>47</v>
      </c>
      <c r="Y2302" t="s">
        <v>8422</v>
      </c>
      <c r="AG2302" t="s">
        <v>48</v>
      </c>
    </row>
    <row r="2303" spans="1:33">
      <c r="A2303" t="s">
        <v>8423</v>
      </c>
      <c r="B2303" t="s">
        <v>8424</v>
      </c>
      <c r="D2303" t="s">
        <v>40</v>
      </c>
      <c r="E2303" t="s">
        <v>41</v>
      </c>
      <c r="J2303" t="s">
        <v>123</v>
      </c>
      <c r="K2303" t="s">
        <v>124</v>
      </c>
      <c r="L2303">
        <v>5</v>
      </c>
      <c r="M2303" t="s">
        <v>8425</v>
      </c>
      <c r="N2303" t="s">
        <v>46</v>
      </c>
      <c r="O2303" t="s">
        <v>47</v>
      </c>
      <c r="P2303" t="s">
        <v>47</v>
      </c>
      <c r="Y2303" t="s">
        <v>8426</v>
      </c>
      <c r="AG2303" t="s">
        <v>48</v>
      </c>
    </row>
    <row r="2304" spans="1:33">
      <c r="A2304" t="s">
        <v>8427</v>
      </c>
      <c r="B2304" t="s">
        <v>8428</v>
      </c>
      <c r="D2304" t="s">
        <v>40</v>
      </c>
      <c r="E2304" t="s">
        <v>41</v>
      </c>
      <c r="J2304" t="s">
        <v>162</v>
      </c>
      <c r="K2304" t="s">
        <v>163</v>
      </c>
      <c r="L2304">
        <v>5</v>
      </c>
      <c r="M2304" t="s">
        <v>8429</v>
      </c>
      <c r="N2304" t="s">
        <v>59</v>
      </c>
      <c r="O2304" t="s">
        <v>47</v>
      </c>
      <c r="P2304" t="s">
        <v>47</v>
      </c>
      <c r="Y2304" t="s">
        <v>8430</v>
      </c>
      <c r="AG2304" t="s">
        <v>48</v>
      </c>
    </row>
    <row r="2305" spans="1:33">
      <c r="A2305" t="s">
        <v>8431</v>
      </c>
      <c r="B2305" t="s">
        <v>8432</v>
      </c>
      <c r="D2305" t="s">
        <v>40</v>
      </c>
      <c r="E2305" t="s">
        <v>41</v>
      </c>
      <c r="J2305" t="s">
        <v>162</v>
      </c>
      <c r="K2305" t="s">
        <v>163</v>
      </c>
      <c r="L2305">
        <v>5</v>
      </c>
      <c r="M2305" t="s">
        <v>8433</v>
      </c>
      <c r="N2305" t="s">
        <v>59</v>
      </c>
      <c r="O2305" t="s">
        <v>47</v>
      </c>
      <c r="P2305" t="s">
        <v>47</v>
      </c>
      <c r="Y2305" t="s">
        <v>8434</v>
      </c>
      <c r="AG2305" t="s">
        <v>48</v>
      </c>
    </row>
    <row r="2306" spans="1:33">
      <c r="A2306" t="s">
        <v>8435</v>
      </c>
      <c r="B2306" t="s">
        <v>8436</v>
      </c>
      <c r="D2306" t="s">
        <v>40</v>
      </c>
      <c r="E2306" t="s">
        <v>41</v>
      </c>
      <c r="J2306" t="s">
        <v>108</v>
      </c>
      <c r="K2306" t="s">
        <v>109</v>
      </c>
      <c r="L2306">
        <v>5</v>
      </c>
      <c r="M2306" t="s">
        <v>8433</v>
      </c>
      <c r="N2306" t="s">
        <v>59</v>
      </c>
      <c r="O2306" t="s">
        <v>47</v>
      </c>
      <c r="P2306" t="s">
        <v>47</v>
      </c>
      <c r="Y2306" t="s">
        <v>8437</v>
      </c>
      <c r="AG2306" t="s">
        <v>48</v>
      </c>
    </row>
    <row r="2307" spans="1:33">
      <c r="A2307" t="s">
        <v>8438</v>
      </c>
      <c r="B2307" t="s">
        <v>8439</v>
      </c>
      <c r="D2307" t="s">
        <v>40</v>
      </c>
      <c r="E2307" t="s">
        <v>41</v>
      </c>
      <c r="J2307" t="s">
        <v>108</v>
      </c>
      <c r="K2307" t="s">
        <v>109</v>
      </c>
      <c r="L2307">
        <v>5</v>
      </c>
      <c r="M2307" t="s">
        <v>8433</v>
      </c>
      <c r="N2307" t="s">
        <v>59</v>
      </c>
      <c r="O2307" t="s">
        <v>47</v>
      </c>
      <c r="P2307" t="s">
        <v>47</v>
      </c>
      <c r="Y2307" t="s">
        <v>8440</v>
      </c>
      <c r="AG2307" t="s">
        <v>48</v>
      </c>
    </row>
    <row r="2308" spans="1:33">
      <c r="A2308" t="s">
        <v>8441</v>
      </c>
      <c r="B2308" t="s">
        <v>8442</v>
      </c>
      <c r="D2308" t="s">
        <v>40</v>
      </c>
      <c r="E2308" t="s">
        <v>41</v>
      </c>
      <c r="J2308" t="s">
        <v>290</v>
      </c>
      <c r="K2308" t="s">
        <v>291</v>
      </c>
      <c r="L2308">
        <v>5</v>
      </c>
      <c r="M2308" t="s">
        <v>8433</v>
      </c>
      <c r="N2308" t="s">
        <v>59</v>
      </c>
      <c r="O2308" t="s">
        <v>47</v>
      </c>
      <c r="P2308" t="s">
        <v>47</v>
      </c>
      <c r="Y2308" t="s">
        <v>8443</v>
      </c>
      <c r="AG2308" t="s">
        <v>48</v>
      </c>
    </row>
    <row r="2309" spans="1:33">
      <c r="A2309" t="s">
        <v>8444</v>
      </c>
      <c r="B2309" t="s">
        <v>8445</v>
      </c>
      <c r="D2309" t="s">
        <v>40</v>
      </c>
      <c r="E2309" t="s">
        <v>41</v>
      </c>
      <c r="H2309" t="s">
        <v>8446</v>
      </c>
      <c r="J2309" t="s">
        <v>63</v>
      </c>
      <c r="K2309" t="s">
        <v>64</v>
      </c>
      <c r="L2309">
        <v>5</v>
      </c>
      <c r="M2309" t="s">
        <v>8447</v>
      </c>
      <c r="N2309" t="s">
        <v>59</v>
      </c>
      <c r="O2309" t="s">
        <v>47</v>
      </c>
      <c r="P2309" t="s">
        <v>47</v>
      </c>
      <c r="Y2309" t="s">
        <v>8446</v>
      </c>
      <c r="AG2309" t="s">
        <v>48</v>
      </c>
    </row>
    <row r="2310" spans="1:33">
      <c r="A2310" t="s">
        <v>8448</v>
      </c>
      <c r="B2310" t="s">
        <v>8449</v>
      </c>
      <c r="D2310" t="s">
        <v>40</v>
      </c>
      <c r="E2310" t="s">
        <v>41</v>
      </c>
      <c r="J2310" t="s">
        <v>108</v>
      </c>
      <c r="K2310" t="s">
        <v>109</v>
      </c>
      <c r="L2310">
        <v>5</v>
      </c>
      <c r="M2310" t="s">
        <v>8450</v>
      </c>
      <c r="N2310" t="s">
        <v>59</v>
      </c>
      <c r="O2310" t="s">
        <v>47</v>
      </c>
      <c r="P2310" t="s">
        <v>47</v>
      </c>
      <c r="Y2310" t="s">
        <v>8451</v>
      </c>
      <c r="AG2310" t="s">
        <v>48</v>
      </c>
    </row>
    <row r="2311" spans="1:33">
      <c r="A2311" t="s">
        <v>8452</v>
      </c>
      <c r="B2311" t="s">
        <v>8453</v>
      </c>
      <c r="D2311" t="s">
        <v>40</v>
      </c>
      <c r="E2311" t="s">
        <v>41</v>
      </c>
      <c r="J2311" t="s">
        <v>290</v>
      </c>
      <c r="K2311" t="s">
        <v>291</v>
      </c>
      <c r="L2311">
        <v>5</v>
      </c>
      <c r="M2311" t="s">
        <v>8454</v>
      </c>
      <c r="N2311" t="s">
        <v>59</v>
      </c>
      <c r="O2311" t="s">
        <v>47</v>
      </c>
      <c r="P2311" t="s">
        <v>47</v>
      </c>
      <c r="Y2311" t="s">
        <v>8455</v>
      </c>
      <c r="AG2311" t="s">
        <v>48</v>
      </c>
    </row>
    <row r="2312" spans="1:33">
      <c r="A2312" t="s">
        <v>8456</v>
      </c>
      <c r="B2312" t="s">
        <v>8457</v>
      </c>
      <c r="D2312" t="s">
        <v>40</v>
      </c>
      <c r="E2312" t="s">
        <v>41</v>
      </c>
      <c r="J2312" t="s">
        <v>129</v>
      </c>
      <c r="K2312" t="s">
        <v>130</v>
      </c>
      <c r="L2312">
        <v>5</v>
      </c>
      <c r="M2312" t="s">
        <v>8458</v>
      </c>
      <c r="N2312" t="s">
        <v>46</v>
      </c>
      <c r="O2312" t="s">
        <v>47</v>
      </c>
      <c r="P2312" t="s">
        <v>47</v>
      </c>
      <c r="Y2312" t="s">
        <v>8459</v>
      </c>
      <c r="AG2312" t="s">
        <v>48</v>
      </c>
    </row>
    <row r="2313" spans="1:33">
      <c r="A2313" t="s">
        <v>117</v>
      </c>
      <c r="B2313" t="s">
        <v>8460</v>
      </c>
      <c r="D2313" t="s">
        <v>40</v>
      </c>
      <c r="E2313" t="s">
        <v>41</v>
      </c>
      <c r="J2313" t="s">
        <v>162</v>
      </c>
      <c r="K2313" t="s">
        <v>163</v>
      </c>
      <c r="L2313">
        <v>5</v>
      </c>
      <c r="M2313" t="s">
        <v>8461</v>
      </c>
      <c r="N2313" t="s">
        <v>59</v>
      </c>
      <c r="O2313" t="s">
        <v>47</v>
      </c>
      <c r="P2313" t="s">
        <v>47</v>
      </c>
      <c r="Y2313" t="s">
        <v>8462</v>
      </c>
      <c r="AG2313" t="s">
        <v>48</v>
      </c>
    </row>
    <row r="2314" spans="1:33">
      <c r="A2314" t="s">
        <v>8463</v>
      </c>
      <c r="B2314" t="s">
        <v>8464</v>
      </c>
      <c r="D2314" t="s">
        <v>40</v>
      </c>
      <c r="E2314" t="s">
        <v>41</v>
      </c>
      <c r="J2314" t="s">
        <v>108</v>
      </c>
      <c r="K2314" t="s">
        <v>109</v>
      </c>
      <c r="L2314">
        <v>5</v>
      </c>
      <c r="M2314" t="s">
        <v>8461</v>
      </c>
      <c r="N2314" t="s">
        <v>59</v>
      </c>
      <c r="O2314" t="s">
        <v>47</v>
      </c>
      <c r="P2314" t="s">
        <v>47</v>
      </c>
      <c r="Y2314" t="s">
        <v>8465</v>
      </c>
      <c r="AG2314" t="s">
        <v>48</v>
      </c>
    </row>
    <row r="2315" spans="1:33">
      <c r="A2315" t="s">
        <v>8466</v>
      </c>
      <c r="B2315" t="s">
        <v>8467</v>
      </c>
      <c r="D2315" t="s">
        <v>40</v>
      </c>
      <c r="E2315" t="s">
        <v>41</v>
      </c>
      <c r="H2315" t="s">
        <v>8468</v>
      </c>
      <c r="J2315" t="s">
        <v>290</v>
      </c>
      <c r="K2315" t="s">
        <v>291</v>
      </c>
      <c r="L2315">
        <v>5</v>
      </c>
      <c r="M2315" t="s">
        <v>8461</v>
      </c>
      <c r="N2315" t="s">
        <v>59</v>
      </c>
      <c r="O2315" t="s">
        <v>47</v>
      </c>
      <c r="P2315" t="s">
        <v>47</v>
      </c>
      <c r="Y2315" t="s">
        <v>8468</v>
      </c>
      <c r="AG2315" t="s">
        <v>48</v>
      </c>
    </row>
    <row r="2316" spans="1:33">
      <c r="A2316" t="s">
        <v>8469</v>
      </c>
      <c r="B2316" t="s">
        <v>8470</v>
      </c>
      <c r="D2316" t="s">
        <v>40</v>
      </c>
      <c r="E2316" t="s">
        <v>41</v>
      </c>
      <c r="J2316" t="s">
        <v>69</v>
      </c>
      <c r="K2316" t="s">
        <v>70</v>
      </c>
      <c r="L2316">
        <v>5</v>
      </c>
      <c r="M2316" t="s">
        <v>8471</v>
      </c>
      <c r="N2316" t="s">
        <v>46</v>
      </c>
      <c r="O2316" t="s">
        <v>47</v>
      </c>
      <c r="P2316" t="s">
        <v>47</v>
      </c>
      <c r="Y2316" t="s">
        <v>8472</v>
      </c>
      <c r="AG2316" t="s">
        <v>48</v>
      </c>
    </row>
    <row r="2317" spans="1:33">
      <c r="A2317" t="s">
        <v>8473</v>
      </c>
      <c r="B2317" t="s">
        <v>8474</v>
      </c>
      <c r="D2317" t="s">
        <v>40</v>
      </c>
      <c r="E2317" t="s">
        <v>41</v>
      </c>
      <c r="H2317" t="s">
        <v>8475</v>
      </c>
      <c r="J2317" t="s">
        <v>63</v>
      </c>
      <c r="K2317" t="s">
        <v>64</v>
      </c>
      <c r="L2317">
        <v>5</v>
      </c>
      <c r="M2317" t="s">
        <v>8476</v>
      </c>
      <c r="N2317" t="s">
        <v>59</v>
      </c>
      <c r="O2317" t="s">
        <v>47</v>
      </c>
      <c r="P2317" t="s">
        <v>47</v>
      </c>
      <c r="Y2317" t="s">
        <v>8475</v>
      </c>
      <c r="AG2317" t="s">
        <v>48</v>
      </c>
    </row>
    <row r="2318" spans="1:33">
      <c r="A2318" t="s">
        <v>8477</v>
      </c>
      <c r="B2318" t="s">
        <v>8478</v>
      </c>
      <c r="D2318" t="s">
        <v>40</v>
      </c>
      <c r="E2318" t="s">
        <v>41</v>
      </c>
      <c r="J2318" t="s">
        <v>162</v>
      </c>
      <c r="K2318" t="s">
        <v>163</v>
      </c>
      <c r="L2318">
        <v>5</v>
      </c>
      <c r="M2318" t="s">
        <v>8479</v>
      </c>
      <c r="N2318" t="s">
        <v>59</v>
      </c>
      <c r="O2318" t="s">
        <v>47</v>
      </c>
      <c r="P2318" t="s">
        <v>47</v>
      </c>
      <c r="Y2318" t="s">
        <v>8480</v>
      </c>
      <c r="AG2318" t="s">
        <v>48</v>
      </c>
    </row>
    <row r="2319" spans="1:33">
      <c r="A2319" t="s">
        <v>8481</v>
      </c>
      <c r="B2319" t="s">
        <v>8482</v>
      </c>
      <c r="D2319" t="s">
        <v>40</v>
      </c>
      <c r="E2319" t="s">
        <v>41</v>
      </c>
      <c r="J2319" t="s">
        <v>270</v>
      </c>
      <c r="K2319" t="s">
        <v>271</v>
      </c>
      <c r="L2319">
        <v>5</v>
      </c>
      <c r="M2319" t="s">
        <v>8479</v>
      </c>
      <c r="N2319" t="s">
        <v>59</v>
      </c>
      <c r="O2319" t="s">
        <v>47</v>
      </c>
      <c r="P2319" t="s">
        <v>47</v>
      </c>
      <c r="Y2319" t="s">
        <v>8483</v>
      </c>
      <c r="AG2319" t="s">
        <v>48</v>
      </c>
    </row>
    <row r="2320" spans="1:33">
      <c r="A2320" t="s">
        <v>8484</v>
      </c>
      <c r="B2320" t="s">
        <v>8485</v>
      </c>
      <c r="D2320" t="s">
        <v>40</v>
      </c>
      <c r="E2320" t="s">
        <v>41</v>
      </c>
      <c r="H2320" t="s">
        <v>8486</v>
      </c>
      <c r="J2320" t="s">
        <v>129</v>
      </c>
      <c r="K2320" t="s">
        <v>130</v>
      </c>
      <c r="L2320">
        <v>5</v>
      </c>
      <c r="M2320" t="s">
        <v>8487</v>
      </c>
      <c r="N2320" t="s">
        <v>192</v>
      </c>
      <c r="O2320" t="s">
        <v>47</v>
      </c>
      <c r="P2320" t="s">
        <v>47</v>
      </c>
      <c r="Y2320" t="s">
        <v>8486</v>
      </c>
      <c r="AG2320" t="s">
        <v>48</v>
      </c>
    </row>
    <row r="2321" spans="1:33">
      <c r="A2321" t="s">
        <v>8488</v>
      </c>
      <c r="B2321" t="s">
        <v>8489</v>
      </c>
      <c r="D2321" t="s">
        <v>40</v>
      </c>
      <c r="E2321" t="s">
        <v>41</v>
      </c>
      <c r="J2321" t="s">
        <v>162</v>
      </c>
      <c r="K2321" t="s">
        <v>163</v>
      </c>
      <c r="L2321">
        <v>5</v>
      </c>
      <c r="M2321" t="s">
        <v>8490</v>
      </c>
      <c r="N2321" t="s">
        <v>59</v>
      </c>
      <c r="O2321" t="s">
        <v>47</v>
      </c>
      <c r="P2321" t="s">
        <v>47</v>
      </c>
      <c r="Y2321" t="s">
        <v>8491</v>
      </c>
      <c r="AG2321" t="s">
        <v>48</v>
      </c>
    </row>
    <row r="2322" spans="1:33">
      <c r="A2322" t="s">
        <v>8492</v>
      </c>
      <c r="B2322" t="s">
        <v>8493</v>
      </c>
      <c r="D2322" t="s">
        <v>40</v>
      </c>
      <c r="E2322" t="s">
        <v>41</v>
      </c>
      <c r="J2322" t="s">
        <v>162</v>
      </c>
      <c r="K2322" t="s">
        <v>163</v>
      </c>
      <c r="L2322">
        <v>5</v>
      </c>
      <c r="M2322" t="s">
        <v>8494</v>
      </c>
      <c r="N2322" t="s">
        <v>59</v>
      </c>
      <c r="O2322" t="s">
        <v>47</v>
      </c>
      <c r="P2322" t="s">
        <v>47</v>
      </c>
      <c r="Y2322" t="s">
        <v>8495</v>
      </c>
      <c r="AG2322" t="s">
        <v>48</v>
      </c>
    </row>
    <row r="2323" spans="1:33">
      <c r="A2323" t="s">
        <v>8496</v>
      </c>
      <c r="B2323" t="s">
        <v>8497</v>
      </c>
      <c r="D2323" t="s">
        <v>40</v>
      </c>
      <c r="E2323" t="s">
        <v>41</v>
      </c>
      <c r="J2323" t="s">
        <v>108</v>
      </c>
      <c r="K2323" t="s">
        <v>109</v>
      </c>
      <c r="L2323">
        <v>5</v>
      </c>
      <c r="M2323" t="s">
        <v>8494</v>
      </c>
      <c r="N2323" t="s">
        <v>59</v>
      </c>
      <c r="O2323" t="s">
        <v>47</v>
      </c>
      <c r="P2323" t="s">
        <v>47</v>
      </c>
      <c r="Y2323" t="s">
        <v>8498</v>
      </c>
      <c r="AG2323" t="s">
        <v>48</v>
      </c>
    </row>
    <row r="2324" spans="1:33">
      <c r="A2324" t="s">
        <v>117</v>
      </c>
      <c r="B2324" t="s">
        <v>8499</v>
      </c>
      <c r="D2324" t="s">
        <v>40</v>
      </c>
      <c r="E2324" t="s">
        <v>41</v>
      </c>
      <c r="J2324" t="s">
        <v>108</v>
      </c>
      <c r="K2324" t="s">
        <v>109</v>
      </c>
      <c r="L2324">
        <v>5</v>
      </c>
      <c r="M2324" t="s">
        <v>8500</v>
      </c>
      <c r="N2324" t="s">
        <v>59</v>
      </c>
      <c r="O2324" t="s">
        <v>47</v>
      </c>
      <c r="P2324" t="s">
        <v>47</v>
      </c>
      <c r="Y2324" t="s">
        <v>8501</v>
      </c>
      <c r="AG2324" t="s">
        <v>48</v>
      </c>
    </row>
    <row r="2325" spans="1:33">
      <c r="A2325" t="s">
        <v>8502</v>
      </c>
      <c r="B2325" t="s">
        <v>8503</v>
      </c>
      <c r="D2325" t="s">
        <v>40</v>
      </c>
      <c r="E2325" t="s">
        <v>41</v>
      </c>
      <c r="H2325" t="s">
        <v>8504</v>
      </c>
      <c r="J2325" t="s">
        <v>63</v>
      </c>
      <c r="K2325" t="s">
        <v>64</v>
      </c>
      <c r="L2325">
        <v>5</v>
      </c>
      <c r="M2325" t="s">
        <v>8505</v>
      </c>
      <c r="N2325" t="s">
        <v>59</v>
      </c>
      <c r="O2325" t="s">
        <v>47</v>
      </c>
      <c r="P2325" t="s">
        <v>47</v>
      </c>
      <c r="Y2325" t="s">
        <v>8504</v>
      </c>
      <c r="AG2325" t="s">
        <v>48</v>
      </c>
    </row>
    <row r="2326" spans="1:33">
      <c r="A2326" t="s">
        <v>117</v>
      </c>
      <c r="B2326" t="s">
        <v>8506</v>
      </c>
      <c r="D2326" t="s">
        <v>40</v>
      </c>
      <c r="E2326" t="s">
        <v>41</v>
      </c>
      <c r="H2326" t="s">
        <v>8507</v>
      </c>
      <c r="J2326" t="s">
        <v>123</v>
      </c>
      <c r="K2326" t="s">
        <v>124</v>
      </c>
      <c r="L2326">
        <v>6</v>
      </c>
      <c r="M2326" t="s">
        <v>8508</v>
      </c>
      <c r="N2326" t="s">
        <v>46</v>
      </c>
      <c r="O2326" t="s">
        <v>47</v>
      </c>
      <c r="P2326" t="s">
        <v>47</v>
      </c>
      <c r="Y2326" t="s">
        <v>8507</v>
      </c>
      <c r="AG2326" t="s">
        <v>48</v>
      </c>
    </row>
    <row r="2327" spans="1:33">
      <c r="A2327" t="s">
        <v>8509</v>
      </c>
      <c r="B2327" t="s">
        <v>8510</v>
      </c>
      <c r="D2327" t="s">
        <v>40</v>
      </c>
      <c r="E2327" t="s">
        <v>41</v>
      </c>
      <c r="J2327" t="s">
        <v>290</v>
      </c>
      <c r="K2327" t="s">
        <v>291</v>
      </c>
      <c r="L2327">
        <v>5</v>
      </c>
      <c r="M2327" t="s">
        <v>8511</v>
      </c>
      <c r="N2327" t="s">
        <v>59</v>
      </c>
      <c r="O2327" t="s">
        <v>47</v>
      </c>
      <c r="P2327" t="s">
        <v>47</v>
      </c>
      <c r="Y2327" t="s">
        <v>8512</v>
      </c>
      <c r="AG2327" t="s">
        <v>48</v>
      </c>
    </row>
    <row r="2328" spans="1:33">
      <c r="A2328" t="s">
        <v>8513</v>
      </c>
      <c r="B2328" t="s">
        <v>8514</v>
      </c>
      <c r="D2328" t="s">
        <v>40</v>
      </c>
      <c r="E2328" t="s">
        <v>41</v>
      </c>
      <c r="J2328" t="s">
        <v>290</v>
      </c>
      <c r="K2328" t="s">
        <v>291</v>
      </c>
      <c r="L2328">
        <v>5</v>
      </c>
      <c r="M2328" t="s">
        <v>8515</v>
      </c>
      <c r="N2328" t="s">
        <v>59</v>
      </c>
      <c r="O2328" t="s">
        <v>47</v>
      </c>
      <c r="P2328" t="s">
        <v>47</v>
      </c>
      <c r="Y2328" t="s">
        <v>8516</v>
      </c>
      <c r="AG2328" t="s">
        <v>48</v>
      </c>
    </row>
    <row r="2329" spans="1:33">
      <c r="A2329" t="s">
        <v>8517</v>
      </c>
      <c r="B2329" t="s">
        <v>8518</v>
      </c>
      <c r="D2329" t="s">
        <v>40</v>
      </c>
      <c r="E2329" t="s">
        <v>41</v>
      </c>
      <c r="J2329" t="s">
        <v>162</v>
      </c>
      <c r="K2329" t="s">
        <v>163</v>
      </c>
      <c r="L2329">
        <v>5</v>
      </c>
      <c r="M2329" t="s">
        <v>8519</v>
      </c>
      <c r="N2329" t="s">
        <v>59</v>
      </c>
      <c r="O2329" t="s">
        <v>47</v>
      </c>
      <c r="P2329" t="s">
        <v>47</v>
      </c>
      <c r="Y2329" t="s">
        <v>8520</v>
      </c>
      <c r="AG2329" t="s">
        <v>48</v>
      </c>
    </row>
    <row r="2330" spans="1:33">
      <c r="A2330" t="s">
        <v>8521</v>
      </c>
      <c r="B2330" t="s">
        <v>8522</v>
      </c>
      <c r="D2330" t="s">
        <v>40</v>
      </c>
      <c r="E2330" t="s">
        <v>41</v>
      </c>
      <c r="J2330" t="s">
        <v>108</v>
      </c>
      <c r="K2330" t="s">
        <v>109</v>
      </c>
      <c r="L2330">
        <v>5</v>
      </c>
      <c r="M2330" t="s">
        <v>8523</v>
      </c>
      <c r="N2330" t="s">
        <v>59</v>
      </c>
      <c r="O2330" t="s">
        <v>47</v>
      </c>
      <c r="P2330" t="s">
        <v>47</v>
      </c>
      <c r="Y2330" t="s">
        <v>8524</v>
      </c>
      <c r="AG2330" t="s">
        <v>48</v>
      </c>
    </row>
    <row r="2331" spans="1:33">
      <c r="A2331" t="s">
        <v>117</v>
      </c>
      <c r="B2331" t="s">
        <v>8525</v>
      </c>
      <c r="D2331" t="s">
        <v>40</v>
      </c>
      <c r="E2331" t="s">
        <v>41</v>
      </c>
      <c r="J2331" t="s">
        <v>290</v>
      </c>
      <c r="K2331" t="s">
        <v>291</v>
      </c>
      <c r="L2331">
        <v>5</v>
      </c>
      <c r="M2331" t="s">
        <v>8523</v>
      </c>
      <c r="N2331" t="s">
        <v>59</v>
      </c>
      <c r="O2331" t="s">
        <v>47</v>
      </c>
      <c r="P2331" t="s">
        <v>47</v>
      </c>
      <c r="Y2331" t="s">
        <v>8526</v>
      </c>
      <c r="AG2331" t="s">
        <v>48</v>
      </c>
    </row>
    <row r="2332" spans="1:33">
      <c r="A2332" t="s">
        <v>8527</v>
      </c>
      <c r="B2332" t="s">
        <v>8528</v>
      </c>
      <c r="D2332" t="s">
        <v>40</v>
      </c>
      <c r="E2332" t="s">
        <v>41</v>
      </c>
      <c r="J2332" t="s">
        <v>290</v>
      </c>
      <c r="K2332" t="s">
        <v>291</v>
      </c>
      <c r="L2332">
        <v>5</v>
      </c>
      <c r="M2332" t="s">
        <v>8523</v>
      </c>
      <c r="N2332" t="s">
        <v>59</v>
      </c>
      <c r="O2332" t="s">
        <v>47</v>
      </c>
      <c r="P2332" t="s">
        <v>47</v>
      </c>
      <c r="Y2332" t="s">
        <v>8529</v>
      </c>
      <c r="AG2332" t="s">
        <v>48</v>
      </c>
    </row>
    <row r="2333" spans="1:33">
      <c r="A2333" t="s">
        <v>8530</v>
      </c>
      <c r="B2333" t="s">
        <v>8531</v>
      </c>
      <c r="D2333" t="s">
        <v>40</v>
      </c>
      <c r="E2333" t="s">
        <v>41</v>
      </c>
      <c r="J2333" t="s">
        <v>290</v>
      </c>
      <c r="K2333" t="s">
        <v>291</v>
      </c>
      <c r="L2333">
        <v>5</v>
      </c>
      <c r="M2333" t="s">
        <v>8532</v>
      </c>
      <c r="N2333" t="s">
        <v>59</v>
      </c>
      <c r="O2333" t="s">
        <v>47</v>
      </c>
      <c r="P2333" t="s">
        <v>47</v>
      </c>
      <c r="Y2333" t="s">
        <v>8533</v>
      </c>
      <c r="AG2333" t="s">
        <v>48</v>
      </c>
    </row>
    <row r="2334" spans="1:33">
      <c r="A2334" t="s">
        <v>8534</v>
      </c>
      <c r="B2334" t="s">
        <v>8535</v>
      </c>
      <c r="D2334" t="s">
        <v>40</v>
      </c>
      <c r="E2334" t="s">
        <v>41</v>
      </c>
      <c r="H2334" t="s">
        <v>8536</v>
      </c>
      <c r="J2334" t="s">
        <v>43</v>
      </c>
      <c r="K2334" t="s">
        <v>44</v>
      </c>
      <c r="L2334">
        <v>5</v>
      </c>
      <c r="M2334" t="s">
        <v>8532</v>
      </c>
      <c r="N2334" t="s">
        <v>192</v>
      </c>
      <c r="O2334" t="s">
        <v>47</v>
      </c>
      <c r="P2334" t="s">
        <v>47</v>
      </c>
      <c r="Y2334" t="s">
        <v>8536</v>
      </c>
      <c r="AG2334" t="s">
        <v>48</v>
      </c>
    </row>
    <row r="2335" spans="1:33">
      <c r="A2335" t="s">
        <v>8537</v>
      </c>
      <c r="B2335" t="s">
        <v>8538</v>
      </c>
      <c r="D2335" t="s">
        <v>40</v>
      </c>
      <c r="E2335" t="s">
        <v>41</v>
      </c>
      <c r="J2335" t="s">
        <v>108</v>
      </c>
      <c r="K2335" t="s">
        <v>109</v>
      </c>
      <c r="L2335">
        <v>5</v>
      </c>
      <c r="M2335" t="s">
        <v>8532</v>
      </c>
      <c r="N2335" t="s">
        <v>59</v>
      </c>
      <c r="O2335" t="s">
        <v>47</v>
      </c>
      <c r="P2335" t="s">
        <v>47</v>
      </c>
      <c r="Y2335" t="s">
        <v>8539</v>
      </c>
      <c r="AG2335" t="s">
        <v>48</v>
      </c>
    </row>
    <row r="2336" spans="1:33">
      <c r="A2336" t="s">
        <v>8540</v>
      </c>
      <c r="B2336" t="s">
        <v>8541</v>
      </c>
      <c r="D2336" t="s">
        <v>40</v>
      </c>
      <c r="E2336" t="s">
        <v>41</v>
      </c>
      <c r="J2336" t="s">
        <v>290</v>
      </c>
      <c r="K2336" t="s">
        <v>291</v>
      </c>
      <c r="L2336">
        <v>5</v>
      </c>
      <c r="M2336" t="s">
        <v>8532</v>
      </c>
      <c r="N2336" t="s">
        <v>59</v>
      </c>
      <c r="O2336" t="s">
        <v>47</v>
      </c>
      <c r="P2336" t="s">
        <v>47</v>
      </c>
      <c r="Y2336" t="s">
        <v>8542</v>
      </c>
      <c r="AG2336" t="s">
        <v>48</v>
      </c>
    </row>
    <row r="2337" spans="1:33">
      <c r="A2337" t="s">
        <v>8543</v>
      </c>
      <c r="B2337" t="s">
        <v>8544</v>
      </c>
      <c r="D2337" t="s">
        <v>40</v>
      </c>
      <c r="E2337" t="s">
        <v>41</v>
      </c>
      <c r="H2337" t="s">
        <v>8545</v>
      </c>
      <c r="J2337" t="s">
        <v>129</v>
      </c>
      <c r="K2337" t="s">
        <v>130</v>
      </c>
      <c r="L2337">
        <v>5</v>
      </c>
      <c r="M2337" t="s">
        <v>8546</v>
      </c>
      <c r="N2337" t="s">
        <v>218</v>
      </c>
      <c r="O2337" t="s">
        <v>47</v>
      </c>
      <c r="P2337" t="s">
        <v>47</v>
      </c>
      <c r="Y2337" t="s">
        <v>8545</v>
      </c>
      <c r="AG2337" t="s">
        <v>48</v>
      </c>
    </row>
    <row r="2338" spans="1:33">
      <c r="A2338" t="s">
        <v>8547</v>
      </c>
      <c r="B2338" t="s">
        <v>8548</v>
      </c>
      <c r="D2338" t="s">
        <v>40</v>
      </c>
      <c r="E2338" t="s">
        <v>41</v>
      </c>
      <c r="J2338" t="s">
        <v>290</v>
      </c>
      <c r="K2338" t="s">
        <v>291</v>
      </c>
      <c r="L2338">
        <v>5</v>
      </c>
      <c r="M2338" t="s">
        <v>8549</v>
      </c>
      <c r="N2338" t="s">
        <v>59</v>
      </c>
      <c r="O2338" t="s">
        <v>47</v>
      </c>
      <c r="P2338" t="s">
        <v>47</v>
      </c>
      <c r="Y2338" t="s">
        <v>8550</v>
      </c>
      <c r="AG2338" t="s">
        <v>48</v>
      </c>
    </row>
    <row r="2339" spans="1:33">
      <c r="A2339" t="s">
        <v>8551</v>
      </c>
      <c r="B2339" t="s">
        <v>8552</v>
      </c>
      <c r="D2339" t="s">
        <v>40</v>
      </c>
      <c r="E2339" t="s">
        <v>41</v>
      </c>
      <c r="J2339" t="s">
        <v>290</v>
      </c>
      <c r="K2339" t="s">
        <v>291</v>
      </c>
      <c r="L2339">
        <v>5</v>
      </c>
      <c r="M2339" t="s">
        <v>8549</v>
      </c>
      <c r="N2339" t="s">
        <v>59</v>
      </c>
      <c r="O2339" t="s">
        <v>47</v>
      </c>
      <c r="P2339" t="s">
        <v>47</v>
      </c>
      <c r="Y2339" t="s">
        <v>8553</v>
      </c>
      <c r="AG2339" t="s">
        <v>48</v>
      </c>
    </row>
    <row r="2340" spans="1:33">
      <c r="A2340" t="s">
        <v>8554</v>
      </c>
      <c r="B2340" t="s">
        <v>8555</v>
      </c>
      <c r="D2340" t="s">
        <v>40</v>
      </c>
      <c r="E2340" t="s">
        <v>41</v>
      </c>
      <c r="J2340" t="s">
        <v>290</v>
      </c>
      <c r="K2340" t="s">
        <v>291</v>
      </c>
      <c r="L2340">
        <v>5</v>
      </c>
      <c r="M2340" t="s">
        <v>8549</v>
      </c>
      <c r="N2340" t="s">
        <v>59</v>
      </c>
      <c r="O2340" t="s">
        <v>47</v>
      </c>
      <c r="P2340" t="s">
        <v>47</v>
      </c>
      <c r="Y2340" t="s">
        <v>8556</v>
      </c>
      <c r="AG2340" t="s">
        <v>48</v>
      </c>
    </row>
    <row r="2341" spans="1:33">
      <c r="A2341" t="s">
        <v>8557</v>
      </c>
      <c r="B2341" t="s">
        <v>8558</v>
      </c>
      <c r="D2341" t="s">
        <v>40</v>
      </c>
      <c r="E2341" t="s">
        <v>41</v>
      </c>
      <c r="H2341" t="s">
        <v>8559</v>
      </c>
      <c r="J2341" t="s">
        <v>123</v>
      </c>
      <c r="K2341" t="s">
        <v>124</v>
      </c>
      <c r="L2341">
        <v>5</v>
      </c>
      <c r="M2341" t="s">
        <v>8560</v>
      </c>
      <c r="N2341" t="s">
        <v>218</v>
      </c>
      <c r="O2341" t="s">
        <v>47</v>
      </c>
      <c r="P2341" t="s">
        <v>47</v>
      </c>
      <c r="Y2341" t="s">
        <v>8559</v>
      </c>
      <c r="AG2341" t="s">
        <v>48</v>
      </c>
    </row>
    <row r="2342" spans="1:33">
      <c r="A2342" t="s">
        <v>8561</v>
      </c>
      <c r="B2342" t="s">
        <v>8562</v>
      </c>
      <c r="D2342" t="s">
        <v>40</v>
      </c>
      <c r="E2342" t="s">
        <v>41</v>
      </c>
      <c r="J2342" t="s">
        <v>290</v>
      </c>
      <c r="K2342" t="s">
        <v>291</v>
      </c>
      <c r="L2342">
        <v>5</v>
      </c>
      <c r="M2342" t="s">
        <v>8563</v>
      </c>
      <c r="N2342" t="s">
        <v>59</v>
      </c>
      <c r="O2342" t="s">
        <v>47</v>
      </c>
      <c r="P2342" t="s">
        <v>47</v>
      </c>
      <c r="Y2342" t="s">
        <v>8564</v>
      </c>
      <c r="AG2342" t="s">
        <v>48</v>
      </c>
    </row>
    <row r="2343" spans="1:33">
      <c r="A2343" t="s">
        <v>8565</v>
      </c>
      <c r="B2343" t="s">
        <v>8566</v>
      </c>
      <c r="D2343" t="s">
        <v>40</v>
      </c>
      <c r="E2343" t="s">
        <v>41</v>
      </c>
      <c r="J2343" t="s">
        <v>270</v>
      </c>
      <c r="K2343" t="s">
        <v>271</v>
      </c>
      <c r="L2343">
        <v>5</v>
      </c>
      <c r="M2343" t="s">
        <v>8567</v>
      </c>
      <c r="N2343" t="s">
        <v>59</v>
      </c>
      <c r="O2343" t="s">
        <v>47</v>
      </c>
      <c r="P2343" t="s">
        <v>47</v>
      </c>
      <c r="Y2343" t="s">
        <v>8568</v>
      </c>
      <c r="AG2343" t="s">
        <v>48</v>
      </c>
    </row>
    <row r="2344" spans="1:33">
      <c r="A2344" t="s">
        <v>8569</v>
      </c>
      <c r="B2344" t="s">
        <v>8570</v>
      </c>
      <c r="D2344" t="s">
        <v>40</v>
      </c>
      <c r="E2344" t="s">
        <v>41</v>
      </c>
      <c r="J2344" t="s">
        <v>290</v>
      </c>
      <c r="K2344" t="s">
        <v>291</v>
      </c>
      <c r="L2344">
        <v>5</v>
      </c>
      <c r="M2344" t="s">
        <v>8571</v>
      </c>
      <c r="N2344" t="s">
        <v>59</v>
      </c>
      <c r="O2344" t="s">
        <v>47</v>
      </c>
      <c r="P2344" t="s">
        <v>47</v>
      </c>
      <c r="Y2344" t="s">
        <v>8572</v>
      </c>
      <c r="AG2344" t="s">
        <v>48</v>
      </c>
    </row>
    <row r="2345" spans="1:33">
      <c r="A2345" t="s">
        <v>8573</v>
      </c>
      <c r="B2345" t="s">
        <v>8574</v>
      </c>
      <c r="D2345" t="s">
        <v>40</v>
      </c>
      <c r="E2345" t="s">
        <v>41</v>
      </c>
      <c r="J2345" t="s">
        <v>108</v>
      </c>
      <c r="K2345" t="s">
        <v>109</v>
      </c>
      <c r="L2345">
        <v>5</v>
      </c>
      <c r="M2345" t="s">
        <v>8575</v>
      </c>
      <c r="N2345" t="s">
        <v>59</v>
      </c>
      <c r="O2345" t="s">
        <v>47</v>
      </c>
      <c r="P2345" t="s">
        <v>47</v>
      </c>
      <c r="Y2345" t="s">
        <v>8576</v>
      </c>
      <c r="AG2345" t="s">
        <v>48</v>
      </c>
    </row>
    <row r="2346" spans="1:33">
      <c r="A2346" t="s">
        <v>8577</v>
      </c>
      <c r="B2346" t="s">
        <v>8578</v>
      </c>
      <c r="D2346" t="s">
        <v>40</v>
      </c>
      <c r="E2346" t="s">
        <v>41</v>
      </c>
      <c r="J2346" t="s">
        <v>290</v>
      </c>
      <c r="K2346" t="s">
        <v>291</v>
      </c>
      <c r="L2346">
        <v>5</v>
      </c>
      <c r="M2346" t="s">
        <v>8579</v>
      </c>
      <c r="N2346" t="s">
        <v>59</v>
      </c>
      <c r="O2346" t="s">
        <v>47</v>
      </c>
      <c r="P2346" t="s">
        <v>47</v>
      </c>
      <c r="Y2346" t="s">
        <v>8580</v>
      </c>
      <c r="AG2346" t="s">
        <v>48</v>
      </c>
    </row>
    <row r="2347" spans="1:33">
      <c r="A2347" t="s">
        <v>8581</v>
      </c>
      <c r="B2347" t="s">
        <v>8582</v>
      </c>
      <c r="D2347" t="s">
        <v>40</v>
      </c>
      <c r="E2347" t="s">
        <v>41</v>
      </c>
      <c r="J2347" t="s">
        <v>162</v>
      </c>
      <c r="K2347" t="s">
        <v>163</v>
      </c>
      <c r="L2347">
        <v>5</v>
      </c>
      <c r="M2347" t="s">
        <v>8579</v>
      </c>
      <c r="N2347" t="s">
        <v>59</v>
      </c>
      <c r="O2347" t="s">
        <v>47</v>
      </c>
      <c r="P2347" t="s">
        <v>47</v>
      </c>
      <c r="Y2347" t="s">
        <v>8583</v>
      </c>
      <c r="AG2347" t="s">
        <v>48</v>
      </c>
    </row>
    <row r="2348" spans="1:33">
      <c r="A2348" t="s">
        <v>8584</v>
      </c>
      <c r="B2348" t="s">
        <v>8585</v>
      </c>
      <c r="D2348" t="s">
        <v>40</v>
      </c>
      <c r="E2348" t="s">
        <v>41</v>
      </c>
      <c r="J2348" t="s">
        <v>290</v>
      </c>
      <c r="K2348" t="s">
        <v>291</v>
      </c>
      <c r="L2348">
        <v>5</v>
      </c>
      <c r="M2348" t="s">
        <v>8579</v>
      </c>
      <c r="N2348" t="s">
        <v>59</v>
      </c>
      <c r="O2348" t="s">
        <v>47</v>
      </c>
      <c r="P2348" t="s">
        <v>47</v>
      </c>
      <c r="Y2348" t="s">
        <v>8586</v>
      </c>
      <c r="AG2348" t="s">
        <v>48</v>
      </c>
    </row>
    <row r="2349" spans="1:33">
      <c r="A2349" t="s">
        <v>8587</v>
      </c>
      <c r="B2349" t="s">
        <v>8588</v>
      </c>
      <c r="D2349" t="s">
        <v>40</v>
      </c>
      <c r="E2349" t="s">
        <v>41</v>
      </c>
      <c r="J2349" t="s">
        <v>123</v>
      </c>
      <c r="K2349" t="s">
        <v>124</v>
      </c>
      <c r="L2349">
        <v>5</v>
      </c>
      <c r="M2349" t="s">
        <v>8579</v>
      </c>
      <c r="N2349" t="s">
        <v>218</v>
      </c>
      <c r="O2349" t="s">
        <v>47</v>
      </c>
      <c r="P2349" t="s">
        <v>47</v>
      </c>
      <c r="Y2349" t="s">
        <v>8589</v>
      </c>
      <c r="AG2349" t="s">
        <v>48</v>
      </c>
    </row>
    <row r="2350" spans="1:33">
      <c r="A2350" t="s">
        <v>8590</v>
      </c>
      <c r="B2350" t="s">
        <v>8591</v>
      </c>
      <c r="D2350" t="s">
        <v>40</v>
      </c>
      <c r="E2350" t="s">
        <v>41</v>
      </c>
      <c r="J2350" t="s">
        <v>290</v>
      </c>
      <c r="K2350" t="s">
        <v>291</v>
      </c>
      <c r="L2350">
        <v>5</v>
      </c>
      <c r="M2350" t="s">
        <v>8592</v>
      </c>
      <c r="N2350" t="s">
        <v>59</v>
      </c>
      <c r="O2350" t="s">
        <v>47</v>
      </c>
      <c r="P2350" t="s">
        <v>47</v>
      </c>
      <c r="Y2350" t="s">
        <v>8593</v>
      </c>
      <c r="AG2350" t="s">
        <v>48</v>
      </c>
    </row>
    <row r="2351" spans="1:33">
      <c r="A2351" t="s">
        <v>8594</v>
      </c>
      <c r="B2351" t="s">
        <v>8595</v>
      </c>
      <c r="D2351" t="s">
        <v>40</v>
      </c>
      <c r="E2351" t="s">
        <v>41</v>
      </c>
      <c r="J2351" t="s">
        <v>270</v>
      </c>
      <c r="K2351" t="s">
        <v>271</v>
      </c>
      <c r="L2351">
        <v>5</v>
      </c>
      <c r="M2351" t="s">
        <v>8596</v>
      </c>
      <c r="N2351" t="s">
        <v>59</v>
      </c>
      <c r="O2351" t="s">
        <v>47</v>
      </c>
      <c r="P2351" t="s">
        <v>47</v>
      </c>
      <c r="Y2351" t="s">
        <v>8597</v>
      </c>
      <c r="AG2351" t="s">
        <v>48</v>
      </c>
    </row>
    <row r="2352" spans="1:33">
      <c r="A2352" t="s">
        <v>8598</v>
      </c>
      <c r="B2352" t="s">
        <v>8599</v>
      </c>
      <c r="D2352" t="s">
        <v>40</v>
      </c>
      <c r="E2352" t="s">
        <v>41</v>
      </c>
      <c r="J2352" t="s">
        <v>69</v>
      </c>
      <c r="K2352" t="s">
        <v>70</v>
      </c>
      <c r="L2352">
        <v>5</v>
      </c>
      <c r="M2352" t="s">
        <v>8596</v>
      </c>
      <c r="N2352" t="s">
        <v>46</v>
      </c>
      <c r="O2352" t="s">
        <v>47</v>
      </c>
      <c r="P2352" t="s">
        <v>47</v>
      </c>
      <c r="Y2352" t="s">
        <v>8600</v>
      </c>
      <c r="AG2352" t="s">
        <v>48</v>
      </c>
    </row>
    <row r="2353" spans="1:33">
      <c r="A2353" t="s">
        <v>8601</v>
      </c>
      <c r="B2353" t="s">
        <v>8602</v>
      </c>
      <c r="D2353" t="s">
        <v>40</v>
      </c>
      <c r="E2353" t="s">
        <v>41</v>
      </c>
      <c r="J2353" t="s">
        <v>290</v>
      </c>
      <c r="K2353" t="s">
        <v>291</v>
      </c>
      <c r="L2353">
        <v>5</v>
      </c>
      <c r="M2353" t="s">
        <v>8596</v>
      </c>
      <c r="N2353" t="s">
        <v>59</v>
      </c>
      <c r="O2353" t="s">
        <v>47</v>
      </c>
      <c r="P2353" t="s">
        <v>47</v>
      </c>
      <c r="Y2353" t="s">
        <v>8603</v>
      </c>
      <c r="AG2353" t="s">
        <v>48</v>
      </c>
    </row>
    <row r="2354" spans="1:33">
      <c r="A2354" t="s">
        <v>8604</v>
      </c>
      <c r="B2354" t="s">
        <v>8605</v>
      </c>
      <c r="D2354" t="s">
        <v>40</v>
      </c>
      <c r="E2354" t="s">
        <v>41</v>
      </c>
      <c r="J2354" t="s">
        <v>108</v>
      </c>
      <c r="K2354" t="s">
        <v>109</v>
      </c>
      <c r="L2354">
        <v>5</v>
      </c>
      <c r="M2354" t="s">
        <v>8606</v>
      </c>
      <c r="N2354" t="s">
        <v>59</v>
      </c>
      <c r="O2354" t="s">
        <v>47</v>
      </c>
      <c r="P2354" t="s">
        <v>47</v>
      </c>
      <c r="Y2354" t="s">
        <v>8607</v>
      </c>
      <c r="AG2354" t="s">
        <v>48</v>
      </c>
    </row>
    <row r="2355" spans="1:33">
      <c r="A2355" t="s">
        <v>8608</v>
      </c>
      <c r="B2355" t="s">
        <v>8609</v>
      </c>
      <c r="D2355" t="s">
        <v>40</v>
      </c>
      <c r="E2355" t="s">
        <v>41</v>
      </c>
      <c r="H2355" t="s">
        <v>8610</v>
      </c>
      <c r="J2355" t="s">
        <v>270</v>
      </c>
      <c r="K2355" t="s">
        <v>271</v>
      </c>
      <c r="L2355">
        <v>5</v>
      </c>
      <c r="M2355" t="s">
        <v>8611</v>
      </c>
      <c r="N2355" t="s">
        <v>59</v>
      </c>
      <c r="O2355" t="s">
        <v>47</v>
      </c>
      <c r="P2355" t="s">
        <v>47</v>
      </c>
      <c r="Y2355" t="s">
        <v>8610</v>
      </c>
      <c r="AG2355" t="s">
        <v>48</v>
      </c>
    </row>
    <row r="2356" spans="1:33">
      <c r="A2356" t="s">
        <v>8612</v>
      </c>
      <c r="B2356" t="s">
        <v>8613</v>
      </c>
      <c r="D2356" t="s">
        <v>40</v>
      </c>
      <c r="E2356" t="s">
        <v>41</v>
      </c>
      <c r="J2356" t="s">
        <v>290</v>
      </c>
      <c r="K2356" t="s">
        <v>291</v>
      </c>
      <c r="L2356">
        <v>5</v>
      </c>
      <c r="M2356" t="s">
        <v>8614</v>
      </c>
      <c r="N2356" t="s">
        <v>59</v>
      </c>
      <c r="O2356" t="s">
        <v>47</v>
      </c>
      <c r="P2356" t="s">
        <v>47</v>
      </c>
      <c r="Y2356" t="s">
        <v>8615</v>
      </c>
      <c r="AG2356" t="s">
        <v>48</v>
      </c>
    </row>
    <row r="2357" spans="1:33">
      <c r="A2357" t="s">
        <v>8616</v>
      </c>
      <c r="B2357" t="s">
        <v>8617</v>
      </c>
      <c r="D2357" t="s">
        <v>40</v>
      </c>
      <c r="E2357" t="s">
        <v>41</v>
      </c>
      <c r="J2357" t="s">
        <v>129</v>
      </c>
      <c r="K2357" t="s">
        <v>130</v>
      </c>
      <c r="L2357">
        <v>5</v>
      </c>
      <c r="M2357" t="s">
        <v>8618</v>
      </c>
      <c r="N2357" t="s">
        <v>218</v>
      </c>
      <c r="O2357" t="s">
        <v>47</v>
      </c>
      <c r="P2357" t="s">
        <v>47</v>
      </c>
      <c r="Y2357" t="s">
        <v>8619</v>
      </c>
      <c r="AG2357" t="s">
        <v>48</v>
      </c>
    </row>
    <row r="2358" spans="1:33">
      <c r="A2358" t="s">
        <v>8620</v>
      </c>
      <c r="B2358" t="s">
        <v>8621</v>
      </c>
      <c r="D2358" t="s">
        <v>40</v>
      </c>
      <c r="E2358" t="s">
        <v>41</v>
      </c>
      <c r="J2358" t="s">
        <v>290</v>
      </c>
      <c r="K2358" t="s">
        <v>291</v>
      </c>
      <c r="L2358">
        <v>5</v>
      </c>
      <c r="M2358" t="s">
        <v>8622</v>
      </c>
      <c r="N2358" t="s">
        <v>59</v>
      </c>
      <c r="O2358" t="s">
        <v>47</v>
      </c>
      <c r="P2358" t="s">
        <v>47</v>
      </c>
      <c r="Y2358" t="s">
        <v>8623</v>
      </c>
      <c r="AG2358" t="s">
        <v>48</v>
      </c>
    </row>
    <row r="2359" spans="1:33">
      <c r="A2359" t="s">
        <v>8624</v>
      </c>
      <c r="B2359" t="s">
        <v>8625</v>
      </c>
      <c r="D2359" t="s">
        <v>40</v>
      </c>
      <c r="E2359" t="s">
        <v>41</v>
      </c>
      <c r="J2359" t="s">
        <v>162</v>
      </c>
      <c r="K2359" t="s">
        <v>163</v>
      </c>
      <c r="L2359">
        <v>5</v>
      </c>
      <c r="M2359" t="s">
        <v>8626</v>
      </c>
      <c r="N2359" t="s">
        <v>59</v>
      </c>
      <c r="O2359" t="s">
        <v>47</v>
      </c>
      <c r="P2359" t="s">
        <v>47</v>
      </c>
      <c r="Y2359" t="s">
        <v>8627</v>
      </c>
      <c r="AG2359" t="s">
        <v>48</v>
      </c>
    </row>
    <row r="2360" spans="1:33">
      <c r="A2360" t="s">
        <v>8628</v>
      </c>
      <c r="B2360" t="s">
        <v>8629</v>
      </c>
      <c r="D2360" t="s">
        <v>40</v>
      </c>
      <c r="E2360" t="s">
        <v>41</v>
      </c>
      <c r="H2360" t="s">
        <v>8630</v>
      </c>
      <c r="J2360" t="s">
        <v>162</v>
      </c>
      <c r="K2360" t="s">
        <v>163</v>
      </c>
      <c r="L2360">
        <v>5</v>
      </c>
      <c r="M2360" t="s">
        <v>8631</v>
      </c>
      <c r="N2360" t="s">
        <v>59</v>
      </c>
      <c r="O2360" t="s">
        <v>47</v>
      </c>
      <c r="P2360" t="s">
        <v>47</v>
      </c>
      <c r="Y2360" t="s">
        <v>8630</v>
      </c>
      <c r="AG2360" t="s">
        <v>48</v>
      </c>
    </row>
    <row r="2361" spans="1:33">
      <c r="A2361" t="s">
        <v>8632</v>
      </c>
      <c r="B2361" t="s">
        <v>8633</v>
      </c>
      <c r="D2361" t="s">
        <v>40</v>
      </c>
      <c r="E2361" t="s">
        <v>41</v>
      </c>
      <c r="J2361" t="s">
        <v>114</v>
      </c>
      <c r="K2361" t="s">
        <v>115</v>
      </c>
      <c r="L2361">
        <v>5</v>
      </c>
      <c r="M2361" t="s">
        <v>8634</v>
      </c>
      <c r="N2361" t="s">
        <v>59</v>
      </c>
      <c r="O2361" t="s">
        <v>47</v>
      </c>
      <c r="P2361" t="s">
        <v>47</v>
      </c>
      <c r="Y2361" t="s">
        <v>8635</v>
      </c>
      <c r="AG2361" t="s">
        <v>48</v>
      </c>
    </row>
    <row r="2362" spans="1:33">
      <c r="A2362" t="s">
        <v>8636</v>
      </c>
      <c r="B2362" t="s">
        <v>8637</v>
      </c>
      <c r="D2362" t="s">
        <v>40</v>
      </c>
      <c r="E2362" t="s">
        <v>41</v>
      </c>
      <c r="J2362" t="s">
        <v>290</v>
      </c>
      <c r="K2362" t="s">
        <v>291</v>
      </c>
      <c r="L2362">
        <v>5</v>
      </c>
      <c r="M2362" t="s">
        <v>8638</v>
      </c>
      <c r="N2362" t="s">
        <v>59</v>
      </c>
      <c r="O2362" t="s">
        <v>47</v>
      </c>
      <c r="P2362" t="s">
        <v>47</v>
      </c>
      <c r="Y2362" t="s">
        <v>8639</v>
      </c>
      <c r="AG2362" t="s">
        <v>48</v>
      </c>
    </row>
    <row r="2363" spans="1:33">
      <c r="A2363" t="s">
        <v>8640</v>
      </c>
      <c r="B2363" t="s">
        <v>8641</v>
      </c>
      <c r="D2363" t="s">
        <v>40</v>
      </c>
      <c r="E2363" t="s">
        <v>41</v>
      </c>
      <c r="J2363" t="s">
        <v>290</v>
      </c>
      <c r="K2363" t="s">
        <v>291</v>
      </c>
      <c r="L2363">
        <v>5</v>
      </c>
      <c r="M2363" t="s">
        <v>8642</v>
      </c>
      <c r="N2363" t="s">
        <v>59</v>
      </c>
      <c r="O2363" t="s">
        <v>47</v>
      </c>
      <c r="P2363" t="s">
        <v>47</v>
      </c>
      <c r="Y2363" t="s">
        <v>8643</v>
      </c>
      <c r="AG2363" t="s">
        <v>48</v>
      </c>
    </row>
    <row r="2364" spans="1:33">
      <c r="A2364" t="s">
        <v>8644</v>
      </c>
      <c r="B2364" t="s">
        <v>8645</v>
      </c>
      <c r="D2364" t="s">
        <v>40</v>
      </c>
      <c r="E2364" t="s">
        <v>41</v>
      </c>
      <c r="J2364" t="s">
        <v>123</v>
      </c>
      <c r="K2364" t="s">
        <v>124</v>
      </c>
      <c r="L2364">
        <v>5</v>
      </c>
      <c r="M2364" t="s">
        <v>8646</v>
      </c>
      <c r="N2364" t="s">
        <v>218</v>
      </c>
      <c r="O2364" t="s">
        <v>47</v>
      </c>
      <c r="P2364" t="s">
        <v>47</v>
      </c>
      <c r="Y2364" t="s">
        <v>8647</v>
      </c>
      <c r="AG2364" t="s">
        <v>48</v>
      </c>
    </row>
    <row r="2365" spans="1:33">
      <c r="A2365" t="s">
        <v>8648</v>
      </c>
      <c r="B2365" t="s">
        <v>8649</v>
      </c>
      <c r="D2365" t="s">
        <v>40</v>
      </c>
      <c r="E2365" t="s">
        <v>41</v>
      </c>
      <c r="J2365" t="s">
        <v>290</v>
      </c>
      <c r="K2365" t="s">
        <v>291</v>
      </c>
      <c r="L2365">
        <v>5</v>
      </c>
      <c r="M2365" t="s">
        <v>8650</v>
      </c>
      <c r="N2365" t="s">
        <v>59</v>
      </c>
      <c r="O2365" t="s">
        <v>47</v>
      </c>
      <c r="P2365" t="s">
        <v>47</v>
      </c>
      <c r="Y2365" t="s">
        <v>8651</v>
      </c>
      <c r="AG2365" t="s">
        <v>48</v>
      </c>
    </row>
    <row r="2366" spans="1:33">
      <c r="A2366" t="s">
        <v>8652</v>
      </c>
      <c r="B2366" t="s">
        <v>8653</v>
      </c>
      <c r="D2366" t="s">
        <v>40</v>
      </c>
      <c r="E2366" t="s">
        <v>41</v>
      </c>
      <c r="H2366" t="s">
        <v>8654</v>
      </c>
      <c r="J2366" t="s">
        <v>290</v>
      </c>
      <c r="K2366" t="s">
        <v>291</v>
      </c>
      <c r="L2366">
        <v>5</v>
      </c>
      <c r="M2366" t="s">
        <v>8655</v>
      </c>
      <c r="N2366" t="s">
        <v>59</v>
      </c>
      <c r="O2366" t="s">
        <v>47</v>
      </c>
      <c r="P2366" t="s">
        <v>47</v>
      </c>
      <c r="Y2366" t="s">
        <v>8654</v>
      </c>
      <c r="AG2366" t="s">
        <v>48</v>
      </c>
    </row>
    <row r="2367" spans="1:33">
      <c r="A2367" t="s">
        <v>8656</v>
      </c>
      <c r="B2367" t="s">
        <v>8657</v>
      </c>
      <c r="D2367" t="s">
        <v>40</v>
      </c>
      <c r="E2367" t="s">
        <v>41</v>
      </c>
      <c r="J2367" t="s">
        <v>290</v>
      </c>
      <c r="K2367" t="s">
        <v>291</v>
      </c>
      <c r="L2367">
        <v>5</v>
      </c>
      <c r="M2367" t="s">
        <v>8658</v>
      </c>
      <c r="N2367" t="s">
        <v>59</v>
      </c>
      <c r="O2367" t="s">
        <v>47</v>
      </c>
      <c r="P2367" t="s">
        <v>47</v>
      </c>
      <c r="Y2367" t="s">
        <v>8659</v>
      </c>
      <c r="AG2367" t="s">
        <v>48</v>
      </c>
    </row>
    <row r="2368" spans="1:33">
      <c r="A2368" t="s">
        <v>8660</v>
      </c>
      <c r="B2368" t="s">
        <v>8661</v>
      </c>
      <c r="D2368" t="s">
        <v>40</v>
      </c>
      <c r="E2368" t="s">
        <v>41</v>
      </c>
      <c r="J2368" t="s">
        <v>290</v>
      </c>
      <c r="K2368" t="s">
        <v>291</v>
      </c>
      <c r="L2368">
        <v>5</v>
      </c>
      <c r="M2368" t="s">
        <v>8658</v>
      </c>
      <c r="N2368" t="s">
        <v>59</v>
      </c>
      <c r="O2368" t="s">
        <v>47</v>
      </c>
      <c r="P2368" t="s">
        <v>47</v>
      </c>
      <c r="Y2368" t="s">
        <v>8662</v>
      </c>
      <c r="AG2368" t="s">
        <v>48</v>
      </c>
    </row>
    <row r="2369" spans="1:33">
      <c r="A2369" t="s">
        <v>8663</v>
      </c>
      <c r="B2369" t="s">
        <v>8664</v>
      </c>
      <c r="D2369" t="s">
        <v>40</v>
      </c>
      <c r="E2369" t="s">
        <v>41</v>
      </c>
      <c r="J2369" t="s">
        <v>290</v>
      </c>
      <c r="K2369" t="s">
        <v>291</v>
      </c>
      <c r="L2369">
        <v>5</v>
      </c>
      <c r="M2369" t="s">
        <v>8658</v>
      </c>
      <c r="N2369" t="s">
        <v>59</v>
      </c>
      <c r="O2369" t="s">
        <v>47</v>
      </c>
      <c r="P2369" t="s">
        <v>47</v>
      </c>
      <c r="Y2369" t="s">
        <v>8665</v>
      </c>
      <c r="AG2369" t="s">
        <v>48</v>
      </c>
    </row>
    <row r="2370" spans="1:33">
      <c r="A2370" t="s">
        <v>8666</v>
      </c>
      <c r="B2370" t="s">
        <v>8667</v>
      </c>
      <c r="D2370" t="s">
        <v>40</v>
      </c>
      <c r="E2370" t="s">
        <v>41</v>
      </c>
      <c r="J2370" t="s">
        <v>290</v>
      </c>
      <c r="K2370" t="s">
        <v>291</v>
      </c>
      <c r="L2370">
        <v>5</v>
      </c>
      <c r="M2370" t="s">
        <v>8668</v>
      </c>
      <c r="N2370" t="s">
        <v>59</v>
      </c>
      <c r="O2370" t="s">
        <v>47</v>
      </c>
      <c r="P2370" t="s">
        <v>47</v>
      </c>
      <c r="Y2370" t="s">
        <v>8669</v>
      </c>
      <c r="AG2370" t="s">
        <v>48</v>
      </c>
    </row>
    <row r="2371" spans="1:33">
      <c r="A2371" t="s">
        <v>8670</v>
      </c>
      <c r="B2371" t="s">
        <v>8671</v>
      </c>
      <c r="D2371" t="s">
        <v>40</v>
      </c>
      <c r="E2371" t="s">
        <v>41</v>
      </c>
      <c r="J2371" t="s">
        <v>290</v>
      </c>
      <c r="K2371" t="s">
        <v>291</v>
      </c>
      <c r="L2371">
        <v>5</v>
      </c>
      <c r="M2371" t="s">
        <v>8672</v>
      </c>
      <c r="N2371" t="s">
        <v>59</v>
      </c>
      <c r="O2371" t="s">
        <v>47</v>
      </c>
      <c r="P2371" t="s">
        <v>47</v>
      </c>
      <c r="Y2371" t="s">
        <v>8673</v>
      </c>
      <c r="AG2371" t="s">
        <v>48</v>
      </c>
    </row>
    <row r="2372" spans="1:33">
      <c r="A2372" t="s">
        <v>8674</v>
      </c>
      <c r="B2372" t="s">
        <v>8675</v>
      </c>
      <c r="D2372" t="s">
        <v>40</v>
      </c>
      <c r="E2372" t="s">
        <v>41</v>
      </c>
      <c r="H2372" t="s">
        <v>8676</v>
      </c>
      <c r="J2372" t="s">
        <v>290</v>
      </c>
      <c r="K2372" t="s">
        <v>291</v>
      </c>
      <c r="L2372">
        <v>5</v>
      </c>
      <c r="M2372" t="s">
        <v>8672</v>
      </c>
      <c r="N2372" t="s">
        <v>59</v>
      </c>
      <c r="O2372" t="s">
        <v>47</v>
      </c>
      <c r="P2372" t="s">
        <v>47</v>
      </c>
      <c r="Y2372" t="s">
        <v>8676</v>
      </c>
      <c r="AG2372" t="s">
        <v>48</v>
      </c>
    </row>
    <row r="2373" spans="1:33">
      <c r="A2373" t="s">
        <v>8677</v>
      </c>
      <c r="B2373" t="s">
        <v>8678</v>
      </c>
      <c r="D2373" t="s">
        <v>40</v>
      </c>
      <c r="E2373" t="s">
        <v>41</v>
      </c>
      <c r="J2373" t="s">
        <v>290</v>
      </c>
      <c r="K2373" t="s">
        <v>291</v>
      </c>
      <c r="L2373">
        <v>5</v>
      </c>
      <c r="M2373" t="s">
        <v>8679</v>
      </c>
      <c r="N2373" t="s">
        <v>59</v>
      </c>
      <c r="O2373" t="s">
        <v>47</v>
      </c>
      <c r="P2373" t="s">
        <v>47</v>
      </c>
      <c r="Y2373" t="s">
        <v>8680</v>
      </c>
      <c r="AG2373" t="s">
        <v>48</v>
      </c>
    </row>
    <row r="2374" spans="1:33">
      <c r="A2374" t="s">
        <v>8681</v>
      </c>
      <c r="B2374" t="s">
        <v>8682</v>
      </c>
      <c r="D2374" t="s">
        <v>40</v>
      </c>
      <c r="E2374" t="s">
        <v>41</v>
      </c>
      <c r="J2374" t="s">
        <v>108</v>
      </c>
      <c r="K2374" t="s">
        <v>109</v>
      </c>
      <c r="L2374">
        <v>5</v>
      </c>
      <c r="M2374" t="s">
        <v>8679</v>
      </c>
      <c r="N2374" t="s">
        <v>59</v>
      </c>
      <c r="O2374" t="s">
        <v>47</v>
      </c>
      <c r="P2374" t="s">
        <v>47</v>
      </c>
      <c r="Y2374" t="s">
        <v>8683</v>
      </c>
      <c r="AG2374" t="s">
        <v>48</v>
      </c>
    </row>
    <row r="2375" spans="1:33">
      <c r="A2375" t="s">
        <v>8684</v>
      </c>
      <c r="B2375" t="s">
        <v>8685</v>
      </c>
      <c r="D2375" t="s">
        <v>40</v>
      </c>
      <c r="E2375" t="s">
        <v>41</v>
      </c>
      <c r="J2375" t="s">
        <v>270</v>
      </c>
      <c r="K2375" t="s">
        <v>271</v>
      </c>
      <c r="L2375">
        <v>5</v>
      </c>
      <c r="M2375" t="s">
        <v>8686</v>
      </c>
      <c r="N2375" t="s">
        <v>59</v>
      </c>
      <c r="O2375" t="s">
        <v>47</v>
      </c>
      <c r="P2375" t="s">
        <v>47</v>
      </c>
      <c r="Y2375" t="s">
        <v>8687</v>
      </c>
      <c r="AG2375" t="s">
        <v>48</v>
      </c>
    </row>
    <row r="2376" spans="1:33">
      <c r="A2376" t="s">
        <v>8688</v>
      </c>
      <c r="B2376" t="s">
        <v>8689</v>
      </c>
      <c r="D2376" t="s">
        <v>40</v>
      </c>
      <c r="E2376" t="s">
        <v>41</v>
      </c>
      <c r="J2376" t="s">
        <v>270</v>
      </c>
      <c r="K2376" t="s">
        <v>271</v>
      </c>
      <c r="L2376">
        <v>5</v>
      </c>
      <c r="M2376" t="s">
        <v>8686</v>
      </c>
      <c r="N2376" t="s">
        <v>59</v>
      </c>
      <c r="O2376" t="s">
        <v>47</v>
      </c>
      <c r="P2376" t="s">
        <v>47</v>
      </c>
      <c r="Y2376" t="s">
        <v>8690</v>
      </c>
      <c r="AG2376" t="s">
        <v>48</v>
      </c>
    </row>
    <row r="2377" spans="1:33">
      <c r="A2377" t="s">
        <v>117</v>
      </c>
      <c r="B2377" t="s">
        <v>8691</v>
      </c>
      <c r="D2377" t="s">
        <v>40</v>
      </c>
      <c r="E2377" t="s">
        <v>41</v>
      </c>
      <c r="H2377" t="s">
        <v>8692</v>
      </c>
      <c r="J2377" t="s">
        <v>63</v>
      </c>
      <c r="K2377" t="s">
        <v>64</v>
      </c>
      <c r="L2377">
        <v>5</v>
      </c>
      <c r="M2377" t="s">
        <v>8693</v>
      </c>
      <c r="N2377" t="s">
        <v>59</v>
      </c>
      <c r="O2377" t="s">
        <v>47</v>
      </c>
      <c r="P2377" t="s">
        <v>47</v>
      </c>
      <c r="Y2377" t="s">
        <v>8692</v>
      </c>
      <c r="AG2377" t="s">
        <v>48</v>
      </c>
    </row>
    <row r="2378" spans="1:33">
      <c r="A2378" t="s">
        <v>8694</v>
      </c>
      <c r="B2378" t="s">
        <v>8695</v>
      </c>
      <c r="D2378" t="s">
        <v>40</v>
      </c>
      <c r="E2378" t="s">
        <v>41</v>
      </c>
      <c r="J2378" t="s">
        <v>108</v>
      </c>
      <c r="K2378" t="s">
        <v>109</v>
      </c>
      <c r="L2378">
        <v>5</v>
      </c>
      <c r="M2378" t="s">
        <v>8696</v>
      </c>
      <c r="N2378" t="s">
        <v>59</v>
      </c>
      <c r="O2378" t="s">
        <v>47</v>
      </c>
      <c r="P2378" t="s">
        <v>47</v>
      </c>
      <c r="Y2378" t="s">
        <v>8697</v>
      </c>
      <c r="AG2378" t="s">
        <v>48</v>
      </c>
    </row>
    <row r="2379" spans="1:33">
      <c r="A2379" t="s">
        <v>8698</v>
      </c>
      <c r="B2379" t="s">
        <v>8699</v>
      </c>
      <c r="D2379" t="s">
        <v>40</v>
      </c>
      <c r="E2379" t="s">
        <v>41</v>
      </c>
      <c r="H2379" t="s">
        <v>8700</v>
      </c>
      <c r="J2379" t="s">
        <v>290</v>
      </c>
      <c r="K2379" t="s">
        <v>291</v>
      </c>
      <c r="L2379">
        <v>5</v>
      </c>
      <c r="M2379" t="s">
        <v>8696</v>
      </c>
      <c r="N2379" t="s">
        <v>59</v>
      </c>
      <c r="O2379" t="s">
        <v>47</v>
      </c>
      <c r="P2379" t="s">
        <v>47</v>
      </c>
      <c r="Y2379" t="s">
        <v>8700</v>
      </c>
      <c r="AG2379" t="s">
        <v>48</v>
      </c>
    </row>
    <row r="2380" spans="1:33">
      <c r="A2380" t="s">
        <v>8701</v>
      </c>
      <c r="B2380" t="s">
        <v>8702</v>
      </c>
      <c r="D2380" t="s">
        <v>40</v>
      </c>
      <c r="E2380" t="s">
        <v>41</v>
      </c>
      <c r="J2380" t="s">
        <v>290</v>
      </c>
      <c r="K2380" t="s">
        <v>291</v>
      </c>
      <c r="L2380">
        <v>5</v>
      </c>
      <c r="M2380" t="s">
        <v>8696</v>
      </c>
      <c r="N2380" t="s">
        <v>59</v>
      </c>
      <c r="O2380" t="s">
        <v>47</v>
      </c>
      <c r="P2380" t="s">
        <v>47</v>
      </c>
      <c r="Y2380" t="s">
        <v>8703</v>
      </c>
      <c r="AG2380" t="s">
        <v>48</v>
      </c>
    </row>
    <row r="2381" spans="1:33">
      <c r="A2381" t="s">
        <v>8704</v>
      </c>
      <c r="B2381" t="s">
        <v>8705</v>
      </c>
      <c r="D2381" t="s">
        <v>40</v>
      </c>
      <c r="E2381" t="s">
        <v>41</v>
      </c>
      <c r="J2381" t="s">
        <v>290</v>
      </c>
      <c r="K2381" t="s">
        <v>291</v>
      </c>
      <c r="L2381">
        <v>5</v>
      </c>
      <c r="M2381" t="s">
        <v>8696</v>
      </c>
      <c r="N2381" t="s">
        <v>59</v>
      </c>
      <c r="O2381" t="s">
        <v>47</v>
      </c>
      <c r="P2381" t="s">
        <v>47</v>
      </c>
      <c r="Y2381" t="s">
        <v>8706</v>
      </c>
      <c r="AG2381" t="s">
        <v>48</v>
      </c>
    </row>
    <row r="2382" spans="1:33">
      <c r="A2382" t="s">
        <v>8707</v>
      </c>
      <c r="B2382" t="s">
        <v>8708</v>
      </c>
      <c r="D2382" t="s">
        <v>40</v>
      </c>
      <c r="E2382" t="s">
        <v>41</v>
      </c>
      <c r="J2382" t="s">
        <v>290</v>
      </c>
      <c r="K2382" t="s">
        <v>291</v>
      </c>
      <c r="L2382">
        <v>5</v>
      </c>
      <c r="M2382" t="s">
        <v>8709</v>
      </c>
      <c r="N2382" t="s">
        <v>59</v>
      </c>
      <c r="O2382" t="s">
        <v>47</v>
      </c>
      <c r="P2382" t="s">
        <v>47</v>
      </c>
      <c r="Y2382" t="s">
        <v>8710</v>
      </c>
      <c r="AG2382" t="s">
        <v>48</v>
      </c>
    </row>
    <row r="2383" spans="1:33">
      <c r="A2383" t="s">
        <v>8711</v>
      </c>
      <c r="B2383" t="s">
        <v>8712</v>
      </c>
      <c r="D2383" t="s">
        <v>40</v>
      </c>
      <c r="E2383" t="s">
        <v>41</v>
      </c>
      <c r="J2383" t="s">
        <v>162</v>
      </c>
      <c r="K2383" t="s">
        <v>163</v>
      </c>
      <c r="L2383">
        <v>5</v>
      </c>
      <c r="M2383" t="s">
        <v>8709</v>
      </c>
      <c r="N2383" t="s">
        <v>59</v>
      </c>
      <c r="O2383" t="s">
        <v>47</v>
      </c>
      <c r="P2383" t="s">
        <v>47</v>
      </c>
      <c r="Y2383" t="s">
        <v>8713</v>
      </c>
      <c r="AG2383" t="s">
        <v>48</v>
      </c>
    </row>
    <row r="2384" spans="1:33">
      <c r="A2384" t="s">
        <v>8714</v>
      </c>
      <c r="B2384" t="s">
        <v>8715</v>
      </c>
      <c r="D2384" t="s">
        <v>40</v>
      </c>
      <c r="E2384" t="s">
        <v>41</v>
      </c>
      <c r="J2384" t="s">
        <v>270</v>
      </c>
      <c r="K2384" t="s">
        <v>271</v>
      </c>
      <c r="L2384">
        <v>5</v>
      </c>
      <c r="M2384" t="s">
        <v>8709</v>
      </c>
      <c r="N2384" t="s">
        <v>59</v>
      </c>
      <c r="O2384" t="s">
        <v>47</v>
      </c>
      <c r="P2384" t="s">
        <v>47</v>
      </c>
      <c r="Y2384" t="s">
        <v>8716</v>
      </c>
      <c r="AG2384" t="s">
        <v>48</v>
      </c>
    </row>
    <row r="2385" spans="1:33">
      <c r="A2385" t="s">
        <v>8717</v>
      </c>
      <c r="B2385" t="s">
        <v>8718</v>
      </c>
      <c r="D2385" t="s">
        <v>40</v>
      </c>
      <c r="E2385" t="s">
        <v>41</v>
      </c>
      <c r="J2385" t="s">
        <v>290</v>
      </c>
      <c r="K2385" t="s">
        <v>291</v>
      </c>
      <c r="L2385">
        <v>5</v>
      </c>
      <c r="M2385" t="s">
        <v>8709</v>
      </c>
      <c r="N2385" t="s">
        <v>59</v>
      </c>
      <c r="O2385" t="s">
        <v>47</v>
      </c>
      <c r="P2385" t="s">
        <v>47</v>
      </c>
      <c r="Y2385" t="s">
        <v>8719</v>
      </c>
      <c r="AG2385" t="s">
        <v>48</v>
      </c>
    </row>
    <row r="2386" spans="1:33">
      <c r="A2386" t="s">
        <v>8720</v>
      </c>
      <c r="B2386" t="s">
        <v>8721</v>
      </c>
      <c r="D2386" t="s">
        <v>40</v>
      </c>
      <c r="E2386" t="s">
        <v>41</v>
      </c>
      <c r="J2386" t="s">
        <v>114</v>
      </c>
      <c r="K2386" t="s">
        <v>115</v>
      </c>
      <c r="L2386">
        <v>5</v>
      </c>
      <c r="M2386" t="s">
        <v>8722</v>
      </c>
      <c r="N2386" t="s">
        <v>59</v>
      </c>
      <c r="O2386" t="s">
        <v>47</v>
      </c>
      <c r="P2386" t="s">
        <v>47</v>
      </c>
      <c r="Y2386" t="s">
        <v>8723</v>
      </c>
      <c r="AG2386" t="s">
        <v>48</v>
      </c>
    </row>
    <row r="2387" spans="1:33">
      <c r="A2387" t="s">
        <v>8724</v>
      </c>
      <c r="B2387" t="s">
        <v>8725</v>
      </c>
      <c r="D2387" t="s">
        <v>40</v>
      </c>
      <c r="E2387" t="s">
        <v>41</v>
      </c>
      <c r="J2387" t="s">
        <v>290</v>
      </c>
      <c r="K2387" t="s">
        <v>291</v>
      </c>
      <c r="L2387">
        <v>5</v>
      </c>
      <c r="M2387" t="s">
        <v>8722</v>
      </c>
      <c r="N2387" t="s">
        <v>59</v>
      </c>
      <c r="O2387" t="s">
        <v>47</v>
      </c>
      <c r="P2387" t="s">
        <v>47</v>
      </c>
      <c r="Y2387" t="s">
        <v>8726</v>
      </c>
      <c r="AG2387" t="s">
        <v>48</v>
      </c>
    </row>
    <row r="2388" spans="1:33">
      <c r="A2388" t="s">
        <v>8727</v>
      </c>
      <c r="B2388" t="s">
        <v>8728</v>
      </c>
      <c r="D2388" t="s">
        <v>40</v>
      </c>
      <c r="E2388" t="s">
        <v>41</v>
      </c>
      <c r="J2388" t="s">
        <v>290</v>
      </c>
      <c r="K2388" t="s">
        <v>291</v>
      </c>
      <c r="L2388">
        <v>5</v>
      </c>
      <c r="M2388" t="s">
        <v>8722</v>
      </c>
      <c r="N2388" t="s">
        <v>59</v>
      </c>
      <c r="O2388" t="s">
        <v>47</v>
      </c>
      <c r="P2388" t="s">
        <v>47</v>
      </c>
      <c r="Y2388" t="s">
        <v>8729</v>
      </c>
      <c r="AG2388" t="s">
        <v>48</v>
      </c>
    </row>
    <row r="2389" spans="1:33">
      <c r="A2389" t="s">
        <v>8730</v>
      </c>
      <c r="B2389" t="s">
        <v>8731</v>
      </c>
      <c r="D2389" t="s">
        <v>40</v>
      </c>
      <c r="E2389" t="s">
        <v>41</v>
      </c>
      <c r="J2389" t="s">
        <v>290</v>
      </c>
      <c r="K2389" t="s">
        <v>291</v>
      </c>
      <c r="L2389">
        <v>5</v>
      </c>
      <c r="M2389" t="s">
        <v>8722</v>
      </c>
      <c r="N2389" t="s">
        <v>59</v>
      </c>
      <c r="O2389" t="s">
        <v>47</v>
      </c>
      <c r="P2389" t="s">
        <v>47</v>
      </c>
      <c r="Y2389" t="s">
        <v>8732</v>
      </c>
      <c r="AG2389" t="s">
        <v>48</v>
      </c>
    </row>
    <row r="2390" spans="1:33">
      <c r="A2390" t="s">
        <v>8733</v>
      </c>
      <c r="B2390" t="s">
        <v>8734</v>
      </c>
      <c r="D2390" t="s">
        <v>40</v>
      </c>
      <c r="E2390" t="s">
        <v>41</v>
      </c>
      <c r="J2390" t="s">
        <v>270</v>
      </c>
      <c r="K2390" t="s">
        <v>271</v>
      </c>
      <c r="L2390">
        <v>5</v>
      </c>
      <c r="M2390" t="s">
        <v>8735</v>
      </c>
      <c r="N2390" t="s">
        <v>59</v>
      </c>
      <c r="O2390" t="s">
        <v>47</v>
      </c>
      <c r="P2390" t="s">
        <v>47</v>
      </c>
      <c r="Y2390" t="s">
        <v>8736</v>
      </c>
      <c r="AG2390" t="s">
        <v>48</v>
      </c>
    </row>
    <row r="2391" spans="1:33">
      <c r="A2391" t="s">
        <v>8737</v>
      </c>
      <c r="B2391" t="s">
        <v>8738</v>
      </c>
      <c r="D2391" t="s">
        <v>40</v>
      </c>
      <c r="E2391" t="s">
        <v>41</v>
      </c>
      <c r="J2391" t="s">
        <v>290</v>
      </c>
      <c r="K2391" t="s">
        <v>291</v>
      </c>
      <c r="L2391">
        <v>5</v>
      </c>
      <c r="M2391" t="s">
        <v>8735</v>
      </c>
      <c r="N2391" t="s">
        <v>59</v>
      </c>
      <c r="O2391" t="s">
        <v>47</v>
      </c>
      <c r="P2391" t="s">
        <v>47</v>
      </c>
      <c r="Y2391" t="s">
        <v>8739</v>
      </c>
      <c r="AG2391" t="s">
        <v>48</v>
      </c>
    </row>
    <row r="2392" spans="1:33">
      <c r="A2392" t="s">
        <v>8740</v>
      </c>
      <c r="B2392" t="s">
        <v>8741</v>
      </c>
      <c r="D2392" t="s">
        <v>40</v>
      </c>
      <c r="E2392" t="s">
        <v>41</v>
      </c>
      <c r="J2392" t="s">
        <v>123</v>
      </c>
      <c r="K2392" t="s">
        <v>124</v>
      </c>
      <c r="L2392">
        <v>5</v>
      </c>
      <c r="M2392" t="s">
        <v>8735</v>
      </c>
      <c r="N2392" t="s">
        <v>218</v>
      </c>
      <c r="O2392" t="s">
        <v>47</v>
      </c>
      <c r="P2392" t="s">
        <v>47</v>
      </c>
      <c r="Y2392" t="s">
        <v>8742</v>
      </c>
      <c r="AG2392" t="s">
        <v>48</v>
      </c>
    </row>
    <row r="2393" spans="1:33">
      <c r="A2393" t="s">
        <v>8743</v>
      </c>
      <c r="B2393" t="s">
        <v>8744</v>
      </c>
      <c r="D2393" t="s">
        <v>40</v>
      </c>
      <c r="E2393" t="s">
        <v>41</v>
      </c>
      <c r="J2393" t="s">
        <v>290</v>
      </c>
      <c r="K2393" t="s">
        <v>291</v>
      </c>
      <c r="L2393">
        <v>5</v>
      </c>
      <c r="M2393" t="s">
        <v>8735</v>
      </c>
      <c r="N2393" t="s">
        <v>59</v>
      </c>
      <c r="O2393" t="s">
        <v>47</v>
      </c>
      <c r="P2393" t="s">
        <v>47</v>
      </c>
      <c r="Y2393" t="s">
        <v>8745</v>
      </c>
      <c r="AG2393" t="s">
        <v>48</v>
      </c>
    </row>
    <row r="2394" spans="1:33">
      <c r="A2394" t="s">
        <v>8746</v>
      </c>
      <c r="B2394" t="s">
        <v>8747</v>
      </c>
      <c r="D2394" t="s">
        <v>40</v>
      </c>
      <c r="E2394" t="s">
        <v>41</v>
      </c>
      <c r="H2394" t="s">
        <v>8748</v>
      </c>
      <c r="J2394" t="s">
        <v>270</v>
      </c>
      <c r="K2394" t="s">
        <v>271</v>
      </c>
      <c r="L2394">
        <v>5</v>
      </c>
      <c r="M2394" t="s">
        <v>8749</v>
      </c>
      <c r="N2394" t="s">
        <v>59</v>
      </c>
      <c r="O2394" t="s">
        <v>47</v>
      </c>
      <c r="P2394" t="s">
        <v>47</v>
      </c>
      <c r="Y2394" t="s">
        <v>8748</v>
      </c>
      <c r="AG2394" t="s">
        <v>48</v>
      </c>
    </row>
    <row r="2395" spans="1:33">
      <c r="A2395" t="s">
        <v>8750</v>
      </c>
      <c r="B2395" t="s">
        <v>8751</v>
      </c>
      <c r="D2395" t="s">
        <v>40</v>
      </c>
      <c r="E2395" t="s">
        <v>41</v>
      </c>
      <c r="H2395" t="s">
        <v>8752</v>
      </c>
      <c r="J2395" t="s">
        <v>290</v>
      </c>
      <c r="K2395" t="s">
        <v>291</v>
      </c>
      <c r="L2395">
        <v>5</v>
      </c>
      <c r="M2395" t="s">
        <v>8753</v>
      </c>
      <c r="N2395" t="s">
        <v>59</v>
      </c>
      <c r="O2395" t="s">
        <v>47</v>
      </c>
      <c r="P2395" t="s">
        <v>47</v>
      </c>
      <c r="Y2395" t="s">
        <v>8752</v>
      </c>
      <c r="AG2395" t="s">
        <v>48</v>
      </c>
    </row>
    <row r="2396" spans="1:33">
      <c r="A2396" t="s">
        <v>8754</v>
      </c>
      <c r="B2396" t="s">
        <v>8755</v>
      </c>
      <c r="D2396" t="s">
        <v>40</v>
      </c>
      <c r="E2396" t="s">
        <v>41</v>
      </c>
      <c r="J2396" t="s">
        <v>290</v>
      </c>
      <c r="K2396" t="s">
        <v>291</v>
      </c>
      <c r="L2396">
        <v>5</v>
      </c>
      <c r="M2396" t="s">
        <v>8756</v>
      </c>
      <c r="N2396" t="s">
        <v>59</v>
      </c>
      <c r="O2396" t="s">
        <v>47</v>
      </c>
      <c r="P2396" t="s">
        <v>47</v>
      </c>
      <c r="Y2396" t="s">
        <v>8757</v>
      </c>
      <c r="AG2396" t="s">
        <v>48</v>
      </c>
    </row>
    <row r="2397" spans="1:33">
      <c r="A2397" t="s">
        <v>8758</v>
      </c>
      <c r="B2397" t="s">
        <v>8759</v>
      </c>
      <c r="D2397" t="s">
        <v>40</v>
      </c>
      <c r="E2397" t="s">
        <v>41</v>
      </c>
      <c r="J2397" t="s">
        <v>290</v>
      </c>
      <c r="K2397" t="s">
        <v>291</v>
      </c>
      <c r="L2397">
        <v>5</v>
      </c>
      <c r="M2397" t="s">
        <v>8760</v>
      </c>
      <c r="N2397" t="s">
        <v>59</v>
      </c>
      <c r="O2397" t="s">
        <v>47</v>
      </c>
      <c r="P2397" t="s">
        <v>47</v>
      </c>
      <c r="Y2397" t="s">
        <v>8761</v>
      </c>
      <c r="AG2397" t="s">
        <v>48</v>
      </c>
    </row>
    <row r="2398" spans="1:33">
      <c r="A2398" t="s">
        <v>8762</v>
      </c>
      <c r="B2398" t="s">
        <v>8763</v>
      </c>
      <c r="D2398" t="s">
        <v>40</v>
      </c>
      <c r="E2398" t="s">
        <v>41</v>
      </c>
      <c r="J2398" t="s">
        <v>290</v>
      </c>
      <c r="K2398" t="s">
        <v>291</v>
      </c>
      <c r="L2398">
        <v>5</v>
      </c>
      <c r="M2398" t="s">
        <v>8764</v>
      </c>
      <c r="N2398" t="s">
        <v>59</v>
      </c>
      <c r="O2398" t="s">
        <v>47</v>
      </c>
      <c r="P2398" t="s">
        <v>47</v>
      </c>
      <c r="Y2398" t="s">
        <v>8765</v>
      </c>
      <c r="AG2398" t="s">
        <v>48</v>
      </c>
    </row>
    <row r="2399" spans="1:33">
      <c r="A2399" t="s">
        <v>8766</v>
      </c>
      <c r="B2399" t="s">
        <v>8767</v>
      </c>
      <c r="D2399" t="s">
        <v>40</v>
      </c>
      <c r="E2399" t="s">
        <v>41</v>
      </c>
      <c r="J2399" t="s">
        <v>162</v>
      </c>
      <c r="K2399" t="s">
        <v>163</v>
      </c>
      <c r="L2399">
        <v>5</v>
      </c>
      <c r="M2399" t="s">
        <v>8768</v>
      </c>
      <c r="N2399" t="s">
        <v>59</v>
      </c>
      <c r="O2399" t="s">
        <v>47</v>
      </c>
      <c r="P2399" t="s">
        <v>47</v>
      </c>
      <c r="Y2399" t="s">
        <v>8769</v>
      </c>
      <c r="AG2399" t="s">
        <v>48</v>
      </c>
    </row>
    <row r="2400" spans="1:33">
      <c r="A2400" t="s">
        <v>117</v>
      </c>
      <c r="B2400" t="s">
        <v>8770</v>
      </c>
      <c r="D2400" t="s">
        <v>40</v>
      </c>
      <c r="E2400" t="s">
        <v>41</v>
      </c>
      <c r="H2400" t="s">
        <v>8771</v>
      </c>
      <c r="J2400" t="s">
        <v>129</v>
      </c>
      <c r="K2400" t="s">
        <v>130</v>
      </c>
      <c r="L2400">
        <v>5</v>
      </c>
      <c r="M2400" t="s">
        <v>8772</v>
      </c>
      <c r="N2400" t="s">
        <v>46</v>
      </c>
      <c r="O2400" t="s">
        <v>47</v>
      </c>
      <c r="P2400" t="s">
        <v>47</v>
      </c>
      <c r="Y2400" t="s">
        <v>8771</v>
      </c>
      <c r="AG2400" t="s">
        <v>48</v>
      </c>
    </row>
    <row r="2401" spans="1:33">
      <c r="A2401" t="s">
        <v>8773</v>
      </c>
      <c r="B2401" t="s">
        <v>8774</v>
      </c>
      <c r="D2401" t="s">
        <v>40</v>
      </c>
      <c r="E2401" t="s">
        <v>41</v>
      </c>
      <c r="J2401" t="s">
        <v>290</v>
      </c>
      <c r="K2401" t="s">
        <v>291</v>
      </c>
      <c r="L2401">
        <v>5</v>
      </c>
      <c r="M2401" t="s">
        <v>8772</v>
      </c>
      <c r="N2401" t="s">
        <v>59</v>
      </c>
      <c r="O2401" t="s">
        <v>47</v>
      </c>
      <c r="P2401" t="s">
        <v>47</v>
      </c>
      <c r="Y2401" t="s">
        <v>8775</v>
      </c>
      <c r="AG2401" t="s">
        <v>48</v>
      </c>
    </row>
    <row r="2402" spans="1:33">
      <c r="A2402" t="s">
        <v>8776</v>
      </c>
      <c r="B2402" t="s">
        <v>8777</v>
      </c>
      <c r="D2402" t="s">
        <v>40</v>
      </c>
      <c r="E2402" t="s">
        <v>41</v>
      </c>
      <c r="J2402" t="s">
        <v>270</v>
      </c>
      <c r="K2402" t="s">
        <v>271</v>
      </c>
      <c r="L2402">
        <v>5</v>
      </c>
      <c r="M2402" t="s">
        <v>8778</v>
      </c>
      <c r="N2402" t="s">
        <v>59</v>
      </c>
      <c r="O2402" t="s">
        <v>47</v>
      </c>
      <c r="P2402" t="s">
        <v>47</v>
      </c>
      <c r="Y2402" t="s">
        <v>8779</v>
      </c>
      <c r="AG2402" t="s">
        <v>48</v>
      </c>
    </row>
    <row r="2403" spans="1:33">
      <c r="A2403" t="s">
        <v>8780</v>
      </c>
      <c r="B2403" t="s">
        <v>8781</v>
      </c>
      <c r="D2403" t="s">
        <v>40</v>
      </c>
      <c r="E2403" t="s">
        <v>41</v>
      </c>
      <c r="J2403" t="s">
        <v>43</v>
      </c>
      <c r="K2403" t="s">
        <v>44</v>
      </c>
      <c r="L2403">
        <v>5</v>
      </c>
      <c r="M2403" t="s">
        <v>8778</v>
      </c>
      <c r="N2403" t="s">
        <v>218</v>
      </c>
      <c r="O2403" t="s">
        <v>47</v>
      </c>
      <c r="P2403" t="s">
        <v>47</v>
      </c>
      <c r="Y2403" t="s">
        <v>8782</v>
      </c>
      <c r="AG2403" t="s">
        <v>48</v>
      </c>
    </row>
    <row r="2404" spans="1:33">
      <c r="A2404" t="s">
        <v>117</v>
      </c>
      <c r="B2404" t="s">
        <v>8783</v>
      </c>
      <c r="D2404" t="s">
        <v>40</v>
      </c>
      <c r="E2404" t="s">
        <v>41</v>
      </c>
      <c r="J2404" t="s">
        <v>108</v>
      </c>
      <c r="K2404" t="s">
        <v>109</v>
      </c>
      <c r="L2404">
        <v>5</v>
      </c>
      <c r="M2404" t="s">
        <v>8778</v>
      </c>
      <c r="N2404" t="s">
        <v>59</v>
      </c>
      <c r="O2404" t="s">
        <v>47</v>
      </c>
      <c r="P2404" t="s">
        <v>47</v>
      </c>
      <c r="Y2404" t="s">
        <v>8784</v>
      </c>
      <c r="AG2404" t="s">
        <v>48</v>
      </c>
    </row>
    <row r="2405" spans="1:33">
      <c r="A2405" t="s">
        <v>8785</v>
      </c>
      <c r="B2405" t="s">
        <v>8786</v>
      </c>
      <c r="D2405" t="s">
        <v>40</v>
      </c>
      <c r="E2405" t="s">
        <v>41</v>
      </c>
      <c r="J2405" t="s">
        <v>162</v>
      </c>
      <c r="K2405" t="s">
        <v>163</v>
      </c>
      <c r="L2405">
        <v>5</v>
      </c>
      <c r="M2405" t="s">
        <v>8778</v>
      </c>
      <c r="N2405" t="s">
        <v>59</v>
      </c>
      <c r="O2405" t="s">
        <v>47</v>
      </c>
      <c r="P2405" t="s">
        <v>47</v>
      </c>
      <c r="Y2405" t="s">
        <v>8787</v>
      </c>
      <c r="AG2405" t="s">
        <v>48</v>
      </c>
    </row>
    <row r="2406" spans="1:33">
      <c r="A2406" t="s">
        <v>8788</v>
      </c>
      <c r="B2406" t="s">
        <v>8789</v>
      </c>
      <c r="D2406" t="s">
        <v>40</v>
      </c>
      <c r="E2406" t="s">
        <v>41</v>
      </c>
      <c r="J2406" t="s">
        <v>290</v>
      </c>
      <c r="K2406" t="s">
        <v>291</v>
      </c>
      <c r="L2406">
        <v>5</v>
      </c>
      <c r="M2406" t="s">
        <v>8790</v>
      </c>
      <c r="N2406" t="s">
        <v>59</v>
      </c>
      <c r="O2406" t="s">
        <v>47</v>
      </c>
      <c r="P2406" t="s">
        <v>47</v>
      </c>
      <c r="Y2406" t="s">
        <v>8791</v>
      </c>
      <c r="AG2406" t="s">
        <v>48</v>
      </c>
    </row>
    <row r="2407" spans="1:33">
      <c r="A2407" t="s">
        <v>8792</v>
      </c>
      <c r="B2407" t="s">
        <v>8793</v>
      </c>
      <c r="D2407" t="s">
        <v>40</v>
      </c>
      <c r="E2407" t="s">
        <v>41</v>
      </c>
      <c r="J2407" t="s">
        <v>162</v>
      </c>
      <c r="K2407" t="s">
        <v>163</v>
      </c>
      <c r="L2407">
        <v>5</v>
      </c>
      <c r="M2407" t="s">
        <v>8794</v>
      </c>
      <c r="N2407" t="s">
        <v>59</v>
      </c>
      <c r="O2407" t="s">
        <v>47</v>
      </c>
      <c r="P2407" t="s">
        <v>47</v>
      </c>
      <c r="Y2407" t="s">
        <v>8795</v>
      </c>
      <c r="AG2407" t="s">
        <v>48</v>
      </c>
    </row>
    <row r="2408" spans="1:33">
      <c r="A2408" t="s">
        <v>8796</v>
      </c>
      <c r="B2408" t="s">
        <v>8797</v>
      </c>
      <c r="D2408" t="s">
        <v>40</v>
      </c>
      <c r="E2408" t="s">
        <v>41</v>
      </c>
      <c r="J2408" t="s">
        <v>162</v>
      </c>
      <c r="K2408" t="s">
        <v>163</v>
      </c>
      <c r="L2408">
        <v>5</v>
      </c>
      <c r="M2408" t="s">
        <v>8798</v>
      </c>
      <c r="N2408" t="s">
        <v>59</v>
      </c>
      <c r="O2408" t="s">
        <v>47</v>
      </c>
      <c r="P2408" t="s">
        <v>47</v>
      </c>
      <c r="Y2408" t="s">
        <v>8799</v>
      </c>
      <c r="AG2408" t="s">
        <v>48</v>
      </c>
    </row>
    <row r="2409" spans="1:33">
      <c r="A2409" t="s">
        <v>8800</v>
      </c>
      <c r="B2409" t="s">
        <v>8801</v>
      </c>
      <c r="D2409" t="s">
        <v>40</v>
      </c>
      <c r="E2409" t="s">
        <v>41</v>
      </c>
      <c r="J2409" t="s">
        <v>290</v>
      </c>
      <c r="K2409" t="s">
        <v>291</v>
      </c>
      <c r="L2409">
        <v>5</v>
      </c>
      <c r="M2409" t="s">
        <v>8802</v>
      </c>
      <c r="N2409" t="s">
        <v>59</v>
      </c>
      <c r="O2409" t="s">
        <v>47</v>
      </c>
      <c r="P2409" t="s">
        <v>47</v>
      </c>
      <c r="Y2409" t="s">
        <v>8803</v>
      </c>
      <c r="AG2409" t="s">
        <v>48</v>
      </c>
    </row>
    <row r="2410" spans="1:33">
      <c r="A2410" t="s">
        <v>8804</v>
      </c>
      <c r="B2410" t="s">
        <v>8805</v>
      </c>
      <c r="D2410" t="s">
        <v>40</v>
      </c>
      <c r="E2410" t="s">
        <v>41</v>
      </c>
      <c r="J2410" t="s">
        <v>290</v>
      </c>
      <c r="K2410" t="s">
        <v>291</v>
      </c>
      <c r="L2410">
        <v>5</v>
      </c>
      <c r="M2410" t="s">
        <v>8806</v>
      </c>
      <c r="N2410" t="s">
        <v>59</v>
      </c>
      <c r="O2410" t="s">
        <v>47</v>
      </c>
      <c r="P2410" t="s">
        <v>47</v>
      </c>
      <c r="Y2410" t="s">
        <v>8807</v>
      </c>
      <c r="AG2410" t="s">
        <v>48</v>
      </c>
    </row>
    <row r="2411" spans="1:33">
      <c r="A2411" t="s">
        <v>8808</v>
      </c>
      <c r="B2411" t="s">
        <v>8809</v>
      </c>
      <c r="D2411" t="s">
        <v>40</v>
      </c>
      <c r="E2411" t="s">
        <v>41</v>
      </c>
      <c r="J2411" t="s">
        <v>290</v>
      </c>
      <c r="K2411" t="s">
        <v>291</v>
      </c>
      <c r="L2411">
        <v>5</v>
      </c>
      <c r="M2411" t="s">
        <v>8810</v>
      </c>
      <c r="N2411" t="s">
        <v>59</v>
      </c>
      <c r="O2411" t="s">
        <v>47</v>
      </c>
      <c r="P2411" t="s">
        <v>47</v>
      </c>
      <c r="Y2411" t="s">
        <v>8811</v>
      </c>
      <c r="AG2411" t="s">
        <v>48</v>
      </c>
    </row>
    <row r="2412" spans="1:33">
      <c r="A2412" t="s">
        <v>8812</v>
      </c>
      <c r="B2412" t="s">
        <v>8813</v>
      </c>
      <c r="D2412" t="s">
        <v>40</v>
      </c>
      <c r="E2412" t="s">
        <v>41</v>
      </c>
      <c r="J2412" t="s">
        <v>108</v>
      </c>
      <c r="K2412" t="s">
        <v>109</v>
      </c>
      <c r="L2412">
        <v>5</v>
      </c>
      <c r="M2412" t="s">
        <v>8814</v>
      </c>
      <c r="N2412" t="s">
        <v>59</v>
      </c>
      <c r="O2412" t="s">
        <v>47</v>
      </c>
      <c r="P2412" t="s">
        <v>47</v>
      </c>
      <c r="Y2412" t="s">
        <v>8815</v>
      </c>
      <c r="AG2412" t="s">
        <v>48</v>
      </c>
    </row>
    <row r="2413" spans="1:33">
      <c r="A2413" t="s">
        <v>8816</v>
      </c>
      <c r="B2413" t="s">
        <v>8817</v>
      </c>
      <c r="D2413" t="s">
        <v>40</v>
      </c>
      <c r="E2413" t="s">
        <v>41</v>
      </c>
      <c r="J2413" t="s">
        <v>162</v>
      </c>
      <c r="K2413" t="s">
        <v>163</v>
      </c>
      <c r="L2413">
        <v>5</v>
      </c>
      <c r="M2413" t="s">
        <v>8814</v>
      </c>
      <c r="N2413" t="s">
        <v>59</v>
      </c>
      <c r="O2413" t="s">
        <v>47</v>
      </c>
      <c r="P2413" t="s">
        <v>47</v>
      </c>
      <c r="Y2413" t="s">
        <v>8818</v>
      </c>
      <c r="AG2413" t="s">
        <v>48</v>
      </c>
    </row>
    <row r="2414" spans="1:33">
      <c r="A2414" t="s">
        <v>8819</v>
      </c>
      <c r="B2414" t="s">
        <v>8820</v>
      </c>
      <c r="D2414" t="s">
        <v>40</v>
      </c>
      <c r="E2414" t="s">
        <v>41</v>
      </c>
      <c r="J2414" t="s">
        <v>290</v>
      </c>
      <c r="K2414" t="s">
        <v>291</v>
      </c>
      <c r="L2414">
        <v>5</v>
      </c>
      <c r="M2414" t="s">
        <v>8814</v>
      </c>
      <c r="N2414" t="s">
        <v>59</v>
      </c>
      <c r="O2414" t="s">
        <v>47</v>
      </c>
      <c r="P2414" t="s">
        <v>47</v>
      </c>
      <c r="Y2414" t="s">
        <v>8821</v>
      </c>
      <c r="AG2414" t="s">
        <v>48</v>
      </c>
    </row>
    <row r="2415" spans="1:33">
      <c r="A2415" t="s">
        <v>8822</v>
      </c>
      <c r="B2415" t="s">
        <v>8823</v>
      </c>
      <c r="D2415" t="s">
        <v>40</v>
      </c>
      <c r="E2415" t="s">
        <v>41</v>
      </c>
      <c r="J2415" t="s">
        <v>290</v>
      </c>
      <c r="K2415" t="s">
        <v>291</v>
      </c>
      <c r="L2415">
        <v>5</v>
      </c>
      <c r="M2415" t="s">
        <v>8814</v>
      </c>
      <c r="N2415" t="s">
        <v>59</v>
      </c>
      <c r="O2415" t="s">
        <v>47</v>
      </c>
      <c r="P2415" t="s">
        <v>47</v>
      </c>
      <c r="Y2415" t="s">
        <v>8824</v>
      </c>
      <c r="AG2415" t="s">
        <v>48</v>
      </c>
    </row>
    <row r="2416" spans="1:33">
      <c r="A2416" t="s">
        <v>8825</v>
      </c>
      <c r="B2416" t="s">
        <v>8826</v>
      </c>
      <c r="D2416" t="s">
        <v>40</v>
      </c>
      <c r="E2416" t="s">
        <v>41</v>
      </c>
      <c r="J2416" t="s">
        <v>270</v>
      </c>
      <c r="K2416" t="s">
        <v>271</v>
      </c>
      <c r="L2416">
        <v>5</v>
      </c>
      <c r="M2416" t="s">
        <v>8827</v>
      </c>
      <c r="N2416" t="s">
        <v>59</v>
      </c>
      <c r="O2416" t="s">
        <v>47</v>
      </c>
      <c r="P2416" t="s">
        <v>47</v>
      </c>
      <c r="Y2416" t="s">
        <v>8828</v>
      </c>
      <c r="AG2416" t="s">
        <v>48</v>
      </c>
    </row>
    <row r="2417" spans="1:33">
      <c r="A2417" t="s">
        <v>8829</v>
      </c>
      <c r="B2417" t="s">
        <v>8830</v>
      </c>
      <c r="D2417" t="s">
        <v>40</v>
      </c>
      <c r="E2417" t="s">
        <v>41</v>
      </c>
      <c r="J2417" t="s">
        <v>270</v>
      </c>
      <c r="K2417" t="s">
        <v>271</v>
      </c>
      <c r="L2417">
        <v>5</v>
      </c>
      <c r="M2417" t="s">
        <v>8827</v>
      </c>
      <c r="N2417" t="s">
        <v>59</v>
      </c>
      <c r="O2417" t="s">
        <v>47</v>
      </c>
      <c r="P2417" t="s">
        <v>47</v>
      </c>
      <c r="Y2417" t="s">
        <v>8831</v>
      </c>
      <c r="AG2417" t="s">
        <v>48</v>
      </c>
    </row>
    <row r="2418" spans="1:33">
      <c r="A2418" t="s">
        <v>8832</v>
      </c>
      <c r="B2418" t="s">
        <v>8833</v>
      </c>
      <c r="D2418" t="s">
        <v>40</v>
      </c>
      <c r="E2418" t="s">
        <v>41</v>
      </c>
      <c r="J2418" t="s">
        <v>290</v>
      </c>
      <c r="K2418" t="s">
        <v>291</v>
      </c>
      <c r="L2418">
        <v>5</v>
      </c>
      <c r="M2418" t="s">
        <v>8834</v>
      </c>
      <c r="N2418" t="s">
        <v>59</v>
      </c>
      <c r="O2418" t="s">
        <v>47</v>
      </c>
      <c r="P2418" t="s">
        <v>47</v>
      </c>
      <c r="Y2418" t="s">
        <v>8835</v>
      </c>
      <c r="AG2418" t="s">
        <v>48</v>
      </c>
    </row>
    <row r="2419" spans="1:33">
      <c r="A2419" t="s">
        <v>8836</v>
      </c>
      <c r="B2419" t="s">
        <v>8837</v>
      </c>
      <c r="D2419" t="s">
        <v>40</v>
      </c>
      <c r="E2419" t="s">
        <v>41</v>
      </c>
      <c r="J2419" t="s">
        <v>270</v>
      </c>
      <c r="K2419" t="s">
        <v>271</v>
      </c>
      <c r="L2419">
        <v>5</v>
      </c>
      <c r="M2419" t="s">
        <v>8834</v>
      </c>
      <c r="N2419" t="s">
        <v>59</v>
      </c>
      <c r="O2419" t="s">
        <v>47</v>
      </c>
      <c r="P2419" t="s">
        <v>47</v>
      </c>
      <c r="Y2419" t="s">
        <v>8838</v>
      </c>
      <c r="AG2419" t="s">
        <v>48</v>
      </c>
    </row>
    <row r="2420" spans="1:33">
      <c r="A2420" t="s">
        <v>8839</v>
      </c>
      <c r="B2420" t="s">
        <v>8840</v>
      </c>
      <c r="D2420" t="s">
        <v>40</v>
      </c>
      <c r="E2420" t="s">
        <v>41</v>
      </c>
      <c r="H2420" t="s">
        <v>8841</v>
      </c>
      <c r="J2420" t="s">
        <v>123</v>
      </c>
      <c r="K2420" t="s">
        <v>124</v>
      </c>
      <c r="L2420">
        <v>5</v>
      </c>
      <c r="M2420" t="s">
        <v>8842</v>
      </c>
      <c r="N2420" t="s">
        <v>218</v>
      </c>
      <c r="O2420" t="s">
        <v>47</v>
      </c>
      <c r="P2420" t="s">
        <v>47</v>
      </c>
      <c r="Y2420" t="s">
        <v>8841</v>
      </c>
      <c r="AG2420" t="s">
        <v>48</v>
      </c>
    </row>
    <row r="2421" spans="1:33">
      <c r="A2421" t="s">
        <v>8843</v>
      </c>
      <c r="B2421" t="s">
        <v>8844</v>
      </c>
      <c r="D2421" t="s">
        <v>40</v>
      </c>
      <c r="E2421" t="s">
        <v>41</v>
      </c>
      <c r="J2421" t="s">
        <v>270</v>
      </c>
      <c r="K2421" t="s">
        <v>271</v>
      </c>
      <c r="L2421">
        <v>5</v>
      </c>
      <c r="M2421" t="s">
        <v>8845</v>
      </c>
      <c r="N2421" t="s">
        <v>59</v>
      </c>
      <c r="O2421" t="s">
        <v>47</v>
      </c>
      <c r="P2421" t="s">
        <v>47</v>
      </c>
      <c r="Y2421" t="s">
        <v>8846</v>
      </c>
      <c r="AG2421" t="s">
        <v>48</v>
      </c>
    </row>
    <row r="2422" spans="1:33">
      <c r="A2422" t="s">
        <v>8847</v>
      </c>
      <c r="B2422" t="s">
        <v>8848</v>
      </c>
      <c r="D2422" t="s">
        <v>40</v>
      </c>
      <c r="E2422" t="s">
        <v>41</v>
      </c>
      <c r="J2422" t="s">
        <v>290</v>
      </c>
      <c r="K2422" t="s">
        <v>291</v>
      </c>
      <c r="L2422">
        <v>5</v>
      </c>
      <c r="M2422" t="s">
        <v>8845</v>
      </c>
      <c r="N2422" t="s">
        <v>59</v>
      </c>
      <c r="O2422" t="s">
        <v>47</v>
      </c>
      <c r="P2422" t="s">
        <v>47</v>
      </c>
      <c r="Y2422" t="s">
        <v>8849</v>
      </c>
      <c r="AG2422" t="s">
        <v>48</v>
      </c>
    </row>
    <row r="2423" spans="1:33">
      <c r="A2423" t="s">
        <v>8850</v>
      </c>
      <c r="B2423" t="s">
        <v>8851</v>
      </c>
      <c r="D2423" t="s">
        <v>40</v>
      </c>
      <c r="E2423" t="s">
        <v>41</v>
      </c>
      <c r="J2423" t="s">
        <v>270</v>
      </c>
      <c r="K2423" t="s">
        <v>271</v>
      </c>
      <c r="L2423">
        <v>5</v>
      </c>
      <c r="M2423" t="s">
        <v>8845</v>
      </c>
      <c r="N2423" t="s">
        <v>59</v>
      </c>
      <c r="O2423" t="s">
        <v>47</v>
      </c>
      <c r="P2423" t="s">
        <v>47</v>
      </c>
      <c r="Y2423" t="s">
        <v>8852</v>
      </c>
      <c r="AG2423" t="s">
        <v>48</v>
      </c>
    </row>
    <row r="2424" spans="1:33">
      <c r="A2424" t="s">
        <v>8853</v>
      </c>
      <c r="B2424" t="s">
        <v>8854</v>
      </c>
      <c r="D2424" t="s">
        <v>40</v>
      </c>
      <c r="E2424" t="s">
        <v>41</v>
      </c>
      <c r="J2424" t="s">
        <v>290</v>
      </c>
      <c r="K2424" t="s">
        <v>291</v>
      </c>
      <c r="L2424">
        <v>5</v>
      </c>
      <c r="M2424" t="s">
        <v>8845</v>
      </c>
      <c r="N2424" t="s">
        <v>59</v>
      </c>
      <c r="O2424" t="s">
        <v>47</v>
      </c>
      <c r="P2424" t="s">
        <v>47</v>
      </c>
      <c r="Y2424" t="s">
        <v>8855</v>
      </c>
      <c r="AG2424" t="s">
        <v>48</v>
      </c>
    </row>
    <row r="2425" spans="1:33">
      <c r="A2425" t="s">
        <v>8856</v>
      </c>
      <c r="B2425" t="s">
        <v>8857</v>
      </c>
      <c r="D2425" t="s">
        <v>40</v>
      </c>
      <c r="E2425" t="s">
        <v>41</v>
      </c>
      <c r="H2425" t="s">
        <v>8858</v>
      </c>
      <c r="J2425" t="s">
        <v>123</v>
      </c>
      <c r="K2425" t="s">
        <v>124</v>
      </c>
      <c r="L2425">
        <v>5</v>
      </c>
      <c r="M2425" t="s">
        <v>8845</v>
      </c>
      <c r="N2425" t="s">
        <v>218</v>
      </c>
      <c r="O2425" t="s">
        <v>47</v>
      </c>
      <c r="P2425" t="s">
        <v>47</v>
      </c>
      <c r="Y2425" t="s">
        <v>8858</v>
      </c>
      <c r="AG2425" t="s">
        <v>48</v>
      </c>
    </row>
    <row r="2426" spans="1:33">
      <c r="A2426" t="s">
        <v>8859</v>
      </c>
      <c r="B2426" t="s">
        <v>8860</v>
      </c>
      <c r="D2426" t="s">
        <v>40</v>
      </c>
      <c r="E2426" t="s">
        <v>41</v>
      </c>
      <c r="H2426" t="s">
        <v>8861</v>
      </c>
      <c r="J2426" t="s">
        <v>123</v>
      </c>
      <c r="K2426" t="s">
        <v>124</v>
      </c>
      <c r="L2426">
        <v>5</v>
      </c>
      <c r="M2426" t="s">
        <v>8862</v>
      </c>
      <c r="N2426" t="s">
        <v>59</v>
      </c>
      <c r="O2426" t="s">
        <v>47</v>
      </c>
      <c r="P2426" t="s">
        <v>47</v>
      </c>
      <c r="Y2426" t="s">
        <v>8861</v>
      </c>
      <c r="AG2426" t="s">
        <v>48</v>
      </c>
    </row>
    <row r="2427" spans="1:33">
      <c r="A2427" t="s">
        <v>8863</v>
      </c>
      <c r="B2427" t="s">
        <v>8864</v>
      </c>
      <c r="D2427" t="s">
        <v>40</v>
      </c>
      <c r="E2427" t="s">
        <v>41</v>
      </c>
      <c r="J2427" t="s">
        <v>290</v>
      </c>
      <c r="K2427" t="s">
        <v>291</v>
      </c>
      <c r="L2427">
        <v>5</v>
      </c>
      <c r="M2427" t="s">
        <v>8865</v>
      </c>
      <c r="N2427" t="s">
        <v>59</v>
      </c>
      <c r="O2427" t="s">
        <v>47</v>
      </c>
      <c r="P2427" t="s">
        <v>47</v>
      </c>
      <c r="Y2427" t="s">
        <v>8866</v>
      </c>
      <c r="AG2427" t="s">
        <v>48</v>
      </c>
    </row>
    <row r="2428" spans="1:33">
      <c r="A2428" t="s">
        <v>8867</v>
      </c>
      <c r="B2428" t="s">
        <v>8868</v>
      </c>
      <c r="D2428" t="s">
        <v>40</v>
      </c>
      <c r="E2428" t="s">
        <v>41</v>
      </c>
      <c r="J2428" t="s">
        <v>270</v>
      </c>
      <c r="K2428" t="s">
        <v>271</v>
      </c>
      <c r="L2428">
        <v>5</v>
      </c>
      <c r="M2428" t="s">
        <v>8865</v>
      </c>
      <c r="N2428" t="s">
        <v>59</v>
      </c>
      <c r="O2428" t="s">
        <v>47</v>
      </c>
      <c r="P2428" t="s">
        <v>47</v>
      </c>
      <c r="Y2428" t="s">
        <v>8869</v>
      </c>
      <c r="AG2428" t="s">
        <v>48</v>
      </c>
    </row>
    <row r="2429" spans="1:33">
      <c r="A2429" t="s">
        <v>8870</v>
      </c>
      <c r="B2429" t="s">
        <v>8871</v>
      </c>
      <c r="D2429" t="s">
        <v>40</v>
      </c>
      <c r="E2429" t="s">
        <v>41</v>
      </c>
      <c r="J2429" t="s">
        <v>270</v>
      </c>
      <c r="K2429" t="s">
        <v>271</v>
      </c>
      <c r="L2429">
        <v>5</v>
      </c>
      <c r="M2429" t="s">
        <v>8865</v>
      </c>
      <c r="N2429" t="s">
        <v>59</v>
      </c>
      <c r="O2429" t="s">
        <v>47</v>
      </c>
      <c r="P2429" t="s">
        <v>47</v>
      </c>
      <c r="Y2429" t="s">
        <v>8872</v>
      </c>
      <c r="AG2429" t="s">
        <v>48</v>
      </c>
    </row>
    <row r="2430" spans="1:33">
      <c r="A2430" t="s">
        <v>8873</v>
      </c>
      <c r="B2430" t="s">
        <v>8874</v>
      </c>
      <c r="D2430" t="s">
        <v>40</v>
      </c>
      <c r="E2430" t="s">
        <v>41</v>
      </c>
      <c r="H2430" t="s">
        <v>8875</v>
      </c>
      <c r="J2430" t="s">
        <v>290</v>
      </c>
      <c r="K2430" t="s">
        <v>291</v>
      </c>
      <c r="L2430">
        <v>5</v>
      </c>
      <c r="M2430" t="s">
        <v>8876</v>
      </c>
      <c r="N2430" t="s">
        <v>59</v>
      </c>
      <c r="O2430" t="s">
        <v>47</v>
      </c>
      <c r="P2430" t="s">
        <v>47</v>
      </c>
      <c r="Y2430" t="s">
        <v>8875</v>
      </c>
      <c r="AG2430" t="s">
        <v>48</v>
      </c>
    </row>
    <row r="2431" spans="1:33">
      <c r="A2431" t="s">
        <v>8877</v>
      </c>
      <c r="B2431" t="s">
        <v>8878</v>
      </c>
      <c r="D2431" t="s">
        <v>40</v>
      </c>
      <c r="E2431" t="s">
        <v>41</v>
      </c>
      <c r="J2431" t="s">
        <v>290</v>
      </c>
      <c r="K2431" t="s">
        <v>291</v>
      </c>
      <c r="L2431">
        <v>5</v>
      </c>
      <c r="M2431" t="s">
        <v>8876</v>
      </c>
      <c r="N2431" t="s">
        <v>59</v>
      </c>
      <c r="O2431" t="s">
        <v>47</v>
      </c>
      <c r="P2431" t="s">
        <v>47</v>
      </c>
      <c r="Y2431" t="s">
        <v>8879</v>
      </c>
      <c r="AG2431" t="s">
        <v>48</v>
      </c>
    </row>
    <row r="2432" spans="1:33">
      <c r="A2432" t="s">
        <v>8880</v>
      </c>
      <c r="B2432" t="s">
        <v>8881</v>
      </c>
      <c r="D2432" t="s">
        <v>40</v>
      </c>
      <c r="E2432" t="s">
        <v>41</v>
      </c>
      <c r="J2432" t="s">
        <v>290</v>
      </c>
      <c r="K2432" t="s">
        <v>291</v>
      </c>
      <c r="L2432">
        <v>5</v>
      </c>
      <c r="M2432" t="s">
        <v>8876</v>
      </c>
      <c r="N2432" t="s">
        <v>59</v>
      </c>
      <c r="O2432" t="s">
        <v>47</v>
      </c>
      <c r="P2432" t="s">
        <v>47</v>
      </c>
      <c r="Y2432" t="s">
        <v>8882</v>
      </c>
      <c r="AG2432" t="s">
        <v>48</v>
      </c>
    </row>
    <row r="2433" spans="1:33">
      <c r="A2433" t="s">
        <v>8883</v>
      </c>
      <c r="B2433" t="s">
        <v>8884</v>
      </c>
      <c r="D2433" t="s">
        <v>40</v>
      </c>
      <c r="E2433" t="s">
        <v>41</v>
      </c>
      <c r="J2433" t="s">
        <v>86</v>
      </c>
      <c r="K2433" t="s">
        <v>87</v>
      </c>
      <c r="L2433">
        <v>5</v>
      </c>
      <c r="M2433" t="s">
        <v>8876</v>
      </c>
      <c r="N2433" t="s">
        <v>46</v>
      </c>
      <c r="O2433" t="s">
        <v>47</v>
      </c>
      <c r="P2433" t="s">
        <v>47</v>
      </c>
      <c r="Y2433" t="s">
        <v>8885</v>
      </c>
      <c r="AG2433" t="s">
        <v>48</v>
      </c>
    </row>
    <row r="2434" spans="1:33">
      <c r="A2434" t="s">
        <v>8886</v>
      </c>
      <c r="B2434" t="s">
        <v>8887</v>
      </c>
      <c r="D2434" t="s">
        <v>40</v>
      </c>
      <c r="E2434" t="s">
        <v>41</v>
      </c>
      <c r="J2434" t="s">
        <v>162</v>
      </c>
      <c r="K2434" t="s">
        <v>163</v>
      </c>
      <c r="L2434">
        <v>5</v>
      </c>
      <c r="M2434" t="s">
        <v>8888</v>
      </c>
      <c r="N2434" t="s">
        <v>59</v>
      </c>
      <c r="O2434" t="s">
        <v>47</v>
      </c>
      <c r="P2434" t="s">
        <v>47</v>
      </c>
      <c r="Y2434" t="s">
        <v>8889</v>
      </c>
      <c r="AG2434" t="s">
        <v>48</v>
      </c>
    </row>
    <row r="2435" spans="1:33">
      <c r="A2435" t="s">
        <v>8890</v>
      </c>
      <c r="B2435" t="s">
        <v>8891</v>
      </c>
      <c r="D2435" t="s">
        <v>40</v>
      </c>
      <c r="E2435" t="s">
        <v>41</v>
      </c>
      <c r="J2435" t="s">
        <v>290</v>
      </c>
      <c r="K2435" t="s">
        <v>291</v>
      </c>
      <c r="L2435">
        <v>5</v>
      </c>
      <c r="M2435" t="s">
        <v>8888</v>
      </c>
      <c r="N2435" t="s">
        <v>59</v>
      </c>
      <c r="O2435" t="s">
        <v>47</v>
      </c>
      <c r="P2435" t="s">
        <v>47</v>
      </c>
      <c r="Y2435" t="s">
        <v>8892</v>
      </c>
      <c r="AG2435" t="s">
        <v>48</v>
      </c>
    </row>
    <row r="2436" spans="1:33">
      <c r="A2436" t="s">
        <v>8893</v>
      </c>
      <c r="B2436" t="s">
        <v>8894</v>
      </c>
      <c r="D2436" t="s">
        <v>40</v>
      </c>
      <c r="E2436" t="s">
        <v>41</v>
      </c>
      <c r="J2436" t="s">
        <v>290</v>
      </c>
      <c r="K2436" t="s">
        <v>291</v>
      </c>
      <c r="L2436">
        <v>5</v>
      </c>
      <c r="M2436" t="s">
        <v>8888</v>
      </c>
      <c r="N2436" t="s">
        <v>59</v>
      </c>
      <c r="O2436" t="s">
        <v>47</v>
      </c>
      <c r="P2436" t="s">
        <v>47</v>
      </c>
      <c r="Y2436" t="s">
        <v>8895</v>
      </c>
      <c r="AG2436" t="s">
        <v>48</v>
      </c>
    </row>
    <row r="2437" spans="1:33">
      <c r="A2437" t="s">
        <v>8896</v>
      </c>
      <c r="B2437" t="s">
        <v>8897</v>
      </c>
      <c r="D2437" t="s">
        <v>40</v>
      </c>
      <c r="E2437" t="s">
        <v>41</v>
      </c>
      <c r="H2437" t="s">
        <v>8898</v>
      </c>
      <c r="J2437" t="s">
        <v>123</v>
      </c>
      <c r="K2437" t="s">
        <v>124</v>
      </c>
      <c r="L2437">
        <v>5</v>
      </c>
      <c r="M2437" t="s">
        <v>8899</v>
      </c>
      <c r="N2437" t="s">
        <v>218</v>
      </c>
      <c r="O2437" t="s">
        <v>47</v>
      </c>
      <c r="P2437" t="s">
        <v>47</v>
      </c>
      <c r="Y2437" t="s">
        <v>8898</v>
      </c>
      <c r="AG2437" t="s">
        <v>48</v>
      </c>
    </row>
    <row r="2438" spans="1:33">
      <c r="A2438" t="s">
        <v>8900</v>
      </c>
      <c r="B2438" t="s">
        <v>8901</v>
      </c>
      <c r="D2438" t="s">
        <v>40</v>
      </c>
      <c r="E2438" t="s">
        <v>41</v>
      </c>
      <c r="J2438" t="s">
        <v>270</v>
      </c>
      <c r="K2438" t="s">
        <v>271</v>
      </c>
      <c r="L2438">
        <v>5</v>
      </c>
      <c r="M2438" t="s">
        <v>8899</v>
      </c>
      <c r="N2438" t="s">
        <v>59</v>
      </c>
      <c r="O2438" t="s">
        <v>47</v>
      </c>
      <c r="P2438" t="s">
        <v>47</v>
      </c>
      <c r="Y2438" t="s">
        <v>8902</v>
      </c>
      <c r="AG2438" t="s">
        <v>48</v>
      </c>
    </row>
    <row r="2439" spans="1:33">
      <c r="A2439" t="s">
        <v>8903</v>
      </c>
      <c r="B2439" t="s">
        <v>8904</v>
      </c>
      <c r="D2439" t="s">
        <v>40</v>
      </c>
      <c r="E2439" t="s">
        <v>41</v>
      </c>
      <c r="J2439" t="s">
        <v>108</v>
      </c>
      <c r="K2439" t="s">
        <v>109</v>
      </c>
      <c r="L2439">
        <v>5</v>
      </c>
      <c r="M2439" t="s">
        <v>8899</v>
      </c>
      <c r="N2439" t="s">
        <v>59</v>
      </c>
      <c r="O2439" t="s">
        <v>47</v>
      </c>
      <c r="P2439" t="s">
        <v>47</v>
      </c>
      <c r="Y2439" t="s">
        <v>8905</v>
      </c>
      <c r="AG2439" t="s">
        <v>48</v>
      </c>
    </row>
    <row r="2440" spans="1:33">
      <c r="A2440" t="s">
        <v>8906</v>
      </c>
      <c r="B2440" t="s">
        <v>8907</v>
      </c>
      <c r="D2440" t="s">
        <v>40</v>
      </c>
      <c r="E2440" t="s">
        <v>41</v>
      </c>
      <c r="J2440" t="s">
        <v>270</v>
      </c>
      <c r="K2440" t="s">
        <v>271</v>
      </c>
      <c r="L2440">
        <v>5</v>
      </c>
      <c r="M2440" t="s">
        <v>8899</v>
      </c>
      <c r="N2440" t="s">
        <v>59</v>
      </c>
      <c r="O2440" t="s">
        <v>47</v>
      </c>
      <c r="P2440" t="s">
        <v>47</v>
      </c>
      <c r="Y2440" t="s">
        <v>8908</v>
      </c>
      <c r="AG2440" t="s">
        <v>48</v>
      </c>
    </row>
    <row r="2441" spans="1:33">
      <c r="A2441" t="s">
        <v>8909</v>
      </c>
      <c r="B2441" t="s">
        <v>8910</v>
      </c>
      <c r="D2441" t="s">
        <v>40</v>
      </c>
      <c r="E2441" t="s">
        <v>41</v>
      </c>
      <c r="J2441" t="s">
        <v>162</v>
      </c>
      <c r="K2441" t="s">
        <v>163</v>
      </c>
      <c r="L2441">
        <v>5</v>
      </c>
      <c r="M2441" t="s">
        <v>8911</v>
      </c>
      <c r="N2441" t="s">
        <v>59</v>
      </c>
      <c r="O2441" t="s">
        <v>47</v>
      </c>
      <c r="P2441" t="s">
        <v>47</v>
      </c>
      <c r="Y2441" t="s">
        <v>8912</v>
      </c>
      <c r="AG2441" t="s">
        <v>48</v>
      </c>
    </row>
    <row r="2442" spans="1:33">
      <c r="A2442" t="s">
        <v>8913</v>
      </c>
      <c r="B2442" t="s">
        <v>8914</v>
      </c>
      <c r="D2442" t="s">
        <v>40</v>
      </c>
      <c r="E2442" t="s">
        <v>41</v>
      </c>
      <c r="J2442" t="s">
        <v>270</v>
      </c>
      <c r="K2442" t="s">
        <v>271</v>
      </c>
      <c r="L2442">
        <v>5</v>
      </c>
      <c r="M2442" t="s">
        <v>8911</v>
      </c>
      <c r="N2442" t="s">
        <v>59</v>
      </c>
      <c r="O2442" t="s">
        <v>47</v>
      </c>
      <c r="P2442" t="s">
        <v>47</v>
      </c>
      <c r="Y2442" t="s">
        <v>8915</v>
      </c>
      <c r="AG2442" t="s">
        <v>48</v>
      </c>
    </row>
    <row r="2443" spans="1:33">
      <c r="A2443" t="s">
        <v>8916</v>
      </c>
      <c r="B2443" t="s">
        <v>8917</v>
      </c>
      <c r="D2443" t="s">
        <v>40</v>
      </c>
      <c r="E2443" t="s">
        <v>41</v>
      </c>
      <c r="J2443" t="s">
        <v>290</v>
      </c>
      <c r="K2443" t="s">
        <v>291</v>
      </c>
      <c r="L2443">
        <v>5</v>
      </c>
      <c r="M2443" t="s">
        <v>8918</v>
      </c>
      <c r="N2443" t="s">
        <v>59</v>
      </c>
      <c r="O2443" t="s">
        <v>47</v>
      </c>
      <c r="P2443" t="s">
        <v>47</v>
      </c>
      <c r="Y2443" t="s">
        <v>8919</v>
      </c>
      <c r="AG2443" t="s">
        <v>48</v>
      </c>
    </row>
    <row r="2444" spans="1:33">
      <c r="A2444" t="s">
        <v>8920</v>
      </c>
      <c r="B2444" t="s">
        <v>8921</v>
      </c>
      <c r="D2444" t="s">
        <v>40</v>
      </c>
      <c r="E2444" t="s">
        <v>41</v>
      </c>
      <c r="J2444" t="s">
        <v>108</v>
      </c>
      <c r="K2444" t="s">
        <v>109</v>
      </c>
      <c r="L2444">
        <v>5</v>
      </c>
      <c r="M2444" t="s">
        <v>8918</v>
      </c>
      <c r="N2444" t="s">
        <v>59</v>
      </c>
      <c r="O2444" t="s">
        <v>47</v>
      </c>
      <c r="P2444" t="s">
        <v>47</v>
      </c>
      <c r="Y2444" t="s">
        <v>8922</v>
      </c>
      <c r="AG2444" t="s">
        <v>48</v>
      </c>
    </row>
    <row r="2445" spans="1:33">
      <c r="A2445" t="s">
        <v>8923</v>
      </c>
      <c r="B2445" t="s">
        <v>8924</v>
      </c>
      <c r="D2445" t="s">
        <v>40</v>
      </c>
      <c r="E2445" t="s">
        <v>41</v>
      </c>
      <c r="J2445" t="s">
        <v>129</v>
      </c>
      <c r="K2445" t="s">
        <v>130</v>
      </c>
      <c r="L2445">
        <v>5</v>
      </c>
      <c r="M2445" t="s">
        <v>8918</v>
      </c>
      <c r="N2445" t="s">
        <v>218</v>
      </c>
      <c r="O2445" t="s">
        <v>47</v>
      </c>
      <c r="P2445" t="s">
        <v>47</v>
      </c>
      <c r="Y2445" t="s">
        <v>8925</v>
      </c>
      <c r="AG2445" t="s">
        <v>48</v>
      </c>
    </row>
    <row r="2446" spans="1:33">
      <c r="A2446" t="s">
        <v>117</v>
      </c>
      <c r="B2446" t="s">
        <v>8926</v>
      </c>
      <c r="D2446" t="s">
        <v>40</v>
      </c>
      <c r="E2446" t="s">
        <v>41</v>
      </c>
      <c r="J2446" t="s">
        <v>162</v>
      </c>
      <c r="K2446" t="s">
        <v>163</v>
      </c>
      <c r="L2446">
        <v>5</v>
      </c>
      <c r="M2446" t="s">
        <v>8927</v>
      </c>
      <c r="N2446" t="s">
        <v>59</v>
      </c>
      <c r="O2446" t="s">
        <v>47</v>
      </c>
      <c r="P2446" t="s">
        <v>47</v>
      </c>
      <c r="Y2446" t="s">
        <v>8928</v>
      </c>
      <c r="AG2446" t="s">
        <v>48</v>
      </c>
    </row>
    <row r="2447" spans="1:33">
      <c r="A2447" t="s">
        <v>8929</v>
      </c>
      <c r="B2447" t="s">
        <v>8930</v>
      </c>
      <c r="D2447" t="s">
        <v>40</v>
      </c>
      <c r="E2447" t="s">
        <v>41</v>
      </c>
      <c r="J2447" t="s">
        <v>8931</v>
      </c>
      <c r="K2447" t="s">
        <v>8932</v>
      </c>
      <c r="L2447">
        <v>8</v>
      </c>
      <c r="M2447" t="s">
        <v>8933</v>
      </c>
      <c r="N2447" t="s">
        <v>192</v>
      </c>
      <c r="O2447" t="s">
        <v>47</v>
      </c>
      <c r="P2447" t="s">
        <v>47</v>
      </c>
      <c r="Y2447" t="s">
        <v>8934</v>
      </c>
      <c r="AG2447" t="s">
        <v>48</v>
      </c>
    </row>
    <row r="2448" spans="1:33">
      <c r="A2448" t="s">
        <v>8935</v>
      </c>
      <c r="B2448" t="s">
        <v>8936</v>
      </c>
      <c r="D2448" t="s">
        <v>40</v>
      </c>
      <c r="E2448" t="s">
        <v>41</v>
      </c>
      <c r="J2448" t="s">
        <v>290</v>
      </c>
      <c r="K2448" t="s">
        <v>291</v>
      </c>
      <c r="L2448">
        <v>5</v>
      </c>
      <c r="M2448" t="s">
        <v>8937</v>
      </c>
      <c r="N2448" t="s">
        <v>59</v>
      </c>
      <c r="O2448" t="s">
        <v>47</v>
      </c>
      <c r="P2448" t="s">
        <v>47</v>
      </c>
      <c r="Y2448" t="s">
        <v>8938</v>
      </c>
      <c r="AG2448" t="s">
        <v>48</v>
      </c>
    </row>
    <row r="2449" spans="1:33">
      <c r="A2449" t="s">
        <v>8939</v>
      </c>
      <c r="B2449" t="s">
        <v>8940</v>
      </c>
      <c r="D2449" t="s">
        <v>40</v>
      </c>
      <c r="E2449" t="s">
        <v>41</v>
      </c>
      <c r="J2449" t="s">
        <v>290</v>
      </c>
      <c r="K2449" t="s">
        <v>291</v>
      </c>
      <c r="L2449">
        <v>5</v>
      </c>
      <c r="M2449" t="s">
        <v>8941</v>
      </c>
      <c r="N2449" t="s">
        <v>59</v>
      </c>
      <c r="O2449" t="s">
        <v>47</v>
      </c>
      <c r="P2449" t="s">
        <v>47</v>
      </c>
      <c r="Y2449" t="s">
        <v>8942</v>
      </c>
      <c r="AG2449" t="s">
        <v>48</v>
      </c>
    </row>
    <row r="2450" spans="1:33">
      <c r="A2450" t="s">
        <v>8943</v>
      </c>
      <c r="B2450" t="s">
        <v>8944</v>
      </c>
      <c r="D2450" t="s">
        <v>40</v>
      </c>
      <c r="E2450" t="s">
        <v>41</v>
      </c>
      <c r="H2450" t="s">
        <v>8945</v>
      </c>
      <c r="J2450" t="s">
        <v>129</v>
      </c>
      <c r="K2450" t="s">
        <v>130</v>
      </c>
      <c r="L2450">
        <v>5</v>
      </c>
      <c r="M2450" t="s">
        <v>8941</v>
      </c>
      <c r="N2450" t="s">
        <v>218</v>
      </c>
      <c r="O2450" t="s">
        <v>47</v>
      </c>
      <c r="P2450" t="s">
        <v>47</v>
      </c>
      <c r="Y2450" t="s">
        <v>8945</v>
      </c>
      <c r="AG2450" t="s">
        <v>48</v>
      </c>
    </row>
    <row r="2451" spans="1:33">
      <c r="A2451" t="s">
        <v>8946</v>
      </c>
      <c r="B2451" t="s">
        <v>8947</v>
      </c>
      <c r="D2451" t="s">
        <v>40</v>
      </c>
      <c r="E2451" t="s">
        <v>41</v>
      </c>
      <c r="J2451" t="s">
        <v>162</v>
      </c>
      <c r="K2451" t="s">
        <v>163</v>
      </c>
      <c r="L2451">
        <v>5</v>
      </c>
      <c r="M2451" t="s">
        <v>8941</v>
      </c>
      <c r="N2451" t="s">
        <v>59</v>
      </c>
      <c r="O2451" t="s">
        <v>47</v>
      </c>
      <c r="P2451" t="s">
        <v>47</v>
      </c>
      <c r="Y2451" t="s">
        <v>8948</v>
      </c>
      <c r="AG2451" t="s">
        <v>48</v>
      </c>
    </row>
    <row r="2452" spans="1:33">
      <c r="A2452" t="s">
        <v>8949</v>
      </c>
      <c r="B2452" t="s">
        <v>8950</v>
      </c>
      <c r="D2452" t="s">
        <v>40</v>
      </c>
      <c r="E2452" t="s">
        <v>41</v>
      </c>
      <c r="J2452" t="s">
        <v>290</v>
      </c>
      <c r="K2452" t="s">
        <v>291</v>
      </c>
      <c r="L2452">
        <v>5</v>
      </c>
      <c r="M2452" t="s">
        <v>8951</v>
      </c>
      <c r="N2452" t="s">
        <v>59</v>
      </c>
      <c r="O2452" t="s">
        <v>47</v>
      </c>
      <c r="P2452" t="s">
        <v>47</v>
      </c>
      <c r="Y2452" t="s">
        <v>8952</v>
      </c>
      <c r="AG2452" t="s">
        <v>48</v>
      </c>
    </row>
    <row r="2453" spans="1:33">
      <c r="A2453" t="s">
        <v>8953</v>
      </c>
      <c r="B2453" t="s">
        <v>8954</v>
      </c>
      <c r="D2453" t="s">
        <v>40</v>
      </c>
      <c r="E2453" t="s">
        <v>41</v>
      </c>
      <c r="J2453" t="s">
        <v>162</v>
      </c>
      <c r="K2453" t="s">
        <v>163</v>
      </c>
      <c r="L2453">
        <v>5</v>
      </c>
      <c r="M2453" t="s">
        <v>8951</v>
      </c>
      <c r="N2453" t="s">
        <v>59</v>
      </c>
      <c r="O2453" t="s">
        <v>47</v>
      </c>
      <c r="P2453" t="s">
        <v>47</v>
      </c>
      <c r="Y2453" t="s">
        <v>8955</v>
      </c>
      <c r="AG2453" t="s">
        <v>48</v>
      </c>
    </row>
    <row r="2454" spans="1:33">
      <c r="A2454" t="s">
        <v>8956</v>
      </c>
      <c r="B2454" t="s">
        <v>8957</v>
      </c>
      <c r="D2454" t="s">
        <v>40</v>
      </c>
      <c r="E2454" t="s">
        <v>41</v>
      </c>
      <c r="J2454" t="s">
        <v>290</v>
      </c>
      <c r="K2454" t="s">
        <v>291</v>
      </c>
      <c r="L2454">
        <v>5</v>
      </c>
      <c r="M2454" t="s">
        <v>8958</v>
      </c>
      <c r="N2454" t="s">
        <v>59</v>
      </c>
      <c r="O2454" t="s">
        <v>47</v>
      </c>
      <c r="P2454" t="s">
        <v>47</v>
      </c>
      <c r="Y2454" t="s">
        <v>8959</v>
      </c>
      <c r="AG2454" t="s">
        <v>48</v>
      </c>
    </row>
    <row r="2455" spans="1:33">
      <c r="A2455" t="s">
        <v>8960</v>
      </c>
      <c r="B2455" t="s">
        <v>8961</v>
      </c>
      <c r="D2455" t="s">
        <v>40</v>
      </c>
      <c r="E2455" t="s">
        <v>41</v>
      </c>
      <c r="J2455" t="s">
        <v>108</v>
      </c>
      <c r="K2455" t="s">
        <v>109</v>
      </c>
      <c r="L2455">
        <v>5</v>
      </c>
      <c r="M2455" t="s">
        <v>8958</v>
      </c>
      <c r="N2455" t="s">
        <v>59</v>
      </c>
      <c r="O2455" t="s">
        <v>47</v>
      </c>
      <c r="P2455" t="s">
        <v>47</v>
      </c>
      <c r="Y2455" t="s">
        <v>8962</v>
      </c>
      <c r="AG2455" t="s">
        <v>48</v>
      </c>
    </row>
    <row r="2456" spans="1:33">
      <c r="A2456" t="s">
        <v>8963</v>
      </c>
      <c r="B2456" t="s">
        <v>8964</v>
      </c>
      <c r="D2456" t="s">
        <v>40</v>
      </c>
      <c r="E2456" t="s">
        <v>41</v>
      </c>
      <c r="H2456" t="s">
        <v>8965</v>
      </c>
      <c r="J2456" t="s">
        <v>123</v>
      </c>
      <c r="K2456" t="s">
        <v>124</v>
      </c>
      <c r="L2456">
        <v>5</v>
      </c>
      <c r="M2456" t="s">
        <v>8966</v>
      </c>
      <c r="N2456" t="s">
        <v>218</v>
      </c>
      <c r="O2456" t="s">
        <v>47</v>
      </c>
      <c r="P2456" t="s">
        <v>47</v>
      </c>
      <c r="Y2456" t="s">
        <v>8965</v>
      </c>
      <c r="AG2456" t="s">
        <v>48</v>
      </c>
    </row>
    <row r="2457" spans="1:33">
      <c r="A2457" t="s">
        <v>8967</v>
      </c>
      <c r="B2457" t="s">
        <v>8968</v>
      </c>
      <c r="D2457" t="s">
        <v>40</v>
      </c>
      <c r="E2457" t="s">
        <v>41</v>
      </c>
      <c r="J2457" t="s">
        <v>290</v>
      </c>
      <c r="K2457" t="s">
        <v>291</v>
      </c>
      <c r="L2457">
        <v>5</v>
      </c>
      <c r="M2457" t="s">
        <v>8969</v>
      </c>
      <c r="N2457" t="s">
        <v>59</v>
      </c>
      <c r="O2457" t="s">
        <v>47</v>
      </c>
      <c r="P2457" t="s">
        <v>47</v>
      </c>
      <c r="Y2457" t="s">
        <v>8970</v>
      </c>
      <c r="AG2457" t="s">
        <v>48</v>
      </c>
    </row>
    <row r="2458" spans="1:33">
      <c r="A2458" t="s">
        <v>8971</v>
      </c>
      <c r="B2458" t="s">
        <v>8972</v>
      </c>
      <c r="D2458" t="s">
        <v>40</v>
      </c>
      <c r="E2458" t="s">
        <v>41</v>
      </c>
      <c r="J2458" t="s">
        <v>270</v>
      </c>
      <c r="K2458" t="s">
        <v>271</v>
      </c>
      <c r="L2458">
        <v>5</v>
      </c>
      <c r="M2458" t="s">
        <v>8969</v>
      </c>
      <c r="N2458" t="s">
        <v>59</v>
      </c>
      <c r="O2458" t="s">
        <v>47</v>
      </c>
      <c r="P2458" t="s">
        <v>47</v>
      </c>
      <c r="Y2458" t="s">
        <v>8973</v>
      </c>
      <c r="AG2458" t="s">
        <v>48</v>
      </c>
    </row>
    <row r="2459" spans="1:33">
      <c r="A2459" t="s">
        <v>8974</v>
      </c>
      <c r="B2459" t="s">
        <v>8975</v>
      </c>
      <c r="D2459" t="s">
        <v>40</v>
      </c>
      <c r="E2459" t="s">
        <v>41</v>
      </c>
      <c r="J2459" t="s">
        <v>108</v>
      </c>
      <c r="K2459" t="s">
        <v>109</v>
      </c>
      <c r="L2459">
        <v>5</v>
      </c>
      <c r="M2459" t="s">
        <v>8976</v>
      </c>
      <c r="N2459" t="s">
        <v>59</v>
      </c>
      <c r="O2459" t="s">
        <v>47</v>
      </c>
      <c r="P2459" t="s">
        <v>47</v>
      </c>
      <c r="Y2459" t="s">
        <v>8977</v>
      </c>
      <c r="AG2459" t="s">
        <v>48</v>
      </c>
    </row>
    <row r="2460" spans="1:33">
      <c r="A2460" t="s">
        <v>8978</v>
      </c>
      <c r="B2460" t="s">
        <v>8979</v>
      </c>
      <c r="D2460" t="s">
        <v>40</v>
      </c>
      <c r="E2460" t="s">
        <v>41</v>
      </c>
      <c r="J2460" t="s">
        <v>162</v>
      </c>
      <c r="K2460" t="s">
        <v>163</v>
      </c>
      <c r="L2460">
        <v>5</v>
      </c>
      <c r="M2460" t="s">
        <v>8980</v>
      </c>
      <c r="N2460" t="s">
        <v>59</v>
      </c>
      <c r="O2460" t="s">
        <v>47</v>
      </c>
      <c r="P2460" t="s">
        <v>47</v>
      </c>
      <c r="Y2460" t="s">
        <v>8981</v>
      </c>
      <c r="AG2460" t="s">
        <v>48</v>
      </c>
    </row>
    <row r="2461" spans="1:33">
      <c r="A2461" t="s">
        <v>8982</v>
      </c>
      <c r="B2461" t="s">
        <v>8983</v>
      </c>
      <c r="D2461" t="s">
        <v>40</v>
      </c>
      <c r="E2461" t="s">
        <v>41</v>
      </c>
      <c r="J2461" t="s">
        <v>270</v>
      </c>
      <c r="K2461" t="s">
        <v>271</v>
      </c>
      <c r="L2461">
        <v>5</v>
      </c>
      <c r="M2461" t="s">
        <v>8980</v>
      </c>
      <c r="N2461" t="s">
        <v>59</v>
      </c>
      <c r="O2461" t="s">
        <v>47</v>
      </c>
      <c r="P2461" t="s">
        <v>47</v>
      </c>
      <c r="Y2461" t="s">
        <v>8984</v>
      </c>
      <c r="AG2461" t="s">
        <v>48</v>
      </c>
    </row>
    <row r="2462" spans="1:33">
      <c r="A2462" t="s">
        <v>8985</v>
      </c>
      <c r="B2462" t="s">
        <v>8986</v>
      </c>
      <c r="D2462" t="s">
        <v>40</v>
      </c>
      <c r="E2462" t="s">
        <v>41</v>
      </c>
      <c r="J2462" t="s">
        <v>290</v>
      </c>
      <c r="K2462" t="s">
        <v>291</v>
      </c>
      <c r="L2462">
        <v>5</v>
      </c>
      <c r="M2462" t="s">
        <v>8980</v>
      </c>
      <c r="N2462" t="s">
        <v>59</v>
      </c>
      <c r="O2462" t="s">
        <v>47</v>
      </c>
      <c r="P2462" t="s">
        <v>47</v>
      </c>
      <c r="Y2462" t="s">
        <v>8987</v>
      </c>
      <c r="AG2462" t="s">
        <v>48</v>
      </c>
    </row>
    <row r="2463" spans="1:33">
      <c r="A2463" t="s">
        <v>8988</v>
      </c>
      <c r="B2463" t="s">
        <v>8989</v>
      </c>
      <c r="D2463" t="s">
        <v>40</v>
      </c>
      <c r="E2463" t="s">
        <v>41</v>
      </c>
      <c r="J2463" t="s">
        <v>290</v>
      </c>
      <c r="K2463" t="s">
        <v>291</v>
      </c>
      <c r="L2463">
        <v>5</v>
      </c>
      <c r="M2463" t="s">
        <v>8990</v>
      </c>
      <c r="N2463" t="s">
        <v>59</v>
      </c>
      <c r="O2463" t="s">
        <v>47</v>
      </c>
      <c r="P2463" t="s">
        <v>47</v>
      </c>
      <c r="Y2463" t="s">
        <v>8991</v>
      </c>
      <c r="AG2463" t="s">
        <v>48</v>
      </c>
    </row>
    <row r="2464" spans="1:33">
      <c r="A2464" t="s">
        <v>8992</v>
      </c>
      <c r="B2464" t="s">
        <v>8993</v>
      </c>
      <c r="D2464" t="s">
        <v>40</v>
      </c>
      <c r="E2464" t="s">
        <v>41</v>
      </c>
      <c r="J2464" t="s">
        <v>270</v>
      </c>
      <c r="K2464" t="s">
        <v>271</v>
      </c>
      <c r="L2464">
        <v>5</v>
      </c>
      <c r="M2464" t="s">
        <v>8994</v>
      </c>
      <c r="N2464" t="s">
        <v>59</v>
      </c>
      <c r="O2464" t="s">
        <v>47</v>
      </c>
      <c r="P2464" t="s">
        <v>47</v>
      </c>
      <c r="Y2464" t="s">
        <v>8995</v>
      </c>
      <c r="AG2464" t="s">
        <v>48</v>
      </c>
    </row>
    <row r="2465" spans="1:33">
      <c r="A2465" t="s">
        <v>8996</v>
      </c>
      <c r="B2465" t="s">
        <v>8997</v>
      </c>
      <c r="D2465" t="s">
        <v>40</v>
      </c>
      <c r="E2465" t="s">
        <v>41</v>
      </c>
      <c r="J2465" t="s">
        <v>290</v>
      </c>
      <c r="K2465" t="s">
        <v>291</v>
      </c>
      <c r="L2465">
        <v>5</v>
      </c>
      <c r="M2465" t="s">
        <v>8994</v>
      </c>
      <c r="N2465" t="s">
        <v>59</v>
      </c>
      <c r="O2465" t="s">
        <v>47</v>
      </c>
      <c r="P2465" t="s">
        <v>47</v>
      </c>
      <c r="Y2465" t="s">
        <v>8998</v>
      </c>
      <c r="AG2465" t="s">
        <v>48</v>
      </c>
    </row>
    <row r="2466" spans="1:33">
      <c r="A2466" t="s">
        <v>8999</v>
      </c>
      <c r="B2466" t="s">
        <v>9000</v>
      </c>
      <c r="D2466" t="s">
        <v>40</v>
      </c>
      <c r="E2466" t="s">
        <v>41</v>
      </c>
      <c r="H2466" t="s">
        <v>9001</v>
      </c>
      <c r="J2466" t="s">
        <v>290</v>
      </c>
      <c r="K2466" t="s">
        <v>291</v>
      </c>
      <c r="L2466">
        <v>5</v>
      </c>
      <c r="M2466" t="s">
        <v>8994</v>
      </c>
      <c r="N2466" t="s">
        <v>59</v>
      </c>
      <c r="O2466" t="s">
        <v>47</v>
      </c>
      <c r="P2466" t="s">
        <v>47</v>
      </c>
      <c r="Y2466" t="s">
        <v>9001</v>
      </c>
      <c r="AG2466" t="s">
        <v>48</v>
      </c>
    </row>
    <row r="2467" spans="1:33">
      <c r="A2467" t="s">
        <v>9002</v>
      </c>
      <c r="B2467" t="s">
        <v>9003</v>
      </c>
      <c r="D2467" t="s">
        <v>40</v>
      </c>
      <c r="E2467" t="s">
        <v>41</v>
      </c>
      <c r="J2467" t="s">
        <v>123</v>
      </c>
      <c r="K2467" t="s">
        <v>124</v>
      </c>
      <c r="L2467">
        <v>5</v>
      </c>
      <c r="M2467" t="s">
        <v>8994</v>
      </c>
      <c r="N2467" t="s">
        <v>218</v>
      </c>
      <c r="O2467" t="s">
        <v>47</v>
      </c>
      <c r="P2467" t="s">
        <v>47</v>
      </c>
      <c r="Y2467" t="s">
        <v>9004</v>
      </c>
      <c r="AG2467" t="s">
        <v>48</v>
      </c>
    </row>
    <row r="2468" spans="1:33">
      <c r="A2468" t="s">
        <v>9005</v>
      </c>
      <c r="B2468" t="s">
        <v>9006</v>
      </c>
      <c r="D2468" t="s">
        <v>40</v>
      </c>
      <c r="E2468" t="s">
        <v>41</v>
      </c>
      <c r="H2468" t="s">
        <v>9007</v>
      </c>
      <c r="J2468" t="s">
        <v>63</v>
      </c>
      <c r="K2468" t="s">
        <v>64</v>
      </c>
      <c r="L2468">
        <v>5</v>
      </c>
      <c r="M2468" t="s">
        <v>9008</v>
      </c>
      <c r="N2468" t="s">
        <v>59</v>
      </c>
      <c r="O2468" t="s">
        <v>47</v>
      </c>
      <c r="P2468" t="s">
        <v>47</v>
      </c>
      <c r="Y2468" t="s">
        <v>9007</v>
      </c>
      <c r="AG2468" t="s">
        <v>48</v>
      </c>
    </row>
    <row r="2469" spans="1:33">
      <c r="A2469" t="s">
        <v>9009</v>
      </c>
      <c r="B2469" t="s">
        <v>9010</v>
      </c>
      <c r="D2469" t="s">
        <v>40</v>
      </c>
      <c r="E2469" t="s">
        <v>41</v>
      </c>
      <c r="J2469" t="s">
        <v>108</v>
      </c>
      <c r="K2469" t="s">
        <v>109</v>
      </c>
      <c r="L2469">
        <v>5</v>
      </c>
      <c r="M2469" t="s">
        <v>9011</v>
      </c>
      <c r="N2469" t="s">
        <v>59</v>
      </c>
      <c r="O2469" t="s">
        <v>47</v>
      </c>
      <c r="P2469" t="s">
        <v>47</v>
      </c>
      <c r="Y2469" t="s">
        <v>9012</v>
      </c>
      <c r="AG2469" t="s">
        <v>48</v>
      </c>
    </row>
    <row r="2470" spans="1:33">
      <c r="A2470" t="s">
        <v>9013</v>
      </c>
      <c r="B2470" t="s">
        <v>9014</v>
      </c>
      <c r="D2470" t="s">
        <v>40</v>
      </c>
      <c r="E2470" t="s">
        <v>41</v>
      </c>
      <c r="J2470" t="s">
        <v>129</v>
      </c>
      <c r="K2470" t="s">
        <v>130</v>
      </c>
      <c r="L2470">
        <v>5</v>
      </c>
      <c r="M2470" t="s">
        <v>9015</v>
      </c>
      <c r="N2470" t="s">
        <v>218</v>
      </c>
      <c r="O2470" t="s">
        <v>47</v>
      </c>
      <c r="P2470" t="s">
        <v>47</v>
      </c>
      <c r="Y2470" t="s">
        <v>9016</v>
      </c>
      <c r="AG2470" t="s">
        <v>48</v>
      </c>
    </row>
    <row r="2471" spans="1:33">
      <c r="A2471" t="s">
        <v>9017</v>
      </c>
      <c r="B2471" t="s">
        <v>9018</v>
      </c>
      <c r="D2471" t="s">
        <v>40</v>
      </c>
      <c r="E2471" t="s">
        <v>41</v>
      </c>
      <c r="J2471" t="s">
        <v>290</v>
      </c>
      <c r="K2471" t="s">
        <v>291</v>
      </c>
      <c r="L2471">
        <v>5</v>
      </c>
      <c r="M2471" t="s">
        <v>9015</v>
      </c>
      <c r="N2471" t="s">
        <v>59</v>
      </c>
      <c r="O2471" t="s">
        <v>47</v>
      </c>
      <c r="P2471" t="s">
        <v>47</v>
      </c>
      <c r="Y2471" t="s">
        <v>9019</v>
      </c>
      <c r="AG2471" t="s">
        <v>48</v>
      </c>
    </row>
    <row r="2472" spans="1:33">
      <c r="A2472" t="s">
        <v>9020</v>
      </c>
      <c r="B2472" t="s">
        <v>9021</v>
      </c>
      <c r="D2472" t="s">
        <v>40</v>
      </c>
      <c r="E2472" t="s">
        <v>41</v>
      </c>
      <c r="J2472" t="s">
        <v>270</v>
      </c>
      <c r="K2472" t="s">
        <v>271</v>
      </c>
      <c r="L2472">
        <v>5</v>
      </c>
      <c r="M2472" t="s">
        <v>9015</v>
      </c>
      <c r="N2472" t="s">
        <v>59</v>
      </c>
      <c r="O2472" t="s">
        <v>47</v>
      </c>
      <c r="P2472" t="s">
        <v>47</v>
      </c>
      <c r="Y2472" t="s">
        <v>9022</v>
      </c>
      <c r="AG2472" t="s">
        <v>48</v>
      </c>
    </row>
    <row r="2473" spans="1:33">
      <c r="A2473" t="s">
        <v>9023</v>
      </c>
      <c r="B2473" t="s">
        <v>9024</v>
      </c>
      <c r="D2473" t="s">
        <v>40</v>
      </c>
      <c r="E2473" t="s">
        <v>41</v>
      </c>
      <c r="J2473" t="s">
        <v>108</v>
      </c>
      <c r="K2473" t="s">
        <v>109</v>
      </c>
      <c r="L2473">
        <v>5</v>
      </c>
      <c r="M2473" t="s">
        <v>9025</v>
      </c>
      <c r="N2473" t="s">
        <v>59</v>
      </c>
      <c r="O2473" t="s">
        <v>47</v>
      </c>
      <c r="P2473" t="s">
        <v>47</v>
      </c>
      <c r="Y2473" t="s">
        <v>9026</v>
      </c>
      <c r="AG2473" t="s">
        <v>48</v>
      </c>
    </row>
    <row r="2474" spans="1:33">
      <c r="A2474" t="s">
        <v>9027</v>
      </c>
      <c r="B2474" t="s">
        <v>9028</v>
      </c>
      <c r="D2474" t="s">
        <v>40</v>
      </c>
      <c r="E2474" t="s">
        <v>41</v>
      </c>
      <c r="H2474" t="s">
        <v>9029</v>
      </c>
      <c r="J2474" t="s">
        <v>290</v>
      </c>
      <c r="K2474" t="s">
        <v>291</v>
      </c>
      <c r="L2474">
        <v>5</v>
      </c>
      <c r="M2474" t="s">
        <v>9030</v>
      </c>
      <c r="N2474" t="s">
        <v>59</v>
      </c>
      <c r="O2474" t="s">
        <v>47</v>
      </c>
      <c r="P2474" t="s">
        <v>47</v>
      </c>
      <c r="Y2474" t="s">
        <v>9029</v>
      </c>
      <c r="AG2474" t="s">
        <v>48</v>
      </c>
    </row>
    <row r="2475" spans="1:33">
      <c r="A2475" t="s">
        <v>9031</v>
      </c>
      <c r="B2475" t="s">
        <v>9032</v>
      </c>
      <c r="D2475" t="s">
        <v>40</v>
      </c>
      <c r="E2475" t="s">
        <v>41</v>
      </c>
      <c r="J2475" t="s">
        <v>290</v>
      </c>
      <c r="K2475" t="s">
        <v>291</v>
      </c>
      <c r="L2475">
        <v>5</v>
      </c>
      <c r="M2475" t="s">
        <v>9030</v>
      </c>
      <c r="N2475" t="s">
        <v>59</v>
      </c>
      <c r="O2475" t="s">
        <v>47</v>
      </c>
      <c r="P2475" t="s">
        <v>47</v>
      </c>
      <c r="Y2475" t="s">
        <v>9033</v>
      </c>
      <c r="AG2475" t="s">
        <v>48</v>
      </c>
    </row>
    <row r="2476" spans="1:33">
      <c r="A2476" t="s">
        <v>9034</v>
      </c>
      <c r="B2476" t="s">
        <v>9035</v>
      </c>
      <c r="D2476" t="s">
        <v>40</v>
      </c>
      <c r="E2476" t="s">
        <v>41</v>
      </c>
      <c r="J2476" t="s">
        <v>123</v>
      </c>
      <c r="K2476" t="s">
        <v>124</v>
      </c>
      <c r="L2476">
        <v>5</v>
      </c>
      <c r="M2476" t="s">
        <v>9030</v>
      </c>
      <c r="N2476" t="s">
        <v>218</v>
      </c>
      <c r="O2476" t="s">
        <v>47</v>
      </c>
      <c r="P2476" t="s">
        <v>47</v>
      </c>
      <c r="Y2476" t="s">
        <v>9036</v>
      </c>
      <c r="AG2476" t="s">
        <v>48</v>
      </c>
    </row>
    <row r="2477" spans="1:33">
      <c r="A2477" t="s">
        <v>9037</v>
      </c>
      <c r="B2477" t="s">
        <v>9038</v>
      </c>
      <c r="D2477" t="s">
        <v>40</v>
      </c>
      <c r="E2477" t="s">
        <v>41</v>
      </c>
      <c r="J2477" t="s">
        <v>270</v>
      </c>
      <c r="K2477" t="s">
        <v>271</v>
      </c>
      <c r="L2477">
        <v>5</v>
      </c>
      <c r="M2477" t="s">
        <v>9039</v>
      </c>
      <c r="N2477" t="s">
        <v>59</v>
      </c>
      <c r="O2477" t="s">
        <v>47</v>
      </c>
      <c r="P2477" t="s">
        <v>47</v>
      </c>
      <c r="Y2477" t="s">
        <v>9040</v>
      </c>
      <c r="AG2477" t="s">
        <v>48</v>
      </c>
    </row>
    <row r="2478" spans="1:33">
      <c r="A2478" t="s">
        <v>9041</v>
      </c>
      <c r="B2478" t="s">
        <v>9042</v>
      </c>
      <c r="D2478" t="s">
        <v>40</v>
      </c>
      <c r="E2478" t="s">
        <v>41</v>
      </c>
      <c r="J2478" t="s">
        <v>290</v>
      </c>
      <c r="K2478" t="s">
        <v>291</v>
      </c>
      <c r="L2478">
        <v>5</v>
      </c>
      <c r="M2478" t="s">
        <v>9043</v>
      </c>
      <c r="N2478" t="s">
        <v>59</v>
      </c>
      <c r="O2478" t="s">
        <v>47</v>
      </c>
      <c r="P2478" t="s">
        <v>47</v>
      </c>
      <c r="Y2478" t="s">
        <v>9044</v>
      </c>
      <c r="AG2478" t="s">
        <v>48</v>
      </c>
    </row>
    <row r="2479" spans="1:33">
      <c r="A2479" t="s">
        <v>9045</v>
      </c>
      <c r="B2479" t="s">
        <v>9046</v>
      </c>
      <c r="D2479" t="s">
        <v>40</v>
      </c>
      <c r="E2479" t="s">
        <v>41</v>
      </c>
      <c r="J2479" t="s">
        <v>129</v>
      </c>
      <c r="K2479" t="s">
        <v>130</v>
      </c>
      <c r="L2479">
        <v>5</v>
      </c>
      <c r="M2479" t="s">
        <v>9043</v>
      </c>
      <c r="N2479" t="s">
        <v>218</v>
      </c>
      <c r="O2479" t="s">
        <v>47</v>
      </c>
      <c r="P2479" t="s">
        <v>47</v>
      </c>
      <c r="Y2479" t="s">
        <v>9047</v>
      </c>
      <c r="AG2479" t="s">
        <v>48</v>
      </c>
    </row>
    <row r="2480" spans="1:33">
      <c r="A2480" t="s">
        <v>9048</v>
      </c>
      <c r="B2480" t="s">
        <v>9049</v>
      </c>
      <c r="D2480" t="s">
        <v>40</v>
      </c>
      <c r="E2480" t="s">
        <v>41</v>
      </c>
      <c r="J2480" t="s">
        <v>108</v>
      </c>
      <c r="K2480" t="s">
        <v>109</v>
      </c>
      <c r="L2480">
        <v>5</v>
      </c>
      <c r="M2480" t="s">
        <v>9043</v>
      </c>
      <c r="N2480" t="s">
        <v>59</v>
      </c>
      <c r="O2480" t="s">
        <v>47</v>
      </c>
      <c r="P2480" t="s">
        <v>47</v>
      </c>
      <c r="Y2480" t="s">
        <v>9050</v>
      </c>
      <c r="AG2480" t="s">
        <v>48</v>
      </c>
    </row>
    <row r="2481" spans="1:33">
      <c r="A2481" t="s">
        <v>9051</v>
      </c>
      <c r="B2481" t="s">
        <v>9052</v>
      </c>
      <c r="D2481" t="s">
        <v>40</v>
      </c>
      <c r="E2481" t="s">
        <v>41</v>
      </c>
      <c r="J2481" t="s">
        <v>290</v>
      </c>
      <c r="K2481" t="s">
        <v>291</v>
      </c>
      <c r="L2481">
        <v>5</v>
      </c>
      <c r="M2481" t="s">
        <v>9043</v>
      </c>
      <c r="N2481" t="s">
        <v>59</v>
      </c>
      <c r="O2481" t="s">
        <v>47</v>
      </c>
      <c r="P2481" t="s">
        <v>47</v>
      </c>
      <c r="Y2481" t="s">
        <v>9053</v>
      </c>
      <c r="AG2481" t="s">
        <v>48</v>
      </c>
    </row>
    <row r="2482" spans="1:33">
      <c r="A2482" t="s">
        <v>9054</v>
      </c>
      <c r="B2482" t="s">
        <v>9055</v>
      </c>
      <c r="D2482" t="s">
        <v>40</v>
      </c>
      <c r="E2482" t="s">
        <v>41</v>
      </c>
      <c r="H2482" t="s">
        <v>9056</v>
      </c>
      <c r="J2482" t="s">
        <v>290</v>
      </c>
      <c r="K2482" t="s">
        <v>291</v>
      </c>
      <c r="L2482">
        <v>5</v>
      </c>
      <c r="M2482" t="s">
        <v>9057</v>
      </c>
      <c r="N2482" t="s">
        <v>59</v>
      </c>
      <c r="O2482" t="s">
        <v>47</v>
      </c>
      <c r="P2482" t="s">
        <v>47</v>
      </c>
      <c r="Y2482" t="s">
        <v>9056</v>
      </c>
      <c r="AG2482" t="s">
        <v>48</v>
      </c>
    </row>
    <row r="2483" spans="1:33">
      <c r="A2483" t="s">
        <v>9058</v>
      </c>
      <c r="B2483" t="s">
        <v>9059</v>
      </c>
      <c r="D2483" t="s">
        <v>40</v>
      </c>
      <c r="E2483" t="s">
        <v>41</v>
      </c>
      <c r="J2483" t="s">
        <v>129</v>
      </c>
      <c r="K2483" t="s">
        <v>130</v>
      </c>
      <c r="L2483">
        <v>5</v>
      </c>
      <c r="M2483" t="s">
        <v>9057</v>
      </c>
      <c r="N2483" t="s">
        <v>218</v>
      </c>
      <c r="O2483" t="s">
        <v>47</v>
      </c>
      <c r="P2483" t="s">
        <v>47</v>
      </c>
      <c r="Y2483" t="s">
        <v>9060</v>
      </c>
      <c r="AG2483" t="s">
        <v>48</v>
      </c>
    </row>
    <row r="2484" spans="1:33">
      <c r="A2484" t="s">
        <v>9061</v>
      </c>
      <c r="B2484" t="s">
        <v>9062</v>
      </c>
      <c r="D2484" t="s">
        <v>40</v>
      </c>
      <c r="E2484" t="s">
        <v>41</v>
      </c>
      <c r="J2484" t="s">
        <v>290</v>
      </c>
      <c r="K2484" t="s">
        <v>291</v>
      </c>
      <c r="L2484">
        <v>5</v>
      </c>
      <c r="M2484" t="s">
        <v>9063</v>
      </c>
      <c r="N2484" t="s">
        <v>59</v>
      </c>
      <c r="O2484" t="s">
        <v>47</v>
      </c>
      <c r="P2484" t="s">
        <v>47</v>
      </c>
      <c r="Y2484" t="s">
        <v>9064</v>
      </c>
      <c r="AG2484" t="s">
        <v>48</v>
      </c>
    </row>
    <row r="2485" spans="1:33">
      <c r="A2485" t="s">
        <v>9065</v>
      </c>
      <c r="B2485" t="s">
        <v>9066</v>
      </c>
      <c r="D2485" t="s">
        <v>40</v>
      </c>
      <c r="E2485" t="s">
        <v>41</v>
      </c>
      <c r="J2485" t="s">
        <v>108</v>
      </c>
      <c r="K2485" t="s">
        <v>109</v>
      </c>
      <c r="L2485">
        <v>5</v>
      </c>
      <c r="M2485" t="s">
        <v>9063</v>
      </c>
      <c r="N2485" t="s">
        <v>59</v>
      </c>
      <c r="O2485" t="s">
        <v>47</v>
      </c>
      <c r="P2485" t="s">
        <v>47</v>
      </c>
      <c r="Y2485" t="s">
        <v>9067</v>
      </c>
      <c r="AG2485" t="s">
        <v>48</v>
      </c>
    </row>
    <row r="2486" spans="1:33">
      <c r="A2486" t="s">
        <v>9068</v>
      </c>
      <c r="B2486" t="s">
        <v>9069</v>
      </c>
      <c r="D2486" t="s">
        <v>40</v>
      </c>
      <c r="E2486" t="s">
        <v>41</v>
      </c>
      <c r="H2486" t="s">
        <v>9070</v>
      </c>
      <c r="J2486" t="s">
        <v>63</v>
      </c>
      <c r="K2486" t="s">
        <v>64</v>
      </c>
      <c r="L2486">
        <v>5</v>
      </c>
      <c r="M2486" t="s">
        <v>9071</v>
      </c>
      <c r="N2486" t="s">
        <v>59</v>
      </c>
      <c r="O2486" t="s">
        <v>47</v>
      </c>
      <c r="P2486" t="s">
        <v>47</v>
      </c>
      <c r="Y2486" t="s">
        <v>9070</v>
      </c>
      <c r="AG2486" t="s">
        <v>48</v>
      </c>
    </row>
    <row r="2487" spans="1:33">
      <c r="A2487" t="s">
        <v>9072</v>
      </c>
      <c r="B2487" t="s">
        <v>9073</v>
      </c>
      <c r="D2487" t="s">
        <v>40</v>
      </c>
      <c r="E2487" t="s">
        <v>41</v>
      </c>
      <c r="J2487" t="s">
        <v>270</v>
      </c>
      <c r="K2487" t="s">
        <v>271</v>
      </c>
      <c r="L2487">
        <v>5</v>
      </c>
      <c r="M2487" t="s">
        <v>9074</v>
      </c>
      <c r="N2487" t="s">
        <v>59</v>
      </c>
      <c r="O2487" t="s">
        <v>47</v>
      </c>
      <c r="P2487" t="s">
        <v>47</v>
      </c>
      <c r="Y2487" t="s">
        <v>9075</v>
      </c>
      <c r="AG2487" t="s">
        <v>48</v>
      </c>
    </row>
    <row r="2488" spans="1:33">
      <c r="A2488" t="s">
        <v>9076</v>
      </c>
      <c r="B2488" t="s">
        <v>9077</v>
      </c>
      <c r="D2488" t="s">
        <v>40</v>
      </c>
      <c r="E2488" t="s">
        <v>41</v>
      </c>
      <c r="J2488" t="s">
        <v>290</v>
      </c>
      <c r="K2488" t="s">
        <v>291</v>
      </c>
      <c r="L2488">
        <v>5</v>
      </c>
      <c r="M2488" t="s">
        <v>9078</v>
      </c>
      <c r="N2488" t="s">
        <v>59</v>
      </c>
      <c r="O2488" t="s">
        <v>47</v>
      </c>
      <c r="P2488" t="s">
        <v>47</v>
      </c>
      <c r="Y2488" t="s">
        <v>9079</v>
      </c>
      <c r="AG2488" t="s">
        <v>48</v>
      </c>
    </row>
    <row r="2489" spans="1:33">
      <c r="A2489" t="s">
        <v>9080</v>
      </c>
      <c r="B2489" t="s">
        <v>9081</v>
      </c>
      <c r="D2489" t="s">
        <v>40</v>
      </c>
      <c r="E2489" t="s">
        <v>41</v>
      </c>
      <c r="J2489" t="s">
        <v>162</v>
      </c>
      <c r="K2489" t="s">
        <v>163</v>
      </c>
      <c r="L2489">
        <v>5</v>
      </c>
      <c r="M2489" t="s">
        <v>9078</v>
      </c>
      <c r="N2489" t="s">
        <v>59</v>
      </c>
      <c r="O2489" t="s">
        <v>47</v>
      </c>
      <c r="P2489" t="s">
        <v>47</v>
      </c>
      <c r="Y2489" t="s">
        <v>9082</v>
      </c>
      <c r="AG2489" t="s">
        <v>48</v>
      </c>
    </row>
    <row r="2490" spans="1:33">
      <c r="A2490" t="s">
        <v>9083</v>
      </c>
      <c r="B2490" t="s">
        <v>9084</v>
      </c>
      <c r="D2490" t="s">
        <v>40</v>
      </c>
      <c r="E2490" t="s">
        <v>41</v>
      </c>
      <c r="J2490" t="s">
        <v>129</v>
      </c>
      <c r="K2490" t="s">
        <v>130</v>
      </c>
      <c r="L2490">
        <v>5</v>
      </c>
      <c r="M2490" t="s">
        <v>9078</v>
      </c>
      <c r="N2490" t="s">
        <v>218</v>
      </c>
      <c r="O2490" t="s">
        <v>47</v>
      </c>
      <c r="P2490" t="s">
        <v>47</v>
      </c>
      <c r="Y2490" t="s">
        <v>9085</v>
      </c>
      <c r="AG2490" t="s">
        <v>48</v>
      </c>
    </row>
    <row r="2491" spans="1:33">
      <c r="A2491" t="s">
        <v>9086</v>
      </c>
      <c r="B2491" t="s">
        <v>9087</v>
      </c>
      <c r="D2491" t="s">
        <v>40</v>
      </c>
      <c r="E2491" t="s">
        <v>41</v>
      </c>
      <c r="J2491" t="s">
        <v>162</v>
      </c>
      <c r="K2491" t="s">
        <v>163</v>
      </c>
      <c r="L2491">
        <v>5</v>
      </c>
      <c r="M2491" t="s">
        <v>9088</v>
      </c>
      <c r="N2491" t="s">
        <v>59</v>
      </c>
      <c r="O2491" t="s">
        <v>47</v>
      </c>
      <c r="P2491" t="s">
        <v>47</v>
      </c>
      <c r="Y2491" t="s">
        <v>9089</v>
      </c>
      <c r="AG2491" t="s">
        <v>48</v>
      </c>
    </row>
    <row r="2492" spans="1:33">
      <c r="A2492" t="s">
        <v>9090</v>
      </c>
      <c r="B2492" t="s">
        <v>9091</v>
      </c>
      <c r="D2492" t="s">
        <v>40</v>
      </c>
      <c r="E2492" t="s">
        <v>41</v>
      </c>
      <c r="J2492" t="s">
        <v>270</v>
      </c>
      <c r="K2492" t="s">
        <v>271</v>
      </c>
      <c r="L2492">
        <v>5</v>
      </c>
      <c r="M2492" t="s">
        <v>9092</v>
      </c>
      <c r="N2492" t="s">
        <v>59</v>
      </c>
      <c r="O2492" t="s">
        <v>47</v>
      </c>
      <c r="P2492" t="s">
        <v>47</v>
      </c>
      <c r="Y2492" t="s">
        <v>9093</v>
      </c>
      <c r="AG2492" t="s">
        <v>48</v>
      </c>
    </row>
    <row r="2493" spans="1:33">
      <c r="A2493" t="s">
        <v>9094</v>
      </c>
      <c r="B2493" t="s">
        <v>9095</v>
      </c>
      <c r="D2493" t="s">
        <v>40</v>
      </c>
      <c r="E2493" t="s">
        <v>41</v>
      </c>
      <c r="H2493" t="s">
        <v>9096</v>
      </c>
      <c r="J2493" t="s">
        <v>108</v>
      </c>
      <c r="K2493" t="s">
        <v>109</v>
      </c>
      <c r="L2493">
        <v>5</v>
      </c>
      <c r="M2493" t="s">
        <v>9097</v>
      </c>
      <c r="N2493" t="s">
        <v>59</v>
      </c>
      <c r="O2493" t="s">
        <v>47</v>
      </c>
      <c r="P2493" t="s">
        <v>47</v>
      </c>
      <c r="Y2493" t="s">
        <v>9096</v>
      </c>
      <c r="AG2493" t="s">
        <v>48</v>
      </c>
    </row>
    <row r="2494" spans="1:33">
      <c r="A2494" t="s">
        <v>9098</v>
      </c>
      <c r="B2494" t="s">
        <v>9099</v>
      </c>
      <c r="D2494" t="s">
        <v>40</v>
      </c>
      <c r="E2494" t="s">
        <v>41</v>
      </c>
      <c r="J2494" t="s">
        <v>162</v>
      </c>
      <c r="K2494" t="s">
        <v>163</v>
      </c>
      <c r="L2494">
        <v>5</v>
      </c>
      <c r="M2494" t="s">
        <v>9097</v>
      </c>
      <c r="N2494" t="s">
        <v>59</v>
      </c>
      <c r="O2494" t="s">
        <v>47</v>
      </c>
      <c r="P2494" t="s">
        <v>47</v>
      </c>
      <c r="Y2494" t="s">
        <v>9100</v>
      </c>
      <c r="AG2494" t="s">
        <v>48</v>
      </c>
    </row>
    <row r="2495" spans="1:33">
      <c r="A2495" t="s">
        <v>9101</v>
      </c>
      <c r="B2495" t="s">
        <v>9102</v>
      </c>
      <c r="D2495" t="s">
        <v>40</v>
      </c>
      <c r="E2495" t="s">
        <v>41</v>
      </c>
      <c r="J2495" t="s">
        <v>114</v>
      </c>
      <c r="K2495" t="s">
        <v>115</v>
      </c>
      <c r="L2495">
        <v>5</v>
      </c>
      <c r="M2495" t="s">
        <v>9097</v>
      </c>
      <c r="N2495" t="s">
        <v>59</v>
      </c>
      <c r="O2495" t="s">
        <v>47</v>
      </c>
      <c r="P2495" t="s">
        <v>47</v>
      </c>
      <c r="Y2495" t="s">
        <v>9103</v>
      </c>
      <c r="AG2495" t="s">
        <v>48</v>
      </c>
    </row>
    <row r="2496" spans="1:33">
      <c r="A2496" t="s">
        <v>9104</v>
      </c>
      <c r="B2496" t="s">
        <v>9105</v>
      </c>
      <c r="D2496" t="s">
        <v>40</v>
      </c>
      <c r="E2496" t="s">
        <v>41</v>
      </c>
      <c r="J2496" t="s">
        <v>129</v>
      </c>
      <c r="K2496" t="s">
        <v>130</v>
      </c>
      <c r="L2496">
        <v>5</v>
      </c>
      <c r="M2496" t="s">
        <v>9106</v>
      </c>
      <c r="N2496" t="s">
        <v>218</v>
      </c>
      <c r="O2496" t="s">
        <v>47</v>
      </c>
      <c r="P2496" t="s">
        <v>47</v>
      </c>
      <c r="Y2496" t="s">
        <v>9107</v>
      </c>
      <c r="AG2496" t="s">
        <v>48</v>
      </c>
    </row>
    <row r="2497" spans="1:33">
      <c r="A2497" t="s">
        <v>9108</v>
      </c>
      <c r="B2497" t="s">
        <v>9109</v>
      </c>
      <c r="D2497" t="s">
        <v>40</v>
      </c>
      <c r="E2497" t="s">
        <v>41</v>
      </c>
      <c r="J2497" t="s">
        <v>270</v>
      </c>
      <c r="K2497" t="s">
        <v>271</v>
      </c>
      <c r="L2497">
        <v>5</v>
      </c>
      <c r="M2497" t="s">
        <v>9110</v>
      </c>
      <c r="N2497" t="s">
        <v>59</v>
      </c>
      <c r="O2497" t="s">
        <v>47</v>
      </c>
      <c r="P2497" t="s">
        <v>47</v>
      </c>
      <c r="Y2497" t="s">
        <v>9111</v>
      </c>
      <c r="AG2497" t="s">
        <v>48</v>
      </c>
    </row>
    <row r="2498" spans="1:33">
      <c r="A2498" t="s">
        <v>9112</v>
      </c>
      <c r="B2498" t="s">
        <v>9113</v>
      </c>
      <c r="D2498" t="s">
        <v>40</v>
      </c>
      <c r="E2498" t="s">
        <v>41</v>
      </c>
      <c r="J2498" t="s">
        <v>290</v>
      </c>
      <c r="K2498" t="s">
        <v>291</v>
      </c>
      <c r="L2498">
        <v>5</v>
      </c>
      <c r="M2498" t="s">
        <v>9114</v>
      </c>
      <c r="N2498" t="s">
        <v>59</v>
      </c>
      <c r="O2498" t="s">
        <v>47</v>
      </c>
      <c r="P2498" t="s">
        <v>47</v>
      </c>
      <c r="Y2498" t="s">
        <v>9115</v>
      </c>
      <c r="AG2498" t="s">
        <v>48</v>
      </c>
    </row>
    <row r="2499" spans="1:33">
      <c r="A2499" t="s">
        <v>9116</v>
      </c>
      <c r="B2499" t="s">
        <v>9117</v>
      </c>
      <c r="D2499" t="s">
        <v>40</v>
      </c>
      <c r="E2499" t="s">
        <v>41</v>
      </c>
      <c r="J2499" t="s">
        <v>270</v>
      </c>
      <c r="K2499" t="s">
        <v>271</v>
      </c>
      <c r="L2499">
        <v>5</v>
      </c>
      <c r="M2499" t="s">
        <v>9114</v>
      </c>
      <c r="N2499" t="s">
        <v>59</v>
      </c>
      <c r="O2499" t="s">
        <v>47</v>
      </c>
      <c r="P2499" t="s">
        <v>47</v>
      </c>
      <c r="Y2499" t="s">
        <v>9118</v>
      </c>
      <c r="AG2499" t="s">
        <v>48</v>
      </c>
    </row>
    <row r="2500" spans="1:33">
      <c r="A2500" t="s">
        <v>9119</v>
      </c>
      <c r="B2500" t="s">
        <v>9120</v>
      </c>
      <c r="D2500" t="s">
        <v>40</v>
      </c>
      <c r="E2500" t="s">
        <v>41</v>
      </c>
      <c r="J2500" t="s">
        <v>270</v>
      </c>
      <c r="K2500" t="s">
        <v>271</v>
      </c>
      <c r="L2500">
        <v>5</v>
      </c>
      <c r="M2500" t="s">
        <v>9114</v>
      </c>
      <c r="N2500" t="s">
        <v>59</v>
      </c>
      <c r="O2500" t="s">
        <v>47</v>
      </c>
      <c r="P2500" t="s">
        <v>47</v>
      </c>
      <c r="Y2500" t="s">
        <v>9121</v>
      </c>
      <c r="AG2500" t="s">
        <v>48</v>
      </c>
    </row>
    <row r="2501" spans="1:33">
      <c r="A2501" t="s">
        <v>9122</v>
      </c>
      <c r="B2501" t="s">
        <v>9123</v>
      </c>
      <c r="D2501" t="s">
        <v>40</v>
      </c>
      <c r="E2501" t="s">
        <v>41</v>
      </c>
      <c r="H2501" t="s">
        <v>9124</v>
      </c>
      <c r="J2501" t="s">
        <v>63</v>
      </c>
      <c r="K2501" t="s">
        <v>64</v>
      </c>
      <c r="L2501">
        <v>5</v>
      </c>
      <c r="M2501" t="s">
        <v>9125</v>
      </c>
      <c r="N2501" t="s">
        <v>59</v>
      </c>
      <c r="O2501" t="s">
        <v>47</v>
      </c>
      <c r="P2501" t="s">
        <v>47</v>
      </c>
      <c r="Y2501" t="s">
        <v>9124</v>
      </c>
      <c r="AG2501" t="s">
        <v>48</v>
      </c>
    </row>
    <row r="2502" spans="1:33">
      <c r="A2502" t="s">
        <v>9126</v>
      </c>
      <c r="B2502" t="s">
        <v>9127</v>
      </c>
      <c r="D2502" t="s">
        <v>40</v>
      </c>
      <c r="E2502" t="s">
        <v>41</v>
      </c>
      <c r="H2502" t="s">
        <v>9128</v>
      </c>
      <c r="J2502" t="s">
        <v>129</v>
      </c>
      <c r="K2502" t="s">
        <v>130</v>
      </c>
      <c r="L2502">
        <v>5</v>
      </c>
      <c r="M2502" t="s">
        <v>9129</v>
      </c>
      <c r="N2502" t="s">
        <v>218</v>
      </c>
      <c r="O2502" t="s">
        <v>47</v>
      </c>
      <c r="P2502" t="s">
        <v>47</v>
      </c>
      <c r="Y2502" t="s">
        <v>9128</v>
      </c>
      <c r="AG2502" t="s">
        <v>48</v>
      </c>
    </row>
    <row r="2503" spans="1:33">
      <c r="A2503" t="s">
        <v>9130</v>
      </c>
      <c r="B2503" t="s">
        <v>9131</v>
      </c>
      <c r="D2503" t="s">
        <v>40</v>
      </c>
      <c r="E2503" t="s">
        <v>41</v>
      </c>
      <c r="J2503" t="s">
        <v>162</v>
      </c>
      <c r="K2503" t="s">
        <v>163</v>
      </c>
      <c r="L2503">
        <v>5</v>
      </c>
      <c r="M2503" t="s">
        <v>9132</v>
      </c>
      <c r="N2503" t="s">
        <v>59</v>
      </c>
      <c r="O2503" t="s">
        <v>47</v>
      </c>
      <c r="P2503" t="s">
        <v>47</v>
      </c>
      <c r="Y2503" t="s">
        <v>9133</v>
      </c>
      <c r="AG2503" t="s">
        <v>48</v>
      </c>
    </row>
    <row r="2504" spans="1:33">
      <c r="A2504" t="s">
        <v>9134</v>
      </c>
      <c r="B2504" t="s">
        <v>9135</v>
      </c>
      <c r="D2504" t="s">
        <v>40</v>
      </c>
      <c r="E2504" t="s">
        <v>41</v>
      </c>
      <c r="H2504" t="s">
        <v>9136</v>
      </c>
      <c r="J2504" t="s">
        <v>43</v>
      </c>
      <c r="K2504" t="s">
        <v>44</v>
      </c>
      <c r="L2504">
        <v>5</v>
      </c>
      <c r="M2504" t="s">
        <v>9137</v>
      </c>
      <c r="N2504" t="s">
        <v>218</v>
      </c>
      <c r="O2504" t="s">
        <v>47</v>
      </c>
      <c r="P2504" t="s">
        <v>47</v>
      </c>
      <c r="Y2504" t="s">
        <v>9136</v>
      </c>
      <c r="AG2504" t="s">
        <v>48</v>
      </c>
    </row>
    <row r="2505" spans="1:33">
      <c r="A2505" t="s">
        <v>9138</v>
      </c>
      <c r="B2505" t="s">
        <v>9139</v>
      </c>
      <c r="D2505" t="s">
        <v>40</v>
      </c>
      <c r="E2505" t="s">
        <v>41</v>
      </c>
      <c r="J2505" t="s">
        <v>2439</v>
      </c>
      <c r="K2505" t="s">
        <v>2440</v>
      </c>
      <c r="L2505">
        <v>5</v>
      </c>
      <c r="M2505" t="s">
        <v>9137</v>
      </c>
      <c r="N2505" t="s">
        <v>59</v>
      </c>
      <c r="O2505" t="s">
        <v>47</v>
      </c>
      <c r="P2505" t="s">
        <v>47</v>
      </c>
      <c r="Y2505" t="s">
        <v>9140</v>
      </c>
      <c r="AG2505" t="s">
        <v>48</v>
      </c>
    </row>
    <row r="2506" spans="1:33">
      <c r="A2506" t="s">
        <v>9141</v>
      </c>
      <c r="B2506" t="s">
        <v>9142</v>
      </c>
      <c r="D2506" t="s">
        <v>40</v>
      </c>
      <c r="E2506" t="s">
        <v>41</v>
      </c>
      <c r="H2506" t="s">
        <v>9143</v>
      </c>
      <c r="J2506" t="s">
        <v>270</v>
      </c>
      <c r="K2506" t="s">
        <v>271</v>
      </c>
      <c r="L2506">
        <v>5</v>
      </c>
      <c r="M2506" t="s">
        <v>9137</v>
      </c>
      <c r="N2506" t="s">
        <v>59</v>
      </c>
      <c r="O2506" t="s">
        <v>47</v>
      </c>
      <c r="P2506" t="s">
        <v>47</v>
      </c>
      <c r="Y2506" t="s">
        <v>9143</v>
      </c>
      <c r="AG2506" t="s">
        <v>48</v>
      </c>
    </row>
    <row r="2507" spans="1:33">
      <c r="A2507" t="s">
        <v>9144</v>
      </c>
      <c r="B2507" t="s">
        <v>9145</v>
      </c>
      <c r="D2507" t="s">
        <v>40</v>
      </c>
      <c r="E2507" t="s">
        <v>41</v>
      </c>
      <c r="J2507" t="s">
        <v>108</v>
      </c>
      <c r="K2507" t="s">
        <v>109</v>
      </c>
      <c r="L2507">
        <v>5</v>
      </c>
      <c r="M2507" t="s">
        <v>9146</v>
      </c>
      <c r="N2507" t="s">
        <v>59</v>
      </c>
      <c r="O2507" t="s">
        <v>47</v>
      </c>
      <c r="P2507" t="s">
        <v>47</v>
      </c>
      <c r="Y2507" t="s">
        <v>9147</v>
      </c>
      <c r="AG2507" t="s">
        <v>48</v>
      </c>
    </row>
    <row r="2508" spans="1:33">
      <c r="A2508" t="s">
        <v>9148</v>
      </c>
      <c r="B2508" t="s">
        <v>9149</v>
      </c>
      <c r="D2508" t="s">
        <v>40</v>
      </c>
      <c r="E2508" t="s">
        <v>41</v>
      </c>
      <c r="J2508" t="s">
        <v>43</v>
      </c>
      <c r="K2508" t="s">
        <v>44</v>
      </c>
      <c r="L2508">
        <v>5</v>
      </c>
      <c r="M2508" t="s">
        <v>9150</v>
      </c>
      <c r="N2508" t="s">
        <v>218</v>
      </c>
      <c r="O2508" t="s">
        <v>47</v>
      </c>
      <c r="P2508" t="s">
        <v>47</v>
      </c>
      <c r="Y2508" t="s">
        <v>9151</v>
      </c>
      <c r="AG2508" t="s">
        <v>48</v>
      </c>
    </row>
    <row r="2509" spans="1:33">
      <c r="A2509" t="s">
        <v>9152</v>
      </c>
      <c r="B2509" t="s">
        <v>9153</v>
      </c>
      <c r="D2509" t="s">
        <v>40</v>
      </c>
      <c r="E2509" t="s">
        <v>41</v>
      </c>
      <c r="J2509" t="s">
        <v>270</v>
      </c>
      <c r="K2509" t="s">
        <v>271</v>
      </c>
      <c r="L2509">
        <v>5</v>
      </c>
      <c r="M2509" t="s">
        <v>9154</v>
      </c>
      <c r="N2509" t="s">
        <v>59</v>
      </c>
      <c r="O2509" t="s">
        <v>47</v>
      </c>
      <c r="P2509" t="s">
        <v>47</v>
      </c>
      <c r="Y2509" t="s">
        <v>9155</v>
      </c>
      <c r="AG2509" t="s">
        <v>48</v>
      </c>
    </row>
    <row r="2510" spans="1:33">
      <c r="A2510" t="s">
        <v>9156</v>
      </c>
      <c r="B2510" t="s">
        <v>9157</v>
      </c>
      <c r="D2510" t="s">
        <v>40</v>
      </c>
      <c r="E2510" t="s">
        <v>41</v>
      </c>
      <c r="H2510" t="s">
        <v>9158</v>
      </c>
      <c r="J2510" t="s">
        <v>108</v>
      </c>
      <c r="K2510" t="s">
        <v>109</v>
      </c>
      <c r="L2510">
        <v>5</v>
      </c>
      <c r="M2510" t="s">
        <v>9154</v>
      </c>
      <c r="N2510" t="s">
        <v>59</v>
      </c>
      <c r="O2510" t="s">
        <v>47</v>
      </c>
      <c r="P2510" t="s">
        <v>47</v>
      </c>
      <c r="Y2510" t="s">
        <v>9158</v>
      </c>
      <c r="AG2510" t="s">
        <v>48</v>
      </c>
    </row>
    <row r="2511" spans="1:33">
      <c r="A2511" t="s">
        <v>9159</v>
      </c>
      <c r="B2511" t="s">
        <v>9160</v>
      </c>
      <c r="D2511" t="s">
        <v>40</v>
      </c>
      <c r="E2511" t="s">
        <v>41</v>
      </c>
      <c r="J2511" t="s">
        <v>290</v>
      </c>
      <c r="K2511" t="s">
        <v>291</v>
      </c>
      <c r="L2511">
        <v>5</v>
      </c>
      <c r="M2511" t="s">
        <v>9154</v>
      </c>
      <c r="N2511" t="s">
        <v>59</v>
      </c>
      <c r="O2511" t="s">
        <v>47</v>
      </c>
      <c r="P2511" t="s">
        <v>47</v>
      </c>
      <c r="Y2511" t="s">
        <v>9161</v>
      </c>
      <c r="AG2511" t="s">
        <v>48</v>
      </c>
    </row>
    <row r="2512" spans="1:33">
      <c r="A2512" t="s">
        <v>9162</v>
      </c>
      <c r="B2512" t="s">
        <v>9163</v>
      </c>
      <c r="D2512" t="s">
        <v>40</v>
      </c>
      <c r="E2512" t="s">
        <v>41</v>
      </c>
      <c r="H2512" t="s">
        <v>9164</v>
      </c>
      <c r="J2512" t="s">
        <v>63</v>
      </c>
      <c r="K2512" t="s">
        <v>64</v>
      </c>
      <c r="L2512">
        <v>5</v>
      </c>
      <c r="M2512" t="s">
        <v>9165</v>
      </c>
      <c r="N2512" t="s">
        <v>59</v>
      </c>
      <c r="O2512" t="s">
        <v>47</v>
      </c>
      <c r="P2512" t="s">
        <v>47</v>
      </c>
      <c r="Y2512" t="s">
        <v>9164</v>
      </c>
      <c r="AG2512" t="s">
        <v>48</v>
      </c>
    </row>
    <row r="2513" spans="1:33">
      <c r="A2513" t="s">
        <v>9166</v>
      </c>
      <c r="B2513" t="s">
        <v>9167</v>
      </c>
      <c r="D2513" t="s">
        <v>40</v>
      </c>
      <c r="E2513" t="s">
        <v>41</v>
      </c>
      <c r="J2513" t="s">
        <v>290</v>
      </c>
      <c r="K2513" t="s">
        <v>291</v>
      </c>
      <c r="L2513">
        <v>5</v>
      </c>
      <c r="M2513" t="s">
        <v>9168</v>
      </c>
      <c r="N2513" t="s">
        <v>59</v>
      </c>
      <c r="O2513" t="s">
        <v>47</v>
      </c>
      <c r="P2513" t="s">
        <v>47</v>
      </c>
      <c r="Y2513" t="s">
        <v>9169</v>
      </c>
      <c r="AG2513" t="s">
        <v>48</v>
      </c>
    </row>
    <row r="2514" spans="1:33">
      <c r="A2514" t="s">
        <v>9170</v>
      </c>
      <c r="B2514" t="s">
        <v>9171</v>
      </c>
      <c r="D2514" t="s">
        <v>40</v>
      </c>
      <c r="E2514" t="s">
        <v>41</v>
      </c>
      <c r="J2514" t="s">
        <v>290</v>
      </c>
      <c r="K2514" t="s">
        <v>291</v>
      </c>
      <c r="L2514">
        <v>5</v>
      </c>
      <c r="M2514" t="s">
        <v>9172</v>
      </c>
      <c r="N2514" t="s">
        <v>59</v>
      </c>
      <c r="O2514" t="s">
        <v>47</v>
      </c>
      <c r="P2514" t="s">
        <v>47</v>
      </c>
      <c r="Y2514" t="s">
        <v>9173</v>
      </c>
      <c r="AG2514" t="s">
        <v>48</v>
      </c>
    </row>
    <row r="2515" spans="1:33">
      <c r="A2515" t="s">
        <v>9174</v>
      </c>
      <c r="B2515" t="s">
        <v>9175</v>
      </c>
      <c r="D2515" t="s">
        <v>40</v>
      </c>
      <c r="E2515" t="s">
        <v>41</v>
      </c>
      <c r="J2515" t="s">
        <v>108</v>
      </c>
      <c r="K2515" t="s">
        <v>109</v>
      </c>
      <c r="L2515">
        <v>5</v>
      </c>
      <c r="M2515" t="s">
        <v>9172</v>
      </c>
      <c r="N2515" t="s">
        <v>59</v>
      </c>
      <c r="O2515" t="s">
        <v>47</v>
      </c>
      <c r="P2515" t="s">
        <v>47</v>
      </c>
      <c r="Y2515" t="s">
        <v>9176</v>
      </c>
      <c r="AG2515" t="s">
        <v>48</v>
      </c>
    </row>
    <row r="2516" spans="1:33">
      <c r="A2516" t="s">
        <v>9177</v>
      </c>
      <c r="B2516" t="s">
        <v>9178</v>
      </c>
      <c r="D2516" t="s">
        <v>40</v>
      </c>
      <c r="E2516" t="s">
        <v>41</v>
      </c>
      <c r="J2516" t="s">
        <v>270</v>
      </c>
      <c r="K2516" t="s">
        <v>271</v>
      </c>
      <c r="L2516">
        <v>5</v>
      </c>
      <c r="M2516" t="s">
        <v>9179</v>
      </c>
      <c r="N2516" t="s">
        <v>59</v>
      </c>
      <c r="O2516" t="s">
        <v>47</v>
      </c>
      <c r="P2516" t="s">
        <v>47</v>
      </c>
      <c r="Y2516" t="s">
        <v>9180</v>
      </c>
      <c r="AG2516" t="s">
        <v>48</v>
      </c>
    </row>
    <row r="2517" spans="1:33">
      <c r="A2517" t="s">
        <v>9181</v>
      </c>
      <c r="B2517" t="s">
        <v>9182</v>
      </c>
      <c r="D2517" t="s">
        <v>40</v>
      </c>
      <c r="E2517" t="s">
        <v>41</v>
      </c>
      <c r="J2517" t="s">
        <v>114</v>
      </c>
      <c r="K2517" t="s">
        <v>115</v>
      </c>
      <c r="L2517">
        <v>5</v>
      </c>
      <c r="M2517" t="s">
        <v>9183</v>
      </c>
      <c r="N2517" t="s">
        <v>59</v>
      </c>
      <c r="O2517" t="s">
        <v>47</v>
      </c>
      <c r="P2517" t="s">
        <v>47</v>
      </c>
      <c r="Y2517" t="s">
        <v>9184</v>
      </c>
      <c r="AG2517" t="s">
        <v>48</v>
      </c>
    </row>
    <row r="2518" spans="1:33">
      <c r="A2518" t="s">
        <v>9185</v>
      </c>
      <c r="B2518" t="s">
        <v>9186</v>
      </c>
      <c r="D2518" t="s">
        <v>40</v>
      </c>
      <c r="E2518" t="s">
        <v>41</v>
      </c>
      <c r="H2518" t="s">
        <v>9187</v>
      </c>
      <c r="J2518" t="s">
        <v>290</v>
      </c>
      <c r="K2518" t="s">
        <v>291</v>
      </c>
      <c r="L2518">
        <v>5</v>
      </c>
      <c r="M2518" t="s">
        <v>9188</v>
      </c>
      <c r="N2518" t="s">
        <v>59</v>
      </c>
      <c r="O2518" t="s">
        <v>47</v>
      </c>
      <c r="P2518" t="s">
        <v>47</v>
      </c>
      <c r="Y2518" t="s">
        <v>9187</v>
      </c>
      <c r="AG2518" t="s">
        <v>48</v>
      </c>
    </row>
    <row r="2519" spans="1:33">
      <c r="A2519" t="s">
        <v>9189</v>
      </c>
      <c r="B2519" t="s">
        <v>9190</v>
      </c>
      <c r="D2519" t="s">
        <v>40</v>
      </c>
      <c r="E2519" t="s">
        <v>41</v>
      </c>
      <c r="J2519" t="s">
        <v>114</v>
      </c>
      <c r="K2519" t="s">
        <v>115</v>
      </c>
      <c r="L2519">
        <v>5</v>
      </c>
      <c r="M2519" t="s">
        <v>9188</v>
      </c>
      <c r="N2519" t="s">
        <v>59</v>
      </c>
      <c r="O2519" t="s">
        <v>47</v>
      </c>
      <c r="P2519" t="s">
        <v>47</v>
      </c>
      <c r="Y2519" t="s">
        <v>9191</v>
      </c>
      <c r="AG2519" t="s">
        <v>48</v>
      </c>
    </row>
    <row r="2520" spans="1:33">
      <c r="A2520" t="s">
        <v>9192</v>
      </c>
      <c r="B2520" t="s">
        <v>9193</v>
      </c>
      <c r="D2520" t="s">
        <v>40</v>
      </c>
      <c r="E2520" t="s">
        <v>41</v>
      </c>
      <c r="J2520" t="s">
        <v>129</v>
      </c>
      <c r="K2520" t="s">
        <v>130</v>
      </c>
      <c r="L2520">
        <v>5</v>
      </c>
      <c r="M2520" t="s">
        <v>9188</v>
      </c>
      <c r="N2520" t="s">
        <v>218</v>
      </c>
      <c r="O2520" t="s">
        <v>47</v>
      </c>
      <c r="P2520" t="s">
        <v>47</v>
      </c>
      <c r="Y2520" t="s">
        <v>9194</v>
      </c>
      <c r="AG2520" t="s">
        <v>48</v>
      </c>
    </row>
    <row r="2521" spans="1:33">
      <c r="A2521" t="s">
        <v>9195</v>
      </c>
      <c r="B2521" t="s">
        <v>9196</v>
      </c>
      <c r="D2521" t="s">
        <v>40</v>
      </c>
      <c r="E2521" t="s">
        <v>41</v>
      </c>
      <c r="H2521" t="s">
        <v>9197</v>
      </c>
      <c r="J2521" t="s">
        <v>129</v>
      </c>
      <c r="K2521" t="s">
        <v>130</v>
      </c>
      <c r="L2521">
        <v>5</v>
      </c>
      <c r="M2521" t="s">
        <v>9198</v>
      </c>
      <c r="N2521" t="s">
        <v>46</v>
      </c>
      <c r="O2521" t="s">
        <v>47</v>
      </c>
      <c r="P2521" t="s">
        <v>47</v>
      </c>
      <c r="Y2521" t="s">
        <v>9197</v>
      </c>
      <c r="AG2521" t="s">
        <v>48</v>
      </c>
    </row>
    <row r="2522" spans="1:33">
      <c r="A2522" t="s">
        <v>9199</v>
      </c>
      <c r="B2522" t="s">
        <v>9200</v>
      </c>
      <c r="D2522" t="s">
        <v>40</v>
      </c>
      <c r="E2522" t="s">
        <v>41</v>
      </c>
      <c r="J2522" t="s">
        <v>114</v>
      </c>
      <c r="K2522" t="s">
        <v>115</v>
      </c>
      <c r="L2522">
        <v>5</v>
      </c>
      <c r="M2522" t="s">
        <v>9201</v>
      </c>
      <c r="N2522" t="s">
        <v>59</v>
      </c>
      <c r="O2522" t="s">
        <v>47</v>
      </c>
      <c r="P2522" t="s">
        <v>47</v>
      </c>
      <c r="Y2522" t="s">
        <v>9202</v>
      </c>
      <c r="AG2522" t="s">
        <v>48</v>
      </c>
    </row>
    <row r="2523" spans="1:33">
      <c r="A2523" t="s">
        <v>9203</v>
      </c>
      <c r="B2523" t="s">
        <v>9204</v>
      </c>
      <c r="D2523" t="s">
        <v>40</v>
      </c>
      <c r="E2523" t="s">
        <v>41</v>
      </c>
      <c r="J2523" t="s">
        <v>290</v>
      </c>
      <c r="K2523" t="s">
        <v>291</v>
      </c>
      <c r="L2523">
        <v>5</v>
      </c>
      <c r="M2523" t="s">
        <v>9205</v>
      </c>
      <c r="N2523" t="s">
        <v>59</v>
      </c>
      <c r="O2523" t="s">
        <v>47</v>
      </c>
      <c r="P2523" t="s">
        <v>47</v>
      </c>
      <c r="Y2523" t="s">
        <v>9206</v>
      </c>
      <c r="AG2523" t="s">
        <v>48</v>
      </c>
    </row>
    <row r="2524" spans="1:33">
      <c r="A2524" t="s">
        <v>9207</v>
      </c>
      <c r="B2524" t="s">
        <v>9208</v>
      </c>
      <c r="D2524" t="s">
        <v>40</v>
      </c>
      <c r="E2524" t="s">
        <v>41</v>
      </c>
      <c r="J2524" t="s">
        <v>290</v>
      </c>
      <c r="K2524" t="s">
        <v>291</v>
      </c>
      <c r="L2524">
        <v>5</v>
      </c>
      <c r="M2524" t="s">
        <v>9209</v>
      </c>
      <c r="N2524" t="s">
        <v>59</v>
      </c>
      <c r="O2524" t="s">
        <v>47</v>
      </c>
      <c r="P2524" t="s">
        <v>47</v>
      </c>
      <c r="Y2524" t="s">
        <v>9210</v>
      </c>
      <c r="AG2524" t="s">
        <v>48</v>
      </c>
    </row>
    <row r="2525" spans="1:33">
      <c r="A2525" t="s">
        <v>9211</v>
      </c>
      <c r="B2525" t="s">
        <v>9212</v>
      </c>
      <c r="D2525" t="s">
        <v>40</v>
      </c>
      <c r="E2525" t="s">
        <v>41</v>
      </c>
      <c r="H2525" t="s">
        <v>9213</v>
      </c>
      <c r="J2525" t="s">
        <v>114</v>
      </c>
      <c r="K2525" t="s">
        <v>115</v>
      </c>
      <c r="L2525">
        <v>5</v>
      </c>
      <c r="M2525" t="s">
        <v>9209</v>
      </c>
      <c r="N2525" t="s">
        <v>59</v>
      </c>
      <c r="O2525" t="s">
        <v>47</v>
      </c>
      <c r="P2525" t="s">
        <v>47</v>
      </c>
      <c r="Y2525" t="s">
        <v>9213</v>
      </c>
      <c r="AG2525" t="s">
        <v>48</v>
      </c>
    </row>
    <row r="2526" spans="1:33">
      <c r="A2526" t="s">
        <v>9214</v>
      </c>
      <c r="B2526" t="s">
        <v>9215</v>
      </c>
      <c r="D2526" t="s">
        <v>40</v>
      </c>
      <c r="E2526" t="s">
        <v>41</v>
      </c>
      <c r="J2526" t="s">
        <v>108</v>
      </c>
      <c r="K2526" t="s">
        <v>109</v>
      </c>
      <c r="L2526">
        <v>5</v>
      </c>
      <c r="M2526" t="s">
        <v>9209</v>
      </c>
      <c r="N2526" t="s">
        <v>59</v>
      </c>
      <c r="O2526" t="s">
        <v>47</v>
      </c>
      <c r="P2526" t="s">
        <v>47</v>
      </c>
      <c r="Y2526" t="s">
        <v>9216</v>
      </c>
      <c r="AG2526" t="s">
        <v>48</v>
      </c>
    </row>
    <row r="2527" spans="1:33">
      <c r="A2527" t="s">
        <v>9217</v>
      </c>
      <c r="B2527" t="s">
        <v>9218</v>
      </c>
      <c r="D2527" t="s">
        <v>40</v>
      </c>
      <c r="E2527" t="s">
        <v>41</v>
      </c>
      <c r="H2527" t="s">
        <v>9219</v>
      </c>
      <c r="J2527" t="s">
        <v>123</v>
      </c>
      <c r="K2527" t="s">
        <v>124</v>
      </c>
      <c r="L2527">
        <v>5</v>
      </c>
      <c r="M2527" t="s">
        <v>9220</v>
      </c>
      <c r="N2527" t="s">
        <v>218</v>
      </c>
      <c r="O2527" t="s">
        <v>47</v>
      </c>
      <c r="P2527" t="s">
        <v>47</v>
      </c>
      <c r="Y2527" t="s">
        <v>9219</v>
      </c>
      <c r="AG2527" t="s">
        <v>48</v>
      </c>
    </row>
    <row r="2528" spans="1:33">
      <c r="A2528" t="s">
        <v>9221</v>
      </c>
      <c r="B2528" t="s">
        <v>9222</v>
      </c>
      <c r="D2528" t="s">
        <v>40</v>
      </c>
      <c r="E2528" t="s">
        <v>41</v>
      </c>
      <c r="J2528" t="s">
        <v>270</v>
      </c>
      <c r="K2528" t="s">
        <v>271</v>
      </c>
      <c r="L2528">
        <v>5</v>
      </c>
      <c r="M2528" t="s">
        <v>9223</v>
      </c>
      <c r="N2528" t="s">
        <v>59</v>
      </c>
      <c r="O2528" t="s">
        <v>47</v>
      </c>
      <c r="P2528" t="s">
        <v>47</v>
      </c>
      <c r="Y2528" t="s">
        <v>9224</v>
      </c>
      <c r="AG2528" t="s">
        <v>48</v>
      </c>
    </row>
    <row r="2529" spans="1:33">
      <c r="A2529" t="s">
        <v>9225</v>
      </c>
      <c r="B2529" t="s">
        <v>9226</v>
      </c>
      <c r="D2529" t="s">
        <v>40</v>
      </c>
      <c r="E2529" t="s">
        <v>41</v>
      </c>
      <c r="J2529" t="s">
        <v>270</v>
      </c>
      <c r="K2529" t="s">
        <v>271</v>
      </c>
      <c r="L2529">
        <v>5</v>
      </c>
      <c r="M2529" t="s">
        <v>9223</v>
      </c>
      <c r="N2529" t="s">
        <v>59</v>
      </c>
      <c r="O2529" t="s">
        <v>47</v>
      </c>
      <c r="P2529" t="s">
        <v>47</v>
      </c>
      <c r="Y2529" t="s">
        <v>9227</v>
      </c>
      <c r="AG2529" t="s">
        <v>48</v>
      </c>
    </row>
    <row r="2530" spans="1:33">
      <c r="A2530" t="s">
        <v>9228</v>
      </c>
      <c r="B2530" t="s">
        <v>9229</v>
      </c>
      <c r="D2530" t="s">
        <v>40</v>
      </c>
      <c r="E2530" t="s">
        <v>41</v>
      </c>
      <c r="J2530" t="s">
        <v>108</v>
      </c>
      <c r="K2530" t="s">
        <v>109</v>
      </c>
      <c r="L2530">
        <v>5</v>
      </c>
      <c r="M2530" t="s">
        <v>9230</v>
      </c>
      <c r="N2530" t="s">
        <v>59</v>
      </c>
      <c r="O2530" t="s">
        <v>47</v>
      </c>
      <c r="P2530" t="s">
        <v>47</v>
      </c>
      <c r="Y2530" t="s">
        <v>9231</v>
      </c>
      <c r="AG2530" t="s">
        <v>48</v>
      </c>
    </row>
    <row r="2531" spans="1:33">
      <c r="A2531" t="s">
        <v>9232</v>
      </c>
      <c r="B2531" t="s">
        <v>9233</v>
      </c>
      <c r="D2531" t="s">
        <v>40</v>
      </c>
      <c r="E2531" t="s">
        <v>41</v>
      </c>
      <c r="J2531" t="s">
        <v>123</v>
      </c>
      <c r="K2531" t="s">
        <v>124</v>
      </c>
      <c r="L2531">
        <v>5</v>
      </c>
      <c r="M2531" t="s">
        <v>9230</v>
      </c>
      <c r="N2531" t="s">
        <v>46</v>
      </c>
      <c r="O2531" t="s">
        <v>47</v>
      </c>
      <c r="P2531" t="s">
        <v>47</v>
      </c>
      <c r="Y2531" t="s">
        <v>9234</v>
      </c>
      <c r="AG2531" t="s">
        <v>48</v>
      </c>
    </row>
    <row r="2532" spans="1:33">
      <c r="A2532" t="s">
        <v>9235</v>
      </c>
      <c r="B2532" t="s">
        <v>9236</v>
      </c>
      <c r="D2532" t="s">
        <v>40</v>
      </c>
      <c r="E2532" t="s">
        <v>41</v>
      </c>
      <c r="H2532" t="s">
        <v>9237</v>
      </c>
      <c r="J2532" t="s">
        <v>129</v>
      </c>
      <c r="K2532" t="s">
        <v>130</v>
      </c>
      <c r="L2532">
        <v>5</v>
      </c>
      <c r="M2532" t="s">
        <v>9230</v>
      </c>
      <c r="N2532" t="s">
        <v>218</v>
      </c>
      <c r="O2532" t="s">
        <v>47</v>
      </c>
      <c r="P2532" t="s">
        <v>47</v>
      </c>
      <c r="Y2532" t="s">
        <v>9237</v>
      </c>
      <c r="AG2532" t="s">
        <v>48</v>
      </c>
    </row>
    <row r="2533" spans="1:33">
      <c r="A2533" t="s">
        <v>9238</v>
      </c>
      <c r="B2533" t="s">
        <v>9239</v>
      </c>
      <c r="D2533" t="s">
        <v>40</v>
      </c>
      <c r="E2533" t="s">
        <v>41</v>
      </c>
      <c r="J2533" t="s">
        <v>270</v>
      </c>
      <c r="K2533" t="s">
        <v>271</v>
      </c>
      <c r="L2533">
        <v>5</v>
      </c>
      <c r="M2533" t="s">
        <v>9240</v>
      </c>
      <c r="N2533" t="s">
        <v>59</v>
      </c>
      <c r="O2533" t="s">
        <v>47</v>
      </c>
      <c r="P2533" t="s">
        <v>47</v>
      </c>
      <c r="Y2533" t="s">
        <v>9241</v>
      </c>
      <c r="AG2533" t="s">
        <v>48</v>
      </c>
    </row>
    <row r="2534" spans="1:33">
      <c r="A2534" t="s">
        <v>9242</v>
      </c>
      <c r="B2534" t="s">
        <v>9243</v>
      </c>
      <c r="D2534" t="s">
        <v>40</v>
      </c>
      <c r="E2534" t="s">
        <v>41</v>
      </c>
      <c r="J2534" t="s">
        <v>290</v>
      </c>
      <c r="K2534" t="s">
        <v>291</v>
      </c>
      <c r="L2534">
        <v>5</v>
      </c>
      <c r="M2534" t="s">
        <v>9240</v>
      </c>
      <c r="N2534" t="s">
        <v>59</v>
      </c>
      <c r="O2534" t="s">
        <v>47</v>
      </c>
      <c r="P2534" t="s">
        <v>47</v>
      </c>
      <c r="Y2534" t="s">
        <v>9244</v>
      </c>
      <c r="AG2534" t="s">
        <v>48</v>
      </c>
    </row>
    <row r="2535" spans="1:33">
      <c r="A2535" t="s">
        <v>9245</v>
      </c>
      <c r="B2535" t="s">
        <v>9246</v>
      </c>
      <c r="D2535" t="s">
        <v>40</v>
      </c>
      <c r="E2535" t="s">
        <v>41</v>
      </c>
      <c r="J2535" t="s">
        <v>123</v>
      </c>
      <c r="K2535" t="s">
        <v>124</v>
      </c>
      <c r="L2535">
        <v>5</v>
      </c>
      <c r="M2535" t="s">
        <v>9247</v>
      </c>
      <c r="N2535" t="s">
        <v>218</v>
      </c>
      <c r="O2535" t="s">
        <v>47</v>
      </c>
      <c r="P2535" t="s">
        <v>47</v>
      </c>
      <c r="Y2535" t="s">
        <v>9248</v>
      </c>
      <c r="AG2535" t="s">
        <v>48</v>
      </c>
    </row>
    <row r="2536" spans="1:33">
      <c r="A2536" t="s">
        <v>9249</v>
      </c>
      <c r="B2536" t="s">
        <v>9250</v>
      </c>
      <c r="D2536" t="s">
        <v>40</v>
      </c>
      <c r="E2536" t="s">
        <v>41</v>
      </c>
      <c r="J2536" t="s">
        <v>290</v>
      </c>
      <c r="K2536" t="s">
        <v>291</v>
      </c>
      <c r="L2536">
        <v>5</v>
      </c>
      <c r="M2536" t="s">
        <v>9251</v>
      </c>
      <c r="N2536" t="s">
        <v>59</v>
      </c>
      <c r="O2536" t="s">
        <v>47</v>
      </c>
      <c r="P2536" t="s">
        <v>47</v>
      </c>
      <c r="Y2536" t="s">
        <v>9252</v>
      </c>
      <c r="AG2536" t="s">
        <v>48</v>
      </c>
    </row>
    <row r="2537" spans="1:33">
      <c r="A2537" t="s">
        <v>9253</v>
      </c>
      <c r="B2537" t="s">
        <v>9254</v>
      </c>
      <c r="D2537" t="s">
        <v>40</v>
      </c>
      <c r="E2537" t="s">
        <v>41</v>
      </c>
      <c r="J2537" t="s">
        <v>290</v>
      </c>
      <c r="K2537" t="s">
        <v>291</v>
      </c>
      <c r="L2537">
        <v>5</v>
      </c>
      <c r="M2537" t="s">
        <v>9255</v>
      </c>
      <c r="N2537" t="s">
        <v>59</v>
      </c>
      <c r="O2537" t="s">
        <v>47</v>
      </c>
      <c r="P2537" t="s">
        <v>47</v>
      </c>
      <c r="Y2537" t="s">
        <v>9256</v>
      </c>
      <c r="AG2537" t="s">
        <v>48</v>
      </c>
    </row>
    <row r="2538" spans="1:33">
      <c r="A2538" t="s">
        <v>9257</v>
      </c>
      <c r="B2538" t="s">
        <v>9258</v>
      </c>
      <c r="D2538" t="s">
        <v>40</v>
      </c>
      <c r="E2538" t="s">
        <v>41</v>
      </c>
      <c r="J2538" t="s">
        <v>290</v>
      </c>
      <c r="K2538" t="s">
        <v>291</v>
      </c>
      <c r="L2538">
        <v>5</v>
      </c>
      <c r="M2538" t="s">
        <v>9255</v>
      </c>
      <c r="N2538" t="s">
        <v>59</v>
      </c>
      <c r="O2538" t="s">
        <v>47</v>
      </c>
      <c r="P2538" t="s">
        <v>47</v>
      </c>
      <c r="Y2538" t="s">
        <v>9259</v>
      </c>
      <c r="AG2538" t="s">
        <v>48</v>
      </c>
    </row>
    <row r="2539" spans="1:33">
      <c r="A2539" t="s">
        <v>9260</v>
      </c>
      <c r="B2539" t="s">
        <v>9261</v>
      </c>
      <c r="D2539" t="s">
        <v>40</v>
      </c>
      <c r="E2539" t="s">
        <v>41</v>
      </c>
      <c r="J2539" t="s">
        <v>123</v>
      </c>
      <c r="K2539" t="s">
        <v>124</v>
      </c>
      <c r="L2539">
        <v>5</v>
      </c>
      <c r="M2539" t="s">
        <v>9255</v>
      </c>
      <c r="N2539" t="s">
        <v>218</v>
      </c>
      <c r="O2539" t="s">
        <v>47</v>
      </c>
      <c r="P2539" t="s">
        <v>47</v>
      </c>
      <c r="Y2539" t="s">
        <v>9262</v>
      </c>
      <c r="AG2539" t="s">
        <v>48</v>
      </c>
    </row>
    <row r="2540" spans="1:33">
      <c r="A2540" t="s">
        <v>9263</v>
      </c>
      <c r="B2540" t="s">
        <v>9264</v>
      </c>
      <c r="D2540" t="s">
        <v>40</v>
      </c>
      <c r="E2540" t="s">
        <v>41</v>
      </c>
      <c r="J2540" t="s">
        <v>290</v>
      </c>
      <c r="K2540" t="s">
        <v>291</v>
      </c>
      <c r="L2540">
        <v>5</v>
      </c>
      <c r="M2540" t="s">
        <v>9265</v>
      </c>
      <c r="N2540" t="s">
        <v>59</v>
      </c>
      <c r="O2540" t="s">
        <v>47</v>
      </c>
      <c r="P2540" t="s">
        <v>47</v>
      </c>
      <c r="Y2540" t="s">
        <v>9266</v>
      </c>
      <c r="AG2540" t="s">
        <v>48</v>
      </c>
    </row>
    <row r="2541" spans="1:33">
      <c r="A2541" t="s">
        <v>9267</v>
      </c>
      <c r="B2541" t="s">
        <v>9268</v>
      </c>
      <c r="D2541" t="s">
        <v>40</v>
      </c>
      <c r="E2541" t="s">
        <v>41</v>
      </c>
      <c r="J2541" t="s">
        <v>123</v>
      </c>
      <c r="K2541" t="s">
        <v>124</v>
      </c>
      <c r="L2541">
        <v>5</v>
      </c>
      <c r="M2541" t="s">
        <v>9269</v>
      </c>
      <c r="N2541" t="s">
        <v>218</v>
      </c>
      <c r="O2541" t="s">
        <v>47</v>
      </c>
      <c r="P2541" t="s">
        <v>47</v>
      </c>
      <c r="Y2541" t="s">
        <v>9270</v>
      </c>
      <c r="AG2541" t="s">
        <v>48</v>
      </c>
    </row>
    <row r="2542" spans="1:33">
      <c r="A2542" t="s">
        <v>9271</v>
      </c>
      <c r="B2542" t="s">
        <v>9272</v>
      </c>
      <c r="D2542" t="s">
        <v>40</v>
      </c>
      <c r="E2542" t="s">
        <v>41</v>
      </c>
      <c r="J2542" t="s">
        <v>114</v>
      </c>
      <c r="K2542" t="s">
        <v>115</v>
      </c>
      <c r="L2542">
        <v>5</v>
      </c>
      <c r="M2542" t="s">
        <v>9269</v>
      </c>
      <c r="N2542" t="s">
        <v>59</v>
      </c>
      <c r="O2542" t="s">
        <v>47</v>
      </c>
      <c r="P2542" t="s">
        <v>47</v>
      </c>
      <c r="Y2542" t="s">
        <v>9273</v>
      </c>
      <c r="AG2542" t="s">
        <v>48</v>
      </c>
    </row>
    <row r="2543" spans="1:33">
      <c r="A2543" t="s">
        <v>9274</v>
      </c>
      <c r="B2543" t="s">
        <v>9275</v>
      </c>
      <c r="D2543" t="s">
        <v>40</v>
      </c>
      <c r="E2543" t="s">
        <v>41</v>
      </c>
      <c r="J2543" t="s">
        <v>162</v>
      </c>
      <c r="K2543" t="s">
        <v>163</v>
      </c>
      <c r="L2543">
        <v>5</v>
      </c>
      <c r="M2543" t="s">
        <v>9276</v>
      </c>
      <c r="N2543" t="s">
        <v>59</v>
      </c>
      <c r="O2543" t="s">
        <v>47</v>
      </c>
      <c r="P2543" t="s">
        <v>47</v>
      </c>
      <c r="Y2543" t="s">
        <v>9277</v>
      </c>
      <c r="AG2543" t="s">
        <v>48</v>
      </c>
    </row>
    <row r="2544" spans="1:33">
      <c r="A2544" t="s">
        <v>9278</v>
      </c>
      <c r="B2544" t="s">
        <v>9279</v>
      </c>
      <c r="D2544" t="s">
        <v>40</v>
      </c>
      <c r="E2544" t="s">
        <v>41</v>
      </c>
      <c r="J2544" t="s">
        <v>86</v>
      </c>
      <c r="K2544" t="s">
        <v>87</v>
      </c>
      <c r="L2544">
        <v>5</v>
      </c>
      <c r="M2544" t="s">
        <v>9280</v>
      </c>
      <c r="N2544" t="s">
        <v>46</v>
      </c>
      <c r="O2544" t="s">
        <v>47</v>
      </c>
      <c r="P2544" t="s">
        <v>47</v>
      </c>
      <c r="Y2544" t="s">
        <v>9281</v>
      </c>
      <c r="AG2544" t="s">
        <v>48</v>
      </c>
    </row>
    <row r="2545" spans="1:33">
      <c r="A2545" t="s">
        <v>9282</v>
      </c>
      <c r="B2545" t="s">
        <v>9283</v>
      </c>
      <c r="D2545" t="s">
        <v>40</v>
      </c>
      <c r="E2545" t="s">
        <v>41</v>
      </c>
      <c r="J2545" t="s">
        <v>123</v>
      </c>
      <c r="K2545" t="s">
        <v>124</v>
      </c>
      <c r="L2545">
        <v>5</v>
      </c>
      <c r="M2545" t="s">
        <v>9280</v>
      </c>
      <c r="N2545" t="s">
        <v>218</v>
      </c>
      <c r="O2545" t="s">
        <v>47</v>
      </c>
      <c r="P2545" t="s">
        <v>47</v>
      </c>
      <c r="Y2545" t="s">
        <v>9284</v>
      </c>
      <c r="AG2545" t="s">
        <v>48</v>
      </c>
    </row>
    <row r="2546" spans="1:33">
      <c r="A2546" t="s">
        <v>9285</v>
      </c>
      <c r="B2546" t="s">
        <v>9286</v>
      </c>
      <c r="D2546" t="s">
        <v>40</v>
      </c>
      <c r="E2546" t="s">
        <v>41</v>
      </c>
      <c r="J2546" t="s">
        <v>108</v>
      </c>
      <c r="K2546" t="s">
        <v>109</v>
      </c>
      <c r="L2546">
        <v>5</v>
      </c>
      <c r="M2546" t="s">
        <v>9280</v>
      </c>
      <c r="N2546" t="s">
        <v>59</v>
      </c>
      <c r="O2546" t="s">
        <v>47</v>
      </c>
      <c r="P2546" t="s">
        <v>47</v>
      </c>
      <c r="Y2546" t="s">
        <v>9287</v>
      </c>
      <c r="AG2546" t="s">
        <v>48</v>
      </c>
    </row>
    <row r="2547" spans="1:33">
      <c r="A2547" t="s">
        <v>9288</v>
      </c>
      <c r="B2547" t="s">
        <v>9289</v>
      </c>
      <c r="D2547" t="s">
        <v>40</v>
      </c>
      <c r="E2547" t="s">
        <v>41</v>
      </c>
      <c r="J2547" t="s">
        <v>108</v>
      </c>
      <c r="K2547" t="s">
        <v>109</v>
      </c>
      <c r="L2547">
        <v>5</v>
      </c>
      <c r="M2547" t="s">
        <v>9290</v>
      </c>
      <c r="N2547" t="s">
        <v>59</v>
      </c>
      <c r="O2547" t="s">
        <v>47</v>
      </c>
      <c r="P2547" t="s">
        <v>47</v>
      </c>
      <c r="Y2547" t="s">
        <v>9291</v>
      </c>
      <c r="AG2547" t="s">
        <v>48</v>
      </c>
    </row>
    <row r="2548" spans="1:33">
      <c r="A2548" t="s">
        <v>9292</v>
      </c>
      <c r="B2548" t="s">
        <v>9293</v>
      </c>
      <c r="D2548" t="s">
        <v>40</v>
      </c>
      <c r="E2548" t="s">
        <v>41</v>
      </c>
      <c r="H2548" t="s">
        <v>9294</v>
      </c>
      <c r="J2548" t="s">
        <v>129</v>
      </c>
      <c r="K2548" t="s">
        <v>130</v>
      </c>
      <c r="L2548">
        <v>5</v>
      </c>
      <c r="M2548" t="s">
        <v>9290</v>
      </c>
      <c r="N2548" t="s">
        <v>218</v>
      </c>
      <c r="O2548" t="s">
        <v>47</v>
      </c>
      <c r="P2548" t="s">
        <v>47</v>
      </c>
      <c r="Y2548" t="s">
        <v>9294</v>
      </c>
      <c r="AG2548" t="s">
        <v>48</v>
      </c>
    </row>
    <row r="2549" spans="1:33">
      <c r="A2549" t="s">
        <v>9295</v>
      </c>
      <c r="B2549" t="s">
        <v>9296</v>
      </c>
      <c r="D2549" t="s">
        <v>40</v>
      </c>
      <c r="E2549" t="s">
        <v>41</v>
      </c>
      <c r="J2549" t="s">
        <v>108</v>
      </c>
      <c r="K2549" t="s">
        <v>109</v>
      </c>
      <c r="L2549">
        <v>5</v>
      </c>
      <c r="M2549" t="s">
        <v>9297</v>
      </c>
      <c r="N2549" t="s">
        <v>59</v>
      </c>
      <c r="O2549" t="s">
        <v>47</v>
      </c>
      <c r="P2549" t="s">
        <v>47</v>
      </c>
      <c r="Y2549" t="s">
        <v>9298</v>
      </c>
      <c r="AG2549" t="s">
        <v>48</v>
      </c>
    </row>
    <row r="2550" spans="1:33">
      <c r="A2550" t="s">
        <v>9299</v>
      </c>
      <c r="B2550" t="s">
        <v>9300</v>
      </c>
      <c r="D2550" t="s">
        <v>40</v>
      </c>
      <c r="E2550" t="s">
        <v>41</v>
      </c>
      <c r="J2550" t="s">
        <v>290</v>
      </c>
      <c r="K2550" t="s">
        <v>291</v>
      </c>
      <c r="L2550">
        <v>5</v>
      </c>
      <c r="M2550" t="s">
        <v>9297</v>
      </c>
      <c r="N2550" t="s">
        <v>59</v>
      </c>
      <c r="O2550" t="s">
        <v>47</v>
      </c>
      <c r="P2550" t="s">
        <v>47</v>
      </c>
      <c r="Y2550" t="s">
        <v>9301</v>
      </c>
      <c r="AG2550" t="s">
        <v>48</v>
      </c>
    </row>
    <row r="2551" spans="1:33">
      <c r="A2551" t="s">
        <v>9302</v>
      </c>
      <c r="B2551" t="s">
        <v>9303</v>
      </c>
      <c r="D2551" t="s">
        <v>40</v>
      </c>
      <c r="E2551" t="s">
        <v>41</v>
      </c>
      <c r="J2551" t="s">
        <v>108</v>
      </c>
      <c r="K2551" t="s">
        <v>109</v>
      </c>
      <c r="L2551">
        <v>5</v>
      </c>
      <c r="M2551" t="s">
        <v>9297</v>
      </c>
      <c r="N2551" t="s">
        <v>59</v>
      </c>
      <c r="O2551" t="s">
        <v>47</v>
      </c>
      <c r="P2551" t="s">
        <v>47</v>
      </c>
      <c r="Y2551" t="s">
        <v>9304</v>
      </c>
      <c r="AG2551" t="s">
        <v>48</v>
      </c>
    </row>
    <row r="2552" spans="1:33">
      <c r="A2552" t="s">
        <v>9305</v>
      </c>
      <c r="B2552" t="s">
        <v>9306</v>
      </c>
      <c r="D2552" t="s">
        <v>40</v>
      </c>
      <c r="E2552" t="s">
        <v>41</v>
      </c>
      <c r="J2552" t="s">
        <v>270</v>
      </c>
      <c r="K2552" t="s">
        <v>271</v>
      </c>
      <c r="L2552">
        <v>5</v>
      </c>
      <c r="M2552" t="s">
        <v>9297</v>
      </c>
      <c r="N2552" t="s">
        <v>59</v>
      </c>
      <c r="O2552" t="s">
        <v>47</v>
      </c>
      <c r="P2552" t="s">
        <v>47</v>
      </c>
      <c r="Y2552" t="s">
        <v>9307</v>
      </c>
      <c r="AG2552" t="s">
        <v>48</v>
      </c>
    </row>
    <row r="2553" spans="1:33">
      <c r="A2553" t="s">
        <v>9308</v>
      </c>
      <c r="B2553" t="s">
        <v>9309</v>
      </c>
      <c r="D2553" t="s">
        <v>40</v>
      </c>
      <c r="E2553" t="s">
        <v>41</v>
      </c>
      <c r="J2553" t="s">
        <v>129</v>
      </c>
      <c r="K2553" t="s">
        <v>130</v>
      </c>
      <c r="L2553">
        <v>5</v>
      </c>
      <c r="M2553" t="s">
        <v>9310</v>
      </c>
      <c r="N2553" t="s">
        <v>218</v>
      </c>
      <c r="O2553" t="s">
        <v>47</v>
      </c>
      <c r="P2553" t="s">
        <v>47</v>
      </c>
      <c r="Y2553" t="s">
        <v>9311</v>
      </c>
      <c r="AG2553" t="s">
        <v>48</v>
      </c>
    </row>
    <row r="2554" spans="1:33">
      <c r="A2554" t="s">
        <v>9312</v>
      </c>
      <c r="B2554" t="s">
        <v>9313</v>
      </c>
      <c r="D2554" t="s">
        <v>40</v>
      </c>
      <c r="E2554" t="s">
        <v>41</v>
      </c>
      <c r="J2554" t="s">
        <v>290</v>
      </c>
      <c r="K2554" t="s">
        <v>291</v>
      </c>
      <c r="L2554">
        <v>5</v>
      </c>
      <c r="M2554" t="s">
        <v>9310</v>
      </c>
      <c r="N2554" t="s">
        <v>59</v>
      </c>
      <c r="O2554" t="s">
        <v>47</v>
      </c>
      <c r="P2554" t="s">
        <v>47</v>
      </c>
      <c r="Y2554" t="s">
        <v>9314</v>
      </c>
      <c r="AG2554" t="s">
        <v>48</v>
      </c>
    </row>
    <row r="2555" spans="1:33">
      <c r="A2555" t="s">
        <v>9315</v>
      </c>
      <c r="B2555" t="s">
        <v>9316</v>
      </c>
      <c r="D2555" t="s">
        <v>40</v>
      </c>
      <c r="E2555" t="s">
        <v>41</v>
      </c>
      <c r="J2555" t="s">
        <v>108</v>
      </c>
      <c r="K2555" t="s">
        <v>109</v>
      </c>
      <c r="L2555">
        <v>5</v>
      </c>
      <c r="M2555" t="s">
        <v>9317</v>
      </c>
      <c r="N2555" t="s">
        <v>59</v>
      </c>
      <c r="O2555" t="s">
        <v>47</v>
      </c>
      <c r="P2555" t="s">
        <v>47</v>
      </c>
      <c r="Y2555" t="s">
        <v>9318</v>
      </c>
      <c r="AG2555" t="s">
        <v>48</v>
      </c>
    </row>
    <row r="2556" spans="1:33">
      <c r="A2556" t="s">
        <v>9319</v>
      </c>
      <c r="B2556" t="s">
        <v>9320</v>
      </c>
      <c r="D2556" t="s">
        <v>40</v>
      </c>
      <c r="E2556" t="s">
        <v>41</v>
      </c>
      <c r="J2556" t="s">
        <v>108</v>
      </c>
      <c r="K2556" t="s">
        <v>109</v>
      </c>
      <c r="L2556">
        <v>5</v>
      </c>
      <c r="M2556" t="s">
        <v>9321</v>
      </c>
      <c r="N2556" t="s">
        <v>59</v>
      </c>
      <c r="O2556" t="s">
        <v>47</v>
      </c>
      <c r="P2556" t="s">
        <v>47</v>
      </c>
      <c r="Y2556" t="s">
        <v>9322</v>
      </c>
      <c r="AG2556" t="s">
        <v>48</v>
      </c>
    </row>
    <row r="2557" spans="1:33">
      <c r="A2557" t="s">
        <v>9323</v>
      </c>
      <c r="B2557" t="s">
        <v>9324</v>
      </c>
      <c r="D2557" t="s">
        <v>40</v>
      </c>
      <c r="E2557" t="s">
        <v>41</v>
      </c>
      <c r="J2557" t="s">
        <v>114</v>
      </c>
      <c r="K2557" t="s">
        <v>115</v>
      </c>
      <c r="L2557">
        <v>5</v>
      </c>
      <c r="M2557" t="s">
        <v>9321</v>
      </c>
      <c r="N2557" t="s">
        <v>59</v>
      </c>
      <c r="O2557" t="s">
        <v>47</v>
      </c>
      <c r="P2557" t="s">
        <v>47</v>
      </c>
      <c r="Y2557" t="s">
        <v>9325</v>
      </c>
      <c r="AG2557" t="s">
        <v>48</v>
      </c>
    </row>
    <row r="2558" spans="1:33">
      <c r="A2558" t="s">
        <v>9326</v>
      </c>
      <c r="B2558" t="s">
        <v>9327</v>
      </c>
      <c r="D2558" t="s">
        <v>40</v>
      </c>
      <c r="E2558" t="s">
        <v>41</v>
      </c>
      <c r="H2558" t="s">
        <v>9328</v>
      </c>
      <c r="J2558" t="s">
        <v>63</v>
      </c>
      <c r="K2558" t="s">
        <v>64</v>
      </c>
      <c r="L2558">
        <v>5</v>
      </c>
      <c r="M2558" t="s">
        <v>9329</v>
      </c>
      <c r="N2558" t="s">
        <v>59</v>
      </c>
      <c r="O2558" t="s">
        <v>47</v>
      </c>
      <c r="P2558" t="s">
        <v>47</v>
      </c>
      <c r="Y2558" t="s">
        <v>9328</v>
      </c>
      <c r="AG2558" t="s">
        <v>48</v>
      </c>
    </row>
    <row r="2559" spans="1:33">
      <c r="A2559" t="s">
        <v>9330</v>
      </c>
      <c r="B2559" t="s">
        <v>9331</v>
      </c>
      <c r="D2559" t="s">
        <v>40</v>
      </c>
      <c r="E2559" t="s">
        <v>41</v>
      </c>
      <c r="H2559" t="s">
        <v>9332</v>
      </c>
      <c r="J2559" t="s">
        <v>129</v>
      </c>
      <c r="K2559" t="s">
        <v>130</v>
      </c>
      <c r="L2559">
        <v>5</v>
      </c>
      <c r="M2559" t="s">
        <v>9333</v>
      </c>
      <c r="N2559" t="s">
        <v>46</v>
      </c>
      <c r="O2559" t="s">
        <v>47</v>
      </c>
      <c r="P2559" t="s">
        <v>47</v>
      </c>
      <c r="Y2559" t="s">
        <v>9332</v>
      </c>
      <c r="AG2559" t="s">
        <v>48</v>
      </c>
    </row>
    <row r="2560" spans="1:33">
      <c r="A2560" t="s">
        <v>9334</v>
      </c>
      <c r="B2560" t="s">
        <v>9335</v>
      </c>
      <c r="D2560" t="s">
        <v>40</v>
      </c>
      <c r="E2560" t="s">
        <v>41</v>
      </c>
      <c r="J2560" t="s">
        <v>162</v>
      </c>
      <c r="K2560" t="s">
        <v>163</v>
      </c>
      <c r="L2560">
        <v>5</v>
      </c>
      <c r="M2560" t="s">
        <v>9336</v>
      </c>
      <c r="N2560" t="s">
        <v>59</v>
      </c>
      <c r="O2560" t="s">
        <v>47</v>
      </c>
      <c r="P2560" t="s">
        <v>47</v>
      </c>
      <c r="Y2560" t="s">
        <v>9337</v>
      </c>
      <c r="AG2560" t="s">
        <v>48</v>
      </c>
    </row>
    <row r="2561" spans="1:33">
      <c r="A2561" t="s">
        <v>9338</v>
      </c>
      <c r="B2561" t="s">
        <v>9339</v>
      </c>
      <c r="D2561" t="s">
        <v>40</v>
      </c>
      <c r="E2561" t="s">
        <v>41</v>
      </c>
      <c r="J2561" t="s">
        <v>108</v>
      </c>
      <c r="K2561" t="s">
        <v>109</v>
      </c>
      <c r="L2561">
        <v>5</v>
      </c>
      <c r="M2561" t="s">
        <v>9336</v>
      </c>
      <c r="N2561" t="s">
        <v>59</v>
      </c>
      <c r="O2561" t="s">
        <v>47</v>
      </c>
      <c r="P2561" t="s">
        <v>47</v>
      </c>
      <c r="Y2561" t="s">
        <v>9340</v>
      </c>
      <c r="AG2561" t="s">
        <v>48</v>
      </c>
    </row>
    <row r="2562" spans="1:33">
      <c r="A2562" t="s">
        <v>9341</v>
      </c>
      <c r="B2562" t="s">
        <v>9342</v>
      </c>
      <c r="D2562" t="s">
        <v>40</v>
      </c>
      <c r="E2562" t="s">
        <v>41</v>
      </c>
      <c r="J2562" t="s">
        <v>108</v>
      </c>
      <c r="K2562" t="s">
        <v>109</v>
      </c>
      <c r="L2562">
        <v>5</v>
      </c>
      <c r="M2562" t="s">
        <v>9336</v>
      </c>
      <c r="N2562" t="s">
        <v>59</v>
      </c>
      <c r="O2562" t="s">
        <v>47</v>
      </c>
      <c r="P2562" t="s">
        <v>47</v>
      </c>
      <c r="Y2562" t="s">
        <v>9343</v>
      </c>
      <c r="AG2562" t="s">
        <v>48</v>
      </c>
    </row>
    <row r="2563" spans="1:33">
      <c r="A2563" t="s">
        <v>9344</v>
      </c>
      <c r="B2563" t="s">
        <v>9345</v>
      </c>
      <c r="D2563" t="s">
        <v>40</v>
      </c>
      <c r="E2563" t="s">
        <v>41</v>
      </c>
      <c r="J2563" t="s">
        <v>69</v>
      </c>
      <c r="K2563" t="s">
        <v>70</v>
      </c>
      <c r="L2563">
        <v>5</v>
      </c>
      <c r="M2563" t="s">
        <v>9346</v>
      </c>
      <c r="N2563" t="s">
        <v>46</v>
      </c>
      <c r="O2563" t="s">
        <v>47</v>
      </c>
      <c r="P2563" t="s">
        <v>47</v>
      </c>
      <c r="Y2563" t="s">
        <v>9347</v>
      </c>
      <c r="AG2563" t="s">
        <v>48</v>
      </c>
    </row>
    <row r="2564" spans="1:33">
      <c r="A2564" t="s">
        <v>9348</v>
      </c>
      <c r="B2564" t="s">
        <v>9349</v>
      </c>
      <c r="D2564" t="s">
        <v>40</v>
      </c>
      <c r="E2564" t="s">
        <v>41</v>
      </c>
      <c r="J2564" t="s">
        <v>290</v>
      </c>
      <c r="K2564" t="s">
        <v>291</v>
      </c>
      <c r="L2564">
        <v>5</v>
      </c>
      <c r="M2564" t="s">
        <v>9346</v>
      </c>
      <c r="N2564" t="s">
        <v>59</v>
      </c>
      <c r="O2564" t="s">
        <v>47</v>
      </c>
      <c r="P2564" t="s">
        <v>47</v>
      </c>
      <c r="Y2564" t="s">
        <v>9350</v>
      </c>
      <c r="AG2564" t="s">
        <v>48</v>
      </c>
    </row>
    <row r="2565" spans="1:33">
      <c r="A2565" t="s">
        <v>9351</v>
      </c>
      <c r="B2565" t="s">
        <v>9352</v>
      </c>
      <c r="D2565" t="s">
        <v>40</v>
      </c>
      <c r="E2565" t="s">
        <v>41</v>
      </c>
      <c r="J2565" t="s">
        <v>162</v>
      </c>
      <c r="K2565" t="s">
        <v>163</v>
      </c>
      <c r="L2565">
        <v>5</v>
      </c>
      <c r="M2565" t="s">
        <v>9346</v>
      </c>
      <c r="N2565" t="s">
        <v>59</v>
      </c>
      <c r="O2565" t="s">
        <v>47</v>
      </c>
      <c r="P2565" t="s">
        <v>47</v>
      </c>
      <c r="Y2565" t="s">
        <v>9353</v>
      </c>
      <c r="AG2565" t="s">
        <v>48</v>
      </c>
    </row>
    <row r="2566" spans="1:33">
      <c r="A2566" t="s">
        <v>9354</v>
      </c>
      <c r="B2566" t="s">
        <v>9355</v>
      </c>
      <c r="D2566" t="s">
        <v>40</v>
      </c>
      <c r="E2566" t="s">
        <v>41</v>
      </c>
      <c r="J2566" t="s">
        <v>108</v>
      </c>
      <c r="K2566" t="s">
        <v>109</v>
      </c>
      <c r="L2566">
        <v>5</v>
      </c>
      <c r="M2566" t="s">
        <v>9356</v>
      </c>
      <c r="N2566" t="s">
        <v>59</v>
      </c>
      <c r="O2566" t="s">
        <v>47</v>
      </c>
      <c r="P2566" t="s">
        <v>47</v>
      </c>
      <c r="Y2566" t="s">
        <v>9357</v>
      </c>
      <c r="AG2566" t="s">
        <v>48</v>
      </c>
    </row>
    <row r="2567" spans="1:33">
      <c r="A2567" t="s">
        <v>9358</v>
      </c>
      <c r="B2567" t="s">
        <v>9359</v>
      </c>
      <c r="D2567" t="s">
        <v>40</v>
      </c>
      <c r="E2567" t="s">
        <v>41</v>
      </c>
      <c r="J2567" t="s">
        <v>129</v>
      </c>
      <c r="K2567" t="s">
        <v>130</v>
      </c>
      <c r="L2567">
        <v>5</v>
      </c>
      <c r="M2567" t="s">
        <v>9360</v>
      </c>
      <c r="N2567" t="s">
        <v>218</v>
      </c>
      <c r="O2567" t="s">
        <v>47</v>
      </c>
      <c r="P2567" t="s">
        <v>47</v>
      </c>
      <c r="Y2567" t="s">
        <v>9361</v>
      </c>
      <c r="AG2567" t="s">
        <v>48</v>
      </c>
    </row>
    <row r="2568" spans="1:33">
      <c r="A2568" t="s">
        <v>9362</v>
      </c>
      <c r="B2568" t="s">
        <v>9363</v>
      </c>
      <c r="D2568" t="s">
        <v>40</v>
      </c>
      <c r="E2568" t="s">
        <v>41</v>
      </c>
      <c r="H2568" t="s">
        <v>9364</v>
      </c>
      <c r="J2568" t="s">
        <v>108</v>
      </c>
      <c r="K2568" t="s">
        <v>109</v>
      </c>
      <c r="L2568">
        <v>5</v>
      </c>
      <c r="M2568" t="s">
        <v>9365</v>
      </c>
      <c r="N2568" t="s">
        <v>59</v>
      </c>
      <c r="O2568" t="s">
        <v>47</v>
      </c>
      <c r="P2568" t="s">
        <v>47</v>
      </c>
      <c r="Y2568" t="s">
        <v>9364</v>
      </c>
      <c r="AG2568" t="s">
        <v>48</v>
      </c>
    </row>
    <row r="2569" spans="1:33">
      <c r="A2569" t="s">
        <v>9366</v>
      </c>
      <c r="B2569" t="s">
        <v>9367</v>
      </c>
      <c r="D2569" t="s">
        <v>40</v>
      </c>
      <c r="E2569" t="s">
        <v>41</v>
      </c>
      <c r="H2569" t="s">
        <v>9368</v>
      </c>
      <c r="J2569" t="s">
        <v>129</v>
      </c>
      <c r="K2569" t="s">
        <v>130</v>
      </c>
      <c r="L2569">
        <v>5</v>
      </c>
      <c r="M2569" t="s">
        <v>9365</v>
      </c>
      <c r="N2569" t="s">
        <v>46</v>
      </c>
      <c r="O2569" t="s">
        <v>47</v>
      </c>
      <c r="P2569" t="s">
        <v>47</v>
      </c>
      <c r="Y2569" t="s">
        <v>9368</v>
      </c>
      <c r="AG2569" t="s">
        <v>48</v>
      </c>
    </row>
    <row r="2570" spans="1:33">
      <c r="A2570" t="s">
        <v>9369</v>
      </c>
      <c r="B2570" t="s">
        <v>9370</v>
      </c>
      <c r="D2570" t="s">
        <v>40</v>
      </c>
      <c r="E2570" t="s">
        <v>41</v>
      </c>
      <c r="J2570" t="s">
        <v>114</v>
      </c>
      <c r="K2570" t="s">
        <v>115</v>
      </c>
      <c r="L2570">
        <v>5</v>
      </c>
      <c r="M2570" t="s">
        <v>9371</v>
      </c>
      <c r="N2570" t="s">
        <v>59</v>
      </c>
      <c r="O2570" t="s">
        <v>47</v>
      </c>
      <c r="P2570" t="s">
        <v>47</v>
      </c>
      <c r="Y2570" t="s">
        <v>9372</v>
      </c>
      <c r="AG2570" t="s">
        <v>48</v>
      </c>
    </row>
    <row r="2571" spans="1:33">
      <c r="A2571" t="s">
        <v>9373</v>
      </c>
      <c r="B2571" t="s">
        <v>9374</v>
      </c>
      <c r="D2571" t="s">
        <v>40</v>
      </c>
      <c r="E2571" t="s">
        <v>41</v>
      </c>
      <c r="J2571" t="s">
        <v>162</v>
      </c>
      <c r="K2571" t="s">
        <v>163</v>
      </c>
      <c r="L2571">
        <v>5</v>
      </c>
      <c r="M2571" t="s">
        <v>9371</v>
      </c>
      <c r="N2571" t="s">
        <v>59</v>
      </c>
      <c r="O2571" t="s">
        <v>47</v>
      </c>
      <c r="P2571" t="s">
        <v>47</v>
      </c>
      <c r="Y2571" t="s">
        <v>9375</v>
      </c>
      <c r="AG2571" t="s">
        <v>48</v>
      </c>
    </row>
    <row r="2572" spans="1:33">
      <c r="A2572" t="s">
        <v>9376</v>
      </c>
      <c r="B2572" t="s">
        <v>9377</v>
      </c>
      <c r="D2572" t="s">
        <v>40</v>
      </c>
      <c r="E2572" t="s">
        <v>41</v>
      </c>
      <c r="J2572" t="s">
        <v>108</v>
      </c>
      <c r="K2572" t="s">
        <v>109</v>
      </c>
      <c r="L2572">
        <v>5</v>
      </c>
      <c r="M2572" t="s">
        <v>9371</v>
      </c>
      <c r="N2572" t="s">
        <v>59</v>
      </c>
      <c r="O2572" t="s">
        <v>47</v>
      </c>
      <c r="P2572" t="s">
        <v>47</v>
      </c>
      <c r="Y2572" t="s">
        <v>9378</v>
      </c>
      <c r="AG2572" t="s">
        <v>48</v>
      </c>
    </row>
    <row r="2573" spans="1:33">
      <c r="A2573" t="s">
        <v>9379</v>
      </c>
      <c r="B2573" t="s">
        <v>9380</v>
      </c>
      <c r="D2573" t="s">
        <v>40</v>
      </c>
      <c r="E2573" t="s">
        <v>41</v>
      </c>
      <c r="H2573" t="s">
        <v>9381</v>
      </c>
      <c r="J2573" t="s">
        <v>63</v>
      </c>
      <c r="K2573" t="s">
        <v>64</v>
      </c>
      <c r="L2573">
        <v>6</v>
      </c>
      <c r="M2573" t="s">
        <v>9382</v>
      </c>
      <c r="N2573" t="s">
        <v>59</v>
      </c>
      <c r="O2573" t="s">
        <v>47</v>
      </c>
      <c r="P2573" t="s">
        <v>47</v>
      </c>
      <c r="Y2573" t="s">
        <v>9381</v>
      </c>
      <c r="AG2573" t="s">
        <v>48</v>
      </c>
    </row>
    <row r="2574" spans="1:33">
      <c r="A2574" t="s">
        <v>9383</v>
      </c>
      <c r="B2574" t="s">
        <v>9384</v>
      </c>
      <c r="D2574" t="s">
        <v>40</v>
      </c>
      <c r="E2574" t="s">
        <v>41</v>
      </c>
      <c r="J2574" t="s">
        <v>290</v>
      </c>
      <c r="K2574" t="s">
        <v>291</v>
      </c>
      <c r="L2574">
        <v>5</v>
      </c>
      <c r="M2574" t="s">
        <v>9385</v>
      </c>
      <c r="N2574" t="s">
        <v>59</v>
      </c>
      <c r="O2574" t="s">
        <v>47</v>
      </c>
      <c r="P2574" t="s">
        <v>47</v>
      </c>
      <c r="Y2574" t="s">
        <v>9386</v>
      </c>
      <c r="AG2574" t="s">
        <v>48</v>
      </c>
    </row>
    <row r="2575" spans="1:33">
      <c r="A2575" t="s">
        <v>9387</v>
      </c>
      <c r="B2575" t="s">
        <v>9388</v>
      </c>
      <c r="D2575" t="s">
        <v>40</v>
      </c>
      <c r="E2575" t="s">
        <v>41</v>
      </c>
      <c r="J2575" t="s">
        <v>108</v>
      </c>
      <c r="K2575" t="s">
        <v>109</v>
      </c>
      <c r="L2575">
        <v>5</v>
      </c>
      <c r="M2575" t="s">
        <v>9385</v>
      </c>
      <c r="N2575" t="s">
        <v>59</v>
      </c>
      <c r="O2575" t="s">
        <v>47</v>
      </c>
      <c r="P2575" t="s">
        <v>47</v>
      </c>
      <c r="Y2575" t="s">
        <v>9389</v>
      </c>
      <c r="AG2575" t="s">
        <v>48</v>
      </c>
    </row>
    <row r="2576" spans="1:33">
      <c r="A2576" t="s">
        <v>9390</v>
      </c>
      <c r="B2576" t="s">
        <v>9391</v>
      </c>
      <c r="D2576" t="s">
        <v>40</v>
      </c>
      <c r="E2576" t="s">
        <v>41</v>
      </c>
      <c r="H2576" t="s">
        <v>9392</v>
      </c>
      <c r="J2576" t="s">
        <v>129</v>
      </c>
      <c r="K2576" t="s">
        <v>130</v>
      </c>
      <c r="L2576">
        <v>5</v>
      </c>
      <c r="M2576" t="s">
        <v>9385</v>
      </c>
      <c r="N2576" t="s">
        <v>46</v>
      </c>
      <c r="O2576" t="s">
        <v>47</v>
      </c>
      <c r="P2576" t="s">
        <v>47</v>
      </c>
      <c r="Y2576" t="s">
        <v>9392</v>
      </c>
      <c r="AG2576" t="s">
        <v>48</v>
      </c>
    </row>
    <row r="2577" spans="1:33">
      <c r="A2577" t="s">
        <v>117</v>
      </c>
      <c r="B2577" t="s">
        <v>9393</v>
      </c>
      <c r="D2577" t="s">
        <v>40</v>
      </c>
      <c r="E2577" t="s">
        <v>41</v>
      </c>
      <c r="J2577" t="s">
        <v>270</v>
      </c>
      <c r="K2577" t="s">
        <v>271</v>
      </c>
      <c r="L2577">
        <v>5</v>
      </c>
      <c r="M2577" t="s">
        <v>9394</v>
      </c>
      <c r="N2577" t="s">
        <v>59</v>
      </c>
      <c r="O2577" t="s">
        <v>47</v>
      </c>
      <c r="P2577" t="s">
        <v>47</v>
      </c>
      <c r="Y2577" t="s">
        <v>9395</v>
      </c>
      <c r="AG2577" t="s">
        <v>48</v>
      </c>
    </row>
    <row r="2578" spans="1:33">
      <c r="A2578" t="s">
        <v>9396</v>
      </c>
      <c r="B2578" t="s">
        <v>9397</v>
      </c>
      <c r="D2578" t="s">
        <v>40</v>
      </c>
      <c r="E2578" t="s">
        <v>41</v>
      </c>
      <c r="J2578" t="s">
        <v>270</v>
      </c>
      <c r="K2578" t="s">
        <v>271</v>
      </c>
      <c r="L2578">
        <v>5</v>
      </c>
      <c r="M2578" t="s">
        <v>9394</v>
      </c>
      <c r="N2578" t="s">
        <v>59</v>
      </c>
      <c r="O2578" t="s">
        <v>47</v>
      </c>
      <c r="P2578" t="s">
        <v>47</v>
      </c>
      <c r="Y2578" t="s">
        <v>9398</v>
      </c>
      <c r="AG2578" t="s">
        <v>48</v>
      </c>
    </row>
    <row r="2579" spans="1:33">
      <c r="A2579" t="s">
        <v>9399</v>
      </c>
      <c r="B2579" t="s">
        <v>9400</v>
      </c>
      <c r="D2579" t="s">
        <v>40</v>
      </c>
      <c r="E2579" t="s">
        <v>41</v>
      </c>
      <c r="J2579" t="s">
        <v>290</v>
      </c>
      <c r="K2579" t="s">
        <v>291</v>
      </c>
      <c r="L2579">
        <v>5</v>
      </c>
      <c r="M2579" t="s">
        <v>9401</v>
      </c>
      <c r="N2579" t="s">
        <v>59</v>
      </c>
      <c r="O2579" t="s">
        <v>47</v>
      </c>
      <c r="P2579" t="s">
        <v>47</v>
      </c>
      <c r="Y2579" t="s">
        <v>9402</v>
      </c>
      <c r="AG2579" t="s">
        <v>48</v>
      </c>
    </row>
    <row r="2580" spans="1:33">
      <c r="A2580" t="s">
        <v>9403</v>
      </c>
      <c r="B2580" t="s">
        <v>9404</v>
      </c>
      <c r="D2580" t="s">
        <v>40</v>
      </c>
      <c r="E2580" t="s">
        <v>41</v>
      </c>
      <c r="H2580" t="s">
        <v>9405</v>
      </c>
      <c r="J2580" t="s">
        <v>162</v>
      </c>
      <c r="K2580" t="s">
        <v>163</v>
      </c>
      <c r="L2580">
        <v>5</v>
      </c>
      <c r="M2580" t="s">
        <v>9401</v>
      </c>
      <c r="N2580" t="s">
        <v>59</v>
      </c>
      <c r="O2580" t="s">
        <v>47</v>
      </c>
      <c r="P2580" t="s">
        <v>47</v>
      </c>
      <c r="Y2580" t="s">
        <v>9405</v>
      </c>
      <c r="AG2580" t="s">
        <v>48</v>
      </c>
    </row>
    <row r="2581" spans="1:33">
      <c r="A2581" t="s">
        <v>9406</v>
      </c>
      <c r="B2581" t="s">
        <v>9407</v>
      </c>
      <c r="D2581" t="s">
        <v>40</v>
      </c>
      <c r="E2581" t="s">
        <v>41</v>
      </c>
      <c r="H2581" t="s">
        <v>9408</v>
      </c>
      <c r="J2581" t="s">
        <v>290</v>
      </c>
      <c r="K2581" t="s">
        <v>291</v>
      </c>
      <c r="L2581">
        <v>5</v>
      </c>
      <c r="M2581" t="s">
        <v>9401</v>
      </c>
      <c r="N2581" t="s">
        <v>59</v>
      </c>
      <c r="O2581" t="s">
        <v>47</v>
      </c>
      <c r="P2581" t="s">
        <v>47</v>
      </c>
      <c r="Y2581" t="s">
        <v>9408</v>
      </c>
      <c r="AG2581" t="s">
        <v>48</v>
      </c>
    </row>
    <row r="2582" spans="1:33">
      <c r="A2582" t="s">
        <v>9409</v>
      </c>
      <c r="B2582" t="s">
        <v>9410</v>
      </c>
      <c r="D2582" t="s">
        <v>40</v>
      </c>
      <c r="E2582" t="s">
        <v>41</v>
      </c>
      <c r="H2582" t="s">
        <v>9411</v>
      </c>
      <c r="J2582" t="s">
        <v>129</v>
      </c>
      <c r="K2582" t="s">
        <v>130</v>
      </c>
      <c r="L2582">
        <v>5</v>
      </c>
      <c r="M2582" t="s">
        <v>9401</v>
      </c>
      <c r="N2582" t="s">
        <v>46</v>
      </c>
      <c r="O2582" t="s">
        <v>47</v>
      </c>
      <c r="P2582" t="s">
        <v>47</v>
      </c>
      <c r="Y2582" t="s">
        <v>9411</v>
      </c>
      <c r="AG2582" t="s">
        <v>48</v>
      </c>
    </row>
    <row r="2583" spans="1:33">
      <c r="A2583" t="s">
        <v>9412</v>
      </c>
      <c r="B2583" t="s">
        <v>9413</v>
      </c>
      <c r="D2583" t="s">
        <v>40</v>
      </c>
      <c r="E2583" t="s">
        <v>41</v>
      </c>
      <c r="J2583" t="s">
        <v>290</v>
      </c>
      <c r="K2583" t="s">
        <v>291</v>
      </c>
      <c r="L2583">
        <v>5</v>
      </c>
      <c r="M2583" t="s">
        <v>9414</v>
      </c>
      <c r="N2583" t="s">
        <v>59</v>
      </c>
      <c r="O2583" t="s">
        <v>47</v>
      </c>
      <c r="P2583" t="s">
        <v>47</v>
      </c>
      <c r="Y2583" t="s">
        <v>9415</v>
      </c>
      <c r="AG2583" t="s">
        <v>48</v>
      </c>
    </row>
    <row r="2584" spans="1:33">
      <c r="A2584" t="s">
        <v>9416</v>
      </c>
      <c r="B2584" t="s">
        <v>9417</v>
      </c>
      <c r="D2584" t="s">
        <v>40</v>
      </c>
      <c r="E2584" t="s">
        <v>41</v>
      </c>
      <c r="J2584" t="s">
        <v>129</v>
      </c>
      <c r="K2584" t="s">
        <v>130</v>
      </c>
      <c r="L2584">
        <v>5</v>
      </c>
      <c r="M2584" t="s">
        <v>9414</v>
      </c>
      <c r="N2584" t="s">
        <v>218</v>
      </c>
      <c r="O2584" t="s">
        <v>47</v>
      </c>
      <c r="P2584" t="s">
        <v>47</v>
      </c>
      <c r="Y2584" t="s">
        <v>9418</v>
      </c>
      <c r="AG2584" t="s">
        <v>48</v>
      </c>
    </row>
    <row r="2585" spans="1:33">
      <c r="A2585" t="s">
        <v>9419</v>
      </c>
      <c r="B2585" t="s">
        <v>9420</v>
      </c>
      <c r="D2585" t="s">
        <v>40</v>
      </c>
      <c r="E2585" t="s">
        <v>41</v>
      </c>
      <c r="J2585" t="s">
        <v>290</v>
      </c>
      <c r="K2585" t="s">
        <v>291</v>
      </c>
      <c r="L2585">
        <v>5</v>
      </c>
      <c r="M2585" t="s">
        <v>9421</v>
      </c>
      <c r="N2585" t="s">
        <v>59</v>
      </c>
      <c r="O2585" t="s">
        <v>47</v>
      </c>
      <c r="P2585" t="s">
        <v>47</v>
      </c>
      <c r="Y2585" t="s">
        <v>9422</v>
      </c>
      <c r="AG2585" t="s">
        <v>48</v>
      </c>
    </row>
    <row r="2586" spans="1:33">
      <c r="A2586" t="s">
        <v>9423</v>
      </c>
      <c r="B2586" t="s">
        <v>9424</v>
      </c>
      <c r="D2586" t="s">
        <v>40</v>
      </c>
      <c r="E2586" t="s">
        <v>41</v>
      </c>
      <c r="J2586" t="s">
        <v>114</v>
      </c>
      <c r="K2586" t="s">
        <v>115</v>
      </c>
      <c r="L2586">
        <v>5</v>
      </c>
      <c r="M2586" t="s">
        <v>9425</v>
      </c>
      <c r="N2586" t="s">
        <v>59</v>
      </c>
      <c r="O2586" t="s">
        <v>47</v>
      </c>
      <c r="P2586" t="s">
        <v>47</v>
      </c>
      <c r="Y2586" t="s">
        <v>9426</v>
      </c>
      <c r="AG2586" t="s">
        <v>48</v>
      </c>
    </row>
    <row r="2587" spans="1:33">
      <c r="A2587" t="s">
        <v>9427</v>
      </c>
      <c r="B2587" t="s">
        <v>9428</v>
      </c>
      <c r="D2587" t="s">
        <v>40</v>
      </c>
      <c r="E2587" t="s">
        <v>41</v>
      </c>
      <c r="J2587" t="s">
        <v>270</v>
      </c>
      <c r="K2587" t="s">
        <v>271</v>
      </c>
      <c r="L2587">
        <v>5</v>
      </c>
      <c r="M2587" t="s">
        <v>9425</v>
      </c>
      <c r="N2587" t="s">
        <v>59</v>
      </c>
      <c r="O2587" t="s">
        <v>47</v>
      </c>
      <c r="P2587" t="s">
        <v>47</v>
      </c>
      <c r="Y2587" t="s">
        <v>9429</v>
      </c>
      <c r="AG2587" t="s">
        <v>48</v>
      </c>
    </row>
    <row r="2588" spans="1:33">
      <c r="A2588" t="s">
        <v>9430</v>
      </c>
      <c r="B2588" t="s">
        <v>9431</v>
      </c>
      <c r="D2588" t="s">
        <v>40</v>
      </c>
      <c r="E2588" t="s">
        <v>41</v>
      </c>
      <c r="J2588" t="s">
        <v>108</v>
      </c>
      <c r="K2588" t="s">
        <v>109</v>
      </c>
      <c r="L2588">
        <v>5</v>
      </c>
      <c r="M2588" t="s">
        <v>9425</v>
      </c>
      <c r="N2588" t="s">
        <v>59</v>
      </c>
      <c r="O2588" t="s">
        <v>47</v>
      </c>
      <c r="P2588" t="s">
        <v>47</v>
      </c>
      <c r="Y2588" t="s">
        <v>9432</v>
      </c>
      <c r="AG2588" t="s">
        <v>48</v>
      </c>
    </row>
    <row r="2589" spans="1:33">
      <c r="A2589" t="s">
        <v>9433</v>
      </c>
      <c r="B2589" t="s">
        <v>9434</v>
      </c>
      <c r="D2589" t="s">
        <v>40</v>
      </c>
      <c r="E2589" t="s">
        <v>41</v>
      </c>
      <c r="H2589" t="s">
        <v>9435</v>
      </c>
      <c r="J2589" t="s">
        <v>270</v>
      </c>
      <c r="K2589" t="s">
        <v>271</v>
      </c>
      <c r="L2589">
        <v>5</v>
      </c>
      <c r="M2589" t="s">
        <v>9436</v>
      </c>
      <c r="N2589" t="s">
        <v>59</v>
      </c>
      <c r="O2589" t="s">
        <v>47</v>
      </c>
      <c r="P2589" t="s">
        <v>47</v>
      </c>
      <c r="Y2589" t="s">
        <v>9435</v>
      </c>
      <c r="AG2589" t="s">
        <v>48</v>
      </c>
    </row>
    <row r="2590" spans="1:33">
      <c r="A2590" t="s">
        <v>9437</v>
      </c>
      <c r="B2590" t="s">
        <v>9438</v>
      </c>
      <c r="D2590" t="s">
        <v>40</v>
      </c>
      <c r="E2590" t="s">
        <v>41</v>
      </c>
      <c r="H2590" t="s">
        <v>9439</v>
      </c>
      <c r="J2590" t="s">
        <v>290</v>
      </c>
      <c r="K2590" t="s">
        <v>291</v>
      </c>
      <c r="L2590">
        <v>5</v>
      </c>
      <c r="M2590" t="s">
        <v>9440</v>
      </c>
      <c r="N2590" t="s">
        <v>59</v>
      </c>
      <c r="O2590" t="s">
        <v>47</v>
      </c>
      <c r="P2590" t="s">
        <v>47</v>
      </c>
      <c r="Y2590" t="s">
        <v>9439</v>
      </c>
      <c r="AG2590" t="s">
        <v>48</v>
      </c>
    </row>
    <row r="2591" spans="1:33">
      <c r="A2591" t="s">
        <v>9441</v>
      </c>
      <c r="B2591" t="s">
        <v>9442</v>
      </c>
      <c r="D2591" t="s">
        <v>40</v>
      </c>
      <c r="E2591" t="s">
        <v>41</v>
      </c>
      <c r="J2591" t="s">
        <v>129</v>
      </c>
      <c r="K2591" t="s">
        <v>130</v>
      </c>
      <c r="L2591">
        <v>5</v>
      </c>
      <c r="M2591" t="s">
        <v>9443</v>
      </c>
      <c r="N2591" t="s">
        <v>46</v>
      </c>
      <c r="O2591" t="s">
        <v>47</v>
      </c>
      <c r="P2591" t="s">
        <v>47</v>
      </c>
      <c r="Y2591" t="s">
        <v>9444</v>
      </c>
      <c r="AG2591" t="s">
        <v>48</v>
      </c>
    </row>
    <row r="2592" spans="1:33">
      <c r="A2592" t="s">
        <v>9445</v>
      </c>
      <c r="B2592" t="s">
        <v>9446</v>
      </c>
      <c r="D2592" t="s">
        <v>40</v>
      </c>
      <c r="E2592" t="s">
        <v>41</v>
      </c>
      <c r="J2592" t="s">
        <v>108</v>
      </c>
      <c r="K2592" t="s">
        <v>109</v>
      </c>
      <c r="L2592">
        <v>5</v>
      </c>
      <c r="M2592" t="s">
        <v>9447</v>
      </c>
      <c r="N2592" t="s">
        <v>59</v>
      </c>
      <c r="O2592" t="s">
        <v>47</v>
      </c>
      <c r="P2592" t="s">
        <v>47</v>
      </c>
      <c r="Y2592" t="s">
        <v>9448</v>
      </c>
      <c r="AG2592" t="s">
        <v>48</v>
      </c>
    </row>
    <row r="2593" spans="1:33">
      <c r="A2593" t="s">
        <v>9449</v>
      </c>
      <c r="B2593" t="s">
        <v>9450</v>
      </c>
      <c r="D2593" t="s">
        <v>40</v>
      </c>
      <c r="E2593" t="s">
        <v>41</v>
      </c>
      <c r="J2593" t="s">
        <v>290</v>
      </c>
      <c r="K2593" t="s">
        <v>291</v>
      </c>
      <c r="L2593">
        <v>5</v>
      </c>
      <c r="M2593" t="s">
        <v>9447</v>
      </c>
      <c r="N2593" t="s">
        <v>59</v>
      </c>
      <c r="O2593" t="s">
        <v>47</v>
      </c>
      <c r="P2593" t="s">
        <v>47</v>
      </c>
      <c r="Y2593" t="s">
        <v>9451</v>
      </c>
      <c r="AG2593" t="s">
        <v>48</v>
      </c>
    </row>
    <row r="2594" spans="1:33">
      <c r="A2594" t="s">
        <v>9452</v>
      </c>
      <c r="B2594" t="s">
        <v>9453</v>
      </c>
      <c r="D2594" t="s">
        <v>40</v>
      </c>
      <c r="E2594" t="s">
        <v>41</v>
      </c>
      <c r="J2594" t="s">
        <v>108</v>
      </c>
      <c r="K2594" t="s">
        <v>109</v>
      </c>
      <c r="L2594">
        <v>5</v>
      </c>
      <c r="M2594" t="s">
        <v>9454</v>
      </c>
      <c r="N2594" t="s">
        <v>59</v>
      </c>
      <c r="O2594" t="s">
        <v>47</v>
      </c>
      <c r="P2594" t="s">
        <v>47</v>
      </c>
      <c r="Y2594" t="s">
        <v>9455</v>
      </c>
      <c r="AG2594" t="s">
        <v>48</v>
      </c>
    </row>
    <row r="2595" spans="1:33">
      <c r="A2595" t="s">
        <v>9456</v>
      </c>
      <c r="B2595" t="s">
        <v>9457</v>
      </c>
      <c r="D2595" t="s">
        <v>40</v>
      </c>
      <c r="E2595" t="s">
        <v>41</v>
      </c>
      <c r="J2595" t="s">
        <v>290</v>
      </c>
      <c r="K2595" t="s">
        <v>291</v>
      </c>
      <c r="L2595">
        <v>5</v>
      </c>
      <c r="M2595" t="s">
        <v>9458</v>
      </c>
      <c r="N2595" t="s">
        <v>59</v>
      </c>
      <c r="O2595" t="s">
        <v>47</v>
      </c>
      <c r="P2595" t="s">
        <v>47</v>
      </c>
      <c r="Y2595" t="s">
        <v>9459</v>
      </c>
      <c r="AG2595" t="s">
        <v>48</v>
      </c>
    </row>
    <row r="2596" spans="1:33">
      <c r="A2596" t="s">
        <v>9460</v>
      </c>
      <c r="B2596" t="s">
        <v>9461</v>
      </c>
      <c r="D2596" t="s">
        <v>40</v>
      </c>
      <c r="E2596" t="s">
        <v>41</v>
      </c>
      <c r="J2596" t="s">
        <v>290</v>
      </c>
      <c r="K2596" t="s">
        <v>291</v>
      </c>
      <c r="L2596">
        <v>5</v>
      </c>
      <c r="M2596" t="s">
        <v>9458</v>
      </c>
      <c r="N2596" t="s">
        <v>59</v>
      </c>
      <c r="O2596" t="s">
        <v>47</v>
      </c>
      <c r="P2596" t="s">
        <v>47</v>
      </c>
      <c r="Y2596" t="s">
        <v>9462</v>
      </c>
      <c r="AG2596" t="s">
        <v>48</v>
      </c>
    </row>
    <row r="2597" spans="1:33">
      <c r="A2597" t="s">
        <v>117</v>
      </c>
      <c r="B2597" t="s">
        <v>9463</v>
      </c>
      <c r="D2597" t="s">
        <v>40</v>
      </c>
      <c r="E2597" t="s">
        <v>41</v>
      </c>
      <c r="J2597" t="s">
        <v>312</v>
      </c>
      <c r="K2597" t="s">
        <v>313</v>
      </c>
      <c r="L2597">
        <v>5</v>
      </c>
      <c r="M2597" t="s">
        <v>9458</v>
      </c>
      <c r="N2597" t="s">
        <v>46</v>
      </c>
      <c r="O2597" t="s">
        <v>47</v>
      </c>
      <c r="P2597" t="s">
        <v>47</v>
      </c>
      <c r="Y2597" t="s">
        <v>9464</v>
      </c>
      <c r="AG2597" t="s">
        <v>48</v>
      </c>
    </row>
    <row r="2598" spans="1:33">
      <c r="A2598" t="s">
        <v>9465</v>
      </c>
      <c r="B2598" t="s">
        <v>9466</v>
      </c>
      <c r="D2598" t="s">
        <v>40</v>
      </c>
      <c r="E2598" t="s">
        <v>41</v>
      </c>
      <c r="J2598" t="s">
        <v>129</v>
      </c>
      <c r="K2598" t="s">
        <v>130</v>
      </c>
      <c r="L2598">
        <v>5</v>
      </c>
      <c r="M2598" t="s">
        <v>9458</v>
      </c>
      <c r="N2598" t="s">
        <v>218</v>
      </c>
      <c r="O2598" t="s">
        <v>47</v>
      </c>
      <c r="P2598" t="s">
        <v>47</v>
      </c>
      <c r="Y2598" t="s">
        <v>9467</v>
      </c>
      <c r="AG2598" t="s">
        <v>48</v>
      </c>
    </row>
    <row r="2599" spans="1:33">
      <c r="A2599" t="s">
        <v>9468</v>
      </c>
      <c r="B2599" t="s">
        <v>9469</v>
      </c>
      <c r="D2599" t="s">
        <v>40</v>
      </c>
      <c r="E2599" t="s">
        <v>41</v>
      </c>
      <c r="J2599" t="s">
        <v>290</v>
      </c>
      <c r="K2599" t="s">
        <v>291</v>
      </c>
      <c r="L2599">
        <v>5</v>
      </c>
      <c r="M2599" t="s">
        <v>9470</v>
      </c>
      <c r="N2599" t="s">
        <v>59</v>
      </c>
      <c r="O2599" t="s">
        <v>47</v>
      </c>
      <c r="P2599" t="s">
        <v>47</v>
      </c>
      <c r="Y2599" t="s">
        <v>9471</v>
      </c>
      <c r="AG2599" t="s">
        <v>48</v>
      </c>
    </row>
    <row r="2600" spans="1:33">
      <c r="A2600" t="s">
        <v>9472</v>
      </c>
      <c r="B2600" t="s">
        <v>9473</v>
      </c>
      <c r="D2600" t="s">
        <v>40</v>
      </c>
      <c r="E2600" t="s">
        <v>41</v>
      </c>
      <c r="J2600" t="s">
        <v>108</v>
      </c>
      <c r="K2600" t="s">
        <v>109</v>
      </c>
      <c r="L2600">
        <v>5</v>
      </c>
      <c r="M2600" t="s">
        <v>9470</v>
      </c>
      <c r="N2600" t="s">
        <v>59</v>
      </c>
      <c r="O2600" t="s">
        <v>47</v>
      </c>
      <c r="P2600" t="s">
        <v>47</v>
      </c>
      <c r="Y2600" t="s">
        <v>9474</v>
      </c>
      <c r="AG2600" t="s">
        <v>48</v>
      </c>
    </row>
    <row r="2601" spans="1:33">
      <c r="A2601" t="s">
        <v>9475</v>
      </c>
      <c r="B2601" t="s">
        <v>9476</v>
      </c>
      <c r="D2601" t="s">
        <v>40</v>
      </c>
      <c r="E2601" t="s">
        <v>41</v>
      </c>
      <c r="J2601" t="s">
        <v>108</v>
      </c>
      <c r="K2601" t="s">
        <v>109</v>
      </c>
      <c r="L2601">
        <v>5</v>
      </c>
      <c r="M2601" t="s">
        <v>9477</v>
      </c>
      <c r="N2601" t="s">
        <v>59</v>
      </c>
      <c r="O2601" t="s">
        <v>47</v>
      </c>
      <c r="P2601" t="s">
        <v>47</v>
      </c>
      <c r="Y2601" t="s">
        <v>9478</v>
      </c>
      <c r="AG2601" t="s">
        <v>48</v>
      </c>
    </row>
    <row r="2602" spans="1:33">
      <c r="A2602" t="s">
        <v>9479</v>
      </c>
      <c r="B2602" t="s">
        <v>9480</v>
      </c>
      <c r="D2602" t="s">
        <v>40</v>
      </c>
      <c r="E2602" t="s">
        <v>41</v>
      </c>
      <c r="J2602" t="s">
        <v>270</v>
      </c>
      <c r="K2602" t="s">
        <v>271</v>
      </c>
      <c r="L2602">
        <v>5</v>
      </c>
      <c r="M2602" t="s">
        <v>9481</v>
      </c>
      <c r="N2602" t="s">
        <v>59</v>
      </c>
      <c r="O2602" t="s">
        <v>47</v>
      </c>
      <c r="P2602" t="s">
        <v>47</v>
      </c>
      <c r="Y2602" t="s">
        <v>9482</v>
      </c>
      <c r="AG2602" t="s">
        <v>48</v>
      </c>
    </row>
    <row r="2603" spans="1:33">
      <c r="A2603" t="s">
        <v>9483</v>
      </c>
      <c r="B2603" t="s">
        <v>9484</v>
      </c>
      <c r="D2603" t="s">
        <v>40</v>
      </c>
      <c r="E2603" t="s">
        <v>41</v>
      </c>
      <c r="J2603" t="s">
        <v>290</v>
      </c>
      <c r="K2603" t="s">
        <v>291</v>
      </c>
      <c r="L2603">
        <v>5</v>
      </c>
      <c r="M2603" t="s">
        <v>9485</v>
      </c>
      <c r="N2603" t="s">
        <v>59</v>
      </c>
      <c r="O2603" t="s">
        <v>47</v>
      </c>
      <c r="P2603" t="s">
        <v>47</v>
      </c>
      <c r="Y2603" t="s">
        <v>9486</v>
      </c>
      <c r="AG2603" t="s">
        <v>48</v>
      </c>
    </row>
    <row r="2604" spans="1:33">
      <c r="A2604" t="s">
        <v>9487</v>
      </c>
      <c r="B2604" t="s">
        <v>9488</v>
      </c>
      <c r="D2604" t="s">
        <v>40</v>
      </c>
      <c r="E2604" t="s">
        <v>41</v>
      </c>
      <c r="J2604" t="s">
        <v>108</v>
      </c>
      <c r="K2604" t="s">
        <v>109</v>
      </c>
      <c r="L2604">
        <v>5</v>
      </c>
      <c r="M2604" t="s">
        <v>9489</v>
      </c>
      <c r="N2604" t="s">
        <v>59</v>
      </c>
      <c r="O2604" t="s">
        <v>47</v>
      </c>
      <c r="P2604" t="s">
        <v>47</v>
      </c>
      <c r="Y2604" t="s">
        <v>9490</v>
      </c>
      <c r="AG2604" t="s">
        <v>48</v>
      </c>
    </row>
    <row r="2605" spans="1:33">
      <c r="A2605" t="s">
        <v>9491</v>
      </c>
      <c r="B2605" t="s">
        <v>9492</v>
      </c>
      <c r="D2605" t="s">
        <v>40</v>
      </c>
      <c r="E2605" t="s">
        <v>41</v>
      </c>
      <c r="J2605" t="s">
        <v>290</v>
      </c>
      <c r="K2605" t="s">
        <v>291</v>
      </c>
      <c r="L2605">
        <v>5</v>
      </c>
      <c r="M2605" t="s">
        <v>9489</v>
      </c>
      <c r="N2605" t="s">
        <v>59</v>
      </c>
      <c r="O2605" t="s">
        <v>47</v>
      </c>
      <c r="P2605" t="s">
        <v>47</v>
      </c>
      <c r="Y2605" t="s">
        <v>9493</v>
      </c>
      <c r="AG2605" t="s">
        <v>48</v>
      </c>
    </row>
    <row r="2606" spans="1:33">
      <c r="A2606" t="s">
        <v>9494</v>
      </c>
      <c r="B2606" t="s">
        <v>9495</v>
      </c>
      <c r="D2606" t="s">
        <v>40</v>
      </c>
      <c r="E2606" t="s">
        <v>41</v>
      </c>
      <c r="J2606" t="s">
        <v>114</v>
      </c>
      <c r="K2606" t="s">
        <v>115</v>
      </c>
      <c r="L2606">
        <v>5</v>
      </c>
      <c r="M2606" t="s">
        <v>9496</v>
      </c>
      <c r="N2606" t="s">
        <v>59</v>
      </c>
      <c r="O2606" t="s">
        <v>47</v>
      </c>
      <c r="P2606" t="s">
        <v>47</v>
      </c>
      <c r="Y2606" t="s">
        <v>9497</v>
      </c>
      <c r="AG2606" t="s">
        <v>48</v>
      </c>
    </row>
    <row r="2607" spans="1:33">
      <c r="A2607" t="s">
        <v>9498</v>
      </c>
      <c r="B2607" t="s">
        <v>9499</v>
      </c>
      <c r="D2607" t="s">
        <v>40</v>
      </c>
      <c r="E2607" t="s">
        <v>41</v>
      </c>
      <c r="J2607" t="s">
        <v>162</v>
      </c>
      <c r="K2607" t="s">
        <v>163</v>
      </c>
      <c r="L2607">
        <v>5</v>
      </c>
      <c r="M2607" t="s">
        <v>9496</v>
      </c>
      <c r="N2607" t="s">
        <v>59</v>
      </c>
      <c r="O2607" t="s">
        <v>47</v>
      </c>
      <c r="P2607" t="s">
        <v>47</v>
      </c>
      <c r="Y2607" t="s">
        <v>9500</v>
      </c>
      <c r="AG2607" t="s">
        <v>48</v>
      </c>
    </row>
    <row r="2608" spans="1:33">
      <c r="A2608" t="s">
        <v>9501</v>
      </c>
      <c r="B2608" t="s">
        <v>9502</v>
      </c>
      <c r="D2608" t="s">
        <v>40</v>
      </c>
      <c r="E2608" t="s">
        <v>41</v>
      </c>
      <c r="J2608" t="s">
        <v>129</v>
      </c>
      <c r="K2608" t="s">
        <v>130</v>
      </c>
      <c r="L2608">
        <v>5</v>
      </c>
      <c r="M2608" t="s">
        <v>9503</v>
      </c>
      <c r="N2608" t="s">
        <v>218</v>
      </c>
      <c r="O2608" t="s">
        <v>47</v>
      </c>
      <c r="P2608" t="s">
        <v>47</v>
      </c>
      <c r="Y2608" t="s">
        <v>9504</v>
      </c>
      <c r="AG2608" t="s">
        <v>48</v>
      </c>
    </row>
    <row r="2609" spans="1:33">
      <c r="A2609" t="s">
        <v>9505</v>
      </c>
      <c r="B2609" t="s">
        <v>9506</v>
      </c>
      <c r="D2609" t="s">
        <v>40</v>
      </c>
      <c r="E2609" t="s">
        <v>41</v>
      </c>
      <c r="J2609" t="s">
        <v>270</v>
      </c>
      <c r="K2609" t="s">
        <v>271</v>
      </c>
      <c r="L2609">
        <v>5</v>
      </c>
      <c r="M2609" t="s">
        <v>9503</v>
      </c>
      <c r="N2609" t="s">
        <v>59</v>
      </c>
      <c r="O2609" t="s">
        <v>47</v>
      </c>
      <c r="P2609" t="s">
        <v>47</v>
      </c>
      <c r="Y2609" t="s">
        <v>9507</v>
      </c>
      <c r="AG2609" t="s">
        <v>48</v>
      </c>
    </row>
    <row r="2610" spans="1:33">
      <c r="A2610" t="s">
        <v>9508</v>
      </c>
      <c r="B2610" t="s">
        <v>9509</v>
      </c>
      <c r="D2610" t="s">
        <v>40</v>
      </c>
      <c r="E2610" t="s">
        <v>41</v>
      </c>
      <c r="J2610" t="s">
        <v>162</v>
      </c>
      <c r="K2610" t="s">
        <v>163</v>
      </c>
      <c r="L2610">
        <v>5</v>
      </c>
      <c r="M2610" t="s">
        <v>9510</v>
      </c>
      <c r="N2610" t="s">
        <v>59</v>
      </c>
      <c r="O2610" t="s">
        <v>47</v>
      </c>
      <c r="P2610" t="s">
        <v>47</v>
      </c>
      <c r="Y2610" t="s">
        <v>9511</v>
      </c>
      <c r="AG2610" t="s">
        <v>48</v>
      </c>
    </row>
    <row r="2611" spans="1:33">
      <c r="A2611" t="s">
        <v>9512</v>
      </c>
      <c r="B2611" t="s">
        <v>9513</v>
      </c>
      <c r="D2611" t="s">
        <v>40</v>
      </c>
      <c r="E2611" t="s">
        <v>41</v>
      </c>
      <c r="J2611" t="s">
        <v>312</v>
      </c>
      <c r="K2611" t="s">
        <v>313</v>
      </c>
      <c r="L2611">
        <v>5</v>
      </c>
      <c r="M2611" t="s">
        <v>9514</v>
      </c>
      <c r="N2611" t="s">
        <v>46</v>
      </c>
      <c r="O2611" t="s">
        <v>47</v>
      </c>
      <c r="P2611" t="s">
        <v>47</v>
      </c>
      <c r="Y2611" t="s">
        <v>9515</v>
      </c>
      <c r="AG2611" t="s">
        <v>48</v>
      </c>
    </row>
    <row r="2612" spans="1:33">
      <c r="A2612" t="s">
        <v>9516</v>
      </c>
      <c r="B2612" t="s">
        <v>9517</v>
      </c>
      <c r="D2612" t="s">
        <v>40</v>
      </c>
      <c r="E2612" t="s">
        <v>41</v>
      </c>
      <c r="H2612" t="s">
        <v>9518</v>
      </c>
      <c r="J2612" t="s">
        <v>63</v>
      </c>
      <c r="K2612" t="s">
        <v>64</v>
      </c>
      <c r="L2612">
        <v>5</v>
      </c>
      <c r="M2612" t="s">
        <v>9519</v>
      </c>
      <c r="N2612" t="s">
        <v>59</v>
      </c>
      <c r="O2612" t="s">
        <v>47</v>
      </c>
      <c r="P2612" t="s">
        <v>47</v>
      </c>
      <c r="Y2612" t="s">
        <v>9518</v>
      </c>
      <c r="AG2612" t="s">
        <v>48</v>
      </c>
    </row>
    <row r="2613" spans="1:33">
      <c r="A2613" t="s">
        <v>9520</v>
      </c>
      <c r="B2613" t="s">
        <v>9521</v>
      </c>
      <c r="D2613" t="s">
        <v>40</v>
      </c>
      <c r="E2613" t="s">
        <v>41</v>
      </c>
      <c r="J2613" t="s">
        <v>162</v>
      </c>
      <c r="K2613" t="s">
        <v>163</v>
      </c>
      <c r="L2613">
        <v>5</v>
      </c>
      <c r="M2613" t="s">
        <v>9522</v>
      </c>
      <c r="N2613" t="s">
        <v>59</v>
      </c>
      <c r="O2613" t="s">
        <v>47</v>
      </c>
      <c r="P2613" t="s">
        <v>47</v>
      </c>
      <c r="Y2613" t="s">
        <v>9523</v>
      </c>
      <c r="AG2613" t="s">
        <v>48</v>
      </c>
    </row>
    <row r="2614" spans="1:33">
      <c r="A2614" t="s">
        <v>9524</v>
      </c>
      <c r="B2614" t="s">
        <v>9525</v>
      </c>
      <c r="D2614" t="s">
        <v>40</v>
      </c>
      <c r="E2614" t="s">
        <v>41</v>
      </c>
      <c r="J2614" t="s">
        <v>290</v>
      </c>
      <c r="K2614" t="s">
        <v>291</v>
      </c>
      <c r="L2614">
        <v>5</v>
      </c>
      <c r="M2614" t="s">
        <v>9522</v>
      </c>
      <c r="N2614" t="s">
        <v>59</v>
      </c>
      <c r="O2614" t="s">
        <v>47</v>
      </c>
      <c r="P2614" t="s">
        <v>47</v>
      </c>
      <c r="Y2614" t="s">
        <v>9526</v>
      </c>
      <c r="AG2614" t="s">
        <v>48</v>
      </c>
    </row>
    <row r="2615" spans="1:33">
      <c r="A2615" t="s">
        <v>9527</v>
      </c>
      <c r="B2615" t="s">
        <v>9528</v>
      </c>
      <c r="D2615" t="s">
        <v>40</v>
      </c>
      <c r="E2615" t="s">
        <v>41</v>
      </c>
      <c r="J2615" t="s">
        <v>114</v>
      </c>
      <c r="K2615" t="s">
        <v>115</v>
      </c>
      <c r="L2615">
        <v>5</v>
      </c>
      <c r="M2615" t="s">
        <v>9522</v>
      </c>
      <c r="N2615" t="s">
        <v>59</v>
      </c>
      <c r="O2615" t="s">
        <v>47</v>
      </c>
      <c r="P2615" t="s">
        <v>47</v>
      </c>
      <c r="Y2615" t="s">
        <v>9529</v>
      </c>
      <c r="AG2615" t="s">
        <v>48</v>
      </c>
    </row>
    <row r="2616" spans="1:33">
      <c r="A2616" t="s">
        <v>9530</v>
      </c>
      <c r="B2616" t="s">
        <v>9531</v>
      </c>
      <c r="D2616" t="s">
        <v>40</v>
      </c>
      <c r="E2616" t="s">
        <v>41</v>
      </c>
      <c r="H2616" t="s">
        <v>9532</v>
      </c>
      <c r="J2616" t="s">
        <v>69</v>
      </c>
      <c r="K2616" t="s">
        <v>70</v>
      </c>
      <c r="L2616">
        <v>5</v>
      </c>
      <c r="M2616" t="s">
        <v>9533</v>
      </c>
      <c r="N2616" t="s">
        <v>46</v>
      </c>
      <c r="O2616" t="s">
        <v>47</v>
      </c>
      <c r="P2616" t="s">
        <v>47</v>
      </c>
      <c r="Y2616" t="s">
        <v>9532</v>
      </c>
      <c r="AG2616" t="s">
        <v>48</v>
      </c>
    </row>
    <row r="2617" spans="1:33">
      <c r="A2617" t="s">
        <v>9534</v>
      </c>
      <c r="B2617" t="s">
        <v>9535</v>
      </c>
      <c r="D2617" t="s">
        <v>40</v>
      </c>
      <c r="E2617" t="s">
        <v>41</v>
      </c>
      <c r="J2617" t="s">
        <v>114</v>
      </c>
      <c r="K2617" t="s">
        <v>115</v>
      </c>
      <c r="L2617">
        <v>5</v>
      </c>
      <c r="M2617" t="s">
        <v>9536</v>
      </c>
      <c r="N2617" t="s">
        <v>59</v>
      </c>
      <c r="O2617" t="s">
        <v>47</v>
      </c>
      <c r="P2617" t="s">
        <v>47</v>
      </c>
      <c r="Y2617" t="s">
        <v>9537</v>
      </c>
      <c r="AG2617" t="s">
        <v>48</v>
      </c>
    </row>
    <row r="2618" spans="1:33">
      <c r="A2618" t="s">
        <v>9538</v>
      </c>
      <c r="B2618" t="s">
        <v>9539</v>
      </c>
      <c r="D2618" t="s">
        <v>40</v>
      </c>
      <c r="E2618" t="s">
        <v>41</v>
      </c>
      <c r="J2618" t="s">
        <v>290</v>
      </c>
      <c r="K2618" t="s">
        <v>291</v>
      </c>
      <c r="L2618">
        <v>5</v>
      </c>
      <c r="M2618" t="s">
        <v>9540</v>
      </c>
      <c r="N2618" t="s">
        <v>59</v>
      </c>
      <c r="O2618" t="s">
        <v>47</v>
      </c>
      <c r="P2618" t="s">
        <v>47</v>
      </c>
      <c r="Y2618" t="s">
        <v>9541</v>
      </c>
      <c r="AG2618" t="s">
        <v>48</v>
      </c>
    </row>
    <row r="2619" spans="1:33">
      <c r="A2619" t="s">
        <v>117</v>
      </c>
      <c r="B2619" t="s">
        <v>9542</v>
      </c>
      <c r="D2619" t="s">
        <v>40</v>
      </c>
      <c r="E2619" t="s">
        <v>41</v>
      </c>
      <c r="J2619" t="s">
        <v>114</v>
      </c>
      <c r="K2619" t="s">
        <v>115</v>
      </c>
      <c r="L2619">
        <v>5</v>
      </c>
      <c r="M2619" t="s">
        <v>9540</v>
      </c>
      <c r="N2619" t="s">
        <v>59</v>
      </c>
      <c r="O2619" t="s">
        <v>47</v>
      </c>
      <c r="P2619" t="s">
        <v>47</v>
      </c>
      <c r="Y2619" t="s">
        <v>9543</v>
      </c>
      <c r="AG2619" t="s">
        <v>48</v>
      </c>
    </row>
    <row r="2620" spans="1:33">
      <c r="A2620" t="s">
        <v>117</v>
      </c>
      <c r="B2620" t="s">
        <v>9544</v>
      </c>
      <c r="D2620" t="s">
        <v>40</v>
      </c>
      <c r="E2620" t="s">
        <v>41</v>
      </c>
      <c r="J2620" t="s">
        <v>270</v>
      </c>
      <c r="K2620" t="s">
        <v>271</v>
      </c>
      <c r="L2620">
        <v>5</v>
      </c>
      <c r="M2620" t="s">
        <v>9545</v>
      </c>
      <c r="N2620" t="s">
        <v>59</v>
      </c>
      <c r="O2620" t="s">
        <v>47</v>
      </c>
      <c r="P2620" t="s">
        <v>47</v>
      </c>
      <c r="Y2620" t="s">
        <v>9546</v>
      </c>
      <c r="AG2620" t="s">
        <v>48</v>
      </c>
    </row>
    <row r="2621" spans="1:33">
      <c r="A2621" t="s">
        <v>9547</v>
      </c>
      <c r="B2621" t="s">
        <v>9548</v>
      </c>
      <c r="D2621" t="s">
        <v>40</v>
      </c>
      <c r="E2621" t="s">
        <v>41</v>
      </c>
      <c r="H2621" t="s">
        <v>9549</v>
      </c>
      <c r="J2621" t="s">
        <v>270</v>
      </c>
      <c r="K2621" t="s">
        <v>271</v>
      </c>
      <c r="L2621">
        <v>5</v>
      </c>
      <c r="M2621" t="s">
        <v>9545</v>
      </c>
      <c r="N2621" t="s">
        <v>59</v>
      </c>
      <c r="O2621" t="s">
        <v>47</v>
      </c>
      <c r="P2621" t="s">
        <v>47</v>
      </c>
      <c r="Y2621" t="s">
        <v>9549</v>
      </c>
      <c r="AG2621" t="s">
        <v>48</v>
      </c>
    </row>
    <row r="2622" spans="1:33">
      <c r="A2622" t="s">
        <v>9550</v>
      </c>
      <c r="B2622" t="s">
        <v>9551</v>
      </c>
      <c r="D2622" t="s">
        <v>40</v>
      </c>
      <c r="E2622" t="s">
        <v>41</v>
      </c>
      <c r="J2622" t="s">
        <v>129</v>
      </c>
      <c r="K2622" t="s">
        <v>130</v>
      </c>
      <c r="L2622">
        <v>5</v>
      </c>
      <c r="M2622" t="s">
        <v>9545</v>
      </c>
      <c r="N2622" t="s">
        <v>46</v>
      </c>
      <c r="O2622" t="s">
        <v>47</v>
      </c>
      <c r="P2622" t="s">
        <v>47</v>
      </c>
      <c r="Y2622" t="s">
        <v>9552</v>
      </c>
      <c r="AG2622" t="s">
        <v>48</v>
      </c>
    </row>
    <row r="2623" spans="1:33">
      <c r="A2623" t="s">
        <v>9553</v>
      </c>
      <c r="B2623" t="s">
        <v>9554</v>
      </c>
      <c r="D2623" t="s">
        <v>40</v>
      </c>
      <c r="E2623" t="s">
        <v>41</v>
      </c>
      <c r="J2623" t="s">
        <v>129</v>
      </c>
      <c r="K2623" t="s">
        <v>130</v>
      </c>
      <c r="L2623">
        <v>5</v>
      </c>
      <c r="M2623" t="s">
        <v>9545</v>
      </c>
      <c r="N2623" t="s">
        <v>218</v>
      </c>
      <c r="O2623" t="s">
        <v>47</v>
      </c>
      <c r="P2623" t="s">
        <v>47</v>
      </c>
      <c r="Y2623" t="s">
        <v>9555</v>
      </c>
      <c r="AG2623" t="s">
        <v>48</v>
      </c>
    </row>
    <row r="2624" spans="1:33">
      <c r="A2624" t="s">
        <v>9556</v>
      </c>
      <c r="B2624" t="s">
        <v>9557</v>
      </c>
      <c r="D2624" t="s">
        <v>40</v>
      </c>
      <c r="E2624" t="s">
        <v>41</v>
      </c>
      <c r="J2624" t="s">
        <v>108</v>
      </c>
      <c r="K2624" t="s">
        <v>109</v>
      </c>
      <c r="L2624">
        <v>5</v>
      </c>
      <c r="M2624" t="s">
        <v>9558</v>
      </c>
      <c r="N2624" t="s">
        <v>59</v>
      </c>
      <c r="O2624" t="s">
        <v>47</v>
      </c>
      <c r="P2624" t="s">
        <v>47</v>
      </c>
      <c r="Y2624" t="s">
        <v>9559</v>
      </c>
      <c r="AG2624" t="s">
        <v>48</v>
      </c>
    </row>
    <row r="2625" spans="1:33">
      <c r="A2625" t="s">
        <v>9560</v>
      </c>
      <c r="B2625" t="s">
        <v>9561</v>
      </c>
      <c r="D2625" t="s">
        <v>40</v>
      </c>
      <c r="E2625" t="s">
        <v>41</v>
      </c>
      <c r="J2625" t="s">
        <v>290</v>
      </c>
      <c r="K2625" t="s">
        <v>291</v>
      </c>
      <c r="L2625">
        <v>5</v>
      </c>
      <c r="M2625" t="s">
        <v>9562</v>
      </c>
      <c r="N2625" t="s">
        <v>59</v>
      </c>
      <c r="O2625" t="s">
        <v>47</v>
      </c>
      <c r="P2625" t="s">
        <v>47</v>
      </c>
      <c r="Y2625" t="s">
        <v>9563</v>
      </c>
      <c r="AG2625" t="s">
        <v>48</v>
      </c>
    </row>
    <row r="2626" spans="1:33">
      <c r="A2626" t="s">
        <v>9564</v>
      </c>
      <c r="B2626" t="s">
        <v>9565</v>
      </c>
      <c r="D2626" t="s">
        <v>40</v>
      </c>
      <c r="E2626" t="s">
        <v>41</v>
      </c>
      <c r="J2626" t="s">
        <v>290</v>
      </c>
      <c r="K2626" t="s">
        <v>291</v>
      </c>
      <c r="L2626">
        <v>5</v>
      </c>
      <c r="M2626" t="s">
        <v>9566</v>
      </c>
      <c r="N2626" t="s">
        <v>59</v>
      </c>
      <c r="O2626" t="s">
        <v>47</v>
      </c>
      <c r="P2626" t="s">
        <v>47</v>
      </c>
      <c r="Y2626" t="s">
        <v>9567</v>
      </c>
      <c r="AG2626" t="s">
        <v>48</v>
      </c>
    </row>
    <row r="2627" spans="1:33">
      <c r="A2627" t="s">
        <v>9568</v>
      </c>
      <c r="B2627" t="s">
        <v>9569</v>
      </c>
      <c r="D2627" t="s">
        <v>40</v>
      </c>
      <c r="E2627" t="s">
        <v>41</v>
      </c>
      <c r="J2627" t="s">
        <v>270</v>
      </c>
      <c r="K2627" t="s">
        <v>271</v>
      </c>
      <c r="L2627">
        <v>5</v>
      </c>
      <c r="M2627" t="s">
        <v>9570</v>
      </c>
      <c r="N2627" t="s">
        <v>59</v>
      </c>
      <c r="O2627" t="s">
        <v>47</v>
      </c>
      <c r="P2627" t="s">
        <v>47</v>
      </c>
      <c r="Y2627" t="s">
        <v>9571</v>
      </c>
      <c r="AG2627" t="s">
        <v>48</v>
      </c>
    </row>
    <row r="2628" spans="1:33">
      <c r="A2628" t="s">
        <v>9572</v>
      </c>
      <c r="B2628" t="s">
        <v>9573</v>
      </c>
      <c r="D2628" t="s">
        <v>40</v>
      </c>
      <c r="E2628" t="s">
        <v>41</v>
      </c>
      <c r="J2628" t="s">
        <v>290</v>
      </c>
      <c r="K2628" t="s">
        <v>291</v>
      </c>
      <c r="L2628">
        <v>5</v>
      </c>
      <c r="M2628" t="s">
        <v>9574</v>
      </c>
      <c r="N2628" t="s">
        <v>59</v>
      </c>
      <c r="O2628" t="s">
        <v>47</v>
      </c>
      <c r="P2628" t="s">
        <v>47</v>
      </c>
      <c r="Y2628" t="s">
        <v>9575</v>
      </c>
      <c r="AG2628" t="s">
        <v>48</v>
      </c>
    </row>
    <row r="2629" spans="1:33">
      <c r="A2629" t="s">
        <v>9576</v>
      </c>
      <c r="B2629" t="s">
        <v>9577</v>
      </c>
      <c r="D2629" t="s">
        <v>40</v>
      </c>
      <c r="E2629" t="s">
        <v>41</v>
      </c>
      <c r="J2629" t="s">
        <v>162</v>
      </c>
      <c r="K2629" t="s">
        <v>163</v>
      </c>
      <c r="L2629">
        <v>5</v>
      </c>
      <c r="M2629" t="s">
        <v>9578</v>
      </c>
      <c r="N2629" t="s">
        <v>59</v>
      </c>
      <c r="O2629" t="s">
        <v>47</v>
      </c>
      <c r="P2629" t="s">
        <v>47</v>
      </c>
      <c r="Y2629" t="s">
        <v>9579</v>
      </c>
      <c r="AG2629" t="s">
        <v>48</v>
      </c>
    </row>
    <row r="2630" spans="1:33">
      <c r="A2630" t="s">
        <v>9580</v>
      </c>
      <c r="B2630" t="s">
        <v>9581</v>
      </c>
      <c r="D2630" t="s">
        <v>40</v>
      </c>
      <c r="E2630" t="s">
        <v>41</v>
      </c>
      <c r="J2630" t="s">
        <v>290</v>
      </c>
      <c r="K2630" t="s">
        <v>291</v>
      </c>
      <c r="L2630">
        <v>5</v>
      </c>
      <c r="M2630" t="s">
        <v>9582</v>
      </c>
      <c r="N2630" t="s">
        <v>59</v>
      </c>
      <c r="O2630" t="s">
        <v>47</v>
      </c>
      <c r="P2630" t="s">
        <v>47</v>
      </c>
      <c r="Y2630" t="s">
        <v>9583</v>
      </c>
      <c r="AG2630" t="s">
        <v>48</v>
      </c>
    </row>
    <row r="2631" spans="1:33">
      <c r="A2631" t="s">
        <v>9584</v>
      </c>
      <c r="B2631" t="s">
        <v>9585</v>
      </c>
      <c r="D2631" t="s">
        <v>40</v>
      </c>
      <c r="E2631" t="s">
        <v>41</v>
      </c>
      <c r="J2631" t="s">
        <v>290</v>
      </c>
      <c r="K2631" t="s">
        <v>291</v>
      </c>
      <c r="L2631">
        <v>5</v>
      </c>
      <c r="M2631" t="s">
        <v>9586</v>
      </c>
      <c r="N2631" t="s">
        <v>59</v>
      </c>
      <c r="O2631" t="s">
        <v>47</v>
      </c>
      <c r="P2631" t="s">
        <v>47</v>
      </c>
      <c r="Y2631" t="s">
        <v>9587</v>
      </c>
      <c r="AG2631" t="s">
        <v>48</v>
      </c>
    </row>
    <row r="2632" spans="1:33">
      <c r="A2632" t="s">
        <v>9588</v>
      </c>
      <c r="B2632" t="s">
        <v>9589</v>
      </c>
      <c r="D2632" t="s">
        <v>40</v>
      </c>
      <c r="E2632" t="s">
        <v>41</v>
      </c>
      <c r="J2632" t="s">
        <v>123</v>
      </c>
      <c r="K2632" t="s">
        <v>124</v>
      </c>
      <c r="L2632">
        <v>5</v>
      </c>
      <c r="M2632" t="s">
        <v>9590</v>
      </c>
      <c r="N2632" t="s">
        <v>46</v>
      </c>
      <c r="O2632" t="s">
        <v>47</v>
      </c>
      <c r="P2632" t="s">
        <v>47</v>
      </c>
      <c r="Y2632" t="s">
        <v>9591</v>
      </c>
      <c r="AG2632" t="s">
        <v>48</v>
      </c>
    </row>
    <row r="2633" spans="1:33">
      <c r="A2633" t="s">
        <v>9592</v>
      </c>
      <c r="B2633" t="s">
        <v>9593</v>
      </c>
      <c r="D2633" t="s">
        <v>40</v>
      </c>
      <c r="E2633" t="s">
        <v>41</v>
      </c>
      <c r="J2633" t="s">
        <v>290</v>
      </c>
      <c r="K2633" t="s">
        <v>291</v>
      </c>
      <c r="L2633">
        <v>5</v>
      </c>
      <c r="M2633" t="s">
        <v>9590</v>
      </c>
      <c r="N2633" t="s">
        <v>59</v>
      </c>
      <c r="O2633" t="s">
        <v>47</v>
      </c>
      <c r="P2633" t="s">
        <v>47</v>
      </c>
      <c r="Y2633" t="s">
        <v>9594</v>
      </c>
      <c r="AG2633" t="s">
        <v>48</v>
      </c>
    </row>
    <row r="2634" spans="1:33">
      <c r="A2634" t="s">
        <v>9595</v>
      </c>
      <c r="B2634" t="s">
        <v>9596</v>
      </c>
      <c r="D2634" t="s">
        <v>40</v>
      </c>
      <c r="E2634" t="s">
        <v>41</v>
      </c>
      <c r="J2634" t="s">
        <v>162</v>
      </c>
      <c r="K2634" t="s">
        <v>163</v>
      </c>
      <c r="L2634">
        <v>5</v>
      </c>
      <c r="M2634" t="s">
        <v>9597</v>
      </c>
      <c r="N2634" t="s">
        <v>59</v>
      </c>
      <c r="O2634" t="s">
        <v>47</v>
      </c>
      <c r="P2634" t="s">
        <v>47</v>
      </c>
      <c r="Y2634" t="s">
        <v>9598</v>
      </c>
      <c r="AG2634" t="s">
        <v>48</v>
      </c>
    </row>
    <row r="2635" spans="1:33">
      <c r="A2635" t="s">
        <v>9599</v>
      </c>
      <c r="B2635" t="s">
        <v>9600</v>
      </c>
      <c r="D2635" t="s">
        <v>40</v>
      </c>
      <c r="E2635" t="s">
        <v>41</v>
      </c>
      <c r="J2635" t="s">
        <v>290</v>
      </c>
      <c r="K2635" t="s">
        <v>291</v>
      </c>
      <c r="L2635">
        <v>5</v>
      </c>
      <c r="M2635" t="s">
        <v>9597</v>
      </c>
      <c r="N2635" t="s">
        <v>59</v>
      </c>
      <c r="O2635" t="s">
        <v>47</v>
      </c>
      <c r="P2635" t="s">
        <v>47</v>
      </c>
      <c r="Y2635" t="s">
        <v>9601</v>
      </c>
      <c r="AG2635" t="s">
        <v>48</v>
      </c>
    </row>
    <row r="2636" spans="1:33">
      <c r="A2636" t="s">
        <v>9602</v>
      </c>
      <c r="B2636" t="s">
        <v>9603</v>
      </c>
      <c r="D2636" t="s">
        <v>40</v>
      </c>
      <c r="E2636" t="s">
        <v>41</v>
      </c>
      <c r="J2636" t="s">
        <v>290</v>
      </c>
      <c r="K2636" t="s">
        <v>291</v>
      </c>
      <c r="L2636">
        <v>5</v>
      </c>
      <c r="M2636" t="s">
        <v>9604</v>
      </c>
      <c r="N2636" t="s">
        <v>59</v>
      </c>
      <c r="O2636" t="s">
        <v>47</v>
      </c>
      <c r="P2636" t="s">
        <v>47</v>
      </c>
      <c r="Y2636" t="s">
        <v>9605</v>
      </c>
      <c r="AG2636" t="s">
        <v>48</v>
      </c>
    </row>
    <row r="2637" spans="1:33">
      <c r="A2637" t="s">
        <v>9606</v>
      </c>
      <c r="B2637" t="s">
        <v>9607</v>
      </c>
      <c r="D2637" t="s">
        <v>40</v>
      </c>
      <c r="E2637" t="s">
        <v>41</v>
      </c>
      <c r="J2637" t="s">
        <v>290</v>
      </c>
      <c r="K2637" t="s">
        <v>291</v>
      </c>
      <c r="L2637">
        <v>5</v>
      </c>
      <c r="M2637" t="s">
        <v>9608</v>
      </c>
      <c r="N2637" t="s">
        <v>59</v>
      </c>
      <c r="O2637" t="s">
        <v>47</v>
      </c>
      <c r="P2637" t="s">
        <v>47</v>
      </c>
      <c r="Y2637" t="s">
        <v>9609</v>
      </c>
      <c r="AG2637" t="s">
        <v>48</v>
      </c>
    </row>
    <row r="2638" spans="1:33">
      <c r="A2638" t="s">
        <v>9610</v>
      </c>
      <c r="B2638" t="s">
        <v>9611</v>
      </c>
      <c r="D2638" t="s">
        <v>40</v>
      </c>
      <c r="E2638" t="s">
        <v>41</v>
      </c>
      <c r="J2638" t="s">
        <v>69</v>
      </c>
      <c r="K2638" t="s">
        <v>70</v>
      </c>
      <c r="L2638">
        <v>5</v>
      </c>
      <c r="M2638" t="s">
        <v>9608</v>
      </c>
      <c r="N2638" t="s">
        <v>46</v>
      </c>
      <c r="O2638" t="s">
        <v>47</v>
      </c>
      <c r="P2638" t="s">
        <v>47</v>
      </c>
      <c r="Y2638" t="s">
        <v>9612</v>
      </c>
      <c r="AG2638" t="s">
        <v>48</v>
      </c>
    </row>
    <row r="2639" spans="1:33">
      <c r="A2639" t="s">
        <v>9613</v>
      </c>
      <c r="B2639" t="s">
        <v>9614</v>
      </c>
      <c r="D2639" t="s">
        <v>40</v>
      </c>
      <c r="E2639" t="s">
        <v>41</v>
      </c>
      <c r="H2639" t="s">
        <v>9615</v>
      </c>
      <c r="J2639" t="s">
        <v>290</v>
      </c>
      <c r="K2639" t="s">
        <v>291</v>
      </c>
      <c r="L2639">
        <v>5</v>
      </c>
      <c r="M2639" t="s">
        <v>9616</v>
      </c>
      <c r="N2639" t="s">
        <v>59</v>
      </c>
      <c r="O2639" t="s">
        <v>47</v>
      </c>
      <c r="P2639" t="s">
        <v>47</v>
      </c>
      <c r="Y2639" t="s">
        <v>9615</v>
      </c>
      <c r="AG2639" t="s">
        <v>48</v>
      </c>
    </row>
    <row r="2640" spans="1:33">
      <c r="A2640" t="s">
        <v>9617</v>
      </c>
      <c r="B2640" t="s">
        <v>9618</v>
      </c>
      <c r="D2640" t="s">
        <v>40</v>
      </c>
      <c r="E2640" t="s">
        <v>41</v>
      </c>
      <c r="J2640" t="s">
        <v>108</v>
      </c>
      <c r="K2640" t="s">
        <v>109</v>
      </c>
      <c r="L2640">
        <v>5</v>
      </c>
      <c r="M2640" t="s">
        <v>9616</v>
      </c>
      <c r="N2640" t="s">
        <v>59</v>
      </c>
      <c r="O2640" t="s">
        <v>47</v>
      </c>
      <c r="P2640" t="s">
        <v>47</v>
      </c>
      <c r="Y2640" t="s">
        <v>9619</v>
      </c>
      <c r="AG2640" t="s">
        <v>48</v>
      </c>
    </row>
    <row r="2641" spans="1:33">
      <c r="A2641" t="s">
        <v>9620</v>
      </c>
      <c r="B2641" t="s">
        <v>9621</v>
      </c>
      <c r="D2641" t="s">
        <v>40</v>
      </c>
      <c r="E2641" t="s">
        <v>41</v>
      </c>
      <c r="J2641" t="s">
        <v>108</v>
      </c>
      <c r="K2641" t="s">
        <v>109</v>
      </c>
      <c r="L2641">
        <v>5</v>
      </c>
      <c r="M2641" t="s">
        <v>9616</v>
      </c>
      <c r="N2641" t="s">
        <v>59</v>
      </c>
      <c r="O2641" t="s">
        <v>47</v>
      </c>
      <c r="P2641" t="s">
        <v>47</v>
      </c>
      <c r="Y2641" t="s">
        <v>9622</v>
      </c>
      <c r="AG2641" t="s">
        <v>48</v>
      </c>
    </row>
    <row r="2642" spans="1:33">
      <c r="A2642" t="s">
        <v>9623</v>
      </c>
      <c r="B2642" t="s">
        <v>9624</v>
      </c>
      <c r="D2642" t="s">
        <v>40</v>
      </c>
      <c r="E2642" t="s">
        <v>41</v>
      </c>
      <c r="J2642" t="s">
        <v>114</v>
      </c>
      <c r="K2642" t="s">
        <v>115</v>
      </c>
      <c r="L2642">
        <v>5</v>
      </c>
      <c r="M2642" t="s">
        <v>9625</v>
      </c>
      <c r="N2642" t="s">
        <v>59</v>
      </c>
      <c r="O2642" t="s">
        <v>47</v>
      </c>
      <c r="P2642" t="s">
        <v>47</v>
      </c>
      <c r="Y2642" t="s">
        <v>9626</v>
      </c>
      <c r="AG2642" t="s">
        <v>48</v>
      </c>
    </row>
    <row r="2643" spans="1:33">
      <c r="A2643" t="s">
        <v>9627</v>
      </c>
      <c r="B2643" t="s">
        <v>9628</v>
      </c>
      <c r="D2643" t="s">
        <v>40</v>
      </c>
      <c r="E2643" t="s">
        <v>41</v>
      </c>
      <c r="J2643" t="s">
        <v>290</v>
      </c>
      <c r="K2643" t="s">
        <v>291</v>
      </c>
      <c r="L2643">
        <v>5</v>
      </c>
      <c r="M2643" t="s">
        <v>9629</v>
      </c>
      <c r="N2643" t="s">
        <v>59</v>
      </c>
      <c r="O2643" t="s">
        <v>47</v>
      </c>
      <c r="P2643" t="s">
        <v>47</v>
      </c>
      <c r="Y2643" t="s">
        <v>9630</v>
      </c>
      <c r="AG2643" t="s">
        <v>48</v>
      </c>
    </row>
    <row r="2644" spans="1:33">
      <c r="A2644" t="s">
        <v>9631</v>
      </c>
      <c r="B2644" t="s">
        <v>9632</v>
      </c>
      <c r="D2644" t="s">
        <v>40</v>
      </c>
      <c r="E2644" t="s">
        <v>41</v>
      </c>
      <c r="J2644" t="s">
        <v>123</v>
      </c>
      <c r="K2644" t="s">
        <v>124</v>
      </c>
      <c r="L2644">
        <v>5</v>
      </c>
      <c r="M2644" t="s">
        <v>9629</v>
      </c>
      <c r="N2644" t="s">
        <v>46</v>
      </c>
      <c r="O2644" t="s">
        <v>47</v>
      </c>
      <c r="P2644" t="s">
        <v>47</v>
      </c>
      <c r="Y2644" t="s">
        <v>9633</v>
      </c>
      <c r="AG2644" t="s">
        <v>48</v>
      </c>
    </row>
    <row r="2645" spans="1:33">
      <c r="A2645" t="s">
        <v>9634</v>
      </c>
      <c r="B2645" t="s">
        <v>9635</v>
      </c>
      <c r="D2645" t="s">
        <v>40</v>
      </c>
      <c r="E2645" t="s">
        <v>41</v>
      </c>
      <c r="J2645" t="s">
        <v>129</v>
      </c>
      <c r="K2645" t="s">
        <v>130</v>
      </c>
      <c r="L2645">
        <v>5</v>
      </c>
      <c r="M2645" t="s">
        <v>9629</v>
      </c>
      <c r="N2645" t="s">
        <v>218</v>
      </c>
      <c r="O2645" t="s">
        <v>47</v>
      </c>
      <c r="P2645" t="s">
        <v>47</v>
      </c>
      <c r="Y2645" t="s">
        <v>9636</v>
      </c>
      <c r="AG2645" t="s">
        <v>48</v>
      </c>
    </row>
    <row r="2646" spans="1:33">
      <c r="A2646" t="s">
        <v>9637</v>
      </c>
      <c r="B2646" t="s">
        <v>9638</v>
      </c>
      <c r="D2646" t="s">
        <v>40</v>
      </c>
      <c r="E2646" t="s">
        <v>41</v>
      </c>
      <c r="H2646" t="s">
        <v>9639</v>
      </c>
      <c r="J2646" t="s">
        <v>129</v>
      </c>
      <c r="K2646" t="s">
        <v>130</v>
      </c>
      <c r="L2646">
        <v>5</v>
      </c>
      <c r="M2646" t="s">
        <v>9640</v>
      </c>
      <c r="N2646" t="s">
        <v>46</v>
      </c>
      <c r="O2646" t="s">
        <v>47</v>
      </c>
      <c r="P2646" t="s">
        <v>47</v>
      </c>
      <c r="Y2646" t="s">
        <v>9639</v>
      </c>
      <c r="AG2646" t="s">
        <v>48</v>
      </c>
    </row>
    <row r="2647" spans="1:33">
      <c r="A2647" t="s">
        <v>9641</v>
      </c>
      <c r="B2647" t="s">
        <v>9642</v>
      </c>
      <c r="D2647" t="s">
        <v>40</v>
      </c>
      <c r="E2647" t="s">
        <v>41</v>
      </c>
      <c r="J2647" t="s">
        <v>270</v>
      </c>
      <c r="K2647" t="s">
        <v>271</v>
      </c>
      <c r="L2647">
        <v>5</v>
      </c>
      <c r="M2647" t="s">
        <v>9640</v>
      </c>
      <c r="N2647" t="s">
        <v>59</v>
      </c>
      <c r="O2647" t="s">
        <v>47</v>
      </c>
      <c r="P2647" t="s">
        <v>47</v>
      </c>
      <c r="Y2647" t="s">
        <v>9643</v>
      </c>
      <c r="AG2647" t="s">
        <v>48</v>
      </c>
    </row>
    <row r="2648" spans="1:33">
      <c r="A2648" t="s">
        <v>117</v>
      </c>
      <c r="B2648" t="s">
        <v>9644</v>
      </c>
      <c r="D2648" t="s">
        <v>40</v>
      </c>
      <c r="E2648" t="s">
        <v>41</v>
      </c>
      <c r="J2648" t="s">
        <v>108</v>
      </c>
      <c r="K2648" t="s">
        <v>109</v>
      </c>
      <c r="L2648">
        <v>5</v>
      </c>
      <c r="M2648" t="s">
        <v>9645</v>
      </c>
      <c r="N2648" t="s">
        <v>59</v>
      </c>
      <c r="O2648" t="s">
        <v>47</v>
      </c>
      <c r="P2648" t="s">
        <v>47</v>
      </c>
      <c r="Y2648" t="s">
        <v>9646</v>
      </c>
      <c r="AG2648" t="s">
        <v>48</v>
      </c>
    </row>
    <row r="2649" spans="1:33">
      <c r="A2649" t="s">
        <v>9647</v>
      </c>
      <c r="B2649" t="s">
        <v>9648</v>
      </c>
      <c r="D2649" t="s">
        <v>40</v>
      </c>
      <c r="E2649" t="s">
        <v>41</v>
      </c>
      <c r="J2649" t="s">
        <v>270</v>
      </c>
      <c r="K2649" t="s">
        <v>271</v>
      </c>
      <c r="L2649">
        <v>5</v>
      </c>
      <c r="M2649" t="s">
        <v>9645</v>
      </c>
      <c r="N2649" t="s">
        <v>59</v>
      </c>
      <c r="O2649" t="s">
        <v>47</v>
      </c>
      <c r="P2649" t="s">
        <v>47</v>
      </c>
      <c r="Y2649" t="s">
        <v>9649</v>
      </c>
      <c r="AG2649" t="s">
        <v>48</v>
      </c>
    </row>
    <row r="2650" spans="1:33">
      <c r="A2650" t="s">
        <v>9650</v>
      </c>
      <c r="B2650" t="s">
        <v>9651</v>
      </c>
      <c r="D2650" t="s">
        <v>40</v>
      </c>
      <c r="E2650" t="s">
        <v>41</v>
      </c>
      <c r="H2650" t="s">
        <v>9652</v>
      </c>
      <c r="J2650" t="s">
        <v>129</v>
      </c>
      <c r="K2650" t="s">
        <v>130</v>
      </c>
      <c r="L2650">
        <v>5</v>
      </c>
      <c r="M2650" t="s">
        <v>9653</v>
      </c>
      <c r="N2650" t="s">
        <v>218</v>
      </c>
      <c r="O2650" t="s">
        <v>47</v>
      </c>
      <c r="P2650" t="s">
        <v>47</v>
      </c>
      <c r="Y2650" t="s">
        <v>9652</v>
      </c>
      <c r="AG2650" t="s">
        <v>48</v>
      </c>
    </row>
    <row r="2651" spans="1:33">
      <c r="A2651" t="s">
        <v>9654</v>
      </c>
      <c r="B2651" t="s">
        <v>9655</v>
      </c>
      <c r="D2651" t="s">
        <v>40</v>
      </c>
      <c r="E2651" t="s">
        <v>41</v>
      </c>
      <c r="J2651" t="s">
        <v>108</v>
      </c>
      <c r="K2651" t="s">
        <v>109</v>
      </c>
      <c r="L2651">
        <v>5</v>
      </c>
      <c r="M2651" t="s">
        <v>9656</v>
      </c>
      <c r="N2651" t="s">
        <v>59</v>
      </c>
      <c r="O2651" t="s">
        <v>47</v>
      </c>
      <c r="P2651" t="s">
        <v>47</v>
      </c>
      <c r="Y2651" t="s">
        <v>9657</v>
      </c>
      <c r="AG2651" t="s">
        <v>48</v>
      </c>
    </row>
    <row r="2652" spans="1:33">
      <c r="A2652" t="s">
        <v>9658</v>
      </c>
      <c r="B2652" t="s">
        <v>9659</v>
      </c>
      <c r="D2652" t="s">
        <v>40</v>
      </c>
      <c r="E2652" t="s">
        <v>41</v>
      </c>
      <c r="J2652" t="s">
        <v>290</v>
      </c>
      <c r="K2652" t="s">
        <v>291</v>
      </c>
      <c r="L2652">
        <v>5</v>
      </c>
      <c r="M2652" t="s">
        <v>9660</v>
      </c>
      <c r="N2652" t="s">
        <v>59</v>
      </c>
      <c r="O2652" t="s">
        <v>47</v>
      </c>
      <c r="P2652" t="s">
        <v>47</v>
      </c>
      <c r="Y2652" t="s">
        <v>9661</v>
      </c>
      <c r="AG2652" t="s">
        <v>48</v>
      </c>
    </row>
    <row r="2653" spans="1:33">
      <c r="A2653" t="s">
        <v>9662</v>
      </c>
      <c r="B2653" t="s">
        <v>9663</v>
      </c>
      <c r="D2653" t="s">
        <v>40</v>
      </c>
      <c r="E2653" t="s">
        <v>41</v>
      </c>
      <c r="J2653" t="s">
        <v>114</v>
      </c>
      <c r="K2653" t="s">
        <v>115</v>
      </c>
      <c r="L2653">
        <v>5</v>
      </c>
      <c r="M2653" t="s">
        <v>9664</v>
      </c>
      <c r="N2653" t="s">
        <v>59</v>
      </c>
      <c r="O2653" t="s">
        <v>47</v>
      </c>
      <c r="P2653" t="s">
        <v>47</v>
      </c>
      <c r="Y2653" t="s">
        <v>9665</v>
      </c>
      <c r="AG2653" t="s">
        <v>48</v>
      </c>
    </row>
    <row r="2654" spans="1:33">
      <c r="A2654" t="s">
        <v>9666</v>
      </c>
      <c r="B2654" t="s">
        <v>9667</v>
      </c>
      <c r="D2654" t="s">
        <v>40</v>
      </c>
      <c r="E2654" t="s">
        <v>41</v>
      </c>
      <c r="J2654" t="s">
        <v>108</v>
      </c>
      <c r="K2654" t="s">
        <v>109</v>
      </c>
      <c r="L2654">
        <v>5</v>
      </c>
      <c r="M2654" t="s">
        <v>9668</v>
      </c>
      <c r="N2654" t="s">
        <v>59</v>
      </c>
      <c r="O2654" t="s">
        <v>47</v>
      </c>
      <c r="P2654" t="s">
        <v>47</v>
      </c>
      <c r="Y2654" t="s">
        <v>9669</v>
      </c>
      <c r="AG2654" t="s">
        <v>48</v>
      </c>
    </row>
    <row r="2655" spans="1:33">
      <c r="A2655" t="s">
        <v>9670</v>
      </c>
      <c r="B2655" t="s">
        <v>9671</v>
      </c>
      <c r="D2655" t="s">
        <v>40</v>
      </c>
      <c r="E2655" t="s">
        <v>41</v>
      </c>
      <c r="J2655" t="s">
        <v>290</v>
      </c>
      <c r="K2655" t="s">
        <v>291</v>
      </c>
      <c r="L2655">
        <v>5</v>
      </c>
      <c r="M2655" t="s">
        <v>9668</v>
      </c>
      <c r="N2655" t="s">
        <v>59</v>
      </c>
      <c r="O2655" t="s">
        <v>47</v>
      </c>
      <c r="P2655" t="s">
        <v>47</v>
      </c>
      <c r="Y2655" t="s">
        <v>9672</v>
      </c>
      <c r="AG2655" t="s">
        <v>48</v>
      </c>
    </row>
    <row r="2656" spans="1:33">
      <c r="A2656" t="s">
        <v>9673</v>
      </c>
      <c r="B2656" t="s">
        <v>9674</v>
      </c>
      <c r="D2656" t="s">
        <v>40</v>
      </c>
      <c r="E2656" t="s">
        <v>41</v>
      </c>
      <c r="J2656" t="s">
        <v>290</v>
      </c>
      <c r="K2656" t="s">
        <v>291</v>
      </c>
      <c r="L2656">
        <v>5</v>
      </c>
      <c r="M2656" t="s">
        <v>9675</v>
      </c>
      <c r="N2656" t="s">
        <v>59</v>
      </c>
      <c r="O2656" t="s">
        <v>47</v>
      </c>
      <c r="P2656" t="s">
        <v>47</v>
      </c>
      <c r="Y2656" t="s">
        <v>9676</v>
      </c>
      <c r="AG2656" t="s">
        <v>48</v>
      </c>
    </row>
    <row r="2657" spans="1:33">
      <c r="A2657" t="s">
        <v>9677</v>
      </c>
      <c r="B2657" t="s">
        <v>9678</v>
      </c>
      <c r="D2657" t="s">
        <v>40</v>
      </c>
      <c r="E2657" t="s">
        <v>41</v>
      </c>
      <c r="H2657" t="s">
        <v>9679</v>
      </c>
      <c r="J2657" t="s">
        <v>162</v>
      </c>
      <c r="K2657" t="s">
        <v>163</v>
      </c>
      <c r="L2657">
        <v>5</v>
      </c>
      <c r="M2657" t="s">
        <v>9680</v>
      </c>
      <c r="N2657" t="s">
        <v>59</v>
      </c>
      <c r="O2657" t="s">
        <v>47</v>
      </c>
      <c r="P2657" t="s">
        <v>47</v>
      </c>
      <c r="Y2657" t="s">
        <v>9679</v>
      </c>
      <c r="AG2657" t="s">
        <v>48</v>
      </c>
    </row>
    <row r="2658" spans="1:33">
      <c r="A2658" t="s">
        <v>9681</v>
      </c>
      <c r="B2658" t="s">
        <v>9682</v>
      </c>
      <c r="D2658" t="s">
        <v>40</v>
      </c>
      <c r="E2658" t="s">
        <v>41</v>
      </c>
      <c r="J2658" t="s">
        <v>290</v>
      </c>
      <c r="K2658" t="s">
        <v>291</v>
      </c>
      <c r="L2658">
        <v>5</v>
      </c>
      <c r="M2658" t="s">
        <v>9683</v>
      </c>
      <c r="N2658" t="s">
        <v>59</v>
      </c>
      <c r="O2658" t="s">
        <v>47</v>
      </c>
      <c r="P2658" t="s">
        <v>47</v>
      </c>
      <c r="Y2658" t="s">
        <v>9684</v>
      </c>
      <c r="AG2658" t="s">
        <v>48</v>
      </c>
    </row>
    <row r="2659" spans="1:33">
      <c r="A2659" t="s">
        <v>9685</v>
      </c>
      <c r="B2659" t="s">
        <v>9686</v>
      </c>
      <c r="D2659" t="s">
        <v>40</v>
      </c>
      <c r="E2659" t="s">
        <v>41</v>
      </c>
      <c r="J2659" t="s">
        <v>290</v>
      </c>
      <c r="K2659" t="s">
        <v>291</v>
      </c>
      <c r="L2659">
        <v>5</v>
      </c>
      <c r="M2659" t="s">
        <v>9687</v>
      </c>
      <c r="N2659" t="s">
        <v>59</v>
      </c>
      <c r="O2659" t="s">
        <v>47</v>
      </c>
      <c r="P2659" t="s">
        <v>47</v>
      </c>
      <c r="Y2659" t="s">
        <v>9688</v>
      </c>
      <c r="AG2659" t="s">
        <v>48</v>
      </c>
    </row>
    <row r="2660" spans="1:33">
      <c r="A2660" t="s">
        <v>9689</v>
      </c>
      <c r="B2660" t="s">
        <v>9690</v>
      </c>
      <c r="D2660" t="s">
        <v>40</v>
      </c>
      <c r="E2660" t="s">
        <v>41</v>
      </c>
      <c r="J2660" t="s">
        <v>129</v>
      </c>
      <c r="K2660" t="s">
        <v>130</v>
      </c>
      <c r="L2660">
        <v>5</v>
      </c>
      <c r="M2660" t="s">
        <v>9691</v>
      </c>
      <c r="N2660" t="s">
        <v>218</v>
      </c>
      <c r="O2660" t="s">
        <v>47</v>
      </c>
      <c r="P2660" t="s">
        <v>47</v>
      </c>
      <c r="Y2660" t="s">
        <v>9692</v>
      </c>
      <c r="AG2660" t="s">
        <v>48</v>
      </c>
    </row>
    <row r="2661" spans="1:33">
      <c r="A2661" t="s">
        <v>9693</v>
      </c>
      <c r="B2661" t="s">
        <v>9694</v>
      </c>
      <c r="D2661" t="s">
        <v>40</v>
      </c>
      <c r="E2661" t="s">
        <v>41</v>
      </c>
      <c r="J2661" t="s">
        <v>108</v>
      </c>
      <c r="K2661" t="s">
        <v>109</v>
      </c>
      <c r="L2661">
        <v>5</v>
      </c>
      <c r="M2661" t="s">
        <v>9691</v>
      </c>
      <c r="N2661" t="s">
        <v>59</v>
      </c>
      <c r="O2661" t="s">
        <v>47</v>
      </c>
      <c r="P2661" t="s">
        <v>47</v>
      </c>
      <c r="Y2661" t="s">
        <v>9695</v>
      </c>
      <c r="AG2661" t="s">
        <v>48</v>
      </c>
    </row>
    <row r="2662" spans="1:33">
      <c r="A2662" t="s">
        <v>9696</v>
      </c>
      <c r="B2662" t="s">
        <v>9697</v>
      </c>
      <c r="D2662" t="s">
        <v>40</v>
      </c>
      <c r="E2662" t="s">
        <v>41</v>
      </c>
      <c r="J2662" t="s">
        <v>290</v>
      </c>
      <c r="K2662" t="s">
        <v>291</v>
      </c>
      <c r="L2662">
        <v>5</v>
      </c>
      <c r="M2662" t="s">
        <v>9691</v>
      </c>
      <c r="N2662" t="s">
        <v>59</v>
      </c>
      <c r="O2662" t="s">
        <v>47</v>
      </c>
      <c r="P2662" t="s">
        <v>47</v>
      </c>
      <c r="Y2662" t="s">
        <v>9698</v>
      </c>
      <c r="AG2662" t="s">
        <v>48</v>
      </c>
    </row>
    <row r="2663" spans="1:33">
      <c r="A2663" t="s">
        <v>9699</v>
      </c>
      <c r="B2663" t="s">
        <v>9700</v>
      </c>
      <c r="D2663" t="s">
        <v>40</v>
      </c>
      <c r="E2663" t="s">
        <v>41</v>
      </c>
      <c r="J2663" t="s">
        <v>290</v>
      </c>
      <c r="K2663" t="s">
        <v>291</v>
      </c>
      <c r="L2663">
        <v>5</v>
      </c>
      <c r="M2663" t="s">
        <v>9691</v>
      </c>
      <c r="N2663" t="s">
        <v>59</v>
      </c>
      <c r="O2663" t="s">
        <v>47</v>
      </c>
      <c r="P2663" t="s">
        <v>47</v>
      </c>
      <c r="Y2663" t="s">
        <v>9701</v>
      </c>
      <c r="AG2663" t="s">
        <v>48</v>
      </c>
    </row>
    <row r="2664" spans="1:33">
      <c r="A2664" t="s">
        <v>9702</v>
      </c>
      <c r="B2664" t="s">
        <v>9703</v>
      </c>
      <c r="D2664" t="s">
        <v>40</v>
      </c>
      <c r="E2664" t="s">
        <v>41</v>
      </c>
      <c r="J2664" t="s">
        <v>162</v>
      </c>
      <c r="K2664" t="s">
        <v>163</v>
      </c>
      <c r="L2664">
        <v>5</v>
      </c>
      <c r="M2664" t="s">
        <v>9704</v>
      </c>
      <c r="N2664" t="s">
        <v>59</v>
      </c>
      <c r="O2664" t="s">
        <v>47</v>
      </c>
      <c r="P2664" t="s">
        <v>47</v>
      </c>
      <c r="Y2664" t="s">
        <v>9705</v>
      </c>
      <c r="AG2664" t="s">
        <v>48</v>
      </c>
    </row>
    <row r="2665" spans="1:33">
      <c r="A2665" t="s">
        <v>9706</v>
      </c>
      <c r="B2665" t="s">
        <v>9707</v>
      </c>
      <c r="D2665" t="s">
        <v>40</v>
      </c>
      <c r="E2665" t="s">
        <v>41</v>
      </c>
      <c r="H2665" t="s">
        <v>9708</v>
      </c>
      <c r="J2665" t="s">
        <v>290</v>
      </c>
      <c r="K2665" t="s">
        <v>291</v>
      </c>
      <c r="L2665">
        <v>5</v>
      </c>
      <c r="M2665" t="s">
        <v>9709</v>
      </c>
      <c r="N2665" t="s">
        <v>59</v>
      </c>
      <c r="O2665" t="s">
        <v>47</v>
      </c>
      <c r="P2665" t="s">
        <v>47</v>
      </c>
      <c r="Y2665" t="s">
        <v>9708</v>
      </c>
      <c r="AG2665" t="s">
        <v>48</v>
      </c>
    </row>
    <row r="2666" spans="1:33">
      <c r="A2666" t="s">
        <v>9710</v>
      </c>
      <c r="B2666" t="s">
        <v>9711</v>
      </c>
      <c r="D2666" t="s">
        <v>40</v>
      </c>
      <c r="E2666" t="s">
        <v>41</v>
      </c>
      <c r="J2666" t="s">
        <v>108</v>
      </c>
      <c r="K2666" t="s">
        <v>109</v>
      </c>
      <c r="L2666">
        <v>5</v>
      </c>
      <c r="M2666" t="s">
        <v>9712</v>
      </c>
      <c r="N2666" t="s">
        <v>59</v>
      </c>
      <c r="O2666" t="s">
        <v>47</v>
      </c>
      <c r="P2666" t="s">
        <v>47</v>
      </c>
      <c r="Y2666" t="s">
        <v>9713</v>
      </c>
      <c r="AG2666" t="s">
        <v>48</v>
      </c>
    </row>
    <row r="2667" spans="1:33">
      <c r="A2667" t="s">
        <v>9714</v>
      </c>
      <c r="B2667" t="s">
        <v>9715</v>
      </c>
      <c r="D2667" t="s">
        <v>40</v>
      </c>
      <c r="E2667" t="s">
        <v>41</v>
      </c>
      <c r="J2667" t="s">
        <v>290</v>
      </c>
      <c r="K2667" t="s">
        <v>291</v>
      </c>
      <c r="L2667">
        <v>5</v>
      </c>
      <c r="M2667" t="s">
        <v>9716</v>
      </c>
      <c r="N2667" t="s">
        <v>59</v>
      </c>
      <c r="O2667" t="s">
        <v>47</v>
      </c>
      <c r="P2667" t="s">
        <v>47</v>
      </c>
      <c r="Y2667" t="s">
        <v>9717</v>
      </c>
      <c r="AG2667" t="s">
        <v>48</v>
      </c>
    </row>
    <row r="2668" spans="1:33">
      <c r="A2668" t="s">
        <v>9718</v>
      </c>
      <c r="B2668" t="s">
        <v>9719</v>
      </c>
      <c r="D2668" t="s">
        <v>40</v>
      </c>
      <c r="E2668" t="s">
        <v>41</v>
      </c>
      <c r="H2668" t="s">
        <v>9720</v>
      </c>
      <c r="J2668" t="s">
        <v>162</v>
      </c>
      <c r="K2668" t="s">
        <v>163</v>
      </c>
      <c r="L2668">
        <v>5</v>
      </c>
      <c r="M2668" t="s">
        <v>9716</v>
      </c>
      <c r="N2668" t="s">
        <v>59</v>
      </c>
      <c r="O2668" t="s">
        <v>47</v>
      </c>
      <c r="P2668" t="s">
        <v>47</v>
      </c>
      <c r="Y2668" t="s">
        <v>9720</v>
      </c>
      <c r="AG2668" t="s">
        <v>48</v>
      </c>
    </row>
    <row r="2669" spans="1:33">
      <c r="A2669" t="s">
        <v>9721</v>
      </c>
      <c r="B2669" t="s">
        <v>9722</v>
      </c>
      <c r="D2669" t="s">
        <v>40</v>
      </c>
      <c r="E2669" t="s">
        <v>41</v>
      </c>
      <c r="J2669" t="s">
        <v>290</v>
      </c>
      <c r="K2669" t="s">
        <v>291</v>
      </c>
      <c r="L2669">
        <v>5</v>
      </c>
      <c r="M2669" t="s">
        <v>9716</v>
      </c>
      <c r="N2669" t="s">
        <v>59</v>
      </c>
      <c r="O2669" t="s">
        <v>47</v>
      </c>
      <c r="P2669" t="s">
        <v>47</v>
      </c>
      <c r="Y2669" t="s">
        <v>9723</v>
      </c>
      <c r="AG2669" t="s">
        <v>48</v>
      </c>
    </row>
    <row r="2670" spans="1:33">
      <c r="A2670" t="s">
        <v>9724</v>
      </c>
      <c r="B2670" t="s">
        <v>9725</v>
      </c>
      <c r="D2670" t="s">
        <v>40</v>
      </c>
      <c r="E2670" t="s">
        <v>41</v>
      </c>
      <c r="H2670" t="s">
        <v>9726</v>
      </c>
      <c r="J2670" t="s">
        <v>63</v>
      </c>
      <c r="K2670" t="s">
        <v>64</v>
      </c>
      <c r="L2670">
        <v>5</v>
      </c>
      <c r="M2670" t="s">
        <v>9727</v>
      </c>
      <c r="N2670" t="s">
        <v>59</v>
      </c>
      <c r="O2670" t="s">
        <v>47</v>
      </c>
      <c r="P2670" t="s">
        <v>47</v>
      </c>
      <c r="Y2670" t="s">
        <v>9726</v>
      </c>
      <c r="AG2670" t="s">
        <v>48</v>
      </c>
    </row>
    <row r="2671" spans="1:33">
      <c r="A2671" t="s">
        <v>9728</v>
      </c>
      <c r="B2671" t="s">
        <v>9729</v>
      </c>
      <c r="D2671" t="s">
        <v>40</v>
      </c>
      <c r="E2671" t="s">
        <v>41</v>
      </c>
      <c r="J2671" t="s">
        <v>108</v>
      </c>
      <c r="K2671" t="s">
        <v>109</v>
      </c>
      <c r="L2671">
        <v>5</v>
      </c>
      <c r="M2671" t="s">
        <v>9730</v>
      </c>
      <c r="N2671" t="s">
        <v>59</v>
      </c>
      <c r="O2671" t="s">
        <v>47</v>
      </c>
      <c r="P2671" t="s">
        <v>47</v>
      </c>
      <c r="Y2671" t="s">
        <v>9731</v>
      </c>
      <c r="AG2671" t="s">
        <v>48</v>
      </c>
    </row>
    <row r="2672" spans="1:33">
      <c r="A2672" t="s">
        <v>9732</v>
      </c>
      <c r="B2672" t="s">
        <v>9733</v>
      </c>
      <c r="D2672" t="s">
        <v>40</v>
      </c>
      <c r="E2672" t="s">
        <v>41</v>
      </c>
      <c r="J2672" t="s">
        <v>270</v>
      </c>
      <c r="K2672" t="s">
        <v>271</v>
      </c>
      <c r="L2672">
        <v>5</v>
      </c>
      <c r="M2672" t="s">
        <v>9730</v>
      </c>
      <c r="N2672" t="s">
        <v>59</v>
      </c>
      <c r="O2672" t="s">
        <v>47</v>
      </c>
      <c r="P2672" t="s">
        <v>47</v>
      </c>
      <c r="Y2672" t="s">
        <v>9734</v>
      </c>
      <c r="AG2672" t="s">
        <v>48</v>
      </c>
    </row>
    <row r="2673" spans="1:33">
      <c r="A2673" t="s">
        <v>9735</v>
      </c>
      <c r="B2673" t="s">
        <v>9736</v>
      </c>
      <c r="D2673" t="s">
        <v>40</v>
      </c>
      <c r="E2673" t="s">
        <v>41</v>
      </c>
      <c r="J2673" t="s">
        <v>290</v>
      </c>
      <c r="K2673" t="s">
        <v>291</v>
      </c>
      <c r="L2673">
        <v>5</v>
      </c>
      <c r="M2673" t="s">
        <v>9737</v>
      </c>
      <c r="N2673" t="s">
        <v>59</v>
      </c>
      <c r="O2673" t="s">
        <v>47</v>
      </c>
      <c r="P2673" t="s">
        <v>47</v>
      </c>
      <c r="Y2673" t="s">
        <v>9738</v>
      </c>
      <c r="AG2673" t="s">
        <v>48</v>
      </c>
    </row>
    <row r="2674" spans="1:33">
      <c r="A2674" t="s">
        <v>9739</v>
      </c>
      <c r="B2674" t="s">
        <v>9740</v>
      </c>
      <c r="D2674" t="s">
        <v>40</v>
      </c>
      <c r="E2674" t="s">
        <v>41</v>
      </c>
      <c r="J2674" t="s">
        <v>129</v>
      </c>
      <c r="K2674" t="s">
        <v>130</v>
      </c>
      <c r="L2674">
        <v>5</v>
      </c>
      <c r="M2674" t="s">
        <v>9741</v>
      </c>
      <c r="N2674" t="s">
        <v>46</v>
      </c>
      <c r="O2674" t="s">
        <v>47</v>
      </c>
      <c r="P2674" t="s">
        <v>47</v>
      </c>
      <c r="Y2674" t="s">
        <v>9742</v>
      </c>
      <c r="AG2674" t="s">
        <v>48</v>
      </c>
    </row>
    <row r="2675" spans="1:33">
      <c r="A2675" t="s">
        <v>9743</v>
      </c>
      <c r="B2675" t="s">
        <v>9744</v>
      </c>
      <c r="D2675" t="s">
        <v>40</v>
      </c>
      <c r="E2675" t="s">
        <v>41</v>
      </c>
      <c r="J2675" t="s">
        <v>290</v>
      </c>
      <c r="K2675" t="s">
        <v>291</v>
      </c>
      <c r="L2675">
        <v>5</v>
      </c>
      <c r="M2675" t="s">
        <v>9745</v>
      </c>
      <c r="N2675" t="s">
        <v>59</v>
      </c>
      <c r="O2675" t="s">
        <v>47</v>
      </c>
      <c r="P2675" t="s">
        <v>47</v>
      </c>
      <c r="Y2675" t="s">
        <v>9746</v>
      </c>
      <c r="AG2675" t="s">
        <v>48</v>
      </c>
    </row>
    <row r="2676" spans="1:33">
      <c r="A2676" t="s">
        <v>9747</v>
      </c>
      <c r="B2676" t="s">
        <v>9748</v>
      </c>
      <c r="D2676" t="s">
        <v>40</v>
      </c>
      <c r="E2676" t="s">
        <v>41</v>
      </c>
      <c r="J2676" t="s">
        <v>290</v>
      </c>
      <c r="K2676" t="s">
        <v>291</v>
      </c>
      <c r="L2676">
        <v>5</v>
      </c>
      <c r="M2676" t="s">
        <v>9745</v>
      </c>
      <c r="N2676" t="s">
        <v>59</v>
      </c>
      <c r="O2676" t="s">
        <v>47</v>
      </c>
      <c r="P2676" t="s">
        <v>47</v>
      </c>
      <c r="Y2676" t="s">
        <v>9749</v>
      </c>
      <c r="AG2676" t="s">
        <v>48</v>
      </c>
    </row>
    <row r="2677" spans="1:33">
      <c r="A2677" t="s">
        <v>9750</v>
      </c>
      <c r="B2677" t="s">
        <v>9751</v>
      </c>
      <c r="D2677" t="s">
        <v>40</v>
      </c>
      <c r="E2677" t="s">
        <v>41</v>
      </c>
      <c r="H2677" t="s">
        <v>9752</v>
      </c>
      <c r="J2677" t="s">
        <v>63</v>
      </c>
      <c r="K2677" t="s">
        <v>64</v>
      </c>
      <c r="L2677">
        <v>5</v>
      </c>
      <c r="M2677" t="s">
        <v>9753</v>
      </c>
      <c r="N2677" t="s">
        <v>59</v>
      </c>
      <c r="O2677" t="s">
        <v>47</v>
      </c>
      <c r="P2677" t="s">
        <v>47</v>
      </c>
      <c r="Y2677" t="s">
        <v>9752</v>
      </c>
      <c r="AG2677" t="s">
        <v>48</v>
      </c>
    </row>
    <row r="2678" spans="1:33">
      <c r="A2678" t="s">
        <v>9754</v>
      </c>
      <c r="B2678" t="s">
        <v>9755</v>
      </c>
      <c r="D2678" t="s">
        <v>40</v>
      </c>
      <c r="E2678" t="s">
        <v>41</v>
      </c>
      <c r="J2678" t="s">
        <v>108</v>
      </c>
      <c r="K2678" t="s">
        <v>109</v>
      </c>
      <c r="L2678">
        <v>5</v>
      </c>
      <c r="M2678" t="s">
        <v>9756</v>
      </c>
      <c r="N2678" t="s">
        <v>59</v>
      </c>
      <c r="O2678" t="s">
        <v>47</v>
      </c>
      <c r="P2678" t="s">
        <v>47</v>
      </c>
      <c r="Y2678" t="s">
        <v>9757</v>
      </c>
      <c r="AG2678" t="s">
        <v>48</v>
      </c>
    </row>
    <row r="2679" spans="1:33">
      <c r="A2679" t="s">
        <v>9758</v>
      </c>
      <c r="B2679" t="s">
        <v>9759</v>
      </c>
      <c r="D2679" t="s">
        <v>40</v>
      </c>
      <c r="E2679" t="s">
        <v>41</v>
      </c>
      <c r="J2679" t="s">
        <v>270</v>
      </c>
      <c r="K2679" t="s">
        <v>271</v>
      </c>
      <c r="L2679">
        <v>5</v>
      </c>
      <c r="M2679" t="s">
        <v>9760</v>
      </c>
      <c r="N2679" t="s">
        <v>59</v>
      </c>
      <c r="O2679" t="s">
        <v>47</v>
      </c>
      <c r="P2679" t="s">
        <v>47</v>
      </c>
      <c r="Y2679" t="s">
        <v>9761</v>
      </c>
      <c r="AG2679" t="s">
        <v>48</v>
      </c>
    </row>
    <row r="2680" spans="1:33">
      <c r="A2680" t="s">
        <v>9762</v>
      </c>
      <c r="B2680" t="s">
        <v>9763</v>
      </c>
      <c r="D2680" t="s">
        <v>40</v>
      </c>
      <c r="E2680" t="s">
        <v>41</v>
      </c>
      <c r="J2680" t="s">
        <v>290</v>
      </c>
      <c r="K2680" t="s">
        <v>291</v>
      </c>
      <c r="L2680">
        <v>5</v>
      </c>
      <c r="M2680" t="s">
        <v>9764</v>
      </c>
      <c r="N2680" t="s">
        <v>59</v>
      </c>
      <c r="O2680" t="s">
        <v>47</v>
      </c>
      <c r="P2680" t="s">
        <v>47</v>
      </c>
      <c r="Y2680" t="s">
        <v>9765</v>
      </c>
      <c r="AG2680" t="s">
        <v>48</v>
      </c>
    </row>
    <row r="2681" spans="1:33">
      <c r="A2681" t="s">
        <v>9766</v>
      </c>
      <c r="B2681" t="s">
        <v>9767</v>
      </c>
      <c r="D2681" t="s">
        <v>40</v>
      </c>
      <c r="E2681" t="s">
        <v>41</v>
      </c>
      <c r="J2681" t="s">
        <v>290</v>
      </c>
      <c r="K2681" t="s">
        <v>291</v>
      </c>
      <c r="L2681">
        <v>5</v>
      </c>
      <c r="M2681" t="s">
        <v>9768</v>
      </c>
      <c r="N2681" t="s">
        <v>59</v>
      </c>
      <c r="O2681" t="s">
        <v>47</v>
      </c>
      <c r="P2681" t="s">
        <v>47</v>
      </c>
      <c r="Y2681" t="s">
        <v>9769</v>
      </c>
      <c r="AG2681" t="s">
        <v>48</v>
      </c>
    </row>
    <row r="2682" spans="1:33">
      <c r="A2682" t="s">
        <v>9770</v>
      </c>
      <c r="B2682" t="s">
        <v>9771</v>
      </c>
      <c r="D2682" t="s">
        <v>40</v>
      </c>
      <c r="E2682" t="s">
        <v>41</v>
      </c>
      <c r="H2682" t="s">
        <v>9772</v>
      </c>
      <c r="J2682" t="s">
        <v>215</v>
      </c>
      <c r="K2682" t="s">
        <v>216</v>
      </c>
      <c r="L2682">
        <v>5</v>
      </c>
      <c r="M2682" t="s">
        <v>9773</v>
      </c>
      <c r="N2682" t="s">
        <v>46</v>
      </c>
      <c r="O2682" t="s">
        <v>47</v>
      </c>
      <c r="P2682" t="s">
        <v>47</v>
      </c>
      <c r="Y2682" t="s">
        <v>9772</v>
      </c>
      <c r="AG2682" t="s">
        <v>48</v>
      </c>
    </row>
    <row r="2683" spans="1:33">
      <c r="A2683" t="s">
        <v>9774</v>
      </c>
      <c r="B2683" t="s">
        <v>9775</v>
      </c>
      <c r="D2683" t="s">
        <v>40</v>
      </c>
      <c r="E2683" t="s">
        <v>41</v>
      </c>
      <c r="J2683" t="s">
        <v>290</v>
      </c>
      <c r="K2683" t="s">
        <v>291</v>
      </c>
      <c r="L2683">
        <v>5</v>
      </c>
      <c r="M2683" t="s">
        <v>9776</v>
      </c>
      <c r="N2683" t="s">
        <v>59</v>
      </c>
      <c r="O2683" t="s">
        <v>47</v>
      </c>
      <c r="P2683" t="s">
        <v>47</v>
      </c>
      <c r="Y2683" t="s">
        <v>9777</v>
      </c>
      <c r="AG2683" t="s">
        <v>48</v>
      </c>
    </row>
    <row r="2684" spans="1:33">
      <c r="A2684" t="s">
        <v>9778</v>
      </c>
      <c r="B2684" t="s">
        <v>9779</v>
      </c>
      <c r="D2684" t="s">
        <v>40</v>
      </c>
      <c r="E2684" t="s">
        <v>41</v>
      </c>
      <c r="J2684" t="s">
        <v>114</v>
      </c>
      <c r="K2684" t="s">
        <v>115</v>
      </c>
      <c r="L2684">
        <v>5</v>
      </c>
      <c r="M2684" t="s">
        <v>9776</v>
      </c>
      <c r="N2684" t="s">
        <v>59</v>
      </c>
      <c r="O2684" t="s">
        <v>47</v>
      </c>
      <c r="P2684" t="s">
        <v>47</v>
      </c>
      <c r="Y2684" t="s">
        <v>9780</v>
      </c>
      <c r="AG2684" t="s">
        <v>48</v>
      </c>
    </row>
    <row r="2685" spans="1:33">
      <c r="A2685" t="s">
        <v>9781</v>
      </c>
      <c r="B2685" t="s">
        <v>9782</v>
      </c>
      <c r="D2685" t="s">
        <v>40</v>
      </c>
      <c r="E2685" t="s">
        <v>41</v>
      </c>
      <c r="J2685" t="s">
        <v>290</v>
      </c>
      <c r="K2685" t="s">
        <v>291</v>
      </c>
      <c r="L2685">
        <v>5</v>
      </c>
      <c r="M2685" t="s">
        <v>9776</v>
      </c>
      <c r="N2685" t="s">
        <v>59</v>
      </c>
      <c r="O2685" t="s">
        <v>47</v>
      </c>
      <c r="P2685" t="s">
        <v>47</v>
      </c>
      <c r="Y2685" t="s">
        <v>9783</v>
      </c>
      <c r="AG2685" t="s">
        <v>48</v>
      </c>
    </row>
    <row r="2686" spans="1:33">
      <c r="A2686" t="s">
        <v>9784</v>
      </c>
      <c r="B2686" t="s">
        <v>9785</v>
      </c>
      <c r="D2686" t="s">
        <v>40</v>
      </c>
      <c r="E2686" t="s">
        <v>41</v>
      </c>
      <c r="J2686" t="s">
        <v>290</v>
      </c>
      <c r="K2686" t="s">
        <v>291</v>
      </c>
      <c r="L2686">
        <v>5</v>
      </c>
      <c r="M2686" t="s">
        <v>9776</v>
      </c>
      <c r="N2686" t="s">
        <v>59</v>
      </c>
      <c r="O2686" t="s">
        <v>47</v>
      </c>
      <c r="P2686" t="s">
        <v>47</v>
      </c>
      <c r="Y2686" t="s">
        <v>9786</v>
      </c>
      <c r="AG2686" t="s">
        <v>48</v>
      </c>
    </row>
    <row r="2687" spans="1:33">
      <c r="A2687" t="s">
        <v>9787</v>
      </c>
      <c r="B2687" t="s">
        <v>9788</v>
      </c>
      <c r="D2687" t="s">
        <v>40</v>
      </c>
      <c r="E2687" t="s">
        <v>41</v>
      </c>
      <c r="J2687" t="s">
        <v>270</v>
      </c>
      <c r="K2687" t="s">
        <v>271</v>
      </c>
      <c r="L2687">
        <v>5</v>
      </c>
      <c r="M2687" t="s">
        <v>9789</v>
      </c>
      <c r="N2687" t="s">
        <v>59</v>
      </c>
      <c r="O2687" t="s">
        <v>47</v>
      </c>
      <c r="P2687" t="s">
        <v>47</v>
      </c>
      <c r="Y2687" t="s">
        <v>9790</v>
      </c>
      <c r="AG2687" t="s">
        <v>48</v>
      </c>
    </row>
    <row r="2688" spans="1:33">
      <c r="A2688" t="s">
        <v>9791</v>
      </c>
      <c r="B2688" t="s">
        <v>9792</v>
      </c>
      <c r="D2688" t="s">
        <v>40</v>
      </c>
      <c r="E2688" t="s">
        <v>41</v>
      </c>
      <c r="J2688" t="s">
        <v>162</v>
      </c>
      <c r="K2688" t="s">
        <v>163</v>
      </c>
      <c r="L2688">
        <v>5</v>
      </c>
      <c r="M2688" t="s">
        <v>9793</v>
      </c>
      <c r="N2688" t="s">
        <v>59</v>
      </c>
      <c r="O2688" t="s">
        <v>47</v>
      </c>
      <c r="P2688" t="s">
        <v>47</v>
      </c>
      <c r="Y2688" t="s">
        <v>9794</v>
      </c>
      <c r="AG2688" t="s">
        <v>48</v>
      </c>
    </row>
    <row r="2689" spans="1:33">
      <c r="A2689" t="s">
        <v>9795</v>
      </c>
      <c r="B2689" t="s">
        <v>9796</v>
      </c>
      <c r="D2689" t="s">
        <v>40</v>
      </c>
      <c r="E2689" t="s">
        <v>41</v>
      </c>
      <c r="J2689" t="s">
        <v>290</v>
      </c>
      <c r="K2689" t="s">
        <v>291</v>
      </c>
      <c r="L2689">
        <v>5</v>
      </c>
      <c r="M2689" t="s">
        <v>9797</v>
      </c>
      <c r="N2689" t="s">
        <v>59</v>
      </c>
      <c r="O2689" t="s">
        <v>47</v>
      </c>
      <c r="P2689" t="s">
        <v>47</v>
      </c>
      <c r="Y2689" t="s">
        <v>9798</v>
      </c>
      <c r="AG2689" t="s">
        <v>48</v>
      </c>
    </row>
    <row r="2690" spans="1:33">
      <c r="A2690" t="s">
        <v>9799</v>
      </c>
      <c r="B2690" t="s">
        <v>9800</v>
      </c>
      <c r="D2690" t="s">
        <v>40</v>
      </c>
      <c r="E2690" t="s">
        <v>41</v>
      </c>
      <c r="J2690" t="s">
        <v>129</v>
      </c>
      <c r="K2690" t="s">
        <v>130</v>
      </c>
      <c r="L2690">
        <v>5</v>
      </c>
      <c r="M2690" t="s">
        <v>9797</v>
      </c>
      <c r="N2690" t="s">
        <v>46</v>
      </c>
      <c r="O2690" t="s">
        <v>47</v>
      </c>
      <c r="P2690" t="s">
        <v>47</v>
      </c>
      <c r="Y2690" t="s">
        <v>9801</v>
      </c>
      <c r="AG2690" t="s">
        <v>48</v>
      </c>
    </row>
    <row r="2691" spans="1:33">
      <c r="A2691" t="s">
        <v>9802</v>
      </c>
      <c r="B2691" t="s">
        <v>9803</v>
      </c>
      <c r="D2691" t="s">
        <v>40</v>
      </c>
      <c r="E2691" t="s">
        <v>41</v>
      </c>
      <c r="J2691" t="s">
        <v>162</v>
      </c>
      <c r="K2691" t="s">
        <v>163</v>
      </c>
      <c r="L2691">
        <v>5</v>
      </c>
      <c r="M2691" t="s">
        <v>9804</v>
      </c>
      <c r="N2691" t="s">
        <v>59</v>
      </c>
      <c r="O2691" t="s">
        <v>47</v>
      </c>
      <c r="P2691" t="s">
        <v>47</v>
      </c>
      <c r="Y2691" t="s">
        <v>9805</v>
      </c>
      <c r="AG2691" t="s">
        <v>48</v>
      </c>
    </row>
    <row r="2692" spans="1:33">
      <c r="A2692" t="s">
        <v>9806</v>
      </c>
      <c r="B2692" t="s">
        <v>9807</v>
      </c>
      <c r="D2692" t="s">
        <v>40</v>
      </c>
      <c r="E2692" t="s">
        <v>41</v>
      </c>
      <c r="H2692" t="s">
        <v>9808</v>
      </c>
      <c r="J2692" t="s">
        <v>63</v>
      </c>
      <c r="K2692" t="s">
        <v>64</v>
      </c>
      <c r="L2692">
        <v>5</v>
      </c>
      <c r="M2692" t="s">
        <v>9809</v>
      </c>
      <c r="N2692" t="s">
        <v>59</v>
      </c>
      <c r="O2692" t="s">
        <v>47</v>
      </c>
      <c r="P2692" t="s">
        <v>47</v>
      </c>
      <c r="Y2692" t="s">
        <v>9808</v>
      </c>
      <c r="AG2692" t="s">
        <v>48</v>
      </c>
    </row>
    <row r="2693" spans="1:33">
      <c r="A2693" t="s">
        <v>9810</v>
      </c>
      <c r="B2693" t="s">
        <v>9811</v>
      </c>
      <c r="D2693" t="s">
        <v>40</v>
      </c>
      <c r="E2693" t="s">
        <v>41</v>
      </c>
      <c r="J2693" t="s">
        <v>108</v>
      </c>
      <c r="K2693" t="s">
        <v>109</v>
      </c>
      <c r="L2693">
        <v>5</v>
      </c>
      <c r="M2693" t="s">
        <v>9812</v>
      </c>
      <c r="N2693" t="s">
        <v>59</v>
      </c>
      <c r="O2693" t="s">
        <v>47</v>
      </c>
      <c r="P2693" t="s">
        <v>47</v>
      </c>
      <c r="Y2693" t="s">
        <v>9813</v>
      </c>
      <c r="AG2693" t="s">
        <v>48</v>
      </c>
    </row>
    <row r="2694" spans="1:33">
      <c r="A2694" t="s">
        <v>9814</v>
      </c>
      <c r="B2694" t="s">
        <v>9815</v>
      </c>
      <c r="D2694" t="s">
        <v>40</v>
      </c>
      <c r="E2694" t="s">
        <v>41</v>
      </c>
      <c r="H2694" t="s">
        <v>9816</v>
      </c>
      <c r="J2694" t="s">
        <v>290</v>
      </c>
      <c r="K2694" t="s">
        <v>291</v>
      </c>
      <c r="L2694">
        <v>5</v>
      </c>
      <c r="M2694" t="s">
        <v>9812</v>
      </c>
      <c r="N2694" t="s">
        <v>59</v>
      </c>
      <c r="O2694" t="s">
        <v>47</v>
      </c>
      <c r="P2694" t="s">
        <v>47</v>
      </c>
      <c r="Y2694" t="s">
        <v>9816</v>
      </c>
      <c r="AG2694" t="s">
        <v>48</v>
      </c>
    </row>
    <row r="2695" spans="1:33">
      <c r="A2695" t="s">
        <v>9817</v>
      </c>
      <c r="B2695" t="s">
        <v>9818</v>
      </c>
      <c r="D2695" t="s">
        <v>40</v>
      </c>
      <c r="E2695" t="s">
        <v>41</v>
      </c>
      <c r="J2695" t="s">
        <v>290</v>
      </c>
      <c r="K2695" t="s">
        <v>291</v>
      </c>
      <c r="L2695">
        <v>5</v>
      </c>
      <c r="M2695" t="s">
        <v>9812</v>
      </c>
      <c r="N2695" t="s">
        <v>59</v>
      </c>
      <c r="O2695" t="s">
        <v>47</v>
      </c>
      <c r="P2695" t="s">
        <v>47</v>
      </c>
      <c r="Y2695" t="s">
        <v>9819</v>
      </c>
      <c r="AG2695" t="s">
        <v>48</v>
      </c>
    </row>
    <row r="2696" spans="1:33">
      <c r="A2696" t="s">
        <v>9820</v>
      </c>
      <c r="B2696" t="s">
        <v>9821</v>
      </c>
      <c r="D2696" t="s">
        <v>40</v>
      </c>
      <c r="E2696" t="s">
        <v>41</v>
      </c>
      <c r="J2696" t="s">
        <v>290</v>
      </c>
      <c r="K2696" t="s">
        <v>291</v>
      </c>
      <c r="L2696">
        <v>5</v>
      </c>
      <c r="M2696" t="s">
        <v>9812</v>
      </c>
      <c r="N2696" t="s">
        <v>59</v>
      </c>
      <c r="O2696" t="s">
        <v>47</v>
      </c>
      <c r="P2696" t="s">
        <v>47</v>
      </c>
      <c r="Y2696" t="s">
        <v>9822</v>
      </c>
      <c r="AG2696" t="s">
        <v>48</v>
      </c>
    </row>
    <row r="2697" spans="1:33">
      <c r="A2697" t="s">
        <v>9823</v>
      </c>
      <c r="B2697" t="s">
        <v>9824</v>
      </c>
      <c r="D2697" t="s">
        <v>40</v>
      </c>
      <c r="E2697" t="s">
        <v>41</v>
      </c>
      <c r="H2697" t="s">
        <v>9825</v>
      </c>
      <c r="J2697" t="s">
        <v>63</v>
      </c>
      <c r="K2697" t="s">
        <v>64</v>
      </c>
      <c r="L2697">
        <v>5</v>
      </c>
      <c r="M2697" t="s">
        <v>9826</v>
      </c>
      <c r="N2697" t="s">
        <v>59</v>
      </c>
      <c r="O2697" t="s">
        <v>47</v>
      </c>
      <c r="P2697" t="s">
        <v>47</v>
      </c>
      <c r="Y2697" t="s">
        <v>9825</v>
      </c>
      <c r="AG2697" t="s">
        <v>48</v>
      </c>
    </row>
    <row r="2698" spans="1:33">
      <c r="A2698" t="s">
        <v>9827</v>
      </c>
      <c r="B2698" t="s">
        <v>9828</v>
      </c>
      <c r="D2698" t="s">
        <v>40</v>
      </c>
      <c r="E2698" t="s">
        <v>41</v>
      </c>
      <c r="J2698" t="s">
        <v>270</v>
      </c>
      <c r="K2698" t="s">
        <v>271</v>
      </c>
      <c r="L2698">
        <v>5</v>
      </c>
      <c r="M2698" t="s">
        <v>9829</v>
      </c>
      <c r="N2698" t="s">
        <v>59</v>
      </c>
      <c r="O2698" t="s">
        <v>47</v>
      </c>
      <c r="P2698" t="s">
        <v>47</v>
      </c>
      <c r="Y2698" t="s">
        <v>9830</v>
      </c>
      <c r="AG2698" t="s">
        <v>48</v>
      </c>
    </row>
    <row r="2699" spans="1:33">
      <c r="A2699" t="s">
        <v>9831</v>
      </c>
      <c r="B2699" t="s">
        <v>9832</v>
      </c>
      <c r="D2699" t="s">
        <v>40</v>
      </c>
      <c r="E2699" t="s">
        <v>41</v>
      </c>
      <c r="J2699" t="s">
        <v>162</v>
      </c>
      <c r="K2699" t="s">
        <v>163</v>
      </c>
      <c r="L2699">
        <v>5</v>
      </c>
      <c r="M2699" t="s">
        <v>9829</v>
      </c>
      <c r="N2699" t="s">
        <v>59</v>
      </c>
      <c r="O2699" t="s">
        <v>47</v>
      </c>
      <c r="P2699" t="s">
        <v>47</v>
      </c>
      <c r="Y2699" t="s">
        <v>9833</v>
      </c>
      <c r="AG2699" t="s">
        <v>48</v>
      </c>
    </row>
    <row r="2700" spans="1:33">
      <c r="A2700" t="s">
        <v>9834</v>
      </c>
      <c r="B2700" t="s">
        <v>9835</v>
      </c>
      <c r="D2700" t="s">
        <v>40</v>
      </c>
      <c r="E2700" t="s">
        <v>41</v>
      </c>
      <c r="J2700" t="s">
        <v>290</v>
      </c>
      <c r="K2700" t="s">
        <v>291</v>
      </c>
      <c r="L2700">
        <v>5</v>
      </c>
      <c r="M2700" t="s">
        <v>9836</v>
      </c>
      <c r="N2700" t="s">
        <v>59</v>
      </c>
      <c r="O2700" t="s">
        <v>47</v>
      </c>
      <c r="P2700" t="s">
        <v>47</v>
      </c>
      <c r="Y2700" t="s">
        <v>9837</v>
      </c>
      <c r="AG2700" t="s">
        <v>48</v>
      </c>
    </row>
    <row r="2701" spans="1:33">
      <c r="A2701" t="s">
        <v>9838</v>
      </c>
      <c r="B2701" t="s">
        <v>9839</v>
      </c>
      <c r="D2701" t="s">
        <v>40</v>
      </c>
      <c r="E2701" t="s">
        <v>41</v>
      </c>
      <c r="J2701" t="s">
        <v>108</v>
      </c>
      <c r="K2701" t="s">
        <v>109</v>
      </c>
      <c r="L2701">
        <v>5</v>
      </c>
      <c r="M2701" t="s">
        <v>9836</v>
      </c>
      <c r="N2701" t="s">
        <v>59</v>
      </c>
      <c r="O2701" t="s">
        <v>47</v>
      </c>
      <c r="P2701" t="s">
        <v>47</v>
      </c>
      <c r="Y2701" t="s">
        <v>9840</v>
      </c>
      <c r="AG2701" t="s">
        <v>48</v>
      </c>
    </row>
    <row r="2702" spans="1:33">
      <c r="A2702" t="s">
        <v>9841</v>
      </c>
      <c r="B2702" t="s">
        <v>9842</v>
      </c>
      <c r="D2702" t="s">
        <v>40</v>
      </c>
      <c r="E2702" t="s">
        <v>41</v>
      </c>
      <c r="J2702" t="s">
        <v>108</v>
      </c>
      <c r="K2702" t="s">
        <v>109</v>
      </c>
      <c r="L2702">
        <v>5</v>
      </c>
      <c r="M2702" t="s">
        <v>9836</v>
      </c>
      <c r="N2702" t="s">
        <v>59</v>
      </c>
      <c r="O2702" t="s">
        <v>47</v>
      </c>
      <c r="P2702" t="s">
        <v>47</v>
      </c>
      <c r="Y2702" t="s">
        <v>9843</v>
      </c>
      <c r="AG2702" t="s">
        <v>48</v>
      </c>
    </row>
    <row r="2703" spans="1:33">
      <c r="A2703" t="s">
        <v>9844</v>
      </c>
      <c r="B2703" t="s">
        <v>9845</v>
      </c>
      <c r="D2703" t="s">
        <v>40</v>
      </c>
      <c r="E2703" t="s">
        <v>41</v>
      </c>
      <c r="H2703" t="s">
        <v>9846</v>
      </c>
      <c r="J2703" t="s">
        <v>290</v>
      </c>
      <c r="K2703" t="s">
        <v>291</v>
      </c>
      <c r="L2703">
        <v>5</v>
      </c>
      <c r="M2703" t="s">
        <v>9847</v>
      </c>
      <c r="N2703" t="s">
        <v>59</v>
      </c>
      <c r="O2703" t="s">
        <v>47</v>
      </c>
      <c r="P2703" t="s">
        <v>47</v>
      </c>
      <c r="Y2703" t="s">
        <v>9846</v>
      </c>
      <c r="AG2703" t="s">
        <v>48</v>
      </c>
    </row>
    <row r="2704" spans="1:33">
      <c r="A2704" t="s">
        <v>9848</v>
      </c>
      <c r="B2704" t="s">
        <v>9849</v>
      </c>
      <c r="D2704" t="s">
        <v>40</v>
      </c>
      <c r="E2704" t="s">
        <v>41</v>
      </c>
      <c r="J2704" t="s">
        <v>162</v>
      </c>
      <c r="K2704" t="s">
        <v>163</v>
      </c>
      <c r="L2704">
        <v>5</v>
      </c>
      <c r="M2704" t="s">
        <v>9847</v>
      </c>
      <c r="N2704" t="s">
        <v>59</v>
      </c>
      <c r="O2704" t="s">
        <v>47</v>
      </c>
      <c r="P2704" t="s">
        <v>47</v>
      </c>
      <c r="Y2704" t="s">
        <v>9850</v>
      </c>
      <c r="AG2704" t="s">
        <v>48</v>
      </c>
    </row>
    <row r="2705" spans="1:33">
      <c r="A2705" t="s">
        <v>9851</v>
      </c>
      <c r="B2705" t="s">
        <v>9852</v>
      </c>
      <c r="D2705" t="s">
        <v>40</v>
      </c>
      <c r="E2705" t="s">
        <v>41</v>
      </c>
      <c r="J2705" t="s">
        <v>270</v>
      </c>
      <c r="K2705" t="s">
        <v>271</v>
      </c>
      <c r="L2705">
        <v>5</v>
      </c>
      <c r="M2705" t="s">
        <v>9853</v>
      </c>
      <c r="N2705" t="s">
        <v>59</v>
      </c>
      <c r="O2705" t="s">
        <v>47</v>
      </c>
      <c r="P2705" t="s">
        <v>47</v>
      </c>
      <c r="Y2705" t="s">
        <v>9854</v>
      </c>
      <c r="AG2705" t="s">
        <v>48</v>
      </c>
    </row>
    <row r="2706" spans="1:33">
      <c r="A2706" t="s">
        <v>9855</v>
      </c>
      <c r="B2706" t="s">
        <v>9856</v>
      </c>
      <c r="D2706" t="s">
        <v>40</v>
      </c>
      <c r="E2706" t="s">
        <v>41</v>
      </c>
      <c r="J2706" t="s">
        <v>108</v>
      </c>
      <c r="K2706" t="s">
        <v>109</v>
      </c>
      <c r="L2706">
        <v>5</v>
      </c>
      <c r="M2706" t="s">
        <v>9857</v>
      </c>
      <c r="N2706" t="s">
        <v>59</v>
      </c>
      <c r="O2706" t="s">
        <v>47</v>
      </c>
      <c r="P2706" t="s">
        <v>47</v>
      </c>
      <c r="Y2706" t="s">
        <v>9858</v>
      </c>
      <c r="AG2706" t="s">
        <v>48</v>
      </c>
    </row>
    <row r="2707" spans="1:33">
      <c r="A2707" t="s">
        <v>9859</v>
      </c>
      <c r="B2707" t="s">
        <v>9860</v>
      </c>
      <c r="D2707" t="s">
        <v>40</v>
      </c>
      <c r="E2707" t="s">
        <v>41</v>
      </c>
      <c r="J2707" t="s">
        <v>162</v>
      </c>
      <c r="K2707" t="s">
        <v>163</v>
      </c>
      <c r="L2707">
        <v>5</v>
      </c>
      <c r="M2707" t="s">
        <v>9857</v>
      </c>
      <c r="N2707" t="s">
        <v>59</v>
      </c>
      <c r="O2707" t="s">
        <v>47</v>
      </c>
      <c r="P2707" t="s">
        <v>47</v>
      </c>
      <c r="Y2707" t="s">
        <v>9861</v>
      </c>
      <c r="AG2707" t="s">
        <v>48</v>
      </c>
    </row>
    <row r="2708" spans="1:33">
      <c r="A2708" t="s">
        <v>9862</v>
      </c>
      <c r="B2708" t="s">
        <v>9863</v>
      </c>
      <c r="D2708" t="s">
        <v>40</v>
      </c>
      <c r="E2708" t="s">
        <v>41</v>
      </c>
      <c r="H2708" t="s">
        <v>9864</v>
      </c>
      <c r="J2708" t="s">
        <v>290</v>
      </c>
      <c r="K2708" t="s">
        <v>291</v>
      </c>
      <c r="L2708">
        <v>5</v>
      </c>
      <c r="M2708" t="s">
        <v>9865</v>
      </c>
      <c r="N2708" t="s">
        <v>59</v>
      </c>
      <c r="O2708" t="s">
        <v>47</v>
      </c>
      <c r="P2708" t="s">
        <v>47</v>
      </c>
      <c r="Y2708" t="s">
        <v>9864</v>
      </c>
      <c r="AG2708" t="s">
        <v>48</v>
      </c>
    </row>
    <row r="2709" spans="1:33">
      <c r="A2709" t="s">
        <v>9866</v>
      </c>
      <c r="B2709" t="s">
        <v>9867</v>
      </c>
      <c r="D2709" t="s">
        <v>40</v>
      </c>
      <c r="E2709" t="s">
        <v>41</v>
      </c>
      <c r="J2709" t="s">
        <v>270</v>
      </c>
      <c r="K2709" t="s">
        <v>271</v>
      </c>
      <c r="L2709">
        <v>5</v>
      </c>
      <c r="M2709" t="s">
        <v>9865</v>
      </c>
      <c r="N2709" t="s">
        <v>59</v>
      </c>
      <c r="O2709" t="s">
        <v>47</v>
      </c>
      <c r="P2709" t="s">
        <v>47</v>
      </c>
      <c r="Y2709" t="s">
        <v>9868</v>
      </c>
      <c r="AG2709" t="s">
        <v>48</v>
      </c>
    </row>
    <row r="2710" spans="1:33">
      <c r="A2710" t="s">
        <v>9869</v>
      </c>
      <c r="B2710" t="s">
        <v>9870</v>
      </c>
      <c r="D2710" t="s">
        <v>40</v>
      </c>
      <c r="E2710" t="s">
        <v>41</v>
      </c>
      <c r="J2710" t="s">
        <v>290</v>
      </c>
      <c r="K2710" t="s">
        <v>291</v>
      </c>
      <c r="L2710">
        <v>5</v>
      </c>
      <c r="M2710" t="s">
        <v>9871</v>
      </c>
      <c r="N2710" t="s">
        <v>59</v>
      </c>
      <c r="O2710" t="s">
        <v>47</v>
      </c>
      <c r="P2710" t="s">
        <v>47</v>
      </c>
      <c r="Y2710" t="s">
        <v>9872</v>
      </c>
      <c r="AG2710" t="s">
        <v>48</v>
      </c>
    </row>
    <row r="2711" spans="1:33">
      <c r="A2711" t="s">
        <v>9873</v>
      </c>
      <c r="B2711" t="s">
        <v>9874</v>
      </c>
      <c r="D2711" t="s">
        <v>40</v>
      </c>
      <c r="E2711" t="s">
        <v>41</v>
      </c>
      <c r="J2711" t="s">
        <v>290</v>
      </c>
      <c r="K2711" t="s">
        <v>291</v>
      </c>
      <c r="L2711">
        <v>5</v>
      </c>
      <c r="M2711" t="s">
        <v>9875</v>
      </c>
      <c r="N2711" t="s">
        <v>59</v>
      </c>
      <c r="O2711" t="s">
        <v>47</v>
      </c>
      <c r="P2711" t="s">
        <v>47</v>
      </c>
      <c r="Y2711" t="s">
        <v>9876</v>
      </c>
      <c r="AG2711" t="s">
        <v>48</v>
      </c>
    </row>
    <row r="2712" spans="1:33">
      <c r="A2712" t="s">
        <v>9877</v>
      </c>
      <c r="B2712" t="s">
        <v>9878</v>
      </c>
      <c r="D2712" t="s">
        <v>40</v>
      </c>
      <c r="E2712" t="s">
        <v>41</v>
      </c>
      <c r="J2712" t="s">
        <v>290</v>
      </c>
      <c r="K2712" t="s">
        <v>291</v>
      </c>
      <c r="L2712">
        <v>5</v>
      </c>
      <c r="M2712" t="s">
        <v>9875</v>
      </c>
      <c r="N2712" t="s">
        <v>59</v>
      </c>
      <c r="O2712" t="s">
        <v>47</v>
      </c>
      <c r="P2712" t="s">
        <v>47</v>
      </c>
      <c r="Y2712" t="s">
        <v>9879</v>
      </c>
      <c r="AG2712" t="s">
        <v>48</v>
      </c>
    </row>
    <row r="2713" spans="1:33">
      <c r="A2713" t="s">
        <v>9880</v>
      </c>
      <c r="B2713" t="s">
        <v>9881</v>
      </c>
      <c r="D2713" t="s">
        <v>40</v>
      </c>
      <c r="E2713" t="s">
        <v>41</v>
      </c>
      <c r="H2713" t="s">
        <v>9882</v>
      </c>
      <c r="J2713" t="s">
        <v>215</v>
      </c>
      <c r="K2713" t="s">
        <v>216</v>
      </c>
      <c r="L2713">
        <v>5</v>
      </c>
      <c r="M2713" t="s">
        <v>9883</v>
      </c>
      <c r="N2713" t="s">
        <v>46</v>
      </c>
      <c r="O2713" t="s">
        <v>47</v>
      </c>
      <c r="P2713" t="s">
        <v>47</v>
      </c>
      <c r="Y2713" t="s">
        <v>9882</v>
      </c>
      <c r="AG2713" t="s">
        <v>48</v>
      </c>
    </row>
    <row r="2714" spans="1:33">
      <c r="A2714" t="s">
        <v>9884</v>
      </c>
      <c r="B2714" t="s">
        <v>9885</v>
      </c>
      <c r="D2714" t="s">
        <v>40</v>
      </c>
      <c r="E2714" t="s">
        <v>41</v>
      </c>
      <c r="H2714" t="s">
        <v>9886</v>
      </c>
      <c r="J2714" t="s">
        <v>63</v>
      </c>
      <c r="K2714" t="s">
        <v>64</v>
      </c>
      <c r="L2714">
        <v>5</v>
      </c>
      <c r="M2714" t="s">
        <v>9887</v>
      </c>
      <c r="N2714" t="s">
        <v>59</v>
      </c>
      <c r="O2714" t="s">
        <v>47</v>
      </c>
      <c r="P2714" t="s">
        <v>47</v>
      </c>
      <c r="Y2714" t="s">
        <v>9886</v>
      </c>
      <c r="AG2714" t="s">
        <v>48</v>
      </c>
    </row>
    <row r="2715" spans="1:33">
      <c r="A2715" t="s">
        <v>9888</v>
      </c>
      <c r="B2715" t="s">
        <v>9889</v>
      </c>
      <c r="D2715" t="s">
        <v>40</v>
      </c>
      <c r="E2715" t="s">
        <v>41</v>
      </c>
      <c r="J2715" t="s">
        <v>108</v>
      </c>
      <c r="K2715" t="s">
        <v>109</v>
      </c>
      <c r="L2715">
        <v>5</v>
      </c>
      <c r="M2715" t="s">
        <v>9890</v>
      </c>
      <c r="N2715" t="s">
        <v>59</v>
      </c>
      <c r="O2715" t="s">
        <v>47</v>
      </c>
      <c r="P2715" t="s">
        <v>47</v>
      </c>
      <c r="Y2715" t="s">
        <v>9891</v>
      </c>
      <c r="AG2715" t="s">
        <v>48</v>
      </c>
    </row>
    <row r="2716" spans="1:33">
      <c r="A2716" t="s">
        <v>9892</v>
      </c>
      <c r="B2716" t="s">
        <v>9893</v>
      </c>
      <c r="D2716" t="s">
        <v>40</v>
      </c>
      <c r="E2716" t="s">
        <v>41</v>
      </c>
      <c r="J2716" t="s">
        <v>129</v>
      </c>
      <c r="K2716" t="s">
        <v>130</v>
      </c>
      <c r="L2716">
        <v>5</v>
      </c>
      <c r="M2716" t="s">
        <v>9890</v>
      </c>
      <c r="N2716" t="s">
        <v>46</v>
      </c>
      <c r="O2716" t="s">
        <v>47</v>
      </c>
      <c r="P2716" t="s">
        <v>47</v>
      </c>
      <c r="Y2716" t="s">
        <v>9894</v>
      </c>
      <c r="AG2716" t="s">
        <v>48</v>
      </c>
    </row>
    <row r="2717" spans="1:33">
      <c r="A2717" t="s">
        <v>9895</v>
      </c>
      <c r="B2717" t="s">
        <v>9896</v>
      </c>
      <c r="D2717" t="s">
        <v>40</v>
      </c>
      <c r="E2717" t="s">
        <v>41</v>
      </c>
      <c r="H2717" t="s">
        <v>9897</v>
      </c>
      <c r="J2717" t="s">
        <v>108</v>
      </c>
      <c r="K2717" t="s">
        <v>109</v>
      </c>
      <c r="L2717">
        <v>5</v>
      </c>
      <c r="M2717" t="s">
        <v>9898</v>
      </c>
      <c r="N2717" t="s">
        <v>59</v>
      </c>
      <c r="O2717" t="s">
        <v>47</v>
      </c>
      <c r="P2717" t="s">
        <v>47</v>
      </c>
      <c r="Y2717" t="s">
        <v>9897</v>
      </c>
      <c r="AG2717" t="s">
        <v>48</v>
      </c>
    </row>
    <row r="2718" spans="1:33">
      <c r="A2718" t="s">
        <v>9899</v>
      </c>
      <c r="B2718" t="s">
        <v>9900</v>
      </c>
      <c r="D2718" t="s">
        <v>40</v>
      </c>
      <c r="E2718" t="s">
        <v>41</v>
      </c>
      <c r="J2718" t="s">
        <v>290</v>
      </c>
      <c r="K2718" t="s">
        <v>291</v>
      </c>
      <c r="L2718">
        <v>5</v>
      </c>
      <c r="M2718" t="s">
        <v>9898</v>
      </c>
      <c r="N2718" t="s">
        <v>59</v>
      </c>
      <c r="O2718" t="s">
        <v>47</v>
      </c>
      <c r="P2718" t="s">
        <v>47</v>
      </c>
      <c r="Y2718" t="s">
        <v>9901</v>
      </c>
      <c r="AG2718" t="s">
        <v>48</v>
      </c>
    </row>
    <row r="2719" spans="1:33">
      <c r="A2719" t="s">
        <v>9902</v>
      </c>
      <c r="B2719" t="s">
        <v>9903</v>
      </c>
      <c r="D2719" t="s">
        <v>40</v>
      </c>
      <c r="E2719" t="s">
        <v>41</v>
      </c>
      <c r="J2719" t="s">
        <v>162</v>
      </c>
      <c r="K2719" t="s">
        <v>163</v>
      </c>
      <c r="L2719">
        <v>5</v>
      </c>
      <c r="M2719" t="s">
        <v>9898</v>
      </c>
      <c r="N2719" t="s">
        <v>59</v>
      </c>
      <c r="O2719" t="s">
        <v>47</v>
      </c>
      <c r="P2719" t="s">
        <v>47</v>
      </c>
      <c r="Y2719" t="s">
        <v>9904</v>
      </c>
      <c r="AG2719" t="s">
        <v>48</v>
      </c>
    </row>
    <row r="2720" spans="1:33">
      <c r="A2720" t="s">
        <v>9905</v>
      </c>
      <c r="B2720" t="s">
        <v>9906</v>
      </c>
      <c r="D2720" t="s">
        <v>40</v>
      </c>
      <c r="E2720" t="s">
        <v>41</v>
      </c>
      <c r="J2720" t="s">
        <v>129</v>
      </c>
      <c r="K2720" t="s">
        <v>130</v>
      </c>
      <c r="L2720">
        <v>5</v>
      </c>
      <c r="M2720" t="s">
        <v>9907</v>
      </c>
      <c r="N2720" t="s">
        <v>46</v>
      </c>
      <c r="O2720" t="s">
        <v>47</v>
      </c>
      <c r="P2720" t="s">
        <v>47</v>
      </c>
      <c r="Y2720" t="s">
        <v>9908</v>
      </c>
      <c r="AG2720" t="s">
        <v>48</v>
      </c>
    </row>
    <row r="2721" spans="1:33">
      <c r="A2721" t="s">
        <v>9909</v>
      </c>
      <c r="B2721" t="s">
        <v>9910</v>
      </c>
      <c r="D2721" t="s">
        <v>40</v>
      </c>
      <c r="E2721" t="s">
        <v>41</v>
      </c>
      <c r="J2721" t="s">
        <v>290</v>
      </c>
      <c r="K2721" t="s">
        <v>291</v>
      </c>
      <c r="L2721">
        <v>5</v>
      </c>
      <c r="M2721" t="s">
        <v>9911</v>
      </c>
      <c r="N2721" t="s">
        <v>59</v>
      </c>
      <c r="O2721" t="s">
        <v>47</v>
      </c>
      <c r="P2721" t="s">
        <v>47</v>
      </c>
      <c r="Y2721" t="s">
        <v>9912</v>
      </c>
      <c r="AG2721" t="s">
        <v>48</v>
      </c>
    </row>
    <row r="2722" spans="1:33">
      <c r="A2722" t="s">
        <v>9913</v>
      </c>
      <c r="B2722" t="s">
        <v>9914</v>
      </c>
      <c r="D2722" t="s">
        <v>40</v>
      </c>
      <c r="E2722" t="s">
        <v>41</v>
      </c>
      <c r="J2722" t="s">
        <v>270</v>
      </c>
      <c r="K2722" t="s">
        <v>271</v>
      </c>
      <c r="L2722">
        <v>5</v>
      </c>
      <c r="M2722" t="s">
        <v>9915</v>
      </c>
      <c r="N2722" t="s">
        <v>59</v>
      </c>
      <c r="O2722" t="s">
        <v>47</v>
      </c>
      <c r="P2722" t="s">
        <v>47</v>
      </c>
      <c r="Y2722" t="s">
        <v>9916</v>
      </c>
      <c r="AG2722" t="s">
        <v>48</v>
      </c>
    </row>
    <row r="2723" spans="1:33">
      <c r="A2723" t="s">
        <v>9917</v>
      </c>
      <c r="B2723" t="s">
        <v>9918</v>
      </c>
      <c r="D2723" t="s">
        <v>40</v>
      </c>
      <c r="E2723" t="s">
        <v>41</v>
      </c>
      <c r="J2723" t="s">
        <v>290</v>
      </c>
      <c r="K2723" t="s">
        <v>291</v>
      </c>
      <c r="L2723">
        <v>5</v>
      </c>
      <c r="M2723" t="s">
        <v>9919</v>
      </c>
      <c r="N2723" t="s">
        <v>59</v>
      </c>
      <c r="O2723" t="s">
        <v>47</v>
      </c>
      <c r="P2723" t="s">
        <v>47</v>
      </c>
      <c r="Y2723" t="s">
        <v>9920</v>
      </c>
      <c r="AG2723" t="s">
        <v>48</v>
      </c>
    </row>
    <row r="2724" spans="1:33">
      <c r="A2724" t="s">
        <v>9921</v>
      </c>
      <c r="B2724" t="s">
        <v>9922</v>
      </c>
      <c r="D2724" t="s">
        <v>40</v>
      </c>
      <c r="E2724" t="s">
        <v>41</v>
      </c>
      <c r="J2724" t="s">
        <v>290</v>
      </c>
      <c r="K2724" t="s">
        <v>291</v>
      </c>
      <c r="L2724">
        <v>5</v>
      </c>
      <c r="M2724" t="s">
        <v>9923</v>
      </c>
      <c r="N2724" t="s">
        <v>59</v>
      </c>
      <c r="O2724" t="s">
        <v>47</v>
      </c>
      <c r="P2724" t="s">
        <v>47</v>
      </c>
      <c r="Y2724" t="s">
        <v>9924</v>
      </c>
      <c r="AG2724" t="s">
        <v>48</v>
      </c>
    </row>
    <row r="2725" spans="1:33">
      <c r="A2725" t="s">
        <v>9925</v>
      </c>
      <c r="B2725" t="s">
        <v>9926</v>
      </c>
      <c r="D2725" t="s">
        <v>40</v>
      </c>
      <c r="E2725" t="s">
        <v>41</v>
      </c>
      <c r="H2725" t="s">
        <v>9927</v>
      </c>
      <c r="J2725" t="s">
        <v>63</v>
      </c>
      <c r="K2725" t="s">
        <v>64</v>
      </c>
      <c r="L2725">
        <v>5</v>
      </c>
      <c r="M2725" t="s">
        <v>9928</v>
      </c>
      <c r="N2725" t="s">
        <v>59</v>
      </c>
      <c r="O2725" t="s">
        <v>47</v>
      </c>
      <c r="P2725" t="s">
        <v>47</v>
      </c>
      <c r="Y2725" t="s">
        <v>9927</v>
      </c>
      <c r="AG2725" t="s">
        <v>48</v>
      </c>
    </row>
    <row r="2726" spans="1:33">
      <c r="A2726" t="s">
        <v>9929</v>
      </c>
      <c r="B2726" t="s">
        <v>9930</v>
      </c>
      <c r="D2726" t="s">
        <v>40</v>
      </c>
      <c r="E2726" t="s">
        <v>41</v>
      </c>
      <c r="J2726" t="s">
        <v>270</v>
      </c>
      <c r="K2726" t="s">
        <v>271</v>
      </c>
      <c r="L2726">
        <v>5</v>
      </c>
      <c r="M2726" t="s">
        <v>9931</v>
      </c>
      <c r="N2726" t="s">
        <v>59</v>
      </c>
      <c r="O2726" t="s">
        <v>47</v>
      </c>
      <c r="P2726" t="s">
        <v>47</v>
      </c>
      <c r="Y2726" t="s">
        <v>9932</v>
      </c>
      <c r="AG2726" t="s">
        <v>48</v>
      </c>
    </row>
    <row r="2727" spans="1:33">
      <c r="A2727" t="s">
        <v>117</v>
      </c>
      <c r="B2727" t="s">
        <v>9933</v>
      </c>
      <c r="D2727" t="s">
        <v>40</v>
      </c>
      <c r="E2727" t="s">
        <v>41</v>
      </c>
      <c r="J2727" t="s">
        <v>129</v>
      </c>
      <c r="K2727" t="s">
        <v>130</v>
      </c>
      <c r="L2727">
        <v>5</v>
      </c>
      <c r="M2727" t="s">
        <v>9934</v>
      </c>
      <c r="N2727" t="s">
        <v>46</v>
      </c>
      <c r="O2727" t="s">
        <v>47</v>
      </c>
      <c r="P2727" t="s">
        <v>47</v>
      </c>
      <c r="Y2727" t="s">
        <v>9935</v>
      </c>
      <c r="AG2727" t="s">
        <v>48</v>
      </c>
    </row>
    <row r="2728" spans="1:33">
      <c r="A2728" t="s">
        <v>9936</v>
      </c>
      <c r="B2728" t="s">
        <v>9937</v>
      </c>
      <c r="D2728" t="s">
        <v>40</v>
      </c>
      <c r="E2728" t="s">
        <v>41</v>
      </c>
      <c r="J2728" t="s">
        <v>108</v>
      </c>
      <c r="K2728" t="s">
        <v>109</v>
      </c>
      <c r="L2728">
        <v>5</v>
      </c>
      <c r="M2728" t="s">
        <v>9938</v>
      </c>
      <c r="N2728" t="s">
        <v>59</v>
      </c>
      <c r="O2728" t="s">
        <v>47</v>
      </c>
      <c r="P2728" t="s">
        <v>47</v>
      </c>
      <c r="Y2728" t="s">
        <v>9939</v>
      </c>
      <c r="AG2728" t="s">
        <v>48</v>
      </c>
    </row>
    <row r="2729" spans="1:33">
      <c r="A2729" t="s">
        <v>9940</v>
      </c>
      <c r="B2729" t="s">
        <v>9941</v>
      </c>
      <c r="D2729" t="s">
        <v>40</v>
      </c>
      <c r="E2729" t="s">
        <v>41</v>
      </c>
      <c r="J2729" t="s">
        <v>290</v>
      </c>
      <c r="K2729" t="s">
        <v>291</v>
      </c>
      <c r="L2729">
        <v>5</v>
      </c>
      <c r="M2729" t="s">
        <v>9942</v>
      </c>
      <c r="N2729" t="s">
        <v>59</v>
      </c>
      <c r="O2729" t="s">
        <v>47</v>
      </c>
      <c r="P2729" t="s">
        <v>47</v>
      </c>
      <c r="Y2729" t="s">
        <v>9943</v>
      </c>
      <c r="AG2729" t="s">
        <v>48</v>
      </c>
    </row>
    <row r="2730" spans="1:33">
      <c r="A2730" t="s">
        <v>9944</v>
      </c>
      <c r="B2730" t="s">
        <v>9945</v>
      </c>
      <c r="D2730" t="s">
        <v>40</v>
      </c>
      <c r="E2730" t="s">
        <v>41</v>
      </c>
      <c r="J2730" t="s">
        <v>114</v>
      </c>
      <c r="K2730" t="s">
        <v>115</v>
      </c>
      <c r="L2730">
        <v>5</v>
      </c>
      <c r="M2730" t="s">
        <v>9946</v>
      </c>
      <c r="N2730" t="s">
        <v>59</v>
      </c>
      <c r="O2730" t="s">
        <v>47</v>
      </c>
      <c r="P2730" t="s">
        <v>47</v>
      </c>
      <c r="Y2730" t="s">
        <v>9947</v>
      </c>
      <c r="AG2730" t="s">
        <v>48</v>
      </c>
    </row>
    <row r="2731" spans="1:33">
      <c r="A2731" t="s">
        <v>9948</v>
      </c>
      <c r="B2731" t="s">
        <v>9949</v>
      </c>
      <c r="D2731" t="s">
        <v>40</v>
      </c>
      <c r="E2731" t="s">
        <v>41</v>
      </c>
      <c r="J2731" t="s">
        <v>162</v>
      </c>
      <c r="K2731" t="s">
        <v>163</v>
      </c>
      <c r="L2731">
        <v>5</v>
      </c>
      <c r="M2731" t="s">
        <v>9950</v>
      </c>
      <c r="N2731" t="s">
        <v>59</v>
      </c>
      <c r="O2731" t="s">
        <v>47</v>
      </c>
      <c r="P2731" t="s">
        <v>47</v>
      </c>
      <c r="Y2731" t="s">
        <v>9951</v>
      </c>
      <c r="AG2731" t="s">
        <v>48</v>
      </c>
    </row>
    <row r="2732" spans="1:33">
      <c r="A2732" t="s">
        <v>9952</v>
      </c>
      <c r="B2732" t="s">
        <v>9953</v>
      </c>
      <c r="D2732" t="s">
        <v>40</v>
      </c>
      <c r="E2732" t="s">
        <v>41</v>
      </c>
      <c r="J2732" t="s">
        <v>129</v>
      </c>
      <c r="K2732" t="s">
        <v>130</v>
      </c>
      <c r="L2732">
        <v>5</v>
      </c>
      <c r="M2732" t="s">
        <v>9954</v>
      </c>
      <c r="N2732" t="s">
        <v>218</v>
      </c>
      <c r="O2732" t="s">
        <v>47</v>
      </c>
      <c r="P2732" t="s">
        <v>47</v>
      </c>
      <c r="Y2732" t="s">
        <v>9955</v>
      </c>
      <c r="AG2732" t="s">
        <v>48</v>
      </c>
    </row>
    <row r="2733" spans="1:33">
      <c r="A2733" t="s">
        <v>117</v>
      </c>
      <c r="B2733" t="s">
        <v>9956</v>
      </c>
      <c r="D2733" t="s">
        <v>40</v>
      </c>
      <c r="E2733" t="s">
        <v>41</v>
      </c>
      <c r="J2733" t="s">
        <v>290</v>
      </c>
      <c r="K2733" t="s">
        <v>291</v>
      </c>
      <c r="L2733">
        <v>5</v>
      </c>
      <c r="M2733" t="s">
        <v>9957</v>
      </c>
      <c r="N2733" t="s">
        <v>59</v>
      </c>
      <c r="O2733" t="s">
        <v>47</v>
      </c>
      <c r="P2733" t="s">
        <v>47</v>
      </c>
      <c r="Y2733" t="s">
        <v>9958</v>
      </c>
      <c r="AG2733" t="s">
        <v>48</v>
      </c>
    </row>
    <row r="2734" spans="1:33">
      <c r="A2734" t="s">
        <v>9959</v>
      </c>
      <c r="B2734" t="s">
        <v>9960</v>
      </c>
      <c r="D2734" t="s">
        <v>40</v>
      </c>
      <c r="E2734" t="s">
        <v>41</v>
      </c>
      <c r="J2734" t="s">
        <v>108</v>
      </c>
      <c r="K2734" t="s">
        <v>109</v>
      </c>
      <c r="L2734">
        <v>5</v>
      </c>
      <c r="M2734" t="s">
        <v>9957</v>
      </c>
      <c r="N2734" t="s">
        <v>59</v>
      </c>
      <c r="O2734" t="s">
        <v>47</v>
      </c>
      <c r="P2734" t="s">
        <v>47</v>
      </c>
      <c r="Y2734" t="s">
        <v>9961</v>
      </c>
      <c r="AG2734" t="s">
        <v>48</v>
      </c>
    </row>
    <row r="2735" spans="1:33">
      <c r="A2735" t="s">
        <v>9962</v>
      </c>
      <c r="B2735" t="s">
        <v>9963</v>
      </c>
      <c r="D2735" t="s">
        <v>40</v>
      </c>
      <c r="E2735" t="s">
        <v>41</v>
      </c>
      <c r="J2735" t="s">
        <v>162</v>
      </c>
      <c r="K2735" t="s">
        <v>163</v>
      </c>
      <c r="L2735">
        <v>5</v>
      </c>
      <c r="M2735" t="s">
        <v>9957</v>
      </c>
      <c r="N2735" t="s">
        <v>59</v>
      </c>
      <c r="O2735" t="s">
        <v>47</v>
      </c>
      <c r="P2735" t="s">
        <v>47</v>
      </c>
      <c r="Y2735" t="s">
        <v>9964</v>
      </c>
      <c r="AG2735" t="s">
        <v>48</v>
      </c>
    </row>
    <row r="2736" spans="1:33">
      <c r="A2736" t="s">
        <v>9965</v>
      </c>
      <c r="B2736" t="s">
        <v>9966</v>
      </c>
      <c r="D2736" t="s">
        <v>40</v>
      </c>
      <c r="E2736" t="s">
        <v>41</v>
      </c>
      <c r="J2736" t="s">
        <v>290</v>
      </c>
      <c r="K2736" t="s">
        <v>291</v>
      </c>
      <c r="L2736">
        <v>5</v>
      </c>
      <c r="M2736" t="s">
        <v>9967</v>
      </c>
      <c r="N2736" t="s">
        <v>59</v>
      </c>
      <c r="O2736" t="s">
        <v>47</v>
      </c>
      <c r="P2736" t="s">
        <v>47</v>
      </c>
      <c r="Y2736" t="s">
        <v>9968</v>
      </c>
      <c r="AG2736" t="s">
        <v>48</v>
      </c>
    </row>
    <row r="2737" spans="1:33">
      <c r="A2737" t="s">
        <v>9969</v>
      </c>
      <c r="B2737" t="s">
        <v>9970</v>
      </c>
      <c r="D2737" t="s">
        <v>40</v>
      </c>
      <c r="E2737" t="s">
        <v>41</v>
      </c>
      <c r="J2737" t="s">
        <v>290</v>
      </c>
      <c r="K2737" t="s">
        <v>291</v>
      </c>
      <c r="L2737">
        <v>5</v>
      </c>
      <c r="M2737" t="s">
        <v>9971</v>
      </c>
      <c r="N2737" t="s">
        <v>59</v>
      </c>
      <c r="O2737" t="s">
        <v>47</v>
      </c>
      <c r="P2737" t="s">
        <v>47</v>
      </c>
      <c r="Y2737" t="s">
        <v>9972</v>
      </c>
      <c r="AG2737" t="s">
        <v>48</v>
      </c>
    </row>
    <row r="2738" spans="1:33">
      <c r="A2738" t="s">
        <v>9973</v>
      </c>
      <c r="B2738" t="s">
        <v>9974</v>
      </c>
      <c r="D2738" t="s">
        <v>40</v>
      </c>
      <c r="E2738" t="s">
        <v>41</v>
      </c>
      <c r="J2738" t="s">
        <v>162</v>
      </c>
      <c r="K2738" t="s">
        <v>163</v>
      </c>
      <c r="L2738">
        <v>5</v>
      </c>
      <c r="M2738" t="s">
        <v>9971</v>
      </c>
      <c r="N2738" t="s">
        <v>59</v>
      </c>
      <c r="O2738" t="s">
        <v>47</v>
      </c>
      <c r="P2738" t="s">
        <v>47</v>
      </c>
      <c r="Y2738" t="s">
        <v>9975</v>
      </c>
      <c r="AG2738" t="s">
        <v>48</v>
      </c>
    </row>
    <row r="2739" spans="1:33">
      <c r="A2739" t="s">
        <v>9976</v>
      </c>
      <c r="B2739" t="s">
        <v>9977</v>
      </c>
      <c r="D2739" t="s">
        <v>40</v>
      </c>
      <c r="E2739" t="s">
        <v>41</v>
      </c>
      <c r="J2739" t="s">
        <v>162</v>
      </c>
      <c r="K2739" t="s">
        <v>163</v>
      </c>
      <c r="L2739">
        <v>5</v>
      </c>
      <c r="M2739" t="s">
        <v>9978</v>
      </c>
      <c r="N2739" t="s">
        <v>59</v>
      </c>
      <c r="O2739" t="s">
        <v>47</v>
      </c>
      <c r="P2739" t="s">
        <v>47</v>
      </c>
      <c r="Y2739" t="s">
        <v>9979</v>
      </c>
      <c r="AG2739" t="s">
        <v>48</v>
      </c>
    </row>
    <row r="2740" spans="1:33">
      <c r="A2740" t="s">
        <v>9980</v>
      </c>
      <c r="B2740" t="s">
        <v>9981</v>
      </c>
      <c r="D2740" t="s">
        <v>40</v>
      </c>
      <c r="E2740" t="s">
        <v>41</v>
      </c>
      <c r="J2740" t="s">
        <v>290</v>
      </c>
      <c r="K2740" t="s">
        <v>291</v>
      </c>
      <c r="L2740">
        <v>5</v>
      </c>
      <c r="M2740" t="s">
        <v>9978</v>
      </c>
      <c r="N2740" t="s">
        <v>59</v>
      </c>
      <c r="O2740" t="s">
        <v>47</v>
      </c>
      <c r="P2740" t="s">
        <v>47</v>
      </c>
      <c r="Y2740" t="s">
        <v>9982</v>
      </c>
      <c r="AG2740" t="s">
        <v>48</v>
      </c>
    </row>
    <row r="2741" spans="1:33">
      <c r="A2741" t="s">
        <v>9983</v>
      </c>
      <c r="B2741" t="s">
        <v>9984</v>
      </c>
      <c r="D2741" t="s">
        <v>40</v>
      </c>
      <c r="E2741" t="s">
        <v>41</v>
      </c>
      <c r="J2741" t="s">
        <v>270</v>
      </c>
      <c r="K2741" t="s">
        <v>271</v>
      </c>
      <c r="L2741">
        <v>5</v>
      </c>
      <c r="M2741" t="s">
        <v>9985</v>
      </c>
      <c r="N2741" t="s">
        <v>59</v>
      </c>
      <c r="O2741" t="s">
        <v>47</v>
      </c>
      <c r="P2741" t="s">
        <v>47</v>
      </c>
      <c r="Y2741" t="s">
        <v>9986</v>
      </c>
      <c r="AG2741" t="s">
        <v>48</v>
      </c>
    </row>
    <row r="2742" spans="1:33">
      <c r="A2742" t="s">
        <v>9987</v>
      </c>
      <c r="B2742" t="s">
        <v>9988</v>
      </c>
      <c r="D2742" t="s">
        <v>40</v>
      </c>
      <c r="E2742" t="s">
        <v>41</v>
      </c>
      <c r="J2742" t="s">
        <v>270</v>
      </c>
      <c r="K2742" t="s">
        <v>271</v>
      </c>
      <c r="L2742">
        <v>5</v>
      </c>
      <c r="M2742" t="s">
        <v>9985</v>
      </c>
      <c r="N2742" t="s">
        <v>59</v>
      </c>
      <c r="O2742" t="s">
        <v>47</v>
      </c>
      <c r="P2742" t="s">
        <v>47</v>
      </c>
      <c r="Y2742" t="s">
        <v>9989</v>
      </c>
      <c r="AG2742" t="s">
        <v>48</v>
      </c>
    </row>
    <row r="2743" spans="1:33">
      <c r="A2743" t="s">
        <v>9990</v>
      </c>
      <c r="B2743" t="s">
        <v>9991</v>
      </c>
      <c r="D2743" t="s">
        <v>40</v>
      </c>
      <c r="E2743" t="s">
        <v>41</v>
      </c>
      <c r="J2743" t="s">
        <v>290</v>
      </c>
      <c r="K2743" t="s">
        <v>291</v>
      </c>
      <c r="L2743">
        <v>5</v>
      </c>
      <c r="M2743" t="s">
        <v>9985</v>
      </c>
      <c r="N2743" t="s">
        <v>59</v>
      </c>
      <c r="O2743" t="s">
        <v>47</v>
      </c>
      <c r="P2743" t="s">
        <v>47</v>
      </c>
      <c r="Y2743" t="s">
        <v>9992</v>
      </c>
      <c r="AG2743" t="s">
        <v>48</v>
      </c>
    </row>
    <row r="2744" spans="1:33">
      <c r="A2744" t="s">
        <v>9993</v>
      </c>
      <c r="B2744" t="s">
        <v>9994</v>
      </c>
      <c r="D2744" t="s">
        <v>40</v>
      </c>
      <c r="E2744" t="s">
        <v>41</v>
      </c>
      <c r="H2744" t="s">
        <v>9995</v>
      </c>
      <c r="J2744" t="s">
        <v>129</v>
      </c>
      <c r="K2744" t="s">
        <v>130</v>
      </c>
      <c r="L2744">
        <v>5</v>
      </c>
      <c r="M2744" t="s">
        <v>9985</v>
      </c>
      <c r="N2744" t="s">
        <v>46</v>
      </c>
      <c r="O2744" t="s">
        <v>47</v>
      </c>
      <c r="P2744" t="s">
        <v>47</v>
      </c>
      <c r="Y2744" t="s">
        <v>9995</v>
      </c>
      <c r="AG2744" t="s">
        <v>48</v>
      </c>
    </row>
    <row r="2745" spans="1:33">
      <c r="A2745" t="s">
        <v>9996</v>
      </c>
      <c r="B2745" t="s">
        <v>9997</v>
      </c>
      <c r="D2745" t="s">
        <v>40</v>
      </c>
      <c r="E2745" t="s">
        <v>41</v>
      </c>
      <c r="J2745" t="s">
        <v>108</v>
      </c>
      <c r="K2745" t="s">
        <v>109</v>
      </c>
      <c r="L2745">
        <v>5</v>
      </c>
      <c r="M2745" t="s">
        <v>9998</v>
      </c>
      <c r="N2745" t="s">
        <v>59</v>
      </c>
      <c r="O2745" t="s">
        <v>47</v>
      </c>
      <c r="P2745" t="s">
        <v>47</v>
      </c>
      <c r="Y2745" t="s">
        <v>9999</v>
      </c>
      <c r="AG2745" t="s">
        <v>48</v>
      </c>
    </row>
    <row r="2746" spans="1:33">
      <c r="A2746" t="s">
        <v>10000</v>
      </c>
      <c r="B2746" t="s">
        <v>10001</v>
      </c>
      <c r="D2746" t="s">
        <v>40</v>
      </c>
      <c r="E2746" t="s">
        <v>41</v>
      </c>
      <c r="J2746" t="s">
        <v>43</v>
      </c>
      <c r="K2746" t="s">
        <v>44</v>
      </c>
      <c r="L2746">
        <v>5</v>
      </c>
      <c r="M2746" t="s">
        <v>10002</v>
      </c>
      <c r="N2746" t="s">
        <v>46</v>
      </c>
      <c r="O2746" t="s">
        <v>47</v>
      </c>
      <c r="P2746" t="s">
        <v>47</v>
      </c>
      <c r="Y2746" t="s">
        <v>10003</v>
      </c>
      <c r="AG2746" t="s">
        <v>48</v>
      </c>
    </row>
    <row r="2747" spans="1:33">
      <c r="A2747" t="s">
        <v>10004</v>
      </c>
      <c r="B2747" t="s">
        <v>10005</v>
      </c>
      <c r="D2747" t="s">
        <v>40</v>
      </c>
      <c r="E2747" t="s">
        <v>41</v>
      </c>
      <c r="J2747" t="s">
        <v>108</v>
      </c>
      <c r="K2747" t="s">
        <v>109</v>
      </c>
      <c r="L2747">
        <v>5</v>
      </c>
      <c r="M2747" t="s">
        <v>10002</v>
      </c>
      <c r="N2747" t="s">
        <v>59</v>
      </c>
      <c r="O2747" t="s">
        <v>47</v>
      </c>
      <c r="P2747" t="s">
        <v>47</v>
      </c>
      <c r="Y2747" t="s">
        <v>10006</v>
      </c>
      <c r="AG2747" t="s">
        <v>48</v>
      </c>
    </row>
    <row r="2748" spans="1:33">
      <c r="A2748" t="s">
        <v>117</v>
      </c>
      <c r="B2748" t="s">
        <v>10007</v>
      </c>
      <c r="D2748" t="s">
        <v>40</v>
      </c>
      <c r="E2748" t="s">
        <v>41</v>
      </c>
      <c r="J2748" t="s">
        <v>114</v>
      </c>
      <c r="K2748" t="s">
        <v>115</v>
      </c>
      <c r="L2748">
        <v>5</v>
      </c>
      <c r="M2748" t="s">
        <v>10008</v>
      </c>
      <c r="N2748" t="s">
        <v>59</v>
      </c>
      <c r="O2748" t="s">
        <v>47</v>
      </c>
      <c r="P2748" t="s">
        <v>47</v>
      </c>
      <c r="Y2748" t="s">
        <v>10009</v>
      </c>
      <c r="AG2748" t="s">
        <v>48</v>
      </c>
    </row>
    <row r="2749" spans="1:33">
      <c r="A2749" t="s">
        <v>10010</v>
      </c>
      <c r="B2749" t="s">
        <v>10011</v>
      </c>
      <c r="D2749" t="s">
        <v>40</v>
      </c>
      <c r="E2749" t="s">
        <v>41</v>
      </c>
      <c r="J2749" t="s">
        <v>270</v>
      </c>
      <c r="K2749" t="s">
        <v>271</v>
      </c>
      <c r="L2749">
        <v>5</v>
      </c>
      <c r="M2749" t="s">
        <v>10008</v>
      </c>
      <c r="N2749" t="s">
        <v>59</v>
      </c>
      <c r="O2749" t="s">
        <v>47</v>
      </c>
      <c r="P2749" t="s">
        <v>47</v>
      </c>
      <c r="Y2749" t="s">
        <v>10012</v>
      </c>
      <c r="AG2749" t="s">
        <v>48</v>
      </c>
    </row>
    <row r="2750" spans="1:33">
      <c r="A2750" t="s">
        <v>10013</v>
      </c>
      <c r="B2750" t="s">
        <v>10014</v>
      </c>
      <c r="D2750" t="s">
        <v>40</v>
      </c>
      <c r="E2750" t="s">
        <v>41</v>
      </c>
      <c r="H2750" t="s">
        <v>10015</v>
      </c>
      <c r="J2750" t="s">
        <v>290</v>
      </c>
      <c r="K2750" t="s">
        <v>291</v>
      </c>
      <c r="L2750">
        <v>5</v>
      </c>
      <c r="M2750" t="s">
        <v>10016</v>
      </c>
      <c r="N2750" t="s">
        <v>59</v>
      </c>
      <c r="O2750" t="s">
        <v>47</v>
      </c>
      <c r="P2750" t="s">
        <v>47</v>
      </c>
      <c r="Y2750" t="s">
        <v>10015</v>
      </c>
      <c r="AG2750" t="s">
        <v>48</v>
      </c>
    </row>
    <row r="2751" spans="1:33">
      <c r="A2751" t="s">
        <v>10017</v>
      </c>
      <c r="B2751" t="s">
        <v>10018</v>
      </c>
      <c r="D2751" t="s">
        <v>40</v>
      </c>
      <c r="E2751" t="s">
        <v>41</v>
      </c>
      <c r="J2751" t="s">
        <v>108</v>
      </c>
      <c r="K2751" t="s">
        <v>109</v>
      </c>
      <c r="L2751">
        <v>5</v>
      </c>
      <c r="M2751" t="s">
        <v>10016</v>
      </c>
      <c r="N2751" t="s">
        <v>59</v>
      </c>
      <c r="O2751" t="s">
        <v>47</v>
      </c>
      <c r="P2751" t="s">
        <v>47</v>
      </c>
      <c r="Y2751" t="s">
        <v>10019</v>
      </c>
      <c r="AG2751" t="s">
        <v>48</v>
      </c>
    </row>
    <row r="2752" spans="1:33">
      <c r="A2752" t="s">
        <v>10020</v>
      </c>
      <c r="B2752" t="s">
        <v>10021</v>
      </c>
      <c r="D2752" t="s">
        <v>40</v>
      </c>
      <c r="E2752" t="s">
        <v>41</v>
      </c>
      <c r="J2752" t="s">
        <v>162</v>
      </c>
      <c r="K2752" t="s">
        <v>163</v>
      </c>
      <c r="L2752">
        <v>5</v>
      </c>
      <c r="M2752" t="s">
        <v>10016</v>
      </c>
      <c r="N2752" t="s">
        <v>59</v>
      </c>
      <c r="O2752" t="s">
        <v>47</v>
      </c>
      <c r="P2752" t="s">
        <v>47</v>
      </c>
      <c r="Y2752" t="s">
        <v>10022</v>
      </c>
      <c r="AG2752" t="s">
        <v>48</v>
      </c>
    </row>
    <row r="2753" spans="1:33">
      <c r="A2753" t="s">
        <v>10023</v>
      </c>
      <c r="B2753" t="s">
        <v>10024</v>
      </c>
      <c r="D2753" t="s">
        <v>40</v>
      </c>
      <c r="E2753" t="s">
        <v>41</v>
      </c>
      <c r="J2753" t="s">
        <v>270</v>
      </c>
      <c r="K2753" t="s">
        <v>271</v>
      </c>
      <c r="L2753">
        <v>5</v>
      </c>
      <c r="M2753" t="s">
        <v>10016</v>
      </c>
      <c r="N2753" t="s">
        <v>59</v>
      </c>
      <c r="O2753" t="s">
        <v>47</v>
      </c>
      <c r="P2753" t="s">
        <v>47</v>
      </c>
      <c r="Y2753" t="s">
        <v>10025</v>
      </c>
      <c r="AG2753" t="s">
        <v>48</v>
      </c>
    </row>
    <row r="2754" spans="1:33">
      <c r="A2754" t="s">
        <v>10026</v>
      </c>
      <c r="B2754" t="s">
        <v>10027</v>
      </c>
      <c r="D2754" t="s">
        <v>40</v>
      </c>
      <c r="E2754" t="s">
        <v>41</v>
      </c>
      <c r="H2754" t="s">
        <v>10028</v>
      </c>
      <c r="J2754" t="s">
        <v>63</v>
      </c>
      <c r="K2754" t="s">
        <v>64</v>
      </c>
      <c r="L2754">
        <v>5</v>
      </c>
      <c r="M2754" t="s">
        <v>10029</v>
      </c>
      <c r="N2754" t="s">
        <v>59</v>
      </c>
      <c r="O2754" t="s">
        <v>47</v>
      </c>
      <c r="P2754" t="s">
        <v>47</v>
      </c>
      <c r="Y2754" t="s">
        <v>10028</v>
      </c>
      <c r="AG2754" t="s">
        <v>48</v>
      </c>
    </row>
    <row r="2755" spans="1:33">
      <c r="A2755" t="s">
        <v>10030</v>
      </c>
      <c r="B2755" t="s">
        <v>10031</v>
      </c>
      <c r="D2755" t="s">
        <v>40</v>
      </c>
      <c r="E2755" t="s">
        <v>41</v>
      </c>
      <c r="H2755" t="s">
        <v>10032</v>
      </c>
      <c r="J2755" t="s">
        <v>63</v>
      </c>
      <c r="K2755" t="s">
        <v>64</v>
      </c>
      <c r="L2755">
        <v>5</v>
      </c>
      <c r="M2755" t="s">
        <v>10033</v>
      </c>
      <c r="N2755" t="s">
        <v>59</v>
      </c>
      <c r="O2755" t="s">
        <v>47</v>
      </c>
      <c r="P2755" t="s">
        <v>47</v>
      </c>
      <c r="Y2755" t="s">
        <v>10032</v>
      </c>
      <c r="AG2755" t="s">
        <v>48</v>
      </c>
    </row>
    <row r="2756" spans="1:33">
      <c r="A2756" t="s">
        <v>10034</v>
      </c>
      <c r="B2756" t="s">
        <v>10035</v>
      </c>
      <c r="D2756" t="s">
        <v>40</v>
      </c>
      <c r="E2756" t="s">
        <v>41</v>
      </c>
      <c r="H2756" t="s">
        <v>10036</v>
      </c>
      <c r="J2756" t="s">
        <v>270</v>
      </c>
      <c r="K2756" t="s">
        <v>271</v>
      </c>
      <c r="L2756">
        <v>5</v>
      </c>
      <c r="M2756" t="s">
        <v>10037</v>
      </c>
      <c r="N2756" t="s">
        <v>59</v>
      </c>
      <c r="O2756" t="s">
        <v>47</v>
      </c>
      <c r="P2756" t="s">
        <v>47</v>
      </c>
      <c r="Y2756" t="s">
        <v>10036</v>
      </c>
      <c r="AG2756" t="s">
        <v>48</v>
      </c>
    </row>
    <row r="2757" spans="1:33">
      <c r="A2757" t="s">
        <v>10038</v>
      </c>
      <c r="B2757" t="s">
        <v>10039</v>
      </c>
      <c r="D2757" t="s">
        <v>40</v>
      </c>
      <c r="E2757" t="s">
        <v>41</v>
      </c>
      <c r="J2757" t="s">
        <v>114</v>
      </c>
      <c r="K2757" t="s">
        <v>115</v>
      </c>
      <c r="L2757">
        <v>5</v>
      </c>
      <c r="M2757" t="s">
        <v>10040</v>
      </c>
      <c r="N2757" t="s">
        <v>59</v>
      </c>
      <c r="O2757" t="s">
        <v>47</v>
      </c>
      <c r="P2757" t="s">
        <v>47</v>
      </c>
      <c r="Y2757" t="s">
        <v>10041</v>
      </c>
      <c r="AG2757" t="s">
        <v>48</v>
      </c>
    </row>
    <row r="2758" spans="1:33">
      <c r="A2758" t="s">
        <v>10042</v>
      </c>
      <c r="B2758" t="s">
        <v>10043</v>
      </c>
      <c r="D2758" t="s">
        <v>40</v>
      </c>
      <c r="E2758" t="s">
        <v>41</v>
      </c>
      <c r="J2758" t="s">
        <v>114</v>
      </c>
      <c r="K2758" t="s">
        <v>115</v>
      </c>
      <c r="L2758">
        <v>5</v>
      </c>
      <c r="M2758" t="s">
        <v>10040</v>
      </c>
      <c r="N2758" t="s">
        <v>59</v>
      </c>
      <c r="O2758" t="s">
        <v>47</v>
      </c>
      <c r="P2758" t="s">
        <v>47</v>
      </c>
      <c r="Y2758" t="s">
        <v>10044</v>
      </c>
      <c r="AG2758" t="s">
        <v>48</v>
      </c>
    </row>
    <row r="2759" spans="1:33">
      <c r="A2759" t="s">
        <v>10045</v>
      </c>
      <c r="B2759" t="s">
        <v>10046</v>
      </c>
      <c r="D2759" t="s">
        <v>40</v>
      </c>
      <c r="E2759" t="s">
        <v>41</v>
      </c>
      <c r="H2759" t="s">
        <v>10047</v>
      </c>
      <c r="J2759" t="s">
        <v>63</v>
      </c>
      <c r="K2759" t="s">
        <v>64</v>
      </c>
      <c r="L2759">
        <v>5</v>
      </c>
      <c r="M2759" t="s">
        <v>10048</v>
      </c>
      <c r="N2759" t="s">
        <v>59</v>
      </c>
      <c r="O2759" t="s">
        <v>47</v>
      </c>
      <c r="P2759" t="s">
        <v>47</v>
      </c>
      <c r="Y2759" t="s">
        <v>10047</v>
      </c>
      <c r="AG2759" t="s">
        <v>48</v>
      </c>
    </row>
    <row r="2760" spans="1:33">
      <c r="A2760" t="s">
        <v>10049</v>
      </c>
      <c r="B2760" t="s">
        <v>10050</v>
      </c>
      <c r="D2760" t="s">
        <v>40</v>
      </c>
      <c r="E2760" t="s">
        <v>41</v>
      </c>
      <c r="J2760" t="s">
        <v>270</v>
      </c>
      <c r="K2760" t="s">
        <v>271</v>
      </c>
      <c r="L2760">
        <v>5</v>
      </c>
      <c r="M2760" t="s">
        <v>10051</v>
      </c>
      <c r="N2760" t="s">
        <v>59</v>
      </c>
      <c r="O2760" t="s">
        <v>47</v>
      </c>
      <c r="P2760" t="s">
        <v>47</v>
      </c>
      <c r="Y2760" t="s">
        <v>10052</v>
      </c>
      <c r="AG2760" t="s">
        <v>48</v>
      </c>
    </row>
    <row r="2761" spans="1:33">
      <c r="A2761" t="s">
        <v>10053</v>
      </c>
      <c r="B2761" t="s">
        <v>10054</v>
      </c>
      <c r="D2761" t="s">
        <v>40</v>
      </c>
      <c r="E2761" t="s">
        <v>41</v>
      </c>
      <c r="J2761" t="s">
        <v>290</v>
      </c>
      <c r="K2761" t="s">
        <v>291</v>
      </c>
      <c r="L2761">
        <v>5</v>
      </c>
      <c r="M2761" t="s">
        <v>10055</v>
      </c>
      <c r="N2761" t="s">
        <v>59</v>
      </c>
      <c r="O2761" t="s">
        <v>47</v>
      </c>
      <c r="P2761" t="s">
        <v>47</v>
      </c>
      <c r="Y2761" t="s">
        <v>10056</v>
      </c>
      <c r="AG2761" t="s">
        <v>48</v>
      </c>
    </row>
    <row r="2762" spans="1:33">
      <c r="A2762" t="s">
        <v>10057</v>
      </c>
      <c r="B2762" t="s">
        <v>10058</v>
      </c>
      <c r="D2762" t="s">
        <v>40</v>
      </c>
      <c r="E2762" t="s">
        <v>41</v>
      </c>
      <c r="J2762" t="s">
        <v>290</v>
      </c>
      <c r="K2762" t="s">
        <v>291</v>
      </c>
      <c r="L2762">
        <v>5</v>
      </c>
      <c r="M2762" t="s">
        <v>10059</v>
      </c>
      <c r="N2762" t="s">
        <v>59</v>
      </c>
      <c r="O2762" t="s">
        <v>47</v>
      </c>
      <c r="P2762" t="s">
        <v>47</v>
      </c>
      <c r="Y2762" t="s">
        <v>10060</v>
      </c>
      <c r="AG2762" t="s">
        <v>48</v>
      </c>
    </row>
    <row r="2763" spans="1:33">
      <c r="A2763" t="s">
        <v>10061</v>
      </c>
      <c r="B2763" t="s">
        <v>10062</v>
      </c>
      <c r="D2763" t="s">
        <v>40</v>
      </c>
      <c r="E2763" t="s">
        <v>41</v>
      </c>
      <c r="J2763" t="s">
        <v>290</v>
      </c>
      <c r="K2763" t="s">
        <v>291</v>
      </c>
      <c r="L2763">
        <v>5</v>
      </c>
      <c r="M2763" t="s">
        <v>10059</v>
      </c>
      <c r="N2763" t="s">
        <v>59</v>
      </c>
      <c r="O2763" t="s">
        <v>47</v>
      </c>
      <c r="P2763" t="s">
        <v>47</v>
      </c>
      <c r="Y2763" t="s">
        <v>10063</v>
      </c>
      <c r="AG2763" t="s">
        <v>48</v>
      </c>
    </row>
    <row r="2764" spans="1:33">
      <c r="A2764" t="s">
        <v>10064</v>
      </c>
      <c r="B2764" t="s">
        <v>10065</v>
      </c>
      <c r="D2764" t="s">
        <v>40</v>
      </c>
      <c r="E2764" t="s">
        <v>41</v>
      </c>
      <c r="J2764" t="s">
        <v>290</v>
      </c>
      <c r="K2764" t="s">
        <v>291</v>
      </c>
      <c r="L2764">
        <v>5</v>
      </c>
      <c r="M2764" t="s">
        <v>10059</v>
      </c>
      <c r="N2764" t="s">
        <v>59</v>
      </c>
      <c r="O2764" t="s">
        <v>47</v>
      </c>
      <c r="P2764" t="s">
        <v>47</v>
      </c>
      <c r="Y2764" t="s">
        <v>10066</v>
      </c>
      <c r="AG2764" t="s">
        <v>48</v>
      </c>
    </row>
    <row r="2765" spans="1:33">
      <c r="A2765" t="s">
        <v>10067</v>
      </c>
      <c r="B2765" t="s">
        <v>10068</v>
      </c>
      <c r="D2765" t="s">
        <v>40</v>
      </c>
      <c r="E2765" t="s">
        <v>41</v>
      </c>
      <c r="J2765" t="s">
        <v>162</v>
      </c>
      <c r="K2765" t="s">
        <v>163</v>
      </c>
      <c r="L2765">
        <v>5</v>
      </c>
      <c r="M2765" t="s">
        <v>10059</v>
      </c>
      <c r="N2765" t="s">
        <v>59</v>
      </c>
      <c r="O2765" t="s">
        <v>47</v>
      </c>
      <c r="P2765" t="s">
        <v>47</v>
      </c>
      <c r="Y2765" t="s">
        <v>10069</v>
      </c>
      <c r="AG2765" t="s">
        <v>48</v>
      </c>
    </row>
    <row r="2766" spans="1:33">
      <c r="A2766" t="s">
        <v>10070</v>
      </c>
      <c r="B2766" t="s">
        <v>10071</v>
      </c>
      <c r="D2766" t="s">
        <v>40</v>
      </c>
      <c r="E2766" t="s">
        <v>41</v>
      </c>
      <c r="J2766" t="s">
        <v>290</v>
      </c>
      <c r="K2766" t="s">
        <v>291</v>
      </c>
      <c r="L2766">
        <v>5</v>
      </c>
      <c r="M2766" t="s">
        <v>10059</v>
      </c>
      <c r="N2766" t="s">
        <v>59</v>
      </c>
      <c r="O2766" t="s">
        <v>47</v>
      </c>
      <c r="P2766" t="s">
        <v>47</v>
      </c>
      <c r="Y2766" t="s">
        <v>10072</v>
      </c>
      <c r="AG2766" t="s">
        <v>48</v>
      </c>
    </row>
    <row r="2767" spans="1:33">
      <c r="A2767" t="s">
        <v>10073</v>
      </c>
      <c r="B2767" t="s">
        <v>10074</v>
      </c>
      <c r="D2767" t="s">
        <v>40</v>
      </c>
      <c r="E2767" t="s">
        <v>41</v>
      </c>
      <c r="J2767" t="s">
        <v>290</v>
      </c>
      <c r="K2767" t="s">
        <v>291</v>
      </c>
      <c r="L2767">
        <v>5</v>
      </c>
      <c r="M2767" t="s">
        <v>10075</v>
      </c>
      <c r="N2767" t="s">
        <v>59</v>
      </c>
      <c r="O2767" t="s">
        <v>47</v>
      </c>
      <c r="P2767" t="s">
        <v>47</v>
      </c>
      <c r="Y2767" t="s">
        <v>10076</v>
      </c>
      <c r="AG2767" t="s">
        <v>48</v>
      </c>
    </row>
    <row r="2768" spans="1:33">
      <c r="A2768" t="s">
        <v>10077</v>
      </c>
      <c r="B2768" t="s">
        <v>10078</v>
      </c>
      <c r="D2768" t="s">
        <v>40</v>
      </c>
      <c r="E2768" t="s">
        <v>41</v>
      </c>
      <c r="J2768" t="s">
        <v>43</v>
      </c>
      <c r="K2768" t="s">
        <v>44</v>
      </c>
      <c r="L2768">
        <v>5</v>
      </c>
      <c r="M2768" t="s">
        <v>10075</v>
      </c>
      <c r="N2768" t="s">
        <v>192</v>
      </c>
      <c r="O2768" t="s">
        <v>47</v>
      </c>
      <c r="P2768" t="s">
        <v>47</v>
      </c>
      <c r="Y2768" t="s">
        <v>10079</v>
      </c>
      <c r="AG2768" t="s">
        <v>48</v>
      </c>
    </row>
    <row r="2769" spans="1:33">
      <c r="A2769" t="s">
        <v>10080</v>
      </c>
      <c r="B2769" t="s">
        <v>10081</v>
      </c>
      <c r="D2769" t="s">
        <v>40</v>
      </c>
      <c r="E2769" t="s">
        <v>41</v>
      </c>
      <c r="J2769" t="s">
        <v>290</v>
      </c>
      <c r="K2769" t="s">
        <v>291</v>
      </c>
      <c r="L2769">
        <v>5</v>
      </c>
      <c r="M2769" t="s">
        <v>10082</v>
      </c>
      <c r="N2769" t="s">
        <v>59</v>
      </c>
      <c r="O2769" t="s">
        <v>47</v>
      </c>
      <c r="P2769" t="s">
        <v>47</v>
      </c>
      <c r="Y2769" t="s">
        <v>10083</v>
      </c>
      <c r="AG2769" t="s">
        <v>48</v>
      </c>
    </row>
    <row r="2770" spans="1:33">
      <c r="A2770" t="s">
        <v>10084</v>
      </c>
      <c r="B2770" t="s">
        <v>10085</v>
      </c>
      <c r="D2770" t="s">
        <v>40</v>
      </c>
      <c r="E2770" t="s">
        <v>41</v>
      </c>
      <c r="J2770" t="s">
        <v>270</v>
      </c>
      <c r="K2770" t="s">
        <v>271</v>
      </c>
      <c r="L2770">
        <v>5</v>
      </c>
      <c r="M2770" t="s">
        <v>10086</v>
      </c>
      <c r="N2770" t="s">
        <v>59</v>
      </c>
      <c r="O2770" t="s">
        <v>47</v>
      </c>
      <c r="P2770" t="s">
        <v>47</v>
      </c>
      <c r="Y2770" t="s">
        <v>10087</v>
      </c>
      <c r="AG2770" t="s">
        <v>48</v>
      </c>
    </row>
    <row r="2771" spans="1:33">
      <c r="A2771" t="s">
        <v>10088</v>
      </c>
      <c r="B2771" t="s">
        <v>10089</v>
      </c>
      <c r="D2771" t="s">
        <v>40</v>
      </c>
      <c r="E2771" t="s">
        <v>41</v>
      </c>
      <c r="J2771" t="s">
        <v>290</v>
      </c>
      <c r="K2771" t="s">
        <v>291</v>
      </c>
      <c r="L2771">
        <v>5</v>
      </c>
      <c r="M2771" t="s">
        <v>10086</v>
      </c>
      <c r="N2771" t="s">
        <v>59</v>
      </c>
      <c r="O2771" t="s">
        <v>47</v>
      </c>
      <c r="P2771" t="s">
        <v>47</v>
      </c>
      <c r="Y2771" t="s">
        <v>10090</v>
      </c>
      <c r="AG2771" t="s">
        <v>48</v>
      </c>
    </row>
    <row r="2772" spans="1:33">
      <c r="A2772" t="s">
        <v>10091</v>
      </c>
      <c r="B2772" t="s">
        <v>10092</v>
      </c>
      <c r="D2772" t="s">
        <v>40</v>
      </c>
      <c r="E2772" t="s">
        <v>41</v>
      </c>
      <c r="J2772" t="s">
        <v>290</v>
      </c>
      <c r="K2772" t="s">
        <v>291</v>
      </c>
      <c r="L2772">
        <v>5</v>
      </c>
      <c r="M2772" t="s">
        <v>10093</v>
      </c>
      <c r="N2772" t="s">
        <v>59</v>
      </c>
      <c r="O2772" t="s">
        <v>47</v>
      </c>
      <c r="P2772" t="s">
        <v>47</v>
      </c>
      <c r="Y2772" t="s">
        <v>10094</v>
      </c>
      <c r="AG2772" t="s">
        <v>48</v>
      </c>
    </row>
    <row r="2773" spans="1:33">
      <c r="A2773" t="s">
        <v>10095</v>
      </c>
      <c r="B2773" t="s">
        <v>10096</v>
      </c>
      <c r="D2773" t="s">
        <v>40</v>
      </c>
      <c r="E2773" t="s">
        <v>41</v>
      </c>
      <c r="J2773" t="s">
        <v>1418</v>
      </c>
      <c r="K2773" t="s">
        <v>1419</v>
      </c>
      <c r="L2773">
        <v>5</v>
      </c>
      <c r="M2773" t="s">
        <v>10093</v>
      </c>
      <c r="N2773" t="s">
        <v>218</v>
      </c>
      <c r="O2773" t="s">
        <v>47</v>
      </c>
      <c r="P2773" t="s">
        <v>47</v>
      </c>
      <c r="Y2773" t="s">
        <v>10097</v>
      </c>
      <c r="AG2773" t="s">
        <v>48</v>
      </c>
    </row>
    <row r="2774" spans="1:33">
      <c r="A2774" t="s">
        <v>10098</v>
      </c>
      <c r="B2774" t="s">
        <v>10099</v>
      </c>
      <c r="D2774" t="s">
        <v>40</v>
      </c>
      <c r="E2774" t="s">
        <v>41</v>
      </c>
      <c r="H2774" t="s">
        <v>10100</v>
      </c>
      <c r="J2774" t="s">
        <v>63</v>
      </c>
      <c r="K2774" t="s">
        <v>64</v>
      </c>
      <c r="L2774">
        <v>5</v>
      </c>
      <c r="M2774" t="s">
        <v>10101</v>
      </c>
      <c r="N2774" t="s">
        <v>59</v>
      </c>
      <c r="O2774" t="s">
        <v>47</v>
      </c>
      <c r="P2774" t="s">
        <v>47</v>
      </c>
      <c r="Y2774" t="s">
        <v>10100</v>
      </c>
      <c r="AG2774" t="s">
        <v>48</v>
      </c>
    </row>
    <row r="2775" spans="1:33">
      <c r="A2775" t="s">
        <v>10102</v>
      </c>
      <c r="B2775" t="s">
        <v>10103</v>
      </c>
      <c r="D2775" t="s">
        <v>40</v>
      </c>
      <c r="E2775" t="s">
        <v>41</v>
      </c>
      <c r="J2775" t="s">
        <v>162</v>
      </c>
      <c r="K2775" t="s">
        <v>163</v>
      </c>
      <c r="L2775">
        <v>5</v>
      </c>
      <c r="M2775" t="s">
        <v>10104</v>
      </c>
      <c r="N2775" t="s">
        <v>59</v>
      </c>
      <c r="O2775" t="s">
        <v>47</v>
      </c>
      <c r="P2775" t="s">
        <v>47</v>
      </c>
      <c r="Y2775" t="s">
        <v>10105</v>
      </c>
      <c r="AG2775" t="s">
        <v>48</v>
      </c>
    </row>
    <row r="2776" spans="1:33">
      <c r="A2776" t="s">
        <v>10106</v>
      </c>
      <c r="B2776" t="s">
        <v>10107</v>
      </c>
      <c r="D2776" t="s">
        <v>40</v>
      </c>
      <c r="E2776" t="s">
        <v>41</v>
      </c>
      <c r="J2776" t="s">
        <v>290</v>
      </c>
      <c r="K2776" t="s">
        <v>291</v>
      </c>
      <c r="L2776">
        <v>5</v>
      </c>
      <c r="M2776" t="s">
        <v>10104</v>
      </c>
      <c r="N2776" t="s">
        <v>59</v>
      </c>
      <c r="O2776" t="s">
        <v>47</v>
      </c>
      <c r="P2776" t="s">
        <v>47</v>
      </c>
      <c r="Y2776" t="s">
        <v>10108</v>
      </c>
      <c r="AG2776" t="s">
        <v>48</v>
      </c>
    </row>
    <row r="2777" spans="1:33">
      <c r="A2777" t="s">
        <v>10109</v>
      </c>
      <c r="B2777" t="s">
        <v>10110</v>
      </c>
      <c r="D2777" t="s">
        <v>40</v>
      </c>
      <c r="E2777" t="s">
        <v>41</v>
      </c>
      <c r="J2777" t="s">
        <v>290</v>
      </c>
      <c r="K2777" t="s">
        <v>291</v>
      </c>
      <c r="L2777">
        <v>5</v>
      </c>
      <c r="M2777" t="s">
        <v>10111</v>
      </c>
      <c r="N2777" t="s">
        <v>59</v>
      </c>
      <c r="O2777" t="s">
        <v>47</v>
      </c>
      <c r="P2777" t="s">
        <v>47</v>
      </c>
      <c r="Y2777" t="s">
        <v>10112</v>
      </c>
      <c r="AG2777" t="s">
        <v>48</v>
      </c>
    </row>
    <row r="2778" spans="1:33">
      <c r="A2778" t="s">
        <v>10113</v>
      </c>
      <c r="B2778" t="s">
        <v>10114</v>
      </c>
      <c r="D2778" t="s">
        <v>40</v>
      </c>
      <c r="E2778" t="s">
        <v>41</v>
      </c>
      <c r="J2778" t="s">
        <v>162</v>
      </c>
      <c r="K2778" t="s">
        <v>163</v>
      </c>
      <c r="L2778">
        <v>5</v>
      </c>
      <c r="M2778" t="s">
        <v>10111</v>
      </c>
      <c r="N2778" t="s">
        <v>59</v>
      </c>
      <c r="O2778" t="s">
        <v>47</v>
      </c>
      <c r="P2778" t="s">
        <v>47</v>
      </c>
      <c r="Y2778" t="s">
        <v>10115</v>
      </c>
      <c r="AG2778" t="s">
        <v>48</v>
      </c>
    </row>
    <row r="2779" spans="1:33">
      <c r="A2779" t="s">
        <v>10116</v>
      </c>
      <c r="B2779" t="s">
        <v>10117</v>
      </c>
      <c r="D2779" t="s">
        <v>40</v>
      </c>
      <c r="E2779" t="s">
        <v>41</v>
      </c>
      <c r="J2779" t="s">
        <v>43</v>
      </c>
      <c r="K2779" t="s">
        <v>44</v>
      </c>
      <c r="L2779">
        <v>5</v>
      </c>
      <c r="M2779" t="s">
        <v>10111</v>
      </c>
      <c r="N2779" t="s">
        <v>46</v>
      </c>
      <c r="O2779" t="s">
        <v>47</v>
      </c>
      <c r="P2779" t="s">
        <v>47</v>
      </c>
      <c r="Y2779" t="s">
        <v>10118</v>
      </c>
      <c r="AG2779" t="s">
        <v>48</v>
      </c>
    </row>
    <row r="2780" spans="1:33">
      <c r="A2780" t="s">
        <v>10119</v>
      </c>
      <c r="B2780" t="s">
        <v>10120</v>
      </c>
      <c r="D2780" t="s">
        <v>40</v>
      </c>
      <c r="E2780" t="s">
        <v>41</v>
      </c>
      <c r="J2780" t="s">
        <v>108</v>
      </c>
      <c r="K2780" t="s">
        <v>109</v>
      </c>
      <c r="L2780">
        <v>5</v>
      </c>
      <c r="M2780" t="s">
        <v>10111</v>
      </c>
      <c r="N2780" t="s">
        <v>59</v>
      </c>
      <c r="O2780" t="s">
        <v>47</v>
      </c>
      <c r="P2780" t="s">
        <v>47</v>
      </c>
      <c r="Y2780" t="s">
        <v>10121</v>
      </c>
      <c r="AG2780" t="s">
        <v>48</v>
      </c>
    </row>
    <row r="2781" spans="1:33">
      <c r="A2781" t="s">
        <v>10122</v>
      </c>
      <c r="B2781" t="s">
        <v>10123</v>
      </c>
      <c r="D2781" t="s">
        <v>40</v>
      </c>
      <c r="E2781" t="s">
        <v>41</v>
      </c>
      <c r="H2781" t="s">
        <v>10124</v>
      </c>
      <c r="J2781" t="s">
        <v>63</v>
      </c>
      <c r="K2781" t="s">
        <v>64</v>
      </c>
      <c r="L2781">
        <v>5</v>
      </c>
      <c r="M2781" t="s">
        <v>10125</v>
      </c>
      <c r="N2781" t="s">
        <v>59</v>
      </c>
      <c r="O2781" t="s">
        <v>47</v>
      </c>
      <c r="P2781" t="s">
        <v>47</v>
      </c>
      <c r="Y2781" t="s">
        <v>10124</v>
      </c>
      <c r="AG2781" t="s">
        <v>48</v>
      </c>
    </row>
    <row r="2782" spans="1:33">
      <c r="A2782" t="s">
        <v>10126</v>
      </c>
      <c r="B2782" t="s">
        <v>10127</v>
      </c>
      <c r="D2782" t="s">
        <v>40</v>
      </c>
      <c r="E2782" t="s">
        <v>41</v>
      </c>
      <c r="J2782" t="s">
        <v>123</v>
      </c>
      <c r="K2782" t="s">
        <v>124</v>
      </c>
      <c r="L2782">
        <v>8</v>
      </c>
      <c r="M2782" t="s">
        <v>10128</v>
      </c>
      <c r="N2782" t="s">
        <v>46</v>
      </c>
      <c r="O2782" t="s">
        <v>47</v>
      </c>
      <c r="P2782" t="s">
        <v>47</v>
      </c>
      <c r="Y2782" t="s">
        <v>10129</v>
      </c>
      <c r="AG2782" t="s">
        <v>48</v>
      </c>
    </row>
    <row r="2783" spans="1:33">
      <c r="A2783" t="s">
        <v>10130</v>
      </c>
      <c r="B2783" t="s">
        <v>10131</v>
      </c>
      <c r="D2783" t="s">
        <v>40</v>
      </c>
      <c r="E2783" t="s">
        <v>41</v>
      </c>
      <c r="H2783" t="s">
        <v>10132</v>
      </c>
      <c r="J2783" t="s">
        <v>290</v>
      </c>
      <c r="K2783" t="s">
        <v>291</v>
      </c>
      <c r="L2783">
        <v>5</v>
      </c>
      <c r="M2783" t="s">
        <v>10133</v>
      </c>
      <c r="N2783" t="s">
        <v>59</v>
      </c>
      <c r="O2783" t="s">
        <v>47</v>
      </c>
      <c r="P2783" t="s">
        <v>47</v>
      </c>
      <c r="Y2783" t="s">
        <v>10132</v>
      </c>
      <c r="AG2783" t="s">
        <v>48</v>
      </c>
    </row>
    <row r="2784" spans="1:33">
      <c r="A2784" t="s">
        <v>10134</v>
      </c>
      <c r="B2784" t="s">
        <v>10135</v>
      </c>
      <c r="D2784" t="s">
        <v>40</v>
      </c>
      <c r="E2784" t="s">
        <v>41</v>
      </c>
      <c r="J2784" t="s">
        <v>290</v>
      </c>
      <c r="K2784" t="s">
        <v>291</v>
      </c>
      <c r="L2784">
        <v>5</v>
      </c>
      <c r="M2784" t="s">
        <v>10133</v>
      </c>
      <c r="N2784" t="s">
        <v>59</v>
      </c>
      <c r="O2784" t="s">
        <v>47</v>
      </c>
      <c r="P2784" t="s">
        <v>47</v>
      </c>
      <c r="Y2784" t="s">
        <v>10136</v>
      </c>
      <c r="AG2784" t="s">
        <v>48</v>
      </c>
    </row>
    <row r="2785" spans="1:33">
      <c r="A2785" t="s">
        <v>10137</v>
      </c>
      <c r="B2785" t="s">
        <v>10138</v>
      </c>
      <c r="D2785" t="s">
        <v>40</v>
      </c>
      <c r="E2785" t="s">
        <v>41</v>
      </c>
      <c r="J2785" t="s">
        <v>290</v>
      </c>
      <c r="K2785" t="s">
        <v>291</v>
      </c>
      <c r="L2785">
        <v>5</v>
      </c>
      <c r="M2785" t="s">
        <v>10133</v>
      </c>
      <c r="N2785" t="s">
        <v>59</v>
      </c>
      <c r="O2785" t="s">
        <v>47</v>
      </c>
      <c r="P2785" t="s">
        <v>47</v>
      </c>
      <c r="Y2785" t="s">
        <v>10139</v>
      </c>
      <c r="AG2785" t="s">
        <v>48</v>
      </c>
    </row>
    <row r="2786" spans="1:33">
      <c r="A2786" t="s">
        <v>10140</v>
      </c>
      <c r="B2786" t="s">
        <v>10141</v>
      </c>
      <c r="D2786" t="s">
        <v>40</v>
      </c>
      <c r="E2786" t="s">
        <v>41</v>
      </c>
      <c r="H2786" t="s">
        <v>10142</v>
      </c>
      <c r="J2786" t="s">
        <v>270</v>
      </c>
      <c r="K2786" t="s">
        <v>271</v>
      </c>
      <c r="L2786">
        <v>5</v>
      </c>
      <c r="M2786" t="s">
        <v>10133</v>
      </c>
      <c r="N2786" t="s">
        <v>59</v>
      </c>
      <c r="O2786" t="s">
        <v>47</v>
      </c>
      <c r="P2786" t="s">
        <v>47</v>
      </c>
      <c r="Y2786" t="s">
        <v>10142</v>
      </c>
      <c r="AG2786" t="s">
        <v>48</v>
      </c>
    </row>
    <row r="2787" spans="1:33">
      <c r="A2787" t="s">
        <v>10143</v>
      </c>
      <c r="B2787" t="s">
        <v>10144</v>
      </c>
      <c r="D2787" t="s">
        <v>40</v>
      </c>
      <c r="E2787" t="s">
        <v>41</v>
      </c>
      <c r="J2787" t="s">
        <v>290</v>
      </c>
      <c r="K2787" t="s">
        <v>291</v>
      </c>
      <c r="L2787">
        <v>5</v>
      </c>
      <c r="M2787" t="s">
        <v>10133</v>
      </c>
      <c r="N2787" t="s">
        <v>59</v>
      </c>
      <c r="O2787" t="s">
        <v>47</v>
      </c>
      <c r="P2787" t="s">
        <v>47</v>
      </c>
      <c r="Y2787" t="s">
        <v>10145</v>
      </c>
      <c r="AG2787" t="s">
        <v>48</v>
      </c>
    </row>
    <row r="2788" spans="1:33">
      <c r="A2788" t="s">
        <v>10146</v>
      </c>
      <c r="B2788" t="s">
        <v>10147</v>
      </c>
      <c r="D2788" t="s">
        <v>40</v>
      </c>
      <c r="E2788" t="s">
        <v>41</v>
      </c>
      <c r="J2788" t="s">
        <v>270</v>
      </c>
      <c r="K2788" t="s">
        <v>271</v>
      </c>
      <c r="L2788">
        <v>5</v>
      </c>
      <c r="M2788" t="s">
        <v>10148</v>
      </c>
      <c r="N2788" t="s">
        <v>59</v>
      </c>
      <c r="O2788" t="s">
        <v>47</v>
      </c>
      <c r="P2788" t="s">
        <v>47</v>
      </c>
      <c r="Y2788" t="s">
        <v>10149</v>
      </c>
      <c r="AG2788" t="s">
        <v>48</v>
      </c>
    </row>
    <row r="2789" spans="1:33">
      <c r="A2789" t="s">
        <v>10150</v>
      </c>
      <c r="B2789" t="s">
        <v>10151</v>
      </c>
      <c r="D2789" t="s">
        <v>40</v>
      </c>
      <c r="E2789" t="s">
        <v>41</v>
      </c>
      <c r="J2789" t="s">
        <v>290</v>
      </c>
      <c r="K2789" t="s">
        <v>291</v>
      </c>
      <c r="L2789">
        <v>5</v>
      </c>
      <c r="M2789" t="s">
        <v>10148</v>
      </c>
      <c r="N2789" t="s">
        <v>59</v>
      </c>
      <c r="O2789" t="s">
        <v>47</v>
      </c>
      <c r="P2789" t="s">
        <v>47</v>
      </c>
      <c r="Y2789" t="s">
        <v>10152</v>
      </c>
      <c r="AG2789" t="s">
        <v>48</v>
      </c>
    </row>
    <row r="2790" spans="1:33">
      <c r="A2790" t="s">
        <v>10153</v>
      </c>
      <c r="B2790" t="s">
        <v>10154</v>
      </c>
      <c r="D2790" t="s">
        <v>40</v>
      </c>
      <c r="E2790" t="s">
        <v>41</v>
      </c>
      <c r="J2790" t="s">
        <v>290</v>
      </c>
      <c r="K2790" t="s">
        <v>291</v>
      </c>
      <c r="L2790">
        <v>5</v>
      </c>
      <c r="M2790" t="s">
        <v>10148</v>
      </c>
      <c r="N2790" t="s">
        <v>59</v>
      </c>
      <c r="O2790" t="s">
        <v>47</v>
      </c>
      <c r="P2790" t="s">
        <v>47</v>
      </c>
      <c r="Y2790" t="s">
        <v>10155</v>
      </c>
      <c r="AG2790" t="s">
        <v>48</v>
      </c>
    </row>
    <row r="2791" spans="1:33">
      <c r="A2791" t="s">
        <v>10156</v>
      </c>
      <c r="B2791" t="s">
        <v>10157</v>
      </c>
      <c r="D2791" t="s">
        <v>40</v>
      </c>
      <c r="E2791" t="s">
        <v>41</v>
      </c>
      <c r="J2791" t="s">
        <v>290</v>
      </c>
      <c r="K2791" t="s">
        <v>291</v>
      </c>
      <c r="L2791">
        <v>5</v>
      </c>
      <c r="M2791" t="s">
        <v>10158</v>
      </c>
      <c r="N2791" t="s">
        <v>59</v>
      </c>
      <c r="O2791" t="s">
        <v>47</v>
      </c>
      <c r="P2791" t="s">
        <v>47</v>
      </c>
      <c r="Y2791" t="s">
        <v>10159</v>
      </c>
      <c r="AG2791" t="s">
        <v>48</v>
      </c>
    </row>
    <row r="2792" spans="1:33">
      <c r="A2792" t="s">
        <v>10160</v>
      </c>
      <c r="B2792" t="s">
        <v>10161</v>
      </c>
      <c r="D2792" t="s">
        <v>40</v>
      </c>
      <c r="E2792" t="s">
        <v>41</v>
      </c>
      <c r="J2792" t="s">
        <v>290</v>
      </c>
      <c r="K2792" t="s">
        <v>291</v>
      </c>
      <c r="L2792">
        <v>5</v>
      </c>
      <c r="M2792" t="s">
        <v>10158</v>
      </c>
      <c r="N2792" t="s">
        <v>59</v>
      </c>
      <c r="O2792" t="s">
        <v>47</v>
      </c>
      <c r="P2792" t="s">
        <v>47</v>
      </c>
      <c r="Y2792" t="s">
        <v>10162</v>
      </c>
      <c r="AG2792" t="s">
        <v>48</v>
      </c>
    </row>
    <row r="2793" spans="1:33">
      <c r="A2793" t="s">
        <v>10163</v>
      </c>
      <c r="B2793" t="s">
        <v>10164</v>
      </c>
      <c r="D2793" t="s">
        <v>40</v>
      </c>
      <c r="E2793" t="s">
        <v>41</v>
      </c>
      <c r="J2793" t="s">
        <v>290</v>
      </c>
      <c r="K2793" t="s">
        <v>291</v>
      </c>
      <c r="L2793">
        <v>5</v>
      </c>
      <c r="M2793" t="s">
        <v>10165</v>
      </c>
      <c r="N2793" t="s">
        <v>59</v>
      </c>
      <c r="O2793" t="s">
        <v>47</v>
      </c>
      <c r="P2793" t="s">
        <v>47</v>
      </c>
      <c r="Y2793" t="s">
        <v>10166</v>
      </c>
      <c r="AG2793" t="s">
        <v>48</v>
      </c>
    </row>
    <row r="2794" spans="1:33">
      <c r="A2794" t="s">
        <v>10167</v>
      </c>
      <c r="B2794" t="s">
        <v>10168</v>
      </c>
      <c r="D2794" t="s">
        <v>40</v>
      </c>
      <c r="E2794" t="s">
        <v>41</v>
      </c>
      <c r="H2794" t="s">
        <v>10169</v>
      </c>
      <c r="J2794" t="s">
        <v>129</v>
      </c>
      <c r="K2794" t="s">
        <v>130</v>
      </c>
      <c r="L2794">
        <v>5</v>
      </c>
      <c r="M2794" t="s">
        <v>10170</v>
      </c>
      <c r="N2794" t="s">
        <v>192</v>
      </c>
      <c r="O2794" t="s">
        <v>47</v>
      </c>
      <c r="P2794" t="s">
        <v>47</v>
      </c>
      <c r="Y2794" t="s">
        <v>10169</v>
      </c>
      <c r="AG2794" t="s">
        <v>48</v>
      </c>
    </row>
    <row r="2795" spans="1:33">
      <c r="A2795" t="s">
        <v>10171</v>
      </c>
      <c r="B2795" t="s">
        <v>10172</v>
      </c>
      <c r="D2795" t="s">
        <v>40</v>
      </c>
      <c r="E2795" t="s">
        <v>41</v>
      </c>
      <c r="J2795" t="s">
        <v>290</v>
      </c>
      <c r="K2795" t="s">
        <v>291</v>
      </c>
      <c r="L2795">
        <v>5</v>
      </c>
      <c r="M2795" t="s">
        <v>10173</v>
      </c>
      <c r="N2795" t="s">
        <v>59</v>
      </c>
      <c r="O2795" t="s">
        <v>47</v>
      </c>
      <c r="P2795" t="s">
        <v>47</v>
      </c>
      <c r="Y2795" t="s">
        <v>10174</v>
      </c>
      <c r="AG2795" t="s">
        <v>48</v>
      </c>
    </row>
    <row r="2796" spans="1:33">
      <c r="A2796" t="s">
        <v>10175</v>
      </c>
      <c r="B2796" t="s">
        <v>10176</v>
      </c>
      <c r="D2796" t="s">
        <v>40</v>
      </c>
      <c r="E2796" t="s">
        <v>41</v>
      </c>
      <c r="J2796" t="s">
        <v>270</v>
      </c>
      <c r="K2796" t="s">
        <v>271</v>
      </c>
      <c r="L2796">
        <v>5</v>
      </c>
      <c r="M2796" t="s">
        <v>10173</v>
      </c>
      <c r="N2796" t="s">
        <v>59</v>
      </c>
      <c r="O2796" t="s">
        <v>47</v>
      </c>
      <c r="P2796" t="s">
        <v>47</v>
      </c>
      <c r="Y2796" t="s">
        <v>10177</v>
      </c>
      <c r="AG2796" t="s">
        <v>48</v>
      </c>
    </row>
    <row r="2797" spans="1:33">
      <c r="A2797" t="s">
        <v>10178</v>
      </c>
      <c r="B2797" t="s">
        <v>10179</v>
      </c>
      <c r="D2797" t="s">
        <v>40</v>
      </c>
      <c r="E2797" t="s">
        <v>41</v>
      </c>
      <c r="J2797" t="s">
        <v>290</v>
      </c>
      <c r="K2797" t="s">
        <v>291</v>
      </c>
      <c r="L2797">
        <v>5</v>
      </c>
      <c r="M2797" t="s">
        <v>10173</v>
      </c>
      <c r="N2797" t="s">
        <v>59</v>
      </c>
      <c r="O2797" t="s">
        <v>47</v>
      </c>
      <c r="P2797" t="s">
        <v>47</v>
      </c>
      <c r="Y2797" t="s">
        <v>10180</v>
      </c>
      <c r="AG2797" t="s">
        <v>48</v>
      </c>
    </row>
    <row r="2798" spans="1:33">
      <c r="A2798" t="s">
        <v>10181</v>
      </c>
      <c r="B2798" t="s">
        <v>10182</v>
      </c>
      <c r="D2798" t="s">
        <v>40</v>
      </c>
      <c r="E2798" t="s">
        <v>41</v>
      </c>
      <c r="J2798" t="s">
        <v>290</v>
      </c>
      <c r="K2798" t="s">
        <v>291</v>
      </c>
      <c r="L2798">
        <v>5</v>
      </c>
      <c r="M2798" t="s">
        <v>10183</v>
      </c>
      <c r="N2798" t="s">
        <v>59</v>
      </c>
      <c r="O2798" t="s">
        <v>47</v>
      </c>
      <c r="P2798" t="s">
        <v>47</v>
      </c>
      <c r="Y2798" t="s">
        <v>10184</v>
      </c>
      <c r="AG2798" t="s">
        <v>48</v>
      </c>
    </row>
    <row r="2799" spans="1:33">
      <c r="A2799" t="s">
        <v>10185</v>
      </c>
      <c r="B2799" t="s">
        <v>10186</v>
      </c>
      <c r="D2799" t="s">
        <v>40</v>
      </c>
      <c r="E2799" t="s">
        <v>41</v>
      </c>
      <c r="J2799" t="s">
        <v>129</v>
      </c>
      <c r="K2799" t="s">
        <v>130</v>
      </c>
      <c r="L2799">
        <v>5</v>
      </c>
      <c r="M2799" t="s">
        <v>10183</v>
      </c>
      <c r="N2799" t="s">
        <v>218</v>
      </c>
      <c r="O2799" t="s">
        <v>47</v>
      </c>
      <c r="P2799" t="s">
        <v>47</v>
      </c>
      <c r="Y2799" t="s">
        <v>10187</v>
      </c>
      <c r="AG2799" t="s">
        <v>48</v>
      </c>
    </row>
    <row r="2800" spans="1:33">
      <c r="A2800" t="s">
        <v>10188</v>
      </c>
      <c r="B2800" t="s">
        <v>10189</v>
      </c>
      <c r="D2800" t="s">
        <v>40</v>
      </c>
      <c r="E2800" t="s">
        <v>41</v>
      </c>
      <c r="J2800" t="s">
        <v>114</v>
      </c>
      <c r="K2800" t="s">
        <v>115</v>
      </c>
      <c r="L2800">
        <v>5</v>
      </c>
      <c r="M2800" t="s">
        <v>10190</v>
      </c>
      <c r="N2800" t="s">
        <v>59</v>
      </c>
      <c r="O2800" t="s">
        <v>47</v>
      </c>
      <c r="P2800" t="s">
        <v>47</v>
      </c>
      <c r="Y2800" t="s">
        <v>10191</v>
      </c>
      <c r="AG2800" t="s">
        <v>48</v>
      </c>
    </row>
    <row r="2801" spans="1:33">
      <c r="A2801" t="s">
        <v>10192</v>
      </c>
      <c r="B2801" t="s">
        <v>10193</v>
      </c>
      <c r="D2801" t="s">
        <v>40</v>
      </c>
      <c r="E2801" t="s">
        <v>41</v>
      </c>
      <c r="H2801" t="s">
        <v>10194</v>
      </c>
      <c r="J2801" t="s">
        <v>290</v>
      </c>
      <c r="K2801" t="s">
        <v>291</v>
      </c>
      <c r="L2801">
        <v>5</v>
      </c>
      <c r="M2801" t="s">
        <v>10195</v>
      </c>
      <c r="N2801" t="s">
        <v>59</v>
      </c>
      <c r="O2801" t="s">
        <v>47</v>
      </c>
      <c r="P2801" t="s">
        <v>47</v>
      </c>
      <c r="Y2801" t="s">
        <v>10194</v>
      </c>
      <c r="AG2801" t="s">
        <v>48</v>
      </c>
    </row>
    <row r="2802" spans="1:33">
      <c r="A2802" t="s">
        <v>10196</v>
      </c>
      <c r="B2802" t="s">
        <v>10197</v>
      </c>
      <c r="D2802" t="s">
        <v>40</v>
      </c>
      <c r="E2802" t="s">
        <v>41</v>
      </c>
      <c r="H2802" t="s">
        <v>10198</v>
      </c>
      <c r="J2802" t="s">
        <v>129</v>
      </c>
      <c r="K2802" t="s">
        <v>130</v>
      </c>
      <c r="L2802">
        <v>5</v>
      </c>
      <c r="M2802" t="s">
        <v>10199</v>
      </c>
      <c r="N2802" t="s">
        <v>192</v>
      </c>
      <c r="O2802" t="s">
        <v>47</v>
      </c>
      <c r="P2802" t="s">
        <v>47</v>
      </c>
      <c r="Y2802" t="s">
        <v>10198</v>
      </c>
      <c r="AG2802" t="s">
        <v>48</v>
      </c>
    </row>
    <row r="2803" spans="1:33">
      <c r="A2803" t="s">
        <v>10200</v>
      </c>
      <c r="B2803" t="s">
        <v>10201</v>
      </c>
      <c r="D2803" t="s">
        <v>40</v>
      </c>
      <c r="E2803" t="s">
        <v>41</v>
      </c>
      <c r="J2803" t="s">
        <v>290</v>
      </c>
      <c r="K2803" t="s">
        <v>291</v>
      </c>
      <c r="L2803">
        <v>5</v>
      </c>
      <c r="M2803" t="s">
        <v>10202</v>
      </c>
      <c r="N2803" t="s">
        <v>59</v>
      </c>
      <c r="O2803" t="s">
        <v>47</v>
      </c>
      <c r="P2803" t="s">
        <v>47</v>
      </c>
      <c r="Y2803" t="s">
        <v>10203</v>
      </c>
      <c r="AG2803" t="s">
        <v>48</v>
      </c>
    </row>
    <row r="2804" spans="1:33">
      <c r="A2804" t="s">
        <v>10204</v>
      </c>
      <c r="B2804" t="s">
        <v>10205</v>
      </c>
      <c r="D2804" t="s">
        <v>40</v>
      </c>
      <c r="E2804" t="s">
        <v>41</v>
      </c>
      <c r="J2804" t="s">
        <v>290</v>
      </c>
      <c r="K2804" t="s">
        <v>291</v>
      </c>
      <c r="L2804">
        <v>5</v>
      </c>
      <c r="M2804" t="s">
        <v>10202</v>
      </c>
      <c r="N2804" t="s">
        <v>59</v>
      </c>
      <c r="O2804" t="s">
        <v>47</v>
      </c>
      <c r="P2804" t="s">
        <v>47</v>
      </c>
      <c r="Y2804" t="s">
        <v>10206</v>
      </c>
      <c r="AG2804" t="s">
        <v>48</v>
      </c>
    </row>
    <row r="2805" spans="1:33">
      <c r="A2805" t="s">
        <v>10207</v>
      </c>
      <c r="B2805" t="s">
        <v>10208</v>
      </c>
      <c r="D2805" t="s">
        <v>40</v>
      </c>
      <c r="E2805" t="s">
        <v>41</v>
      </c>
      <c r="J2805" t="s">
        <v>290</v>
      </c>
      <c r="K2805" t="s">
        <v>291</v>
      </c>
      <c r="L2805">
        <v>5</v>
      </c>
      <c r="M2805" t="s">
        <v>10202</v>
      </c>
      <c r="N2805" t="s">
        <v>59</v>
      </c>
      <c r="O2805" t="s">
        <v>47</v>
      </c>
      <c r="P2805" t="s">
        <v>47</v>
      </c>
      <c r="Y2805" t="s">
        <v>10209</v>
      </c>
      <c r="AG2805" t="s">
        <v>48</v>
      </c>
    </row>
    <row r="2806" spans="1:33">
      <c r="A2806" t="s">
        <v>10210</v>
      </c>
      <c r="B2806" t="s">
        <v>10211</v>
      </c>
      <c r="D2806" t="s">
        <v>40</v>
      </c>
      <c r="E2806" t="s">
        <v>41</v>
      </c>
      <c r="J2806" t="s">
        <v>108</v>
      </c>
      <c r="K2806" t="s">
        <v>109</v>
      </c>
      <c r="L2806">
        <v>5</v>
      </c>
      <c r="M2806" t="s">
        <v>10202</v>
      </c>
      <c r="N2806" t="s">
        <v>59</v>
      </c>
      <c r="O2806" t="s">
        <v>47</v>
      </c>
      <c r="P2806" t="s">
        <v>47</v>
      </c>
      <c r="Y2806" t="s">
        <v>10212</v>
      </c>
      <c r="AG2806" t="s">
        <v>48</v>
      </c>
    </row>
    <row r="2807" spans="1:33">
      <c r="A2807" t="s">
        <v>10213</v>
      </c>
      <c r="B2807" t="s">
        <v>10214</v>
      </c>
      <c r="D2807" t="s">
        <v>40</v>
      </c>
      <c r="E2807" t="s">
        <v>41</v>
      </c>
      <c r="J2807" t="s">
        <v>270</v>
      </c>
      <c r="K2807" t="s">
        <v>271</v>
      </c>
      <c r="L2807">
        <v>5</v>
      </c>
      <c r="M2807" t="s">
        <v>10215</v>
      </c>
      <c r="N2807" t="s">
        <v>59</v>
      </c>
      <c r="O2807" t="s">
        <v>47</v>
      </c>
      <c r="P2807" t="s">
        <v>47</v>
      </c>
      <c r="Y2807" t="s">
        <v>10216</v>
      </c>
      <c r="AG2807" t="s">
        <v>48</v>
      </c>
    </row>
    <row r="2808" spans="1:33">
      <c r="A2808" t="s">
        <v>10217</v>
      </c>
      <c r="B2808" t="s">
        <v>10218</v>
      </c>
      <c r="D2808" t="s">
        <v>40</v>
      </c>
      <c r="E2808" t="s">
        <v>41</v>
      </c>
      <c r="J2808" t="s">
        <v>162</v>
      </c>
      <c r="K2808" t="s">
        <v>163</v>
      </c>
      <c r="L2808">
        <v>5</v>
      </c>
      <c r="M2808" t="s">
        <v>10219</v>
      </c>
      <c r="N2808" t="s">
        <v>59</v>
      </c>
      <c r="O2808" t="s">
        <v>47</v>
      </c>
      <c r="P2808" t="s">
        <v>47</v>
      </c>
      <c r="Y2808" t="s">
        <v>10220</v>
      </c>
      <c r="AG2808" t="s">
        <v>48</v>
      </c>
    </row>
    <row r="2809" spans="1:33">
      <c r="A2809" t="s">
        <v>10221</v>
      </c>
      <c r="B2809" t="s">
        <v>10222</v>
      </c>
      <c r="D2809" t="s">
        <v>40</v>
      </c>
      <c r="E2809" t="s">
        <v>41</v>
      </c>
      <c r="J2809" t="s">
        <v>290</v>
      </c>
      <c r="K2809" t="s">
        <v>291</v>
      </c>
      <c r="L2809">
        <v>5</v>
      </c>
      <c r="M2809" t="s">
        <v>10223</v>
      </c>
      <c r="N2809" t="s">
        <v>59</v>
      </c>
      <c r="O2809" t="s">
        <v>47</v>
      </c>
      <c r="P2809" t="s">
        <v>47</v>
      </c>
      <c r="Y2809" t="s">
        <v>10224</v>
      </c>
      <c r="AG2809" t="s">
        <v>48</v>
      </c>
    </row>
    <row r="2810" spans="1:33">
      <c r="A2810" t="s">
        <v>10225</v>
      </c>
      <c r="B2810" t="s">
        <v>10226</v>
      </c>
      <c r="D2810" t="s">
        <v>40</v>
      </c>
      <c r="E2810" t="s">
        <v>41</v>
      </c>
      <c r="H2810" t="s">
        <v>10227</v>
      </c>
      <c r="J2810" t="s">
        <v>129</v>
      </c>
      <c r="K2810" t="s">
        <v>130</v>
      </c>
      <c r="L2810">
        <v>6</v>
      </c>
      <c r="M2810" t="s">
        <v>10228</v>
      </c>
      <c r="N2810" t="s">
        <v>218</v>
      </c>
      <c r="O2810" t="s">
        <v>47</v>
      </c>
      <c r="P2810" t="s">
        <v>47</v>
      </c>
      <c r="Y2810" t="s">
        <v>10227</v>
      </c>
      <c r="AG2810" t="s">
        <v>48</v>
      </c>
    </row>
    <row r="2811" spans="1:33">
      <c r="A2811" t="s">
        <v>10229</v>
      </c>
      <c r="B2811" t="s">
        <v>10230</v>
      </c>
      <c r="D2811" t="s">
        <v>40</v>
      </c>
      <c r="E2811" t="s">
        <v>41</v>
      </c>
      <c r="H2811" t="s">
        <v>10231</v>
      </c>
      <c r="J2811" t="s">
        <v>162</v>
      </c>
      <c r="K2811" t="s">
        <v>163</v>
      </c>
      <c r="L2811">
        <v>5</v>
      </c>
      <c r="M2811" t="s">
        <v>10232</v>
      </c>
      <c r="N2811" t="s">
        <v>59</v>
      </c>
      <c r="O2811" t="s">
        <v>47</v>
      </c>
      <c r="P2811" t="s">
        <v>47</v>
      </c>
      <c r="Y2811" t="s">
        <v>10231</v>
      </c>
      <c r="AG2811" t="s">
        <v>48</v>
      </c>
    </row>
    <row r="2812" spans="1:33">
      <c r="A2812" t="s">
        <v>10233</v>
      </c>
      <c r="B2812" t="s">
        <v>10234</v>
      </c>
      <c r="D2812" t="s">
        <v>40</v>
      </c>
      <c r="E2812" t="s">
        <v>41</v>
      </c>
      <c r="J2812" t="s">
        <v>290</v>
      </c>
      <c r="K2812" t="s">
        <v>291</v>
      </c>
      <c r="L2812">
        <v>5</v>
      </c>
      <c r="M2812" t="s">
        <v>10235</v>
      </c>
      <c r="N2812" t="s">
        <v>59</v>
      </c>
      <c r="O2812" t="s">
        <v>47</v>
      </c>
      <c r="P2812" t="s">
        <v>47</v>
      </c>
      <c r="Y2812" t="s">
        <v>10236</v>
      </c>
      <c r="AG2812" t="s">
        <v>48</v>
      </c>
    </row>
    <row r="2813" spans="1:33">
      <c r="A2813" t="s">
        <v>10237</v>
      </c>
      <c r="B2813" t="s">
        <v>10238</v>
      </c>
      <c r="D2813" t="s">
        <v>40</v>
      </c>
      <c r="E2813" t="s">
        <v>41</v>
      </c>
      <c r="J2813" t="s">
        <v>129</v>
      </c>
      <c r="K2813" t="s">
        <v>130</v>
      </c>
      <c r="L2813">
        <v>5</v>
      </c>
      <c r="M2813" t="s">
        <v>10235</v>
      </c>
      <c r="N2813" t="s">
        <v>192</v>
      </c>
      <c r="O2813" t="s">
        <v>47</v>
      </c>
      <c r="P2813" t="s">
        <v>47</v>
      </c>
      <c r="Y2813" t="s">
        <v>10239</v>
      </c>
      <c r="AG2813" t="s">
        <v>48</v>
      </c>
    </row>
    <row r="2814" spans="1:33">
      <c r="A2814" t="s">
        <v>10240</v>
      </c>
      <c r="B2814" t="s">
        <v>10241</v>
      </c>
      <c r="D2814" t="s">
        <v>40</v>
      </c>
      <c r="E2814" t="s">
        <v>41</v>
      </c>
      <c r="J2814" t="s">
        <v>108</v>
      </c>
      <c r="K2814" t="s">
        <v>109</v>
      </c>
      <c r="L2814">
        <v>5</v>
      </c>
      <c r="M2814" t="s">
        <v>10235</v>
      </c>
      <c r="N2814" t="s">
        <v>59</v>
      </c>
      <c r="O2814" t="s">
        <v>47</v>
      </c>
      <c r="P2814" t="s">
        <v>47</v>
      </c>
      <c r="Y2814" t="s">
        <v>10242</v>
      </c>
      <c r="AG2814" t="s">
        <v>48</v>
      </c>
    </row>
    <row r="2815" spans="1:33">
      <c r="A2815" t="s">
        <v>10243</v>
      </c>
      <c r="B2815" t="s">
        <v>10244</v>
      </c>
      <c r="D2815" t="s">
        <v>40</v>
      </c>
      <c r="E2815" t="s">
        <v>41</v>
      </c>
      <c r="J2815" t="s">
        <v>270</v>
      </c>
      <c r="K2815" t="s">
        <v>271</v>
      </c>
      <c r="L2815">
        <v>5</v>
      </c>
      <c r="M2815" t="s">
        <v>10245</v>
      </c>
      <c r="N2815" t="s">
        <v>59</v>
      </c>
      <c r="O2815" t="s">
        <v>47</v>
      </c>
      <c r="P2815" t="s">
        <v>47</v>
      </c>
      <c r="Y2815" t="s">
        <v>10246</v>
      </c>
      <c r="AG2815" t="s">
        <v>48</v>
      </c>
    </row>
    <row r="2816" spans="1:33">
      <c r="A2816" t="s">
        <v>10247</v>
      </c>
      <c r="B2816" t="s">
        <v>10248</v>
      </c>
      <c r="D2816" t="s">
        <v>40</v>
      </c>
      <c r="E2816" t="s">
        <v>41</v>
      </c>
      <c r="H2816" t="s">
        <v>10249</v>
      </c>
      <c r="J2816" t="s">
        <v>162</v>
      </c>
      <c r="K2816" t="s">
        <v>163</v>
      </c>
      <c r="L2816">
        <v>5</v>
      </c>
      <c r="M2816" t="s">
        <v>10245</v>
      </c>
      <c r="N2816" t="s">
        <v>59</v>
      </c>
      <c r="O2816" t="s">
        <v>47</v>
      </c>
      <c r="P2816" t="s">
        <v>47</v>
      </c>
      <c r="Y2816" t="s">
        <v>10249</v>
      </c>
      <c r="AG2816" t="s">
        <v>48</v>
      </c>
    </row>
    <row r="2817" spans="1:33">
      <c r="A2817" t="s">
        <v>10250</v>
      </c>
      <c r="B2817" t="s">
        <v>10251</v>
      </c>
      <c r="D2817" t="s">
        <v>40</v>
      </c>
      <c r="E2817" t="s">
        <v>41</v>
      </c>
      <c r="J2817" t="s">
        <v>114</v>
      </c>
      <c r="K2817" t="s">
        <v>115</v>
      </c>
      <c r="L2817">
        <v>5</v>
      </c>
      <c r="M2817" t="s">
        <v>10245</v>
      </c>
      <c r="N2817" t="s">
        <v>59</v>
      </c>
      <c r="O2817" t="s">
        <v>47</v>
      </c>
      <c r="P2817" t="s">
        <v>47</v>
      </c>
      <c r="Y2817" t="s">
        <v>10252</v>
      </c>
      <c r="AG2817" t="s">
        <v>48</v>
      </c>
    </row>
    <row r="2818" spans="1:33">
      <c r="A2818" t="s">
        <v>10253</v>
      </c>
      <c r="B2818" t="s">
        <v>10254</v>
      </c>
      <c r="D2818" t="s">
        <v>40</v>
      </c>
      <c r="E2818" t="s">
        <v>41</v>
      </c>
      <c r="H2818" t="s">
        <v>10255</v>
      </c>
      <c r="J2818" t="s">
        <v>63</v>
      </c>
      <c r="K2818" t="s">
        <v>64</v>
      </c>
      <c r="L2818">
        <v>5</v>
      </c>
      <c r="M2818" t="s">
        <v>10256</v>
      </c>
      <c r="N2818" t="s">
        <v>59</v>
      </c>
      <c r="O2818" t="s">
        <v>47</v>
      </c>
      <c r="P2818" t="s">
        <v>47</v>
      </c>
      <c r="Y2818" t="s">
        <v>10255</v>
      </c>
      <c r="AG2818" t="s">
        <v>48</v>
      </c>
    </row>
    <row r="2819" spans="1:33">
      <c r="A2819" t="s">
        <v>10257</v>
      </c>
      <c r="B2819" t="s">
        <v>10258</v>
      </c>
      <c r="D2819" t="s">
        <v>40</v>
      </c>
      <c r="E2819" t="s">
        <v>41</v>
      </c>
      <c r="J2819" t="s">
        <v>162</v>
      </c>
      <c r="K2819" t="s">
        <v>163</v>
      </c>
      <c r="L2819">
        <v>5</v>
      </c>
      <c r="M2819" t="s">
        <v>10259</v>
      </c>
      <c r="N2819" t="s">
        <v>59</v>
      </c>
      <c r="O2819" t="s">
        <v>47</v>
      </c>
      <c r="P2819" t="s">
        <v>47</v>
      </c>
      <c r="Y2819" t="s">
        <v>10260</v>
      </c>
      <c r="AG2819" t="s">
        <v>48</v>
      </c>
    </row>
    <row r="2820" spans="1:33">
      <c r="A2820" t="s">
        <v>10261</v>
      </c>
      <c r="B2820" t="s">
        <v>10262</v>
      </c>
      <c r="D2820" t="s">
        <v>40</v>
      </c>
      <c r="E2820" t="s">
        <v>41</v>
      </c>
      <c r="J2820" t="s">
        <v>162</v>
      </c>
      <c r="K2820" t="s">
        <v>163</v>
      </c>
      <c r="L2820">
        <v>5</v>
      </c>
      <c r="M2820" t="s">
        <v>10263</v>
      </c>
      <c r="N2820" t="s">
        <v>59</v>
      </c>
      <c r="O2820" t="s">
        <v>47</v>
      </c>
      <c r="P2820" t="s">
        <v>47</v>
      </c>
      <c r="Y2820" t="s">
        <v>10264</v>
      </c>
      <c r="AG2820" t="s">
        <v>48</v>
      </c>
    </row>
    <row r="2821" spans="1:33">
      <c r="A2821" t="s">
        <v>10265</v>
      </c>
      <c r="B2821" t="s">
        <v>10266</v>
      </c>
      <c r="D2821" t="s">
        <v>40</v>
      </c>
      <c r="E2821" t="s">
        <v>41</v>
      </c>
      <c r="J2821" t="s">
        <v>129</v>
      </c>
      <c r="K2821" t="s">
        <v>130</v>
      </c>
      <c r="L2821">
        <v>5</v>
      </c>
      <c r="M2821" t="s">
        <v>10267</v>
      </c>
      <c r="N2821" t="s">
        <v>192</v>
      </c>
      <c r="O2821" t="s">
        <v>47</v>
      </c>
      <c r="P2821" t="s">
        <v>47</v>
      </c>
      <c r="Y2821" t="s">
        <v>10268</v>
      </c>
      <c r="AG2821" t="s">
        <v>48</v>
      </c>
    </row>
    <row r="2822" spans="1:33">
      <c r="A2822" t="s">
        <v>10269</v>
      </c>
      <c r="B2822" t="s">
        <v>10270</v>
      </c>
      <c r="D2822" t="s">
        <v>40</v>
      </c>
      <c r="E2822" t="s">
        <v>41</v>
      </c>
      <c r="J2822" t="s">
        <v>162</v>
      </c>
      <c r="K2822" t="s">
        <v>163</v>
      </c>
      <c r="L2822">
        <v>5</v>
      </c>
      <c r="M2822" t="s">
        <v>10267</v>
      </c>
      <c r="N2822" t="s">
        <v>59</v>
      </c>
      <c r="O2822" t="s">
        <v>47</v>
      </c>
      <c r="P2822" t="s">
        <v>47</v>
      </c>
      <c r="Y2822" t="s">
        <v>10271</v>
      </c>
      <c r="AG2822" t="s">
        <v>48</v>
      </c>
    </row>
    <row r="2823" spans="1:33">
      <c r="A2823" t="s">
        <v>10272</v>
      </c>
      <c r="B2823" t="s">
        <v>10273</v>
      </c>
      <c r="D2823" t="s">
        <v>40</v>
      </c>
      <c r="E2823" t="s">
        <v>41</v>
      </c>
      <c r="J2823" t="s">
        <v>270</v>
      </c>
      <c r="K2823" t="s">
        <v>271</v>
      </c>
      <c r="L2823">
        <v>5</v>
      </c>
      <c r="M2823" t="s">
        <v>10267</v>
      </c>
      <c r="N2823" t="s">
        <v>59</v>
      </c>
      <c r="O2823" t="s">
        <v>47</v>
      </c>
      <c r="P2823" t="s">
        <v>47</v>
      </c>
      <c r="Y2823" t="s">
        <v>10274</v>
      </c>
      <c r="AG2823" t="s">
        <v>48</v>
      </c>
    </row>
    <row r="2824" spans="1:33">
      <c r="A2824" t="s">
        <v>10275</v>
      </c>
      <c r="B2824" t="s">
        <v>10276</v>
      </c>
      <c r="D2824" t="s">
        <v>40</v>
      </c>
      <c r="E2824" t="s">
        <v>41</v>
      </c>
      <c r="J2824" t="s">
        <v>270</v>
      </c>
      <c r="K2824" t="s">
        <v>271</v>
      </c>
      <c r="L2824">
        <v>5</v>
      </c>
      <c r="M2824" t="s">
        <v>10267</v>
      </c>
      <c r="N2824" t="s">
        <v>59</v>
      </c>
      <c r="O2824" t="s">
        <v>47</v>
      </c>
      <c r="P2824" t="s">
        <v>47</v>
      </c>
      <c r="Y2824" t="s">
        <v>10277</v>
      </c>
      <c r="AG2824" t="s">
        <v>48</v>
      </c>
    </row>
    <row r="2825" spans="1:33">
      <c r="A2825" t="s">
        <v>10278</v>
      </c>
      <c r="B2825" t="s">
        <v>10279</v>
      </c>
      <c r="D2825" t="s">
        <v>40</v>
      </c>
      <c r="E2825" t="s">
        <v>41</v>
      </c>
      <c r="J2825" t="s">
        <v>290</v>
      </c>
      <c r="K2825" t="s">
        <v>291</v>
      </c>
      <c r="L2825">
        <v>5</v>
      </c>
      <c r="M2825" t="s">
        <v>10280</v>
      </c>
      <c r="N2825" t="s">
        <v>59</v>
      </c>
      <c r="O2825" t="s">
        <v>47</v>
      </c>
      <c r="P2825" t="s">
        <v>47</v>
      </c>
      <c r="Y2825" t="s">
        <v>10281</v>
      </c>
      <c r="AG2825" t="s">
        <v>48</v>
      </c>
    </row>
    <row r="2826" spans="1:33">
      <c r="A2826" t="s">
        <v>10282</v>
      </c>
      <c r="B2826" t="s">
        <v>10283</v>
      </c>
      <c r="D2826" t="s">
        <v>40</v>
      </c>
      <c r="E2826" t="s">
        <v>41</v>
      </c>
      <c r="J2826" t="s">
        <v>270</v>
      </c>
      <c r="K2826" t="s">
        <v>271</v>
      </c>
      <c r="L2826">
        <v>5</v>
      </c>
      <c r="M2826" t="s">
        <v>10280</v>
      </c>
      <c r="N2826" t="s">
        <v>59</v>
      </c>
      <c r="O2826" t="s">
        <v>47</v>
      </c>
      <c r="P2826" t="s">
        <v>47</v>
      </c>
      <c r="Y2826" t="s">
        <v>10284</v>
      </c>
      <c r="AG2826" t="s">
        <v>48</v>
      </c>
    </row>
    <row r="2827" spans="1:33">
      <c r="A2827" t="s">
        <v>10285</v>
      </c>
      <c r="B2827" t="s">
        <v>10286</v>
      </c>
      <c r="D2827" t="s">
        <v>40</v>
      </c>
      <c r="E2827" t="s">
        <v>41</v>
      </c>
      <c r="J2827" t="s">
        <v>108</v>
      </c>
      <c r="K2827" t="s">
        <v>109</v>
      </c>
      <c r="L2827">
        <v>5</v>
      </c>
      <c r="M2827" t="s">
        <v>10280</v>
      </c>
      <c r="N2827" t="s">
        <v>59</v>
      </c>
      <c r="O2827" t="s">
        <v>47</v>
      </c>
      <c r="P2827" t="s">
        <v>47</v>
      </c>
      <c r="Y2827" t="s">
        <v>10287</v>
      </c>
      <c r="AG2827" t="s">
        <v>48</v>
      </c>
    </row>
    <row r="2828" spans="1:33">
      <c r="A2828" t="s">
        <v>10288</v>
      </c>
      <c r="B2828" t="s">
        <v>10289</v>
      </c>
      <c r="D2828" t="s">
        <v>40</v>
      </c>
      <c r="E2828" t="s">
        <v>41</v>
      </c>
      <c r="J2828" t="s">
        <v>114</v>
      </c>
      <c r="K2828" t="s">
        <v>115</v>
      </c>
      <c r="L2828">
        <v>5</v>
      </c>
      <c r="M2828" t="s">
        <v>10290</v>
      </c>
      <c r="N2828" t="s">
        <v>59</v>
      </c>
      <c r="O2828" t="s">
        <v>47</v>
      </c>
      <c r="P2828" t="s">
        <v>47</v>
      </c>
      <c r="Y2828" t="s">
        <v>10291</v>
      </c>
      <c r="AG2828" t="s">
        <v>48</v>
      </c>
    </row>
    <row r="2829" spans="1:33">
      <c r="A2829" t="s">
        <v>10292</v>
      </c>
      <c r="B2829" t="s">
        <v>10293</v>
      </c>
      <c r="D2829" t="s">
        <v>40</v>
      </c>
      <c r="E2829" t="s">
        <v>41</v>
      </c>
      <c r="J2829" t="s">
        <v>108</v>
      </c>
      <c r="K2829" t="s">
        <v>109</v>
      </c>
      <c r="L2829">
        <v>5</v>
      </c>
      <c r="M2829" t="s">
        <v>10294</v>
      </c>
      <c r="N2829" t="s">
        <v>59</v>
      </c>
      <c r="O2829" t="s">
        <v>47</v>
      </c>
      <c r="P2829" t="s">
        <v>47</v>
      </c>
      <c r="Y2829" t="s">
        <v>10295</v>
      </c>
      <c r="AG2829" t="s">
        <v>48</v>
      </c>
    </row>
    <row r="2830" spans="1:33">
      <c r="A2830" t="s">
        <v>10296</v>
      </c>
      <c r="B2830" t="s">
        <v>10297</v>
      </c>
      <c r="D2830" t="s">
        <v>40</v>
      </c>
      <c r="E2830" t="s">
        <v>41</v>
      </c>
      <c r="J2830" t="s">
        <v>290</v>
      </c>
      <c r="K2830" t="s">
        <v>291</v>
      </c>
      <c r="L2830">
        <v>5</v>
      </c>
      <c r="M2830" t="s">
        <v>10298</v>
      </c>
      <c r="N2830" t="s">
        <v>59</v>
      </c>
      <c r="O2830" t="s">
        <v>47</v>
      </c>
      <c r="P2830" t="s">
        <v>47</v>
      </c>
      <c r="Y2830" t="s">
        <v>10299</v>
      </c>
      <c r="AG2830" t="s">
        <v>48</v>
      </c>
    </row>
    <row r="2831" spans="1:33">
      <c r="A2831" t="s">
        <v>10300</v>
      </c>
      <c r="B2831" t="s">
        <v>10301</v>
      </c>
      <c r="D2831" t="s">
        <v>40</v>
      </c>
      <c r="E2831" t="s">
        <v>41</v>
      </c>
      <c r="J2831" t="s">
        <v>290</v>
      </c>
      <c r="K2831" t="s">
        <v>291</v>
      </c>
      <c r="L2831">
        <v>5</v>
      </c>
      <c r="M2831" t="s">
        <v>10298</v>
      </c>
      <c r="N2831" t="s">
        <v>59</v>
      </c>
      <c r="O2831" t="s">
        <v>47</v>
      </c>
      <c r="P2831" t="s">
        <v>47</v>
      </c>
      <c r="Y2831" t="s">
        <v>10302</v>
      </c>
      <c r="AG2831" t="s">
        <v>48</v>
      </c>
    </row>
    <row r="2832" spans="1:33">
      <c r="A2832" t="s">
        <v>10303</v>
      </c>
      <c r="B2832" t="s">
        <v>10304</v>
      </c>
      <c r="D2832" t="s">
        <v>40</v>
      </c>
      <c r="E2832" t="s">
        <v>41</v>
      </c>
      <c r="J2832" t="s">
        <v>162</v>
      </c>
      <c r="K2832" t="s">
        <v>163</v>
      </c>
      <c r="L2832">
        <v>5</v>
      </c>
      <c r="M2832" t="s">
        <v>10298</v>
      </c>
      <c r="N2832" t="s">
        <v>59</v>
      </c>
      <c r="O2832" t="s">
        <v>47</v>
      </c>
      <c r="P2832" t="s">
        <v>47</v>
      </c>
      <c r="Y2832" t="s">
        <v>10305</v>
      </c>
      <c r="AG2832" t="s">
        <v>48</v>
      </c>
    </row>
    <row r="2833" spans="1:33">
      <c r="A2833" t="s">
        <v>10306</v>
      </c>
      <c r="B2833" t="s">
        <v>10307</v>
      </c>
      <c r="D2833" t="s">
        <v>40</v>
      </c>
      <c r="E2833" t="s">
        <v>41</v>
      </c>
      <c r="J2833" t="s">
        <v>290</v>
      </c>
      <c r="K2833" t="s">
        <v>291</v>
      </c>
      <c r="L2833">
        <v>5</v>
      </c>
      <c r="M2833" t="s">
        <v>10308</v>
      </c>
      <c r="N2833" t="s">
        <v>59</v>
      </c>
      <c r="O2833" t="s">
        <v>47</v>
      </c>
      <c r="P2833" t="s">
        <v>47</v>
      </c>
      <c r="Y2833" t="s">
        <v>10309</v>
      </c>
      <c r="AG2833" t="s">
        <v>48</v>
      </c>
    </row>
    <row r="2834" spans="1:33">
      <c r="A2834" t="s">
        <v>10310</v>
      </c>
      <c r="B2834" t="s">
        <v>10311</v>
      </c>
      <c r="D2834" t="s">
        <v>40</v>
      </c>
      <c r="E2834" t="s">
        <v>41</v>
      </c>
      <c r="J2834" t="s">
        <v>290</v>
      </c>
      <c r="K2834" t="s">
        <v>291</v>
      </c>
      <c r="L2834">
        <v>5</v>
      </c>
      <c r="M2834" t="s">
        <v>10308</v>
      </c>
      <c r="N2834" t="s">
        <v>59</v>
      </c>
      <c r="O2834" t="s">
        <v>47</v>
      </c>
      <c r="P2834" t="s">
        <v>47</v>
      </c>
      <c r="Y2834" t="s">
        <v>10312</v>
      </c>
      <c r="AG2834" t="s">
        <v>48</v>
      </c>
    </row>
    <row r="2835" spans="1:33">
      <c r="A2835" t="s">
        <v>10313</v>
      </c>
      <c r="B2835" t="s">
        <v>10314</v>
      </c>
      <c r="D2835" t="s">
        <v>40</v>
      </c>
      <c r="E2835" t="s">
        <v>41</v>
      </c>
      <c r="J2835" t="s">
        <v>108</v>
      </c>
      <c r="K2835" t="s">
        <v>109</v>
      </c>
      <c r="L2835">
        <v>5</v>
      </c>
      <c r="M2835" t="s">
        <v>10315</v>
      </c>
      <c r="N2835" t="s">
        <v>59</v>
      </c>
      <c r="O2835" t="s">
        <v>47</v>
      </c>
      <c r="P2835" t="s">
        <v>47</v>
      </c>
      <c r="Y2835" t="s">
        <v>10316</v>
      </c>
      <c r="AG2835" t="s">
        <v>48</v>
      </c>
    </row>
    <row r="2836" spans="1:33">
      <c r="A2836" t="s">
        <v>10317</v>
      </c>
      <c r="B2836" t="s">
        <v>10318</v>
      </c>
      <c r="D2836" t="s">
        <v>40</v>
      </c>
      <c r="E2836" t="s">
        <v>41</v>
      </c>
      <c r="J2836" t="s">
        <v>290</v>
      </c>
      <c r="K2836" t="s">
        <v>291</v>
      </c>
      <c r="L2836">
        <v>5</v>
      </c>
      <c r="M2836" t="s">
        <v>10319</v>
      </c>
      <c r="N2836" t="s">
        <v>59</v>
      </c>
      <c r="O2836" t="s">
        <v>47</v>
      </c>
      <c r="P2836" t="s">
        <v>47</v>
      </c>
      <c r="Y2836" t="s">
        <v>10320</v>
      </c>
      <c r="AG2836" t="s">
        <v>48</v>
      </c>
    </row>
    <row r="2837" spans="1:33">
      <c r="A2837" t="s">
        <v>10321</v>
      </c>
      <c r="B2837" t="s">
        <v>10322</v>
      </c>
      <c r="D2837" t="s">
        <v>40</v>
      </c>
      <c r="E2837" t="s">
        <v>41</v>
      </c>
      <c r="J2837" t="s">
        <v>270</v>
      </c>
      <c r="K2837" t="s">
        <v>271</v>
      </c>
      <c r="L2837">
        <v>5</v>
      </c>
      <c r="M2837" t="s">
        <v>10319</v>
      </c>
      <c r="N2837" t="s">
        <v>59</v>
      </c>
      <c r="O2837" t="s">
        <v>47</v>
      </c>
      <c r="P2837" t="s">
        <v>47</v>
      </c>
      <c r="Y2837" t="s">
        <v>10323</v>
      </c>
      <c r="AG2837" t="s">
        <v>48</v>
      </c>
    </row>
    <row r="2838" spans="1:33">
      <c r="A2838" t="s">
        <v>10324</v>
      </c>
      <c r="B2838" t="s">
        <v>10325</v>
      </c>
      <c r="D2838" t="s">
        <v>40</v>
      </c>
      <c r="E2838" t="s">
        <v>41</v>
      </c>
      <c r="J2838" t="s">
        <v>108</v>
      </c>
      <c r="K2838" t="s">
        <v>109</v>
      </c>
      <c r="L2838">
        <v>5</v>
      </c>
      <c r="M2838" t="s">
        <v>10326</v>
      </c>
      <c r="N2838" t="s">
        <v>59</v>
      </c>
      <c r="O2838" t="s">
        <v>47</v>
      </c>
      <c r="P2838" t="s">
        <v>47</v>
      </c>
      <c r="Y2838" t="s">
        <v>10327</v>
      </c>
      <c r="AG2838" t="s">
        <v>48</v>
      </c>
    </row>
    <row r="2839" spans="1:33">
      <c r="A2839" t="s">
        <v>10328</v>
      </c>
      <c r="B2839" t="s">
        <v>10329</v>
      </c>
      <c r="D2839" t="s">
        <v>40</v>
      </c>
      <c r="E2839" t="s">
        <v>41</v>
      </c>
      <c r="J2839" t="s">
        <v>290</v>
      </c>
      <c r="K2839" t="s">
        <v>291</v>
      </c>
      <c r="L2839">
        <v>5</v>
      </c>
      <c r="M2839" t="s">
        <v>10330</v>
      </c>
      <c r="N2839" t="s">
        <v>59</v>
      </c>
      <c r="O2839" t="s">
        <v>47</v>
      </c>
      <c r="P2839" t="s">
        <v>47</v>
      </c>
      <c r="Y2839" t="s">
        <v>10331</v>
      </c>
      <c r="AG2839" t="s">
        <v>48</v>
      </c>
    </row>
    <row r="2840" spans="1:33">
      <c r="A2840" t="s">
        <v>10332</v>
      </c>
      <c r="B2840" t="s">
        <v>10333</v>
      </c>
      <c r="D2840" t="s">
        <v>40</v>
      </c>
      <c r="E2840" t="s">
        <v>41</v>
      </c>
      <c r="J2840" t="s">
        <v>270</v>
      </c>
      <c r="K2840" t="s">
        <v>271</v>
      </c>
      <c r="L2840">
        <v>5</v>
      </c>
      <c r="M2840" t="s">
        <v>10330</v>
      </c>
      <c r="N2840" t="s">
        <v>59</v>
      </c>
      <c r="O2840" t="s">
        <v>47</v>
      </c>
      <c r="P2840" t="s">
        <v>47</v>
      </c>
      <c r="Y2840" t="s">
        <v>10334</v>
      </c>
      <c r="AG2840" t="s">
        <v>48</v>
      </c>
    </row>
    <row r="2841" spans="1:33">
      <c r="A2841" t="s">
        <v>10335</v>
      </c>
      <c r="B2841" t="s">
        <v>10336</v>
      </c>
      <c r="D2841" t="s">
        <v>40</v>
      </c>
      <c r="E2841" t="s">
        <v>41</v>
      </c>
      <c r="J2841" t="s">
        <v>86</v>
      </c>
      <c r="K2841" t="s">
        <v>87</v>
      </c>
      <c r="L2841">
        <v>5</v>
      </c>
      <c r="M2841" t="s">
        <v>10330</v>
      </c>
      <c r="N2841" t="s">
        <v>192</v>
      </c>
      <c r="O2841" t="s">
        <v>47</v>
      </c>
      <c r="P2841" t="s">
        <v>47</v>
      </c>
      <c r="Y2841" t="s">
        <v>10337</v>
      </c>
      <c r="AG2841" t="s">
        <v>48</v>
      </c>
    </row>
    <row r="2842" spans="1:33">
      <c r="A2842" t="s">
        <v>10338</v>
      </c>
      <c r="B2842" t="s">
        <v>10339</v>
      </c>
      <c r="D2842" t="s">
        <v>40</v>
      </c>
      <c r="E2842" t="s">
        <v>41</v>
      </c>
      <c r="H2842" t="s">
        <v>10340</v>
      </c>
      <c r="J2842" t="s">
        <v>63</v>
      </c>
      <c r="K2842" t="s">
        <v>64</v>
      </c>
      <c r="L2842">
        <v>5</v>
      </c>
      <c r="M2842" t="s">
        <v>10341</v>
      </c>
      <c r="N2842" t="s">
        <v>59</v>
      </c>
      <c r="O2842" t="s">
        <v>47</v>
      </c>
      <c r="P2842" t="s">
        <v>47</v>
      </c>
      <c r="Y2842" t="s">
        <v>10340</v>
      </c>
      <c r="AG2842" t="s">
        <v>48</v>
      </c>
    </row>
    <row r="2843" spans="1:33">
      <c r="A2843" t="s">
        <v>117</v>
      </c>
      <c r="B2843" t="s">
        <v>10342</v>
      </c>
      <c r="D2843" t="s">
        <v>40</v>
      </c>
      <c r="E2843" t="s">
        <v>41</v>
      </c>
      <c r="J2843" t="s">
        <v>108</v>
      </c>
      <c r="K2843" t="s">
        <v>109</v>
      </c>
      <c r="L2843">
        <v>5</v>
      </c>
      <c r="M2843" t="s">
        <v>10343</v>
      </c>
      <c r="N2843" t="s">
        <v>59</v>
      </c>
      <c r="O2843" t="s">
        <v>47</v>
      </c>
      <c r="P2843" t="s">
        <v>47</v>
      </c>
      <c r="Y2843" t="s">
        <v>10344</v>
      </c>
      <c r="AG2843" t="s">
        <v>48</v>
      </c>
    </row>
    <row r="2844" spans="1:33">
      <c r="A2844" t="s">
        <v>10345</v>
      </c>
      <c r="B2844" t="s">
        <v>10346</v>
      </c>
      <c r="D2844" t="s">
        <v>40</v>
      </c>
      <c r="E2844" t="s">
        <v>41</v>
      </c>
      <c r="J2844" t="s">
        <v>129</v>
      </c>
      <c r="K2844" t="s">
        <v>130</v>
      </c>
      <c r="L2844">
        <v>5</v>
      </c>
      <c r="M2844" t="s">
        <v>10343</v>
      </c>
      <c r="N2844" t="s">
        <v>192</v>
      </c>
      <c r="O2844" t="s">
        <v>47</v>
      </c>
      <c r="P2844" t="s">
        <v>47</v>
      </c>
      <c r="Y2844" t="s">
        <v>10347</v>
      </c>
      <c r="AG2844" t="s">
        <v>48</v>
      </c>
    </row>
    <row r="2845" spans="1:33">
      <c r="A2845" t="s">
        <v>10348</v>
      </c>
      <c r="B2845" t="s">
        <v>10349</v>
      </c>
      <c r="D2845" t="s">
        <v>40</v>
      </c>
      <c r="E2845" t="s">
        <v>41</v>
      </c>
      <c r="H2845" t="s">
        <v>10350</v>
      </c>
      <c r="J2845" t="s">
        <v>63</v>
      </c>
      <c r="K2845" t="s">
        <v>64</v>
      </c>
      <c r="L2845">
        <v>5</v>
      </c>
      <c r="M2845" t="s">
        <v>10351</v>
      </c>
      <c r="N2845" t="s">
        <v>59</v>
      </c>
      <c r="O2845" t="s">
        <v>47</v>
      </c>
      <c r="P2845" t="s">
        <v>47</v>
      </c>
      <c r="Y2845" t="s">
        <v>10350</v>
      </c>
      <c r="AG2845" t="s">
        <v>48</v>
      </c>
    </row>
    <row r="2846" spans="1:33">
      <c r="A2846" t="s">
        <v>10352</v>
      </c>
      <c r="B2846" t="s">
        <v>10353</v>
      </c>
      <c r="D2846" t="s">
        <v>40</v>
      </c>
      <c r="E2846" t="s">
        <v>41</v>
      </c>
      <c r="J2846" t="s">
        <v>290</v>
      </c>
      <c r="K2846" t="s">
        <v>291</v>
      </c>
      <c r="L2846">
        <v>5</v>
      </c>
      <c r="M2846" t="s">
        <v>10354</v>
      </c>
      <c r="N2846" t="s">
        <v>59</v>
      </c>
      <c r="O2846" t="s">
        <v>47</v>
      </c>
      <c r="P2846" t="s">
        <v>47</v>
      </c>
      <c r="Y2846" t="s">
        <v>10355</v>
      </c>
      <c r="AG2846" t="s">
        <v>48</v>
      </c>
    </row>
    <row r="2847" spans="1:33">
      <c r="A2847" t="s">
        <v>10356</v>
      </c>
      <c r="B2847" t="s">
        <v>10357</v>
      </c>
      <c r="D2847" t="s">
        <v>40</v>
      </c>
      <c r="E2847" t="s">
        <v>41</v>
      </c>
      <c r="J2847" t="s">
        <v>108</v>
      </c>
      <c r="K2847" t="s">
        <v>109</v>
      </c>
      <c r="L2847">
        <v>5</v>
      </c>
      <c r="M2847" t="s">
        <v>10358</v>
      </c>
      <c r="N2847" t="s">
        <v>59</v>
      </c>
      <c r="O2847" t="s">
        <v>47</v>
      </c>
      <c r="P2847" t="s">
        <v>47</v>
      </c>
      <c r="Y2847" t="s">
        <v>10359</v>
      </c>
      <c r="AG2847" t="s">
        <v>48</v>
      </c>
    </row>
    <row r="2848" spans="1:33">
      <c r="A2848" t="s">
        <v>10360</v>
      </c>
      <c r="B2848" t="s">
        <v>10361</v>
      </c>
      <c r="D2848" t="s">
        <v>40</v>
      </c>
      <c r="E2848" t="s">
        <v>41</v>
      </c>
      <c r="J2848" t="s">
        <v>290</v>
      </c>
      <c r="K2848" t="s">
        <v>291</v>
      </c>
      <c r="L2848">
        <v>5</v>
      </c>
      <c r="M2848" t="s">
        <v>10362</v>
      </c>
      <c r="N2848" t="s">
        <v>59</v>
      </c>
      <c r="O2848" t="s">
        <v>47</v>
      </c>
      <c r="P2848" t="s">
        <v>47</v>
      </c>
      <c r="Y2848" t="s">
        <v>10363</v>
      </c>
      <c r="AG2848" t="s">
        <v>48</v>
      </c>
    </row>
    <row r="2849" spans="1:33">
      <c r="A2849" t="s">
        <v>117</v>
      </c>
      <c r="B2849" t="s">
        <v>10364</v>
      </c>
      <c r="D2849" t="s">
        <v>40</v>
      </c>
      <c r="E2849" t="s">
        <v>41</v>
      </c>
      <c r="J2849" t="s">
        <v>290</v>
      </c>
      <c r="K2849" t="s">
        <v>291</v>
      </c>
      <c r="L2849">
        <v>5</v>
      </c>
      <c r="M2849" t="s">
        <v>10362</v>
      </c>
      <c r="N2849" t="s">
        <v>59</v>
      </c>
      <c r="O2849" t="s">
        <v>47</v>
      </c>
      <c r="P2849" t="s">
        <v>47</v>
      </c>
      <c r="Y2849" t="s">
        <v>10365</v>
      </c>
      <c r="AG2849" t="s">
        <v>48</v>
      </c>
    </row>
    <row r="2850" spans="1:33">
      <c r="A2850" t="s">
        <v>10366</v>
      </c>
      <c r="B2850" t="s">
        <v>10367</v>
      </c>
      <c r="D2850" t="s">
        <v>40</v>
      </c>
      <c r="E2850" t="s">
        <v>41</v>
      </c>
      <c r="H2850" t="s">
        <v>10368</v>
      </c>
      <c r="J2850" t="s">
        <v>63</v>
      </c>
      <c r="K2850" t="s">
        <v>64</v>
      </c>
      <c r="L2850">
        <v>5</v>
      </c>
      <c r="M2850" t="s">
        <v>10369</v>
      </c>
      <c r="N2850" t="s">
        <v>59</v>
      </c>
      <c r="O2850" t="s">
        <v>47</v>
      </c>
      <c r="P2850" t="s">
        <v>47</v>
      </c>
      <c r="Y2850" t="s">
        <v>10368</v>
      </c>
      <c r="AG2850" t="s">
        <v>48</v>
      </c>
    </row>
    <row r="2851" spans="1:33">
      <c r="A2851" t="s">
        <v>10370</v>
      </c>
      <c r="B2851" t="s">
        <v>10371</v>
      </c>
      <c r="D2851" t="s">
        <v>40</v>
      </c>
      <c r="E2851" t="s">
        <v>41</v>
      </c>
      <c r="J2851" t="s">
        <v>162</v>
      </c>
      <c r="K2851" t="s">
        <v>163</v>
      </c>
      <c r="L2851">
        <v>5</v>
      </c>
      <c r="M2851" t="s">
        <v>10372</v>
      </c>
      <c r="N2851" t="s">
        <v>59</v>
      </c>
      <c r="O2851" t="s">
        <v>47</v>
      </c>
      <c r="P2851" t="s">
        <v>47</v>
      </c>
      <c r="Y2851" t="s">
        <v>10373</v>
      </c>
      <c r="AG2851" t="s">
        <v>48</v>
      </c>
    </row>
    <row r="2852" spans="1:33">
      <c r="A2852" t="s">
        <v>10374</v>
      </c>
      <c r="B2852" t="s">
        <v>10375</v>
      </c>
      <c r="D2852" t="s">
        <v>40</v>
      </c>
      <c r="E2852" t="s">
        <v>41</v>
      </c>
      <c r="J2852" t="s">
        <v>129</v>
      </c>
      <c r="K2852" t="s">
        <v>130</v>
      </c>
      <c r="L2852">
        <v>5</v>
      </c>
      <c r="M2852" t="s">
        <v>10372</v>
      </c>
      <c r="N2852" t="s">
        <v>192</v>
      </c>
      <c r="O2852" t="s">
        <v>47</v>
      </c>
      <c r="P2852" t="s">
        <v>47</v>
      </c>
      <c r="Y2852" t="s">
        <v>10376</v>
      </c>
      <c r="AG2852" t="s">
        <v>48</v>
      </c>
    </row>
    <row r="2853" spans="1:33">
      <c r="A2853" t="s">
        <v>10377</v>
      </c>
      <c r="B2853" t="s">
        <v>10378</v>
      </c>
      <c r="D2853" t="s">
        <v>40</v>
      </c>
      <c r="E2853" t="s">
        <v>41</v>
      </c>
      <c r="J2853" t="s">
        <v>108</v>
      </c>
      <c r="K2853" t="s">
        <v>109</v>
      </c>
      <c r="L2853">
        <v>5</v>
      </c>
      <c r="M2853" t="s">
        <v>10379</v>
      </c>
      <c r="N2853" t="s">
        <v>59</v>
      </c>
      <c r="O2853" t="s">
        <v>47</v>
      </c>
      <c r="P2853" t="s">
        <v>47</v>
      </c>
      <c r="Y2853" t="s">
        <v>10380</v>
      </c>
      <c r="AG2853" t="s">
        <v>48</v>
      </c>
    </row>
    <row r="2854" spans="1:33">
      <c r="A2854" t="s">
        <v>10381</v>
      </c>
      <c r="B2854" t="s">
        <v>10382</v>
      </c>
      <c r="D2854" t="s">
        <v>40</v>
      </c>
      <c r="E2854" t="s">
        <v>41</v>
      </c>
      <c r="J2854" t="s">
        <v>290</v>
      </c>
      <c r="K2854" t="s">
        <v>291</v>
      </c>
      <c r="L2854">
        <v>5</v>
      </c>
      <c r="M2854" t="s">
        <v>10383</v>
      </c>
      <c r="N2854" t="s">
        <v>59</v>
      </c>
      <c r="O2854" t="s">
        <v>47</v>
      </c>
      <c r="P2854" t="s">
        <v>47</v>
      </c>
      <c r="Y2854" t="s">
        <v>10384</v>
      </c>
      <c r="AG2854" t="s">
        <v>48</v>
      </c>
    </row>
    <row r="2855" spans="1:33">
      <c r="A2855" t="s">
        <v>10385</v>
      </c>
      <c r="B2855" t="s">
        <v>10386</v>
      </c>
      <c r="D2855" t="s">
        <v>40</v>
      </c>
      <c r="E2855" t="s">
        <v>41</v>
      </c>
      <c r="J2855" t="s">
        <v>290</v>
      </c>
      <c r="K2855" t="s">
        <v>291</v>
      </c>
      <c r="L2855">
        <v>5</v>
      </c>
      <c r="M2855" t="s">
        <v>10387</v>
      </c>
      <c r="N2855" t="s">
        <v>59</v>
      </c>
      <c r="O2855" t="s">
        <v>47</v>
      </c>
      <c r="P2855" t="s">
        <v>47</v>
      </c>
      <c r="Y2855" t="s">
        <v>10388</v>
      </c>
      <c r="AG2855" t="s">
        <v>48</v>
      </c>
    </row>
    <row r="2856" spans="1:33">
      <c r="A2856" t="s">
        <v>10389</v>
      </c>
      <c r="B2856" t="s">
        <v>10390</v>
      </c>
      <c r="D2856" t="s">
        <v>40</v>
      </c>
      <c r="E2856" t="s">
        <v>41</v>
      </c>
      <c r="J2856" t="s">
        <v>162</v>
      </c>
      <c r="K2856" t="s">
        <v>163</v>
      </c>
      <c r="L2856">
        <v>5</v>
      </c>
      <c r="M2856" t="s">
        <v>10387</v>
      </c>
      <c r="N2856" t="s">
        <v>59</v>
      </c>
      <c r="O2856" t="s">
        <v>47</v>
      </c>
      <c r="P2856" t="s">
        <v>47</v>
      </c>
      <c r="Y2856" t="s">
        <v>10391</v>
      </c>
      <c r="AG2856" t="s">
        <v>48</v>
      </c>
    </row>
    <row r="2857" spans="1:33">
      <c r="A2857" t="s">
        <v>10392</v>
      </c>
      <c r="B2857" t="s">
        <v>10393</v>
      </c>
      <c r="D2857" t="s">
        <v>40</v>
      </c>
      <c r="E2857" t="s">
        <v>41</v>
      </c>
      <c r="J2857" t="s">
        <v>108</v>
      </c>
      <c r="K2857" t="s">
        <v>109</v>
      </c>
      <c r="L2857">
        <v>5</v>
      </c>
      <c r="M2857" t="s">
        <v>10394</v>
      </c>
      <c r="N2857" t="s">
        <v>59</v>
      </c>
      <c r="O2857" t="s">
        <v>47</v>
      </c>
      <c r="P2857" t="s">
        <v>47</v>
      </c>
      <c r="Y2857" t="s">
        <v>10395</v>
      </c>
      <c r="AG2857" t="s">
        <v>48</v>
      </c>
    </row>
    <row r="2858" spans="1:33">
      <c r="A2858" t="s">
        <v>10396</v>
      </c>
      <c r="B2858" t="s">
        <v>10397</v>
      </c>
      <c r="D2858" t="s">
        <v>40</v>
      </c>
      <c r="E2858" t="s">
        <v>41</v>
      </c>
      <c r="J2858" t="s">
        <v>162</v>
      </c>
      <c r="K2858" t="s">
        <v>163</v>
      </c>
      <c r="L2858">
        <v>5</v>
      </c>
      <c r="M2858" t="s">
        <v>10398</v>
      </c>
      <c r="N2858" t="s">
        <v>59</v>
      </c>
      <c r="O2858" t="s">
        <v>47</v>
      </c>
      <c r="P2858" t="s">
        <v>47</v>
      </c>
      <c r="Y2858" t="s">
        <v>10399</v>
      </c>
      <c r="AG2858" t="s">
        <v>48</v>
      </c>
    </row>
    <row r="2859" spans="1:33">
      <c r="A2859" t="s">
        <v>10400</v>
      </c>
      <c r="B2859" t="s">
        <v>10401</v>
      </c>
      <c r="D2859" t="s">
        <v>40</v>
      </c>
      <c r="E2859" t="s">
        <v>41</v>
      </c>
      <c r="J2859" t="s">
        <v>43</v>
      </c>
      <c r="K2859" t="s">
        <v>44</v>
      </c>
      <c r="L2859">
        <v>5</v>
      </c>
      <c r="M2859" t="s">
        <v>10398</v>
      </c>
      <c r="N2859" t="s">
        <v>218</v>
      </c>
      <c r="O2859" t="s">
        <v>47</v>
      </c>
      <c r="P2859" t="s">
        <v>47</v>
      </c>
      <c r="Y2859" t="s">
        <v>10402</v>
      </c>
      <c r="AG2859" t="s">
        <v>48</v>
      </c>
    </row>
    <row r="2860" spans="1:33">
      <c r="A2860" t="s">
        <v>10403</v>
      </c>
      <c r="B2860" t="s">
        <v>10404</v>
      </c>
      <c r="D2860" t="s">
        <v>40</v>
      </c>
      <c r="E2860" t="s">
        <v>41</v>
      </c>
      <c r="J2860" t="s">
        <v>290</v>
      </c>
      <c r="K2860" t="s">
        <v>291</v>
      </c>
      <c r="L2860">
        <v>5</v>
      </c>
      <c r="M2860" t="s">
        <v>10398</v>
      </c>
      <c r="N2860" t="s">
        <v>59</v>
      </c>
      <c r="O2860" t="s">
        <v>47</v>
      </c>
      <c r="P2860" t="s">
        <v>47</v>
      </c>
      <c r="Y2860" t="s">
        <v>10405</v>
      </c>
      <c r="AG2860" t="s">
        <v>48</v>
      </c>
    </row>
    <row r="2861" spans="1:33">
      <c r="A2861" t="s">
        <v>10406</v>
      </c>
      <c r="B2861" t="s">
        <v>10407</v>
      </c>
      <c r="D2861" t="s">
        <v>40</v>
      </c>
      <c r="E2861" t="s">
        <v>41</v>
      </c>
      <c r="J2861" t="s">
        <v>108</v>
      </c>
      <c r="K2861" t="s">
        <v>109</v>
      </c>
      <c r="L2861">
        <v>5</v>
      </c>
      <c r="M2861" t="s">
        <v>10408</v>
      </c>
      <c r="N2861" t="s">
        <v>59</v>
      </c>
      <c r="O2861" t="s">
        <v>47</v>
      </c>
      <c r="P2861" t="s">
        <v>47</v>
      </c>
      <c r="Y2861" t="s">
        <v>10409</v>
      </c>
      <c r="AG2861" t="s">
        <v>48</v>
      </c>
    </row>
    <row r="2862" spans="1:33">
      <c r="A2862" t="s">
        <v>10410</v>
      </c>
      <c r="B2862" t="s">
        <v>10411</v>
      </c>
      <c r="D2862" t="s">
        <v>40</v>
      </c>
      <c r="E2862" t="s">
        <v>41</v>
      </c>
      <c r="J2862" t="s">
        <v>162</v>
      </c>
      <c r="K2862" t="s">
        <v>163</v>
      </c>
      <c r="L2862">
        <v>5</v>
      </c>
      <c r="M2862" t="s">
        <v>10412</v>
      </c>
      <c r="N2862" t="s">
        <v>59</v>
      </c>
      <c r="O2862" t="s">
        <v>47</v>
      </c>
      <c r="P2862" t="s">
        <v>47</v>
      </c>
      <c r="Y2862" t="s">
        <v>10413</v>
      </c>
      <c r="AG2862" t="s">
        <v>48</v>
      </c>
    </row>
    <row r="2863" spans="1:33">
      <c r="A2863" t="s">
        <v>10414</v>
      </c>
      <c r="B2863" t="s">
        <v>10415</v>
      </c>
      <c r="D2863" t="s">
        <v>40</v>
      </c>
      <c r="E2863" t="s">
        <v>41</v>
      </c>
      <c r="J2863" t="s">
        <v>290</v>
      </c>
      <c r="K2863" t="s">
        <v>291</v>
      </c>
      <c r="L2863">
        <v>5</v>
      </c>
      <c r="M2863" t="s">
        <v>10416</v>
      </c>
      <c r="N2863" t="s">
        <v>59</v>
      </c>
      <c r="O2863" t="s">
        <v>47</v>
      </c>
      <c r="P2863" t="s">
        <v>47</v>
      </c>
      <c r="Y2863" t="s">
        <v>10417</v>
      </c>
      <c r="AG2863" t="s">
        <v>48</v>
      </c>
    </row>
    <row r="2864" spans="1:33">
      <c r="A2864" t="s">
        <v>10418</v>
      </c>
      <c r="B2864" t="s">
        <v>10419</v>
      </c>
      <c r="D2864" t="s">
        <v>40</v>
      </c>
      <c r="E2864" t="s">
        <v>41</v>
      </c>
      <c r="J2864" t="s">
        <v>108</v>
      </c>
      <c r="K2864" t="s">
        <v>109</v>
      </c>
      <c r="L2864">
        <v>5</v>
      </c>
      <c r="M2864" t="s">
        <v>10416</v>
      </c>
      <c r="N2864" t="s">
        <v>59</v>
      </c>
      <c r="O2864" t="s">
        <v>47</v>
      </c>
      <c r="P2864" t="s">
        <v>47</v>
      </c>
      <c r="Y2864" t="s">
        <v>10420</v>
      </c>
      <c r="AG2864" t="s">
        <v>48</v>
      </c>
    </row>
    <row r="2865" spans="1:33">
      <c r="A2865" t="s">
        <v>10421</v>
      </c>
      <c r="B2865" t="s">
        <v>10422</v>
      </c>
      <c r="D2865" t="s">
        <v>40</v>
      </c>
      <c r="E2865" t="s">
        <v>41</v>
      </c>
      <c r="J2865" t="s">
        <v>114</v>
      </c>
      <c r="K2865" t="s">
        <v>115</v>
      </c>
      <c r="L2865">
        <v>5</v>
      </c>
      <c r="M2865" t="s">
        <v>10423</v>
      </c>
      <c r="N2865" t="s">
        <v>59</v>
      </c>
      <c r="O2865" t="s">
        <v>47</v>
      </c>
      <c r="P2865" t="s">
        <v>47</v>
      </c>
      <c r="Y2865" t="s">
        <v>10424</v>
      </c>
      <c r="AG2865" t="s">
        <v>48</v>
      </c>
    </row>
    <row r="2866" spans="1:33">
      <c r="A2866" t="s">
        <v>10425</v>
      </c>
      <c r="B2866" t="s">
        <v>10426</v>
      </c>
      <c r="D2866" t="s">
        <v>40</v>
      </c>
      <c r="E2866" t="s">
        <v>41</v>
      </c>
      <c r="J2866" t="s">
        <v>108</v>
      </c>
      <c r="K2866" t="s">
        <v>109</v>
      </c>
      <c r="L2866">
        <v>5</v>
      </c>
      <c r="M2866" t="s">
        <v>10427</v>
      </c>
      <c r="N2866" t="s">
        <v>59</v>
      </c>
      <c r="O2866" t="s">
        <v>47</v>
      </c>
      <c r="P2866" t="s">
        <v>47</v>
      </c>
      <c r="Y2866" t="s">
        <v>10428</v>
      </c>
      <c r="AG2866" t="s">
        <v>48</v>
      </c>
    </row>
    <row r="2867" spans="1:33">
      <c r="A2867" t="s">
        <v>10429</v>
      </c>
      <c r="B2867" t="s">
        <v>10430</v>
      </c>
      <c r="D2867" t="s">
        <v>40</v>
      </c>
      <c r="E2867" t="s">
        <v>41</v>
      </c>
      <c r="H2867" t="s">
        <v>10431</v>
      </c>
      <c r="J2867" t="s">
        <v>69</v>
      </c>
      <c r="K2867" t="s">
        <v>70</v>
      </c>
      <c r="L2867">
        <v>5</v>
      </c>
      <c r="M2867" t="s">
        <v>10432</v>
      </c>
      <c r="N2867" t="s">
        <v>192</v>
      </c>
      <c r="O2867" t="s">
        <v>47</v>
      </c>
      <c r="P2867" t="s">
        <v>47</v>
      </c>
      <c r="Y2867" t="s">
        <v>10431</v>
      </c>
      <c r="AG2867" t="s">
        <v>48</v>
      </c>
    </row>
    <row r="2868" spans="1:33">
      <c r="A2868" t="s">
        <v>10433</v>
      </c>
      <c r="B2868" t="s">
        <v>10434</v>
      </c>
      <c r="D2868" t="s">
        <v>40</v>
      </c>
      <c r="E2868" t="s">
        <v>41</v>
      </c>
      <c r="J2868" t="s">
        <v>123</v>
      </c>
      <c r="K2868" t="s">
        <v>124</v>
      </c>
      <c r="L2868">
        <v>5</v>
      </c>
      <c r="M2868" t="s">
        <v>10432</v>
      </c>
      <c r="N2868" t="s">
        <v>192</v>
      </c>
      <c r="O2868" t="s">
        <v>47</v>
      </c>
      <c r="P2868" t="s">
        <v>47</v>
      </c>
      <c r="Y2868" t="s">
        <v>10435</v>
      </c>
      <c r="AG2868" t="s">
        <v>48</v>
      </c>
    </row>
    <row r="2869" spans="1:33">
      <c r="A2869" t="s">
        <v>10436</v>
      </c>
      <c r="B2869" t="s">
        <v>10437</v>
      </c>
      <c r="D2869" t="s">
        <v>40</v>
      </c>
      <c r="E2869" t="s">
        <v>41</v>
      </c>
      <c r="J2869" t="s">
        <v>290</v>
      </c>
      <c r="K2869" t="s">
        <v>291</v>
      </c>
      <c r="L2869">
        <v>5</v>
      </c>
      <c r="M2869" t="s">
        <v>10438</v>
      </c>
      <c r="N2869" t="s">
        <v>59</v>
      </c>
      <c r="O2869" t="s">
        <v>47</v>
      </c>
      <c r="P2869" t="s">
        <v>47</v>
      </c>
      <c r="Y2869" t="s">
        <v>10439</v>
      </c>
      <c r="AG2869" t="s">
        <v>48</v>
      </c>
    </row>
    <row r="2870" spans="1:33">
      <c r="A2870" t="s">
        <v>10440</v>
      </c>
      <c r="B2870" t="s">
        <v>10441</v>
      </c>
      <c r="D2870" t="s">
        <v>40</v>
      </c>
      <c r="E2870" t="s">
        <v>41</v>
      </c>
      <c r="J2870" t="s">
        <v>270</v>
      </c>
      <c r="K2870" t="s">
        <v>271</v>
      </c>
      <c r="L2870">
        <v>5</v>
      </c>
      <c r="M2870" t="s">
        <v>10438</v>
      </c>
      <c r="N2870" t="s">
        <v>59</v>
      </c>
      <c r="O2870" t="s">
        <v>47</v>
      </c>
      <c r="P2870" t="s">
        <v>47</v>
      </c>
      <c r="Y2870" t="s">
        <v>10442</v>
      </c>
      <c r="AG2870" t="s">
        <v>48</v>
      </c>
    </row>
    <row r="2871" spans="1:33">
      <c r="A2871" t="s">
        <v>10443</v>
      </c>
      <c r="B2871" t="s">
        <v>10444</v>
      </c>
      <c r="D2871" t="s">
        <v>40</v>
      </c>
      <c r="E2871" t="s">
        <v>41</v>
      </c>
      <c r="J2871" t="s">
        <v>290</v>
      </c>
      <c r="K2871" t="s">
        <v>291</v>
      </c>
      <c r="L2871">
        <v>5</v>
      </c>
      <c r="M2871" t="s">
        <v>10438</v>
      </c>
      <c r="N2871" t="s">
        <v>59</v>
      </c>
      <c r="O2871" t="s">
        <v>47</v>
      </c>
      <c r="P2871" t="s">
        <v>47</v>
      </c>
      <c r="Y2871" t="s">
        <v>10445</v>
      </c>
      <c r="AG2871" t="s">
        <v>48</v>
      </c>
    </row>
    <row r="2872" spans="1:33">
      <c r="A2872" t="s">
        <v>10446</v>
      </c>
      <c r="B2872" t="s">
        <v>10447</v>
      </c>
      <c r="D2872" t="s">
        <v>40</v>
      </c>
      <c r="E2872" t="s">
        <v>41</v>
      </c>
      <c r="J2872" t="s">
        <v>114</v>
      </c>
      <c r="K2872" t="s">
        <v>115</v>
      </c>
      <c r="L2872">
        <v>5</v>
      </c>
      <c r="M2872" t="s">
        <v>10438</v>
      </c>
      <c r="N2872" t="s">
        <v>59</v>
      </c>
      <c r="O2872" t="s">
        <v>47</v>
      </c>
      <c r="P2872" t="s">
        <v>47</v>
      </c>
      <c r="Y2872" t="s">
        <v>10448</v>
      </c>
      <c r="AG2872" t="s">
        <v>48</v>
      </c>
    </row>
    <row r="2873" spans="1:33">
      <c r="A2873" t="s">
        <v>10449</v>
      </c>
      <c r="B2873" t="s">
        <v>10450</v>
      </c>
      <c r="D2873" t="s">
        <v>40</v>
      </c>
      <c r="E2873" t="s">
        <v>41</v>
      </c>
      <c r="J2873" t="s">
        <v>129</v>
      </c>
      <c r="K2873" t="s">
        <v>130</v>
      </c>
      <c r="L2873">
        <v>5</v>
      </c>
      <c r="M2873" t="s">
        <v>10451</v>
      </c>
      <c r="N2873" t="s">
        <v>218</v>
      </c>
      <c r="O2873" t="s">
        <v>47</v>
      </c>
      <c r="P2873" t="s">
        <v>47</v>
      </c>
      <c r="Y2873" t="s">
        <v>10452</v>
      </c>
      <c r="AG2873" t="s">
        <v>48</v>
      </c>
    </row>
    <row r="2874" spans="1:33">
      <c r="A2874" t="s">
        <v>10453</v>
      </c>
      <c r="B2874" t="s">
        <v>10454</v>
      </c>
      <c r="D2874" t="s">
        <v>40</v>
      </c>
      <c r="E2874" t="s">
        <v>41</v>
      </c>
      <c r="J2874" t="s">
        <v>270</v>
      </c>
      <c r="K2874" t="s">
        <v>271</v>
      </c>
      <c r="L2874">
        <v>5</v>
      </c>
      <c r="M2874" t="s">
        <v>10451</v>
      </c>
      <c r="N2874" t="s">
        <v>59</v>
      </c>
      <c r="O2874" t="s">
        <v>47</v>
      </c>
      <c r="P2874" t="s">
        <v>47</v>
      </c>
      <c r="Y2874" t="s">
        <v>10455</v>
      </c>
      <c r="AG2874" t="s">
        <v>48</v>
      </c>
    </row>
    <row r="2875" spans="1:33">
      <c r="A2875" t="s">
        <v>10456</v>
      </c>
      <c r="B2875" t="s">
        <v>10457</v>
      </c>
      <c r="D2875" t="s">
        <v>40</v>
      </c>
      <c r="E2875" t="s">
        <v>41</v>
      </c>
      <c r="J2875" t="s">
        <v>290</v>
      </c>
      <c r="K2875" t="s">
        <v>291</v>
      </c>
      <c r="L2875">
        <v>5</v>
      </c>
      <c r="M2875" t="s">
        <v>10458</v>
      </c>
      <c r="N2875" t="s">
        <v>59</v>
      </c>
      <c r="O2875" t="s">
        <v>47</v>
      </c>
      <c r="P2875" t="s">
        <v>47</v>
      </c>
      <c r="Y2875" t="s">
        <v>10459</v>
      </c>
      <c r="AG2875" t="s">
        <v>48</v>
      </c>
    </row>
    <row r="2876" spans="1:33">
      <c r="A2876" t="s">
        <v>10460</v>
      </c>
      <c r="B2876" t="s">
        <v>10461</v>
      </c>
      <c r="D2876" t="s">
        <v>40</v>
      </c>
      <c r="E2876" t="s">
        <v>41</v>
      </c>
      <c r="H2876" t="s">
        <v>10462</v>
      </c>
      <c r="J2876" t="s">
        <v>129</v>
      </c>
      <c r="K2876" t="s">
        <v>130</v>
      </c>
      <c r="L2876">
        <v>6</v>
      </c>
      <c r="M2876" t="s">
        <v>10458</v>
      </c>
      <c r="N2876" t="s">
        <v>218</v>
      </c>
      <c r="O2876" t="s">
        <v>47</v>
      </c>
      <c r="P2876" t="s">
        <v>47</v>
      </c>
      <c r="Y2876" t="s">
        <v>10462</v>
      </c>
      <c r="AG2876" t="s">
        <v>48</v>
      </c>
    </row>
    <row r="2877" spans="1:33">
      <c r="A2877" t="s">
        <v>10463</v>
      </c>
      <c r="B2877" t="s">
        <v>10464</v>
      </c>
      <c r="D2877" t="s">
        <v>40</v>
      </c>
      <c r="E2877" t="s">
        <v>41</v>
      </c>
      <c r="J2877" t="s">
        <v>162</v>
      </c>
      <c r="K2877" t="s">
        <v>163</v>
      </c>
      <c r="L2877">
        <v>5</v>
      </c>
      <c r="M2877" t="s">
        <v>10465</v>
      </c>
      <c r="N2877" t="s">
        <v>59</v>
      </c>
      <c r="O2877" t="s">
        <v>47</v>
      </c>
      <c r="P2877" t="s">
        <v>47</v>
      </c>
      <c r="Y2877" t="s">
        <v>10466</v>
      </c>
      <c r="AG2877" t="s">
        <v>48</v>
      </c>
    </row>
    <row r="2878" spans="1:33">
      <c r="A2878" t="s">
        <v>10467</v>
      </c>
      <c r="B2878" t="s">
        <v>10468</v>
      </c>
      <c r="D2878" t="s">
        <v>40</v>
      </c>
      <c r="E2878" t="s">
        <v>41</v>
      </c>
      <c r="J2878" t="s">
        <v>270</v>
      </c>
      <c r="K2878" t="s">
        <v>271</v>
      </c>
      <c r="L2878">
        <v>5</v>
      </c>
      <c r="M2878" t="s">
        <v>10465</v>
      </c>
      <c r="N2878" t="s">
        <v>59</v>
      </c>
      <c r="O2878" t="s">
        <v>47</v>
      </c>
      <c r="P2878" t="s">
        <v>47</v>
      </c>
      <c r="Y2878" t="s">
        <v>10469</v>
      </c>
      <c r="AG2878" t="s">
        <v>48</v>
      </c>
    </row>
    <row r="2879" spans="1:33">
      <c r="A2879" t="s">
        <v>10470</v>
      </c>
      <c r="B2879" t="s">
        <v>10471</v>
      </c>
      <c r="D2879" t="s">
        <v>40</v>
      </c>
      <c r="E2879" t="s">
        <v>41</v>
      </c>
      <c r="J2879" t="s">
        <v>108</v>
      </c>
      <c r="K2879" t="s">
        <v>109</v>
      </c>
      <c r="L2879">
        <v>5</v>
      </c>
      <c r="M2879" t="s">
        <v>10472</v>
      </c>
      <c r="N2879" t="s">
        <v>59</v>
      </c>
      <c r="O2879" t="s">
        <v>47</v>
      </c>
      <c r="P2879" t="s">
        <v>47</v>
      </c>
      <c r="Y2879" t="s">
        <v>10473</v>
      </c>
      <c r="AG2879" t="s">
        <v>48</v>
      </c>
    </row>
    <row r="2880" spans="1:33">
      <c r="A2880" t="s">
        <v>10474</v>
      </c>
      <c r="B2880" t="s">
        <v>10475</v>
      </c>
      <c r="D2880" t="s">
        <v>40</v>
      </c>
      <c r="E2880" t="s">
        <v>41</v>
      </c>
      <c r="J2880" t="s">
        <v>108</v>
      </c>
      <c r="K2880" t="s">
        <v>109</v>
      </c>
      <c r="L2880">
        <v>5</v>
      </c>
      <c r="M2880" t="s">
        <v>10472</v>
      </c>
      <c r="N2880" t="s">
        <v>59</v>
      </c>
      <c r="O2880" t="s">
        <v>47</v>
      </c>
      <c r="P2880" t="s">
        <v>47</v>
      </c>
      <c r="Y2880" t="s">
        <v>10476</v>
      </c>
      <c r="AG2880" t="s">
        <v>48</v>
      </c>
    </row>
    <row r="2881" spans="1:33">
      <c r="A2881" t="s">
        <v>10477</v>
      </c>
      <c r="B2881" t="s">
        <v>10478</v>
      </c>
      <c r="D2881" t="s">
        <v>40</v>
      </c>
      <c r="E2881" t="s">
        <v>41</v>
      </c>
      <c r="H2881" t="s">
        <v>10479</v>
      </c>
      <c r="J2881" t="s">
        <v>63</v>
      </c>
      <c r="K2881" t="s">
        <v>64</v>
      </c>
      <c r="L2881">
        <v>5</v>
      </c>
      <c r="M2881" t="s">
        <v>10480</v>
      </c>
      <c r="N2881" t="s">
        <v>59</v>
      </c>
      <c r="O2881" t="s">
        <v>47</v>
      </c>
      <c r="P2881" t="s">
        <v>47</v>
      </c>
      <c r="Y2881" t="s">
        <v>10479</v>
      </c>
      <c r="AG2881" t="s">
        <v>48</v>
      </c>
    </row>
    <row r="2882" spans="1:33">
      <c r="A2882" t="s">
        <v>10481</v>
      </c>
      <c r="B2882" t="s">
        <v>10482</v>
      </c>
      <c r="D2882" t="s">
        <v>40</v>
      </c>
      <c r="E2882" t="s">
        <v>41</v>
      </c>
      <c r="H2882" t="s">
        <v>10483</v>
      </c>
      <c r="J2882" t="s">
        <v>270</v>
      </c>
      <c r="K2882" t="s">
        <v>271</v>
      </c>
      <c r="L2882">
        <v>5</v>
      </c>
      <c r="M2882" t="s">
        <v>10484</v>
      </c>
      <c r="N2882" t="s">
        <v>59</v>
      </c>
      <c r="O2882" t="s">
        <v>47</v>
      </c>
      <c r="P2882" t="s">
        <v>47</v>
      </c>
      <c r="Y2882" t="s">
        <v>10483</v>
      </c>
      <c r="AG2882" t="s">
        <v>48</v>
      </c>
    </row>
    <row r="2883" spans="1:33">
      <c r="A2883" t="s">
        <v>10485</v>
      </c>
      <c r="B2883" t="s">
        <v>10486</v>
      </c>
      <c r="D2883" t="s">
        <v>40</v>
      </c>
      <c r="E2883" t="s">
        <v>41</v>
      </c>
      <c r="J2883" t="s">
        <v>290</v>
      </c>
      <c r="K2883" t="s">
        <v>291</v>
      </c>
      <c r="L2883">
        <v>5</v>
      </c>
      <c r="M2883" t="s">
        <v>10487</v>
      </c>
      <c r="N2883" t="s">
        <v>59</v>
      </c>
      <c r="O2883" t="s">
        <v>47</v>
      </c>
      <c r="P2883" t="s">
        <v>47</v>
      </c>
      <c r="Y2883" t="s">
        <v>10488</v>
      </c>
      <c r="AG2883" t="s">
        <v>48</v>
      </c>
    </row>
    <row r="2884" spans="1:33">
      <c r="A2884" t="s">
        <v>10489</v>
      </c>
      <c r="B2884" t="s">
        <v>10490</v>
      </c>
      <c r="D2884" t="s">
        <v>40</v>
      </c>
      <c r="E2884" t="s">
        <v>41</v>
      </c>
      <c r="J2884" t="s">
        <v>290</v>
      </c>
      <c r="K2884" t="s">
        <v>291</v>
      </c>
      <c r="L2884">
        <v>5</v>
      </c>
      <c r="M2884" t="s">
        <v>10487</v>
      </c>
      <c r="N2884" t="s">
        <v>59</v>
      </c>
      <c r="O2884" t="s">
        <v>47</v>
      </c>
      <c r="P2884" t="s">
        <v>47</v>
      </c>
      <c r="Y2884" t="s">
        <v>10491</v>
      </c>
      <c r="AG2884" t="s">
        <v>48</v>
      </c>
    </row>
    <row r="2885" spans="1:33">
      <c r="A2885" t="s">
        <v>10492</v>
      </c>
      <c r="B2885" t="s">
        <v>10493</v>
      </c>
      <c r="D2885" t="s">
        <v>40</v>
      </c>
      <c r="E2885" t="s">
        <v>41</v>
      </c>
      <c r="J2885" t="s">
        <v>270</v>
      </c>
      <c r="K2885" t="s">
        <v>271</v>
      </c>
      <c r="L2885">
        <v>5</v>
      </c>
      <c r="M2885" t="s">
        <v>10487</v>
      </c>
      <c r="N2885" t="s">
        <v>59</v>
      </c>
      <c r="O2885" t="s">
        <v>47</v>
      </c>
      <c r="P2885" t="s">
        <v>47</v>
      </c>
      <c r="Y2885" t="s">
        <v>10494</v>
      </c>
      <c r="AG2885" t="s">
        <v>48</v>
      </c>
    </row>
    <row r="2886" spans="1:33">
      <c r="A2886" t="s">
        <v>10495</v>
      </c>
      <c r="B2886" t="s">
        <v>10496</v>
      </c>
      <c r="D2886" t="s">
        <v>40</v>
      </c>
      <c r="E2886" t="s">
        <v>41</v>
      </c>
      <c r="H2886" t="s">
        <v>10497</v>
      </c>
      <c r="J2886" t="s">
        <v>63</v>
      </c>
      <c r="K2886" t="s">
        <v>64</v>
      </c>
      <c r="L2886">
        <v>5</v>
      </c>
      <c r="M2886" t="s">
        <v>10498</v>
      </c>
      <c r="N2886" t="s">
        <v>59</v>
      </c>
      <c r="O2886" t="s">
        <v>47</v>
      </c>
      <c r="P2886" t="s">
        <v>47</v>
      </c>
      <c r="Y2886" t="s">
        <v>10497</v>
      </c>
      <c r="AG2886" t="s">
        <v>48</v>
      </c>
    </row>
    <row r="2887" spans="1:33">
      <c r="A2887" t="s">
        <v>10499</v>
      </c>
      <c r="B2887" t="s">
        <v>10500</v>
      </c>
      <c r="D2887" t="s">
        <v>40</v>
      </c>
      <c r="E2887" t="s">
        <v>41</v>
      </c>
      <c r="J2887" t="s">
        <v>270</v>
      </c>
      <c r="K2887" t="s">
        <v>271</v>
      </c>
      <c r="L2887">
        <v>5</v>
      </c>
      <c r="M2887" t="s">
        <v>10501</v>
      </c>
      <c r="N2887" t="s">
        <v>59</v>
      </c>
      <c r="O2887" t="s">
        <v>47</v>
      </c>
      <c r="P2887" t="s">
        <v>47</v>
      </c>
      <c r="Y2887" t="s">
        <v>10502</v>
      </c>
      <c r="AG2887" t="s">
        <v>48</v>
      </c>
    </row>
    <row r="2888" spans="1:33">
      <c r="A2888" t="s">
        <v>10503</v>
      </c>
      <c r="B2888" t="s">
        <v>10504</v>
      </c>
      <c r="D2888" t="s">
        <v>40</v>
      </c>
      <c r="E2888" t="s">
        <v>41</v>
      </c>
      <c r="H2888" t="s">
        <v>10505</v>
      </c>
      <c r="J2888" t="s">
        <v>290</v>
      </c>
      <c r="K2888" t="s">
        <v>291</v>
      </c>
      <c r="L2888">
        <v>5</v>
      </c>
      <c r="M2888" t="s">
        <v>10506</v>
      </c>
      <c r="N2888" t="s">
        <v>59</v>
      </c>
      <c r="O2888" t="s">
        <v>47</v>
      </c>
      <c r="P2888" t="s">
        <v>47</v>
      </c>
      <c r="Y2888" t="s">
        <v>10505</v>
      </c>
      <c r="AG2888" t="s">
        <v>48</v>
      </c>
    </row>
    <row r="2889" spans="1:33">
      <c r="A2889" t="s">
        <v>10507</v>
      </c>
      <c r="B2889" t="s">
        <v>10508</v>
      </c>
      <c r="D2889" t="s">
        <v>40</v>
      </c>
      <c r="E2889" t="s">
        <v>41</v>
      </c>
      <c r="J2889" t="s">
        <v>290</v>
      </c>
      <c r="K2889" t="s">
        <v>291</v>
      </c>
      <c r="L2889">
        <v>5</v>
      </c>
      <c r="M2889" t="s">
        <v>10506</v>
      </c>
      <c r="N2889" t="s">
        <v>59</v>
      </c>
      <c r="O2889" t="s">
        <v>47</v>
      </c>
      <c r="P2889" t="s">
        <v>47</v>
      </c>
      <c r="Y2889" t="s">
        <v>10509</v>
      </c>
      <c r="AG2889" t="s">
        <v>48</v>
      </c>
    </row>
    <row r="2890" spans="1:33">
      <c r="A2890" t="s">
        <v>10510</v>
      </c>
      <c r="B2890" t="s">
        <v>10511</v>
      </c>
      <c r="D2890" t="s">
        <v>40</v>
      </c>
      <c r="E2890" t="s">
        <v>41</v>
      </c>
      <c r="J2890" t="s">
        <v>290</v>
      </c>
      <c r="K2890" t="s">
        <v>291</v>
      </c>
      <c r="L2890">
        <v>5</v>
      </c>
      <c r="M2890" t="s">
        <v>10512</v>
      </c>
      <c r="N2890" t="s">
        <v>59</v>
      </c>
      <c r="O2890" t="s">
        <v>47</v>
      </c>
      <c r="P2890" t="s">
        <v>47</v>
      </c>
      <c r="Y2890" t="s">
        <v>10513</v>
      </c>
      <c r="AG2890" t="s">
        <v>48</v>
      </c>
    </row>
    <row r="2891" spans="1:33">
      <c r="A2891" t="s">
        <v>10514</v>
      </c>
      <c r="B2891" t="s">
        <v>10515</v>
      </c>
      <c r="D2891" t="s">
        <v>40</v>
      </c>
      <c r="E2891" t="s">
        <v>41</v>
      </c>
      <c r="J2891" t="s">
        <v>162</v>
      </c>
      <c r="K2891" t="s">
        <v>163</v>
      </c>
      <c r="L2891">
        <v>5</v>
      </c>
      <c r="M2891" t="s">
        <v>10516</v>
      </c>
      <c r="N2891" t="s">
        <v>59</v>
      </c>
      <c r="O2891" t="s">
        <v>47</v>
      </c>
      <c r="P2891" t="s">
        <v>47</v>
      </c>
      <c r="Y2891" t="s">
        <v>10517</v>
      </c>
      <c r="AG2891" t="s">
        <v>48</v>
      </c>
    </row>
    <row r="2892" spans="1:33">
      <c r="A2892" t="s">
        <v>10518</v>
      </c>
      <c r="B2892" t="s">
        <v>10519</v>
      </c>
      <c r="D2892" t="s">
        <v>40</v>
      </c>
      <c r="E2892" t="s">
        <v>41</v>
      </c>
      <c r="J2892" t="s">
        <v>108</v>
      </c>
      <c r="K2892" t="s">
        <v>109</v>
      </c>
      <c r="L2892">
        <v>5</v>
      </c>
      <c r="M2892" t="s">
        <v>10516</v>
      </c>
      <c r="N2892" t="s">
        <v>59</v>
      </c>
      <c r="O2892" t="s">
        <v>47</v>
      </c>
      <c r="P2892" t="s">
        <v>47</v>
      </c>
      <c r="Y2892" t="s">
        <v>10520</v>
      </c>
      <c r="AG2892" t="s">
        <v>48</v>
      </c>
    </row>
    <row r="2893" spans="1:33">
      <c r="A2893" t="s">
        <v>10521</v>
      </c>
      <c r="B2893" t="s">
        <v>10522</v>
      </c>
      <c r="D2893" t="s">
        <v>40</v>
      </c>
      <c r="E2893" t="s">
        <v>41</v>
      </c>
      <c r="J2893" t="s">
        <v>108</v>
      </c>
      <c r="K2893" t="s">
        <v>109</v>
      </c>
      <c r="L2893">
        <v>5</v>
      </c>
      <c r="M2893" t="s">
        <v>10516</v>
      </c>
      <c r="N2893" t="s">
        <v>59</v>
      </c>
      <c r="O2893" t="s">
        <v>47</v>
      </c>
      <c r="P2893" t="s">
        <v>47</v>
      </c>
      <c r="Y2893" t="s">
        <v>10523</v>
      </c>
      <c r="AG2893" t="s">
        <v>48</v>
      </c>
    </row>
    <row r="2894" spans="1:33">
      <c r="A2894" t="s">
        <v>117</v>
      </c>
      <c r="B2894" t="s">
        <v>10524</v>
      </c>
      <c r="D2894" t="s">
        <v>40</v>
      </c>
      <c r="E2894" t="s">
        <v>41</v>
      </c>
      <c r="J2894" t="s">
        <v>290</v>
      </c>
      <c r="K2894" t="s">
        <v>291</v>
      </c>
      <c r="L2894">
        <v>5</v>
      </c>
      <c r="M2894" t="s">
        <v>10516</v>
      </c>
      <c r="N2894" t="s">
        <v>59</v>
      </c>
      <c r="O2894" t="s">
        <v>47</v>
      </c>
      <c r="P2894" t="s">
        <v>47</v>
      </c>
      <c r="Y2894" t="s">
        <v>10525</v>
      </c>
      <c r="AG2894" t="s">
        <v>48</v>
      </c>
    </row>
    <row r="2895" spans="1:33">
      <c r="A2895" t="s">
        <v>10526</v>
      </c>
      <c r="B2895" t="s">
        <v>10527</v>
      </c>
      <c r="D2895" t="s">
        <v>40</v>
      </c>
      <c r="E2895" t="s">
        <v>41</v>
      </c>
      <c r="J2895" t="s">
        <v>69</v>
      </c>
      <c r="K2895" t="s">
        <v>70</v>
      </c>
      <c r="L2895">
        <v>5</v>
      </c>
      <c r="M2895" t="s">
        <v>10528</v>
      </c>
      <c r="N2895" t="s">
        <v>192</v>
      </c>
      <c r="O2895" t="s">
        <v>47</v>
      </c>
      <c r="P2895" t="s">
        <v>47</v>
      </c>
      <c r="Y2895" t="s">
        <v>10529</v>
      </c>
      <c r="AG2895" t="s">
        <v>48</v>
      </c>
    </row>
    <row r="2896" spans="1:33">
      <c r="A2896" t="s">
        <v>10530</v>
      </c>
      <c r="B2896" t="s">
        <v>10531</v>
      </c>
      <c r="D2896" t="s">
        <v>40</v>
      </c>
      <c r="E2896" t="s">
        <v>41</v>
      </c>
      <c r="J2896" t="s">
        <v>290</v>
      </c>
      <c r="K2896" t="s">
        <v>291</v>
      </c>
      <c r="L2896">
        <v>5</v>
      </c>
      <c r="M2896" t="s">
        <v>10528</v>
      </c>
      <c r="N2896" t="s">
        <v>59</v>
      </c>
      <c r="O2896" t="s">
        <v>47</v>
      </c>
      <c r="P2896" t="s">
        <v>47</v>
      </c>
      <c r="Y2896" t="s">
        <v>10532</v>
      </c>
      <c r="AG2896" t="s">
        <v>48</v>
      </c>
    </row>
    <row r="2897" spans="1:33">
      <c r="A2897" t="s">
        <v>10533</v>
      </c>
      <c r="B2897" t="s">
        <v>10534</v>
      </c>
      <c r="D2897" t="s">
        <v>40</v>
      </c>
      <c r="E2897" t="s">
        <v>41</v>
      </c>
      <c r="J2897" t="s">
        <v>108</v>
      </c>
      <c r="K2897" t="s">
        <v>109</v>
      </c>
      <c r="L2897">
        <v>5</v>
      </c>
      <c r="M2897" t="s">
        <v>10535</v>
      </c>
      <c r="N2897" t="s">
        <v>59</v>
      </c>
      <c r="O2897" t="s">
        <v>47</v>
      </c>
      <c r="P2897" t="s">
        <v>47</v>
      </c>
      <c r="Y2897" t="s">
        <v>10536</v>
      </c>
      <c r="AG2897" t="s">
        <v>48</v>
      </c>
    </row>
    <row r="2898" spans="1:33">
      <c r="A2898" t="s">
        <v>10537</v>
      </c>
      <c r="B2898" t="s">
        <v>10538</v>
      </c>
      <c r="D2898" t="s">
        <v>40</v>
      </c>
      <c r="E2898" t="s">
        <v>41</v>
      </c>
      <c r="J2898" t="s">
        <v>270</v>
      </c>
      <c r="K2898" t="s">
        <v>271</v>
      </c>
      <c r="L2898">
        <v>5</v>
      </c>
      <c r="M2898" t="s">
        <v>10539</v>
      </c>
      <c r="N2898" t="s">
        <v>59</v>
      </c>
      <c r="O2898" t="s">
        <v>47</v>
      </c>
      <c r="P2898" t="s">
        <v>47</v>
      </c>
      <c r="Y2898" t="s">
        <v>10540</v>
      </c>
      <c r="AG2898" t="s">
        <v>48</v>
      </c>
    </row>
    <row r="2899" spans="1:33">
      <c r="A2899" t="s">
        <v>10541</v>
      </c>
      <c r="B2899" t="s">
        <v>10542</v>
      </c>
      <c r="D2899" t="s">
        <v>40</v>
      </c>
      <c r="E2899" t="s">
        <v>41</v>
      </c>
      <c r="H2899" t="s">
        <v>10543</v>
      </c>
      <c r="J2899" t="s">
        <v>162</v>
      </c>
      <c r="K2899" t="s">
        <v>163</v>
      </c>
      <c r="L2899">
        <v>5</v>
      </c>
      <c r="M2899" t="s">
        <v>10544</v>
      </c>
      <c r="N2899" t="s">
        <v>59</v>
      </c>
      <c r="O2899" t="s">
        <v>47</v>
      </c>
      <c r="P2899" t="s">
        <v>47</v>
      </c>
      <c r="Y2899" t="s">
        <v>10543</v>
      </c>
      <c r="AG2899" t="s">
        <v>48</v>
      </c>
    </row>
    <row r="2900" spans="1:33">
      <c r="A2900" t="s">
        <v>10545</v>
      </c>
      <c r="B2900" t="s">
        <v>10546</v>
      </c>
      <c r="D2900" t="s">
        <v>40</v>
      </c>
      <c r="E2900" t="s">
        <v>41</v>
      </c>
      <c r="J2900" t="s">
        <v>270</v>
      </c>
      <c r="K2900" t="s">
        <v>271</v>
      </c>
      <c r="L2900">
        <v>5</v>
      </c>
      <c r="M2900" t="s">
        <v>10544</v>
      </c>
      <c r="N2900" t="s">
        <v>59</v>
      </c>
      <c r="O2900" t="s">
        <v>47</v>
      </c>
      <c r="P2900" t="s">
        <v>47</v>
      </c>
      <c r="Y2900" t="s">
        <v>10547</v>
      </c>
      <c r="AG2900" t="s">
        <v>48</v>
      </c>
    </row>
    <row r="2901" spans="1:33">
      <c r="A2901" t="s">
        <v>10548</v>
      </c>
      <c r="B2901" t="s">
        <v>10549</v>
      </c>
      <c r="D2901" t="s">
        <v>40</v>
      </c>
      <c r="E2901" t="s">
        <v>41</v>
      </c>
      <c r="J2901" t="s">
        <v>108</v>
      </c>
      <c r="K2901" t="s">
        <v>109</v>
      </c>
      <c r="L2901">
        <v>5</v>
      </c>
      <c r="M2901" t="s">
        <v>10550</v>
      </c>
      <c r="N2901" t="s">
        <v>59</v>
      </c>
      <c r="O2901" t="s">
        <v>47</v>
      </c>
      <c r="P2901" t="s">
        <v>47</v>
      </c>
      <c r="Y2901" t="s">
        <v>10551</v>
      </c>
      <c r="AG2901" t="s">
        <v>48</v>
      </c>
    </row>
    <row r="2902" spans="1:33">
      <c r="A2902" t="s">
        <v>10552</v>
      </c>
      <c r="B2902" t="s">
        <v>10553</v>
      </c>
      <c r="D2902" t="s">
        <v>40</v>
      </c>
      <c r="E2902" t="s">
        <v>41</v>
      </c>
      <c r="J2902" t="s">
        <v>290</v>
      </c>
      <c r="K2902" t="s">
        <v>291</v>
      </c>
      <c r="L2902">
        <v>5</v>
      </c>
      <c r="M2902" t="s">
        <v>10550</v>
      </c>
      <c r="N2902" t="s">
        <v>59</v>
      </c>
      <c r="O2902" t="s">
        <v>47</v>
      </c>
      <c r="P2902" t="s">
        <v>47</v>
      </c>
      <c r="Y2902" t="s">
        <v>10554</v>
      </c>
      <c r="AG2902" t="s">
        <v>48</v>
      </c>
    </row>
    <row r="2903" spans="1:33">
      <c r="A2903" t="s">
        <v>10555</v>
      </c>
      <c r="B2903" t="s">
        <v>10556</v>
      </c>
      <c r="D2903" t="s">
        <v>40</v>
      </c>
      <c r="E2903" t="s">
        <v>41</v>
      </c>
      <c r="J2903" t="s">
        <v>290</v>
      </c>
      <c r="K2903" t="s">
        <v>291</v>
      </c>
      <c r="L2903">
        <v>5</v>
      </c>
      <c r="M2903" t="s">
        <v>10557</v>
      </c>
      <c r="N2903" t="s">
        <v>59</v>
      </c>
      <c r="O2903" t="s">
        <v>47</v>
      </c>
      <c r="P2903" t="s">
        <v>47</v>
      </c>
      <c r="Y2903" t="s">
        <v>10558</v>
      </c>
      <c r="AG2903" t="s">
        <v>48</v>
      </c>
    </row>
    <row r="2904" spans="1:33">
      <c r="A2904" t="s">
        <v>10559</v>
      </c>
      <c r="B2904" t="s">
        <v>10560</v>
      </c>
      <c r="D2904" t="s">
        <v>40</v>
      </c>
      <c r="E2904" t="s">
        <v>41</v>
      </c>
      <c r="H2904" t="s">
        <v>10561</v>
      </c>
      <c r="J2904" t="s">
        <v>129</v>
      </c>
      <c r="K2904" t="s">
        <v>130</v>
      </c>
      <c r="L2904">
        <v>5</v>
      </c>
      <c r="M2904" t="s">
        <v>10562</v>
      </c>
      <c r="N2904" t="s">
        <v>218</v>
      </c>
      <c r="O2904" t="s">
        <v>47</v>
      </c>
      <c r="P2904" t="s">
        <v>47</v>
      </c>
      <c r="Y2904" t="s">
        <v>10561</v>
      </c>
      <c r="AG2904" t="s">
        <v>48</v>
      </c>
    </row>
    <row r="2905" spans="1:33">
      <c r="A2905" t="s">
        <v>10563</v>
      </c>
      <c r="B2905" t="s">
        <v>10564</v>
      </c>
      <c r="D2905" t="s">
        <v>40</v>
      </c>
      <c r="E2905" t="s">
        <v>41</v>
      </c>
      <c r="H2905" t="s">
        <v>10565</v>
      </c>
      <c r="J2905" t="s">
        <v>63</v>
      </c>
      <c r="K2905" t="s">
        <v>64</v>
      </c>
      <c r="L2905">
        <v>5</v>
      </c>
      <c r="M2905" t="s">
        <v>10566</v>
      </c>
      <c r="N2905" t="s">
        <v>59</v>
      </c>
      <c r="O2905" t="s">
        <v>47</v>
      </c>
      <c r="P2905" t="s">
        <v>47</v>
      </c>
      <c r="Y2905" t="s">
        <v>10565</v>
      </c>
      <c r="AG2905" t="s">
        <v>48</v>
      </c>
    </row>
    <row r="2906" spans="1:33">
      <c r="A2906" t="s">
        <v>10567</v>
      </c>
      <c r="B2906" t="s">
        <v>10568</v>
      </c>
      <c r="D2906" t="s">
        <v>40</v>
      </c>
      <c r="E2906" t="s">
        <v>41</v>
      </c>
      <c r="H2906" t="s">
        <v>10569</v>
      </c>
      <c r="J2906" t="s">
        <v>63</v>
      </c>
      <c r="K2906" t="s">
        <v>64</v>
      </c>
      <c r="L2906">
        <v>5</v>
      </c>
      <c r="M2906" t="s">
        <v>10570</v>
      </c>
      <c r="N2906" t="s">
        <v>59</v>
      </c>
      <c r="O2906" t="s">
        <v>47</v>
      </c>
      <c r="P2906" t="s">
        <v>47</v>
      </c>
      <c r="Y2906" t="s">
        <v>10569</v>
      </c>
      <c r="AG2906" t="s">
        <v>48</v>
      </c>
    </row>
    <row r="2907" spans="1:33">
      <c r="A2907" t="s">
        <v>10571</v>
      </c>
      <c r="B2907" t="s">
        <v>10572</v>
      </c>
      <c r="D2907" t="s">
        <v>40</v>
      </c>
      <c r="E2907" t="s">
        <v>41</v>
      </c>
      <c r="H2907" t="s">
        <v>10573</v>
      </c>
      <c r="J2907" t="s">
        <v>129</v>
      </c>
      <c r="K2907" t="s">
        <v>130</v>
      </c>
      <c r="L2907">
        <v>5</v>
      </c>
      <c r="M2907" t="s">
        <v>10574</v>
      </c>
      <c r="N2907" t="s">
        <v>192</v>
      </c>
      <c r="O2907" t="s">
        <v>47</v>
      </c>
      <c r="P2907" t="s">
        <v>47</v>
      </c>
      <c r="Y2907" t="s">
        <v>10573</v>
      </c>
      <c r="AG2907" t="s">
        <v>48</v>
      </c>
    </row>
    <row r="2908" spans="1:33">
      <c r="A2908" t="s">
        <v>10575</v>
      </c>
      <c r="B2908" t="s">
        <v>10576</v>
      </c>
      <c r="D2908" t="s">
        <v>40</v>
      </c>
      <c r="E2908" t="s">
        <v>41</v>
      </c>
      <c r="H2908" t="s">
        <v>10577</v>
      </c>
      <c r="J2908" t="s">
        <v>108</v>
      </c>
      <c r="K2908" t="s">
        <v>109</v>
      </c>
      <c r="L2908">
        <v>5</v>
      </c>
      <c r="M2908" t="s">
        <v>10578</v>
      </c>
      <c r="N2908" t="s">
        <v>59</v>
      </c>
      <c r="O2908" t="s">
        <v>47</v>
      </c>
      <c r="P2908" t="s">
        <v>47</v>
      </c>
      <c r="Y2908" t="s">
        <v>10577</v>
      </c>
      <c r="AG2908" t="s">
        <v>48</v>
      </c>
    </row>
    <row r="2909" spans="1:33">
      <c r="A2909" t="s">
        <v>10579</v>
      </c>
      <c r="B2909" t="s">
        <v>10580</v>
      </c>
      <c r="D2909" t="s">
        <v>40</v>
      </c>
      <c r="E2909" t="s">
        <v>41</v>
      </c>
      <c r="J2909" t="s">
        <v>270</v>
      </c>
      <c r="K2909" t="s">
        <v>271</v>
      </c>
      <c r="L2909">
        <v>5</v>
      </c>
      <c r="M2909" t="s">
        <v>10578</v>
      </c>
      <c r="N2909" t="s">
        <v>59</v>
      </c>
      <c r="O2909" t="s">
        <v>47</v>
      </c>
      <c r="P2909" t="s">
        <v>47</v>
      </c>
      <c r="Y2909" t="s">
        <v>10581</v>
      </c>
      <c r="AG2909" t="s">
        <v>48</v>
      </c>
    </row>
    <row r="2910" spans="1:33">
      <c r="A2910" t="s">
        <v>10582</v>
      </c>
      <c r="B2910" t="s">
        <v>10583</v>
      </c>
      <c r="D2910" t="s">
        <v>40</v>
      </c>
      <c r="E2910" t="s">
        <v>41</v>
      </c>
      <c r="J2910" t="s">
        <v>162</v>
      </c>
      <c r="K2910" t="s">
        <v>163</v>
      </c>
      <c r="L2910">
        <v>5</v>
      </c>
      <c r="M2910" t="s">
        <v>10578</v>
      </c>
      <c r="N2910" t="s">
        <v>59</v>
      </c>
      <c r="O2910" t="s">
        <v>47</v>
      </c>
      <c r="P2910" t="s">
        <v>47</v>
      </c>
      <c r="Y2910" t="s">
        <v>10584</v>
      </c>
      <c r="AG2910" t="s">
        <v>48</v>
      </c>
    </row>
    <row r="2911" spans="1:33">
      <c r="A2911" t="s">
        <v>10585</v>
      </c>
      <c r="B2911" t="s">
        <v>10586</v>
      </c>
      <c r="D2911" t="s">
        <v>40</v>
      </c>
      <c r="E2911" t="s">
        <v>41</v>
      </c>
      <c r="H2911" t="s">
        <v>10587</v>
      </c>
      <c r="J2911" t="s">
        <v>290</v>
      </c>
      <c r="K2911" t="s">
        <v>291</v>
      </c>
      <c r="L2911">
        <v>5</v>
      </c>
      <c r="M2911" t="s">
        <v>10578</v>
      </c>
      <c r="N2911" t="s">
        <v>59</v>
      </c>
      <c r="O2911" t="s">
        <v>47</v>
      </c>
      <c r="P2911" t="s">
        <v>47</v>
      </c>
      <c r="Y2911" t="s">
        <v>10587</v>
      </c>
      <c r="AG2911" t="s">
        <v>48</v>
      </c>
    </row>
    <row r="2912" spans="1:33">
      <c r="A2912" t="s">
        <v>10588</v>
      </c>
      <c r="B2912" t="s">
        <v>10589</v>
      </c>
      <c r="D2912" t="s">
        <v>40</v>
      </c>
      <c r="E2912" t="s">
        <v>41</v>
      </c>
      <c r="J2912" t="s">
        <v>270</v>
      </c>
      <c r="K2912" t="s">
        <v>271</v>
      </c>
      <c r="L2912">
        <v>5</v>
      </c>
      <c r="M2912" t="s">
        <v>10590</v>
      </c>
      <c r="N2912" t="s">
        <v>59</v>
      </c>
      <c r="O2912" t="s">
        <v>47</v>
      </c>
      <c r="P2912" t="s">
        <v>47</v>
      </c>
      <c r="Y2912" t="s">
        <v>10591</v>
      </c>
      <c r="AG2912" t="s">
        <v>48</v>
      </c>
    </row>
    <row r="2913" spans="1:33">
      <c r="A2913" t="s">
        <v>10592</v>
      </c>
      <c r="B2913" t="s">
        <v>10593</v>
      </c>
      <c r="D2913" t="s">
        <v>40</v>
      </c>
      <c r="E2913" t="s">
        <v>41</v>
      </c>
      <c r="J2913" t="s">
        <v>162</v>
      </c>
      <c r="K2913" t="s">
        <v>163</v>
      </c>
      <c r="L2913">
        <v>5</v>
      </c>
      <c r="M2913" t="s">
        <v>10594</v>
      </c>
      <c r="N2913" t="s">
        <v>59</v>
      </c>
      <c r="O2913" t="s">
        <v>47</v>
      </c>
      <c r="P2913" t="s">
        <v>47</v>
      </c>
      <c r="Y2913" t="s">
        <v>10595</v>
      </c>
      <c r="AG2913" t="s">
        <v>48</v>
      </c>
    </row>
    <row r="2914" spans="1:33">
      <c r="A2914" t="s">
        <v>10596</v>
      </c>
      <c r="B2914" t="s">
        <v>10597</v>
      </c>
      <c r="D2914" t="s">
        <v>40</v>
      </c>
      <c r="E2914" t="s">
        <v>41</v>
      </c>
      <c r="J2914" t="s">
        <v>129</v>
      </c>
      <c r="K2914" t="s">
        <v>130</v>
      </c>
      <c r="L2914">
        <v>5</v>
      </c>
      <c r="M2914" t="s">
        <v>10598</v>
      </c>
      <c r="N2914" t="s">
        <v>218</v>
      </c>
      <c r="O2914" t="s">
        <v>47</v>
      </c>
      <c r="P2914" t="s">
        <v>47</v>
      </c>
      <c r="Y2914" t="s">
        <v>10599</v>
      </c>
      <c r="AG2914" t="s">
        <v>48</v>
      </c>
    </row>
    <row r="2915" spans="1:33">
      <c r="A2915" t="s">
        <v>10600</v>
      </c>
      <c r="B2915" t="s">
        <v>10601</v>
      </c>
      <c r="D2915" t="s">
        <v>40</v>
      </c>
      <c r="E2915" t="s">
        <v>41</v>
      </c>
      <c r="H2915" t="s">
        <v>10602</v>
      </c>
      <c r="J2915" t="s">
        <v>129</v>
      </c>
      <c r="K2915" t="s">
        <v>130</v>
      </c>
      <c r="L2915">
        <v>6</v>
      </c>
      <c r="M2915" t="s">
        <v>10603</v>
      </c>
      <c r="N2915" t="s">
        <v>192</v>
      </c>
      <c r="O2915" t="s">
        <v>47</v>
      </c>
      <c r="P2915" t="s">
        <v>47</v>
      </c>
      <c r="Y2915" t="s">
        <v>10602</v>
      </c>
      <c r="AG2915" t="s">
        <v>48</v>
      </c>
    </row>
    <row r="2916" spans="1:33">
      <c r="A2916" t="s">
        <v>10604</v>
      </c>
      <c r="B2916" t="s">
        <v>10605</v>
      </c>
      <c r="D2916" t="s">
        <v>40</v>
      </c>
      <c r="E2916" t="s">
        <v>41</v>
      </c>
      <c r="J2916" t="s">
        <v>290</v>
      </c>
      <c r="K2916" t="s">
        <v>291</v>
      </c>
      <c r="L2916">
        <v>5</v>
      </c>
      <c r="M2916" t="s">
        <v>10606</v>
      </c>
      <c r="N2916" t="s">
        <v>59</v>
      </c>
      <c r="O2916" t="s">
        <v>47</v>
      </c>
      <c r="P2916" t="s">
        <v>47</v>
      </c>
      <c r="Y2916" t="s">
        <v>10607</v>
      </c>
      <c r="AG2916" t="s">
        <v>48</v>
      </c>
    </row>
    <row r="2917" spans="1:33">
      <c r="A2917" t="s">
        <v>10608</v>
      </c>
      <c r="B2917" t="s">
        <v>10609</v>
      </c>
      <c r="D2917" t="s">
        <v>40</v>
      </c>
      <c r="E2917" t="s">
        <v>41</v>
      </c>
      <c r="J2917" t="s">
        <v>162</v>
      </c>
      <c r="K2917" t="s">
        <v>163</v>
      </c>
      <c r="L2917">
        <v>5</v>
      </c>
      <c r="M2917" t="s">
        <v>10606</v>
      </c>
      <c r="N2917" t="s">
        <v>59</v>
      </c>
      <c r="O2917" t="s">
        <v>47</v>
      </c>
      <c r="P2917" t="s">
        <v>47</v>
      </c>
      <c r="Y2917" t="s">
        <v>10610</v>
      </c>
      <c r="AG2917" t="s">
        <v>48</v>
      </c>
    </row>
    <row r="2918" spans="1:33">
      <c r="A2918" t="s">
        <v>10611</v>
      </c>
      <c r="B2918" t="s">
        <v>10612</v>
      </c>
      <c r="D2918" t="s">
        <v>40</v>
      </c>
      <c r="E2918" t="s">
        <v>41</v>
      </c>
      <c r="J2918" t="s">
        <v>270</v>
      </c>
      <c r="K2918" t="s">
        <v>271</v>
      </c>
      <c r="L2918">
        <v>5</v>
      </c>
      <c r="M2918" t="s">
        <v>10613</v>
      </c>
      <c r="N2918" t="s">
        <v>59</v>
      </c>
      <c r="O2918" t="s">
        <v>47</v>
      </c>
      <c r="P2918" t="s">
        <v>47</v>
      </c>
      <c r="Y2918" t="s">
        <v>10614</v>
      </c>
      <c r="AG2918" t="s">
        <v>48</v>
      </c>
    </row>
    <row r="2919" spans="1:33">
      <c r="A2919" t="s">
        <v>10615</v>
      </c>
      <c r="B2919" t="s">
        <v>10616</v>
      </c>
      <c r="D2919" t="s">
        <v>40</v>
      </c>
      <c r="E2919" t="s">
        <v>41</v>
      </c>
      <c r="J2919" t="s">
        <v>270</v>
      </c>
      <c r="K2919" t="s">
        <v>271</v>
      </c>
      <c r="L2919">
        <v>5</v>
      </c>
      <c r="M2919" t="s">
        <v>10613</v>
      </c>
      <c r="N2919" t="s">
        <v>59</v>
      </c>
      <c r="O2919" t="s">
        <v>47</v>
      </c>
      <c r="P2919" t="s">
        <v>47</v>
      </c>
      <c r="Y2919" t="s">
        <v>10617</v>
      </c>
      <c r="AG2919" t="s">
        <v>48</v>
      </c>
    </row>
    <row r="2920" spans="1:33">
      <c r="A2920" t="s">
        <v>10618</v>
      </c>
      <c r="B2920" t="s">
        <v>10619</v>
      </c>
      <c r="D2920" t="s">
        <v>40</v>
      </c>
      <c r="E2920" t="s">
        <v>41</v>
      </c>
      <c r="J2920" t="s">
        <v>162</v>
      </c>
      <c r="K2920" t="s">
        <v>163</v>
      </c>
      <c r="L2920">
        <v>5</v>
      </c>
      <c r="M2920" t="s">
        <v>10613</v>
      </c>
      <c r="N2920" t="s">
        <v>59</v>
      </c>
      <c r="O2920" t="s">
        <v>47</v>
      </c>
      <c r="P2920" t="s">
        <v>47</v>
      </c>
      <c r="Y2920" t="s">
        <v>10620</v>
      </c>
      <c r="AG2920" t="s">
        <v>48</v>
      </c>
    </row>
    <row r="2921" spans="1:33">
      <c r="A2921" t="s">
        <v>10621</v>
      </c>
      <c r="B2921" t="s">
        <v>10622</v>
      </c>
      <c r="D2921" t="s">
        <v>40</v>
      </c>
      <c r="E2921" t="s">
        <v>41</v>
      </c>
      <c r="H2921" t="s">
        <v>10623</v>
      </c>
      <c r="J2921" t="s">
        <v>290</v>
      </c>
      <c r="K2921" t="s">
        <v>291</v>
      </c>
      <c r="L2921">
        <v>5</v>
      </c>
      <c r="M2921" t="s">
        <v>10624</v>
      </c>
      <c r="N2921" t="s">
        <v>59</v>
      </c>
      <c r="O2921" t="s">
        <v>47</v>
      </c>
      <c r="P2921" t="s">
        <v>47</v>
      </c>
      <c r="Y2921" t="s">
        <v>10623</v>
      </c>
      <c r="AG2921" t="s">
        <v>48</v>
      </c>
    </row>
    <row r="2922" spans="1:33">
      <c r="A2922" t="s">
        <v>10625</v>
      </c>
      <c r="B2922" t="s">
        <v>10626</v>
      </c>
      <c r="D2922" t="s">
        <v>40</v>
      </c>
      <c r="E2922" t="s">
        <v>41</v>
      </c>
      <c r="J2922" t="s">
        <v>270</v>
      </c>
      <c r="K2922" t="s">
        <v>271</v>
      </c>
      <c r="L2922">
        <v>5</v>
      </c>
      <c r="M2922" t="s">
        <v>10624</v>
      </c>
      <c r="N2922" t="s">
        <v>59</v>
      </c>
      <c r="O2922" t="s">
        <v>47</v>
      </c>
      <c r="P2922" t="s">
        <v>47</v>
      </c>
      <c r="Y2922" t="s">
        <v>10627</v>
      </c>
      <c r="AG2922" t="s">
        <v>48</v>
      </c>
    </row>
    <row r="2923" spans="1:33">
      <c r="A2923" t="s">
        <v>10628</v>
      </c>
      <c r="B2923" t="s">
        <v>10629</v>
      </c>
      <c r="D2923" t="s">
        <v>40</v>
      </c>
      <c r="E2923" t="s">
        <v>41</v>
      </c>
      <c r="J2923" t="s">
        <v>290</v>
      </c>
      <c r="K2923" t="s">
        <v>291</v>
      </c>
      <c r="L2923">
        <v>5</v>
      </c>
      <c r="M2923" t="s">
        <v>10630</v>
      </c>
      <c r="N2923" t="s">
        <v>59</v>
      </c>
      <c r="O2923" t="s">
        <v>47</v>
      </c>
      <c r="P2923" t="s">
        <v>47</v>
      </c>
      <c r="Y2923" t="s">
        <v>10631</v>
      </c>
      <c r="AG2923" t="s">
        <v>48</v>
      </c>
    </row>
    <row r="2924" spans="1:33">
      <c r="A2924" t="s">
        <v>10632</v>
      </c>
      <c r="B2924" t="s">
        <v>10633</v>
      </c>
      <c r="D2924" t="s">
        <v>40</v>
      </c>
      <c r="E2924" t="s">
        <v>41</v>
      </c>
      <c r="H2924" t="s">
        <v>10634</v>
      </c>
      <c r="J2924" t="s">
        <v>290</v>
      </c>
      <c r="K2924" t="s">
        <v>291</v>
      </c>
      <c r="L2924">
        <v>5</v>
      </c>
      <c r="M2924" t="s">
        <v>10630</v>
      </c>
      <c r="N2924" t="s">
        <v>59</v>
      </c>
      <c r="O2924" t="s">
        <v>47</v>
      </c>
      <c r="P2924" t="s">
        <v>47</v>
      </c>
      <c r="Y2924" t="s">
        <v>10634</v>
      </c>
      <c r="AG2924" t="s">
        <v>48</v>
      </c>
    </row>
    <row r="2925" spans="1:33">
      <c r="A2925" t="s">
        <v>10635</v>
      </c>
      <c r="B2925" t="s">
        <v>10636</v>
      </c>
      <c r="D2925" t="s">
        <v>40</v>
      </c>
      <c r="E2925" t="s">
        <v>41</v>
      </c>
      <c r="J2925" t="s">
        <v>312</v>
      </c>
      <c r="K2925" t="s">
        <v>313</v>
      </c>
      <c r="L2925">
        <v>6</v>
      </c>
      <c r="M2925" t="s">
        <v>10637</v>
      </c>
      <c r="N2925" t="s">
        <v>192</v>
      </c>
      <c r="O2925" t="s">
        <v>47</v>
      </c>
      <c r="P2925" t="s">
        <v>47</v>
      </c>
      <c r="Y2925" t="s">
        <v>10638</v>
      </c>
      <c r="AG2925" t="s">
        <v>48</v>
      </c>
    </row>
    <row r="2926" spans="1:33">
      <c r="A2926" t="s">
        <v>10639</v>
      </c>
      <c r="B2926" t="s">
        <v>10640</v>
      </c>
      <c r="D2926" t="s">
        <v>40</v>
      </c>
      <c r="E2926" t="s">
        <v>41</v>
      </c>
      <c r="J2926" t="s">
        <v>290</v>
      </c>
      <c r="K2926" t="s">
        <v>291</v>
      </c>
      <c r="L2926">
        <v>5</v>
      </c>
      <c r="M2926" t="s">
        <v>10637</v>
      </c>
      <c r="N2926" t="s">
        <v>59</v>
      </c>
      <c r="O2926" t="s">
        <v>47</v>
      </c>
      <c r="P2926" t="s">
        <v>47</v>
      </c>
      <c r="Y2926" t="s">
        <v>10641</v>
      </c>
      <c r="AG2926" t="s">
        <v>48</v>
      </c>
    </row>
    <row r="2927" spans="1:33">
      <c r="A2927" t="s">
        <v>10642</v>
      </c>
      <c r="B2927" t="s">
        <v>10643</v>
      </c>
      <c r="D2927" t="s">
        <v>40</v>
      </c>
      <c r="E2927" t="s">
        <v>41</v>
      </c>
      <c r="J2927" t="s">
        <v>270</v>
      </c>
      <c r="K2927" t="s">
        <v>271</v>
      </c>
      <c r="L2927">
        <v>5</v>
      </c>
      <c r="M2927" t="s">
        <v>10644</v>
      </c>
      <c r="N2927" t="s">
        <v>59</v>
      </c>
      <c r="O2927" t="s">
        <v>47</v>
      </c>
      <c r="P2927" t="s">
        <v>47</v>
      </c>
      <c r="Y2927" t="s">
        <v>10645</v>
      </c>
      <c r="AG2927" t="s">
        <v>48</v>
      </c>
    </row>
    <row r="2928" spans="1:33">
      <c r="A2928" t="s">
        <v>10646</v>
      </c>
      <c r="B2928" t="s">
        <v>10647</v>
      </c>
      <c r="D2928" t="s">
        <v>40</v>
      </c>
      <c r="E2928" t="s">
        <v>41</v>
      </c>
      <c r="H2928" t="s">
        <v>10648</v>
      </c>
      <c r="J2928" t="s">
        <v>114</v>
      </c>
      <c r="K2928" t="s">
        <v>115</v>
      </c>
      <c r="L2928">
        <v>5</v>
      </c>
      <c r="M2928" t="s">
        <v>10649</v>
      </c>
      <c r="N2928" t="s">
        <v>59</v>
      </c>
      <c r="O2928" t="s">
        <v>47</v>
      </c>
      <c r="P2928" t="s">
        <v>47</v>
      </c>
      <c r="Y2928" t="s">
        <v>10648</v>
      </c>
      <c r="AG2928" t="s">
        <v>48</v>
      </c>
    </row>
    <row r="2929" spans="1:33">
      <c r="A2929" t="s">
        <v>10650</v>
      </c>
      <c r="B2929" t="s">
        <v>10651</v>
      </c>
      <c r="D2929" t="s">
        <v>40</v>
      </c>
      <c r="E2929" t="s">
        <v>41</v>
      </c>
      <c r="H2929" t="s">
        <v>10652</v>
      </c>
      <c r="J2929" t="s">
        <v>290</v>
      </c>
      <c r="K2929" t="s">
        <v>291</v>
      </c>
      <c r="L2929">
        <v>5</v>
      </c>
      <c r="M2929" t="s">
        <v>10653</v>
      </c>
      <c r="N2929" t="s">
        <v>59</v>
      </c>
      <c r="O2929" t="s">
        <v>47</v>
      </c>
      <c r="P2929" t="s">
        <v>47</v>
      </c>
      <c r="Y2929" t="s">
        <v>10652</v>
      </c>
      <c r="AG2929" t="s">
        <v>48</v>
      </c>
    </row>
    <row r="2930" spans="1:33">
      <c r="A2930" t="s">
        <v>10654</v>
      </c>
      <c r="B2930" t="s">
        <v>10655</v>
      </c>
      <c r="D2930" t="s">
        <v>40</v>
      </c>
      <c r="E2930" t="s">
        <v>41</v>
      </c>
      <c r="J2930" t="s">
        <v>270</v>
      </c>
      <c r="K2930" t="s">
        <v>271</v>
      </c>
      <c r="L2930">
        <v>5</v>
      </c>
      <c r="M2930" t="s">
        <v>10656</v>
      </c>
      <c r="N2930" t="s">
        <v>59</v>
      </c>
      <c r="O2930" t="s">
        <v>47</v>
      </c>
      <c r="P2930" t="s">
        <v>47</v>
      </c>
      <c r="Y2930" t="s">
        <v>10657</v>
      </c>
      <c r="AG2930" t="s">
        <v>48</v>
      </c>
    </row>
    <row r="2931" spans="1:33">
      <c r="A2931" t="s">
        <v>10658</v>
      </c>
      <c r="B2931" t="s">
        <v>10659</v>
      </c>
      <c r="D2931" t="s">
        <v>40</v>
      </c>
      <c r="E2931" t="s">
        <v>41</v>
      </c>
      <c r="J2931" t="s">
        <v>108</v>
      </c>
      <c r="K2931" t="s">
        <v>109</v>
      </c>
      <c r="L2931">
        <v>5</v>
      </c>
      <c r="M2931" t="s">
        <v>10656</v>
      </c>
      <c r="N2931" t="s">
        <v>59</v>
      </c>
      <c r="O2931" t="s">
        <v>47</v>
      </c>
      <c r="P2931" t="s">
        <v>47</v>
      </c>
      <c r="Y2931" t="s">
        <v>10660</v>
      </c>
      <c r="AG2931" t="s">
        <v>48</v>
      </c>
    </row>
    <row r="2932" spans="1:33">
      <c r="A2932" t="s">
        <v>10661</v>
      </c>
      <c r="B2932" t="s">
        <v>10662</v>
      </c>
      <c r="D2932" t="s">
        <v>40</v>
      </c>
      <c r="E2932" t="s">
        <v>41</v>
      </c>
      <c r="J2932" t="s">
        <v>162</v>
      </c>
      <c r="K2932" t="s">
        <v>163</v>
      </c>
      <c r="L2932">
        <v>5</v>
      </c>
      <c r="M2932" t="s">
        <v>10663</v>
      </c>
      <c r="N2932" t="s">
        <v>59</v>
      </c>
      <c r="O2932" t="s">
        <v>47</v>
      </c>
      <c r="P2932" t="s">
        <v>47</v>
      </c>
      <c r="Y2932" t="s">
        <v>10664</v>
      </c>
      <c r="AG2932" t="s">
        <v>48</v>
      </c>
    </row>
    <row r="2933" spans="1:33">
      <c r="A2933" t="s">
        <v>10665</v>
      </c>
      <c r="B2933" t="s">
        <v>10666</v>
      </c>
      <c r="D2933" t="s">
        <v>40</v>
      </c>
      <c r="E2933" t="s">
        <v>41</v>
      </c>
      <c r="J2933" t="s">
        <v>270</v>
      </c>
      <c r="K2933" t="s">
        <v>271</v>
      </c>
      <c r="L2933">
        <v>5</v>
      </c>
      <c r="M2933" t="s">
        <v>10667</v>
      </c>
      <c r="N2933" t="s">
        <v>59</v>
      </c>
      <c r="O2933" t="s">
        <v>47</v>
      </c>
      <c r="P2933" t="s">
        <v>47</v>
      </c>
      <c r="Y2933" t="s">
        <v>10668</v>
      </c>
      <c r="AG2933" t="s">
        <v>48</v>
      </c>
    </row>
    <row r="2934" spans="1:33">
      <c r="A2934" t="s">
        <v>10669</v>
      </c>
      <c r="B2934" t="s">
        <v>10670</v>
      </c>
      <c r="D2934" t="s">
        <v>40</v>
      </c>
      <c r="E2934" t="s">
        <v>41</v>
      </c>
      <c r="J2934" t="s">
        <v>108</v>
      </c>
      <c r="K2934" t="s">
        <v>109</v>
      </c>
      <c r="L2934">
        <v>5</v>
      </c>
      <c r="M2934" t="s">
        <v>10667</v>
      </c>
      <c r="N2934" t="s">
        <v>59</v>
      </c>
      <c r="O2934" t="s">
        <v>47</v>
      </c>
      <c r="P2934" t="s">
        <v>47</v>
      </c>
      <c r="Y2934" t="s">
        <v>10671</v>
      </c>
      <c r="AG2934" t="s">
        <v>48</v>
      </c>
    </row>
    <row r="2935" spans="1:33">
      <c r="A2935" t="s">
        <v>10672</v>
      </c>
      <c r="B2935" t="s">
        <v>10673</v>
      </c>
      <c r="D2935" t="s">
        <v>40</v>
      </c>
      <c r="E2935" t="s">
        <v>41</v>
      </c>
      <c r="J2935" t="s">
        <v>162</v>
      </c>
      <c r="K2935" t="s">
        <v>163</v>
      </c>
      <c r="L2935">
        <v>5</v>
      </c>
      <c r="M2935" t="s">
        <v>10674</v>
      </c>
      <c r="N2935" t="s">
        <v>59</v>
      </c>
      <c r="O2935" t="s">
        <v>47</v>
      </c>
      <c r="P2935" t="s">
        <v>47</v>
      </c>
      <c r="Y2935" t="s">
        <v>10675</v>
      </c>
      <c r="AG2935" t="s">
        <v>48</v>
      </c>
    </row>
    <row r="2936" spans="1:33">
      <c r="A2936" t="s">
        <v>10676</v>
      </c>
      <c r="B2936" t="s">
        <v>10677</v>
      </c>
      <c r="D2936" t="s">
        <v>40</v>
      </c>
      <c r="E2936" t="s">
        <v>41</v>
      </c>
      <c r="H2936" t="s">
        <v>10678</v>
      </c>
      <c r="J2936" t="s">
        <v>43</v>
      </c>
      <c r="K2936" t="s">
        <v>44</v>
      </c>
      <c r="L2936">
        <v>5</v>
      </c>
      <c r="M2936" t="s">
        <v>10674</v>
      </c>
      <c r="N2936" t="s">
        <v>192</v>
      </c>
      <c r="O2936" t="s">
        <v>47</v>
      </c>
      <c r="P2936" t="s">
        <v>47</v>
      </c>
      <c r="Y2936" t="s">
        <v>10678</v>
      </c>
      <c r="AG2936" t="s">
        <v>48</v>
      </c>
    </row>
    <row r="2937" spans="1:33">
      <c r="A2937" t="s">
        <v>10679</v>
      </c>
      <c r="B2937" t="s">
        <v>10680</v>
      </c>
      <c r="D2937" t="s">
        <v>40</v>
      </c>
      <c r="E2937" t="s">
        <v>41</v>
      </c>
      <c r="J2937" t="s">
        <v>114</v>
      </c>
      <c r="K2937" t="s">
        <v>115</v>
      </c>
      <c r="L2937">
        <v>5</v>
      </c>
      <c r="M2937" t="s">
        <v>10681</v>
      </c>
      <c r="N2937" t="s">
        <v>59</v>
      </c>
      <c r="O2937" t="s">
        <v>47</v>
      </c>
      <c r="P2937" t="s">
        <v>47</v>
      </c>
      <c r="Y2937" t="s">
        <v>10682</v>
      </c>
      <c r="AG2937" t="s">
        <v>48</v>
      </c>
    </row>
    <row r="2938" spans="1:33">
      <c r="A2938" t="s">
        <v>10683</v>
      </c>
      <c r="B2938" t="s">
        <v>10684</v>
      </c>
      <c r="D2938" t="s">
        <v>40</v>
      </c>
      <c r="E2938" t="s">
        <v>41</v>
      </c>
      <c r="J2938" t="s">
        <v>108</v>
      </c>
      <c r="K2938" t="s">
        <v>109</v>
      </c>
      <c r="L2938">
        <v>5</v>
      </c>
      <c r="M2938" t="s">
        <v>10681</v>
      </c>
      <c r="N2938" t="s">
        <v>59</v>
      </c>
      <c r="O2938" t="s">
        <v>47</v>
      </c>
      <c r="P2938" t="s">
        <v>47</v>
      </c>
      <c r="Y2938" t="s">
        <v>10685</v>
      </c>
      <c r="AG2938" t="s">
        <v>48</v>
      </c>
    </row>
    <row r="2939" spans="1:33">
      <c r="A2939" t="s">
        <v>10686</v>
      </c>
      <c r="B2939" t="s">
        <v>10687</v>
      </c>
      <c r="D2939" t="s">
        <v>40</v>
      </c>
      <c r="E2939" t="s">
        <v>41</v>
      </c>
      <c r="J2939" t="s">
        <v>129</v>
      </c>
      <c r="K2939" t="s">
        <v>130</v>
      </c>
      <c r="L2939">
        <v>5</v>
      </c>
      <c r="M2939" t="s">
        <v>10681</v>
      </c>
      <c r="N2939" t="s">
        <v>46</v>
      </c>
      <c r="O2939" t="s">
        <v>47</v>
      </c>
      <c r="P2939" t="s">
        <v>47</v>
      </c>
      <c r="Y2939" t="s">
        <v>10688</v>
      </c>
      <c r="AG2939" t="s">
        <v>48</v>
      </c>
    </row>
    <row r="2940" spans="1:33">
      <c r="A2940" t="s">
        <v>10689</v>
      </c>
      <c r="B2940" t="s">
        <v>10690</v>
      </c>
      <c r="D2940" t="s">
        <v>40</v>
      </c>
      <c r="E2940" t="s">
        <v>41</v>
      </c>
      <c r="J2940" t="s">
        <v>162</v>
      </c>
      <c r="K2940" t="s">
        <v>163</v>
      </c>
      <c r="L2940">
        <v>5</v>
      </c>
      <c r="M2940" t="s">
        <v>10691</v>
      </c>
      <c r="N2940" t="s">
        <v>59</v>
      </c>
      <c r="O2940" t="s">
        <v>47</v>
      </c>
      <c r="P2940" t="s">
        <v>47</v>
      </c>
      <c r="Y2940" t="s">
        <v>10692</v>
      </c>
      <c r="AG2940" t="s">
        <v>48</v>
      </c>
    </row>
    <row r="2941" spans="1:33">
      <c r="A2941" t="s">
        <v>10693</v>
      </c>
      <c r="B2941" t="s">
        <v>10694</v>
      </c>
      <c r="D2941" t="s">
        <v>40</v>
      </c>
      <c r="E2941" t="s">
        <v>41</v>
      </c>
      <c r="J2941" t="s">
        <v>270</v>
      </c>
      <c r="K2941" t="s">
        <v>271</v>
      </c>
      <c r="L2941">
        <v>5</v>
      </c>
      <c r="M2941" t="s">
        <v>10691</v>
      </c>
      <c r="N2941" t="s">
        <v>59</v>
      </c>
      <c r="O2941" t="s">
        <v>47</v>
      </c>
      <c r="P2941" t="s">
        <v>47</v>
      </c>
      <c r="Y2941" t="s">
        <v>10695</v>
      </c>
      <c r="AG2941" t="s">
        <v>48</v>
      </c>
    </row>
    <row r="2942" spans="1:33">
      <c r="A2942" t="s">
        <v>10696</v>
      </c>
      <c r="B2942" t="s">
        <v>10697</v>
      </c>
      <c r="D2942" t="s">
        <v>40</v>
      </c>
      <c r="E2942" t="s">
        <v>41</v>
      </c>
      <c r="J2942" t="s">
        <v>290</v>
      </c>
      <c r="K2942" t="s">
        <v>291</v>
      </c>
      <c r="L2942">
        <v>5</v>
      </c>
      <c r="M2942" t="s">
        <v>10698</v>
      </c>
      <c r="N2942" t="s">
        <v>59</v>
      </c>
      <c r="O2942" t="s">
        <v>47</v>
      </c>
      <c r="P2942" t="s">
        <v>47</v>
      </c>
      <c r="Y2942" t="s">
        <v>10699</v>
      </c>
      <c r="AG2942" t="s">
        <v>48</v>
      </c>
    </row>
    <row r="2943" spans="1:33">
      <c r="A2943" t="s">
        <v>10700</v>
      </c>
      <c r="B2943" t="s">
        <v>10701</v>
      </c>
      <c r="D2943" t="s">
        <v>40</v>
      </c>
      <c r="E2943" t="s">
        <v>41</v>
      </c>
      <c r="H2943" t="s">
        <v>10702</v>
      </c>
      <c r="J2943" t="s">
        <v>129</v>
      </c>
      <c r="K2943" t="s">
        <v>130</v>
      </c>
      <c r="L2943">
        <v>5</v>
      </c>
      <c r="M2943" t="s">
        <v>10703</v>
      </c>
      <c r="N2943" t="s">
        <v>192</v>
      </c>
      <c r="O2943" t="s">
        <v>47</v>
      </c>
      <c r="P2943" t="s">
        <v>47</v>
      </c>
      <c r="Y2943" t="s">
        <v>10702</v>
      </c>
      <c r="AG2943" t="s">
        <v>48</v>
      </c>
    </row>
    <row r="2944" spans="1:33">
      <c r="A2944" t="s">
        <v>10704</v>
      </c>
      <c r="B2944" t="s">
        <v>10705</v>
      </c>
      <c r="D2944" t="s">
        <v>40</v>
      </c>
      <c r="E2944" t="s">
        <v>41</v>
      </c>
      <c r="J2944" t="s">
        <v>290</v>
      </c>
      <c r="K2944" t="s">
        <v>291</v>
      </c>
      <c r="L2944">
        <v>5</v>
      </c>
      <c r="M2944" t="s">
        <v>10706</v>
      </c>
      <c r="N2944" t="s">
        <v>59</v>
      </c>
      <c r="O2944" t="s">
        <v>47</v>
      </c>
      <c r="P2944" t="s">
        <v>47</v>
      </c>
      <c r="Y2944" t="s">
        <v>10707</v>
      </c>
      <c r="AG2944" t="s">
        <v>48</v>
      </c>
    </row>
    <row r="2945" spans="1:33">
      <c r="A2945" t="s">
        <v>10708</v>
      </c>
      <c r="B2945" t="s">
        <v>10709</v>
      </c>
      <c r="D2945" t="s">
        <v>40</v>
      </c>
      <c r="E2945" t="s">
        <v>41</v>
      </c>
      <c r="J2945" t="s">
        <v>270</v>
      </c>
      <c r="K2945" t="s">
        <v>271</v>
      </c>
      <c r="L2945">
        <v>5</v>
      </c>
      <c r="M2945" t="s">
        <v>10710</v>
      </c>
      <c r="N2945" t="s">
        <v>59</v>
      </c>
      <c r="O2945" t="s">
        <v>47</v>
      </c>
      <c r="P2945" t="s">
        <v>47</v>
      </c>
      <c r="Y2945" t="s">
        <v>10711</v>
      </c>
      <c r="AG2945" t="s">
        <v>48</v>
      </c>
    </row>
    <row r="2946" spans="1:33">
      <c r="A2946" t="s">
        <v>10712</v>
      </c>
      <c r="B2946" t="s">
        <v>10713</v>
      </c>
      <c r="D2946" t="s">
        <v>40</v>
      </c>
      <c r="E2946" t="s">
        <v>41</v>
      </c>
      <c r="J2946" t="s">
        <v>270</v>
      </c>
      <c r="K2946" t="s">
        <v>271</v>
      </c>
      <c r="L2946">
        <v>5</v>
      </c>
      <c r="M2946" t="s">
        <v>10714</v>
      </c>
      <c r="N2946" t="s">
        <v>59</v>
      </c>
      <c r="O2946" t="s">
        <v>47</v>
      </c>
      <c r="P2946" t="s">
        <v>47</v>
      </c>
      <c r="Y2946" t="s">
        <v>10715</v>
      </c>
      <c r="AG2946" t="s">
        <v>48</v>
      </c>
    </row>
    <row r="2947" spans="1:33">
      <c r="A2947" t="s">
        <v>10716</v>
      </c>
      <c r="B2947" t="s">
        <v>10717</v>
      </c>
      <c r="D2947" t="s">
        <v>40</v>
      </c>
      <c r="E2947" t="s">
        <v>41</v>
      </c>
      <c r="H2947" t="s">
        <v>10718</v>
      </c>
      <c r="J2947" t="s">
        <v>129</v>
      </c>
      <c r="K2947" t="s">
        <v>130</v>
      </c>
      <c r="L2947">
        <v>5</v>
      </c>
      <c r="M2947" t="s">
        <v>10714</v>
      </c>
      <c r="N2947" t="s">
        <v>192</v>
      </c>
      <c r="O2947" t="s">
        <v>47</v>
      </c>
      <c r="P2947" t="s">
        <v>47</v>
      </c>
      <c r="Y2947" t="s">
        <v>10718</v>
      </c>
      <c r="AG2947" t="s">
        <v>48</v>
      </c>
    </row>
    <row r="2948" spans="1:33">
      <c r="A2948" t="s">
        <v>10719</v>
      </c>
      <c r="B2948" t="s">
        <v>10720</v>
      </c>
      <c r="D2948" t="s">
        <v>40</v>
      </c>
      <c r="E2948" t="s">
        <v>41</v>
      </c>
      <c r="J2948" t="s">
        <v>290</v>
      </c>
      <c r="K2948" t="s">
        <v>291</v>
      </c>
      <c r="L2948">
        <v>5</v>
      </c>
      <c r="M2948" t="s">
        <v>10714</v>
      </c>
      <c r="N2948" t="s">
        <v>59</v>
      </c>
      <c r="O2948" t="s">
        <v>47</v>
      </c>
      <c r="P2948" t="s">
        <v>47</v>
      </c>
      <c r="Y2948" t="s">
        <v>10721</v>
      </c>
      <c r="AG2948" t="s">
        <v>48</v>
      </c>
    </row>
    <row r="2949" spans="1:33">
      <c r="A2949" t="s">
        <v>10722</v>
      </c>
      <c r="B2949" t="s">
        <v>10723</v>
      </c>
      <c r="D2949" t="s">
        <v>40</v>
      </c>
      <c r="E2949" t="s">
        <v>41</v>
      </c>
      <c r="J2949" t="s">
        <v>162</v>
      </c>
      <c r="K2949" t="s">
        <v>163</v>
      </c>
      <c r="L2949">
        <v>5</v>
      </c>
      <c r="M2949" t="s">
        <v>10714</v>
      </c>
      <c r="N2949" t="s">
        <v>59</v>
      </c>
      <c r="O2949" t="s">
        <v>47</v>
      </c>
      <c r="P2949" t="s">
        <v>47</v>
      </c>
      <c r="Y2949" t="s">
        <v>10724</v>
      </c>
      <c r="AG2949" t="s">
        <v>48</v>
      </c>
    </row>
    <row r="2950" spans="1:33">
      <c r="A2950" t="s">
        <v>10725</v>
      </c>
      <c r="B2950" t="s">
        <v>10726</v>
      </c>
      <c r="D2950" t="s">
        <v>40</v>
      </c>
      <c r="E2950" t="s">
        <v>41</v>
      </c>
      <c r="J2950" t="s">
        <v>162</v>
      </c>
      <c r="K2950" t="s">
        <v>163</v>
      </c>
      <c r="L2950">
        <v>5</v>
      </c>
      <c r="M2950" t="s">
        <v>10727</v>
      </c>
      <c r="N2950" t="s">
        <v>59</v>
      </c>
      <c r="O2950" t="s">
        <v>47</v>
      </c>
      <c r="P2950" t="s">
        <v>47</v>
      </c>
      <c r="Y2950" t="s">
        <v>10728</v>
      </c>
      <c r="AG2950" t="s">
        <v>48</v>
      </c>
    </row>
    <row r="2951" spans="1:33">
      <c r="A2951" t="s">
        <v>10729</v>
      </c>
      <c r="B2951" t="s">
        <v>10730</v>
      </c>
      <c r="D2951" t="s">
        <v>40</v>
      </c>
      <c r="E2951" t="s">
        <v>41</v>
      </c>
      <c r="J2951" t="s">
        <v>290</v>
      </c>
      <c r="K2951" t="s">
        <v>291</v>
      </c>
      <c r="L2951">
        <v>5</v>
      </c>
      <c r="M2951" t="s">
        <v>10731</v>
      </c>
      <c r="N2951" t="s">
        <v>59</v>
      </c>
      <c r="O2951" t="s">
        <v>47</v>
      </c>
      <c r="P2951" t="s">
        <v>47</v>
      </c>
      <c r="Y2951" t="s">
        <v>10732</v>
      </c>
      <c r="AG2951" t="s">
        <v>48</v>
      </c>
    </row>
    <row r="2952" spans="1:33">
      <c r="A2952" t="s">
        <v>10733</v>
      </c>
      <c r="B2952" t="s">
        <v>10734</v>
      </c>
      <c r="D2952" t="s">
        <v>40</v>
      </c>
      <c r="E2952" t="s">
        <v>41</v>
      </c>
      <c r="J2952" t="s">
        <v>108</v>
      </c>
      <c r="K2952" t="s">
        <v>109</v>
      </c>
      <c r="L2952">
        <v>5</v>
      </c>
      <c r="M2952" t="s">
        <v>10735</v>
      </c>
      <c r="N2952" t="s">
        <v>59</v>
      </c>
      <c r="O2952" t="s">
        <v>47</v>
      </c>
      <c r="P2952" t="s">
        <v>47</v>
      </c>
      <c r="Y2952" t="s">
        <v>10736</v>
      </c>
      <c r="AG2952" t="s">
        <v>48</v>
      </c>
    </row>
    <row r="2953" spans="1:33">
      <c r="A2953" t="s">
        <v>10737</v>
      </c>
      <c r="B2953" t="s">
        <v>10738</v>
      </c>
      <c r="D2953" t="s">
        <v>40</v>
      </c>
      <c r="E2953" t="s">
        <v>41</v>
      </c>
      <c r="J2953" t="s">
        <v>290</v>
      </c>
      <c r="K2953" t="s">
        <v>291</v>
      </c>
      <c r="L2953">
        <v>5</v>
      </c>
      <c r="M2953" t="s">
        <v>10735</v>
      </c>
      <c r="N2953" t="s">
        <v>59</v>
      </c>
      <c r="O2953" t="s">
        <v>47</v>
      </c>
      <c r="P2953" t="s">
        <v>47</v>
      </c>
      <c r="Y2953" t="s">
        <v>10739</v>
      </c>
      <c r="AG2953" t="s">
        <v>48</v>
      </c>
    </row>
    <row r="2954" spans="1:33">
      <c r="A2954" t="s">
        <v>10740</v>
      </c>
      <c r="B2954" t="s">
        <v>10741</v>
      </c>
      <c r="D2954" t="s">
        <v>40</v>
      </c>
      <c r="E2954" t="s">
        <v>41</v>
      </c>
      <c r="J2954" t="s">
        <v>270</v>
      </c>
      <c r="K2954" t="s">
        <v>271</v>
      </c>
      <c r="L2954">
        <v>5</v>
      </c>
      <c r="M2954" t="s">
        <v>10742</v>
      </c>
      <c r="N2954" t="s">
        <v>59</v>
      </c>
      <c r="O2954" t="s">
        <v>47</v>
      </c>
      <c r="P2954" t="s">
        <v>47</v>
      </c>
      <c r="Y2954" t="s">
        <v>10743</v>
      </c>
      <c r="AG2954" t="s">
        <v>48</v>
      </c>
    </row>
    <row r="2955" spans="1:33">
      <c r="A2955" t="s">
        <v>10744</v>
      </c>
      <c r="B2955" t="s">
        <v>10745</v>
      </c>
      <c r="D2955" t="s">
        <v>40</v>
      </c>
      <c r="E2955" t="s">
        <v>41</v>
      </c>
      <c r="J2955" t="s">
        <v>290</v>
      </c>
      <c r="K2955" t="s">
        <v>291</v>
      </c>
      <c r="L2955">
        <v>5</v>
      </c>
      <c r="M2955" t="s">
        <v>10742</v>
      </c>
      <c r="N2955" t="s">
        <v>59</v>
      </c>
      <c r="O2955" t="s">
        <v>47</v>
      </c>
      <c r="P2955" t="s">
        <v>47</v>
      </c>
      <c r="Y2955" t="s">
        <v>10746</v>
      </c>
      <c r="AG2955" t="s">
        <v>48</v>
      </c>
    </row>
    <row r="2956" spans="1:33">
      <c r="A2956" t="s">
        <v>10747</v>
      </c>
      <c r="B2956" t="s">
        <v>10748</v>
      </c>
      <c r="D2956" t="s">
        <v>40</v>
      </c>
      <c r="E2956" t="s">
        <v>41</v>
      </c>
      <c r="J2956" t="s">
        <v>43</v>
      </c>
      <c r="K2956" t="s">
        <v>44</v>
      </c>
      <c r="L2956">
        <v>5</v>
      </c>
      <c r="M2956" t="s">
        <v>10742</v>
      </c>
      <c r="N2956" t="s">
        <v>192</v>
      </c>
      <c r="O2956" t="s">
        <v>47</v>
      </c>
      <c r="P2956" t="s">
        <v>47</v>
      </c>
      <c r="Y2956" t="s">
        <v>10749</v>
      </c>
      <c r="AG2956" t="s">
        <v>48</v>
      </c>
    </row>
    <row r="2957" spans="1:33">
      <c r="A2957" t="s">
        <v>10750</v>
      </c>
      <c r="B2957" t="s">
        <v>10751</v>
      </c>
      <c r="D2957" t="s">
        <v>40</v>
      </c>
      <c r="E2957" t="s">
        <v>41</v>
      </c>
      <c r="J2957" t="s">
        <v>108</v>
      </c>
      <c r="K2957" t="s">
        <v>109</v>
      </c>
      <c r="L2957">
        <v>5</v>
      </c>
      <c r="M2957" t="s">
        <v>10742</v>
      </c>
      <c r="N2957" t="s">
        <v>59</v>
      </c>
      <c r="O2957" t="s">
        <v>47</v>
      </c>
      <c r="P2957" t="s">
        <v>47</v>
      </c>
      <c r="Y2957" t="s">
        <v>10752</v>
      </c>
      <c r="AG2957" t="s">
        <v>48</v>
      </c>
    </row>
    <row r="2958" spans="1:33">
      <c r="A2958" t="s">
        <v>10753</v>
      </c>
      <c r="B2958" t="s">
        <v>10754</v>
      </c>
      <c r="D2958" t="s">
        <v>40</v>
      </c>
      <c r="E2958" t="s">
        <v>41</v>
      </c>
      <c r="J2958" t="s">
        <v>290</v>
      </c>
      <c r="K2958" t="s">
        <v>291</v>
      </c>
      <c r="L2958">
        <v>5</v>
      </c>
      <c r="M2958" t="s">
        <v>10755</v>
      </c>
      <c r="N2958" t="s">
        <v>59</v>
      </c>
      <c r="O2958" t="s">
        <v>47</v>
      </c>
      <c r="P2958" t="s">
        <v>47</v>
      </c>
      <c r="Y2958" t="s">
        <v>10756</v>
      </c>
      <c r="AG2958" t="s">
        <v>48</v>
      </c>
    </row>
    <row r="2959" spans="1:33">
      <c r="A2959" t="s">
        <v>10757</v>
      </c>
      <c r="B2959" t="s">
        <v>10758</v>
      </c>
      <c r="D2959" t="s">
        <v>40</v>
      </c>
      <c r="E2959" t="s">
        <v>41</v>
      </c>
      <c r="J2959" t="s">
        <v>270</v>
      </c>
      <c r="K2959" t="s">
        <v>271</v>
      </c>
      <c r="L2959">
        <v>5</v>
      </c>
      <c r="M2959" t="s">
        <v>10759</v>
      </c>
      <c r="N2959" t="s">
        <v>59</v>
      </c>
      <c r="O2959" t="s">
        <v>47</v>
      </c>
      <c r="P2959" t="s">
        <v>47</v>
      </c>
      <c r="Y2959" t="s">
        <v>10760</v>
      </c>
      <c r="AG2959" t="s">
        <v>48</v>
      </c>
    </row>
    <row r="2960" spans="1:33">
      <c r="A2960" t="s">
        <v>10761</v>
      </c>
      <c r="B2960" t="s">
        <v>10762</v>
      </c>
      <c r="D2960" t="s">
        <v>40</v>
      </c>
      <c r="E2960" t="s">
        <v>41</v>
      </c>
      <c r="J2960" t="s">
        <v>108</v>
      </c>
      <c r="K2960" t="s">
        <v>109</v>
      </c>
      <c r="L2960">
        <v>5</v>
      </c>
      <c r="M2960" t="s">
        <v>10759</v>
      </c>
      <c r="N2960" t="s">
        <v>59</v>
      </c>
      <c r="O2960" t="s">
        <v>47</v>
      </c>
      <c r="P2960" t="s">
        <v>47</v>
      </c>
      <c r="Y2960" t="s">
        <v>10763</v>
      </c>
      <c r="AG2960" t="s">
        <v>48</v>
      </c>
    </row>
    <row r="2961" spans="1:33">
      <c r="A2961" t="s">
        <v>10764</v>
      </c>
      <c r="B2961" t="s">
        <v>10765</v>
      </c>
      <c r="D2961" t="s">
        <v>40</v>
      </c>
      <c r="E2961" t="s">
        <v>41</v>
      </c>
      <c r="J2961" t="s">
        <v>290</v>
      </c>
      <c r="K2961" t="s">
        <v>291</v>
      </c>
      <c r="L2961">
        <v>5</v>
      </c>
      <c r="M2961" t="s">
        <v>10759</v>
      </c>
      <c r="N2961" t="s">
        <v>59</v>
      </c>
      <c r="O2961" t="s">
        <v>47</v>
      </c>
      <c r="P2961" t="s">
        <v>47</v>
      </c>
      <c r="Y2961" t="s">
        <v>10766</v>
      </c>
      <c r="AG2961" t="s">
        <v>48</v>
      </c>
    </row>
    <row r="2962" spans="1:33">
      <c r="A2962" t="s">
        <v>10767</v>
      </c>
      <c r="B2962" t="s">
        <v>10768</v>
      </c>
      <c r="D2962" t="s">
        <v>40</v>
      </c>
      <c r="E2962" t="s">
        <v>41</v>
      </c>
      <c r="H2962" t="s">
        <v>10769</v>
      </c>
      <c r="J2962" t="s">
        <v>290</v>
      </c>
      <c r="K2962" t="s">
        <v>291</v>
      </c>
      <c r="L2962">
        <v>5</v>
      </c>
      <c r="M2962" t="s">
        <v>10770</v>
      </c>
      <c r="N2962" t="s">
        <v>59</v>
      </c>
      <c r="O2962" t="s">
        <v>47</v>
      </c>
      <c r="P2962" t="s">
        <v>47</v>
      </c>
      <c r="Y2962" t="s">
        <v>10769</v>
      </c>
      <c r="AG2962" t="s">
        <v>48</v>
      </c>
    </row>
    <row r="2963" spans="1:33">
      <c r="A2963" t="s">
        <v>10771</v>
      </c>
      <c r="B2963" t="s">
        <v>10772</v>
      </c>
      <c r="D2963" t="s">
        <v>40</v>
      </c>
      <c r="E2963" t="s">
        <v>41</v>
      </c>
      <c r="J2963" t="s">
        <v>215</v>
      </c>
      <c r="K2963" t="s">
        <v>216</v>
      </c>
      <c r="L2963">
        <v>5</v>
      </c>
      <c r="M2963" t="s">
        <v>10773</v>
      </c>
      <c r="N2963" t="s">
        <v>46</v>
      </c>
      <c r="O2963" t="s">
        <v>47</v>
      </c>
      <c r="P2963" t="s">
        <v>47</v>
      </c>
      <c r="Y2963" t="s">
        <v>10774</v>
      </c>
      <c r="AG2963" t="s">
        <v>48</v>
      </c>
    </row>
    <row r="2964" spans="1:33">
      <c r="A2964" t="s">
        <v>10775</v>
      </c>
      <c r="B2964" t="s">
        <v>10776</v>
      </c>
      <c r="D2964" t="s">
        <v>40</v>
      </c>
      <c r="E2964" t="s">
        <v>41</v>
      </c>
      <c r="J2964" t="s">
        <v>290</v>
      </c>
      <c r="K2964" t="s">
        <v>291</v>
      </c>
      <c r="L2964">
        <v>5</v>
      </c>
      <c r="M2964" t="s">
        <v>10777</v>
      </c>
      <c r="N2964" t="s">
        <v>59</v>
      </c>
      <c r="O2964" t="s">
        <v>47</v>
      </c>
      <c r="P2964" t="s">
        <v>47</v>
      </c>
      <c r="Y2964" t="s">
        <v>10778</v>
      </c>
      <c r="AG2964" t="s">
        <v>48</v>
      </c>
    </row>
    <row r="2965" spans="1:33">
      <c r="A2965" t="s">
        <v>10779</v>
      </c>
      <c r="B2965" t="s">
        <v>10780</v>
      </c>
      <c r="D2965" t="s">
        <v>40</v>
      </c>
      <c r="E2965" t="s">
        <v>41</v>
      </c>
      <c r="J2965" t="s">
        <v>162</v>
      </c>
      <c r="K2965" t="s">
        <v>163</v>
      </c>
      <c r="L2965">
        <v>5</v>
      </c>
      <c r="M2965" t="s">
        <v>10781</v>
      </c>
      <c r="N2965" t="s">
        <v>59</v>
      </c>
      <c r="O2965" t="s">
        <v>47</v>
      </c>
      <c r="P2965" t="s">
        <v>47</v>
      </c>
      <c r="Y2965" t="s">
        <v>10782</v>
      </c>
      <c r="AG2965" t="s">
        <v>48</v>
      </c>
    </row>
    <row r="2966" spans="1:33">
      <c r="A2966" t="s">
        <v>10783</v>
      </c>
      <c r="B2966" t="s">
        <v>10784</v>
      </c>
      <c r="D2966" t="s">
        <v>40</v>
      </c>
      <c r="E2966" t="s">
        <v>41</v>
      </c>
      <c r="J2966" t="s">
        <v>290</v>
      </c>
      <c r="K2966" t="s">
        <v>291</v>
      </c>
      <c r="L2966">
        <v>5</v>
      </c>
      <c r="M2966" t="s">
        <v>10785</v>
      </c>
      <c r="N2966" t="s">
        <v>59</v>
      </c>
      <c r="O2966" t="s">
        <v>47</v>
      </c>
      <c r="P2966" t="s">
        <v>47</v>
      </c>
      <c r="Y2966" t="s">
        <v>10786</v>
      </c>
      <c r="AG2966" t="s">
        <v>48</v>
      </c>
    </row>
    <row r="2967" spans="1:33">
      <c r="A2967" t="s">
        <v>10787</v>
      </c>
      <c r="B2967" t="s">
        <v>10788</v>
      </c>
      <c r="D2967" t="s">
        <v>40</v>
      </c>
      <c r="E2967" t="s">
        <v>41</v>
      </c>
      <c r="J2967" t="s">
        <v>290</v>
      </c>
      <c r="K2967" t="s">
        <v>291</v>
      </c>
      <c r="L2967">
        <v>5</v>
      </c>
      <c r="M2967" t="s">
        <v>10789</v>
      </c>
      <c r="N2967" t="s">
        <v>59</v>
      </c>
      <c r="O2967" t="s">
        <v>47</v>
      </c>
      <c r="P2967" t="s">
        <v>47</v>
      </c>
      <c r="Y2967" t="s">
        <v>10790</v>
      </c>
      <c r="AG2967" t="s">
        <v>48</v>
      </c>
    </row>
    <row r="2968" spans="1:33">
      <c r="A2968" t="s">
        <v>10791</v>
      </c>
      <c r="B2968" t="s">
        <v>10792</v>
      </c>
      <c r="D2968" t="s">
        <v>40</v>
      </c>
      <c r="E2968" t="s">
        <v>41</v>
      </c>
      <c r="J2968" t="s">
        <v>108</v>
      </c>
      <c r="K2968" t="s">
        <v>109</v>
      </c>
      <c r="L2968">
        <v>5</v>
      </c>
      <c r="M2968" t="s">
        <v>10789</v>
      </c>
      <c r="N2968" t="s">
        <v>59</v>
      </c>
      <c r="O2968" t="s">
        <v>47</v>
      </c>
      <c r="P2968" t="s">
        <v>47</v>
      </c>
      <c r="Y2968" t="s">
        <v>10793</v>
      </c>
      <c r="AG2968" t="s">
        <v>48</v>
      </c>
    </row>
    <row r="2969" spans="1:33">
      <c r="A2969" t="s">
        <v>10794</v>
      </c>
      <c r="B2969" t="s">
        <v>10795</v>
      </c>
      <c r="D2969" t="s">
        <v>40</v>
      </c>
      <c r="E2969" t="s">
        <v>41</v>
      </c>
      <c r="J2969" t="s">
        <v>108</v>
      </c>
      <c r="K2969" t="s">
        <v>109</v>
      </c>
      <c r="L2969">
        <v>5</v>
      </c>
      <c r="M2969" t="s">
        <v>10796</v>
      </c>
      <c r="N2969" t="s">
        <v>59</v>
      </c>
      <c r="O2969" t="s">
        <v>47</v>
      </c>
      <c r="P2969" t="s">
        <v>47</v>
      </c>
      <c r="Y2969" t="s">
        <v>10797</v>
      </c>
      <c r="AG2969" t="s">
        <v>48</v>
      </c>
    </row>
    <row r="2970" spans="1:33">
      <c r="A2970" t="s">
        <v>10798</v>
      </c>
      <c r="B2970" t="s">
        <v>10799</v>
      </c>
      <c r="D2970" t="s">
        <v>40</v>
      </c>
      <c r="E2970" t="s">
        <v>41</v>
      </c>
      <c r="J2970" t="s">
        <v>162</v>
      </c>
      <c r="K2970" t="s">
        <v>163</v>
      </c>
      <c r="L2970">
        <v>5</v>
      </c>
      <c r="M2970" t="s">
        <v>10796</v>
      </c>
      <c r="N2970" t="s">
        <v>59</v>
      </c>
      <c r="O2970" t="s">
        <v>47</v>
      </c>
      <c r="P2970" t="s">
        <v>47</v>
      </c>
      <c r="Y2970" t="s">
        <v>10800</v>
      </c>
      <c r="AG2970" t="s">
        <v>48</v>
      </c>
    </row>
    <row r="2971" spans="1:33">
      <c r="A2971" t="s">
        <v>10801</v>
      </c>
      <c r="B2971" t="s">
        <v>10802</v>
      </c>
      <c r="D2971" t="s">
        <v>40</v>
      </c>
      <c r="E2971" t="s">
        <v>41</v>
      </c>
      <c r="J2971" t="s">
        <v>290</v>
      </c>
      <c r="K2971" t="s">
        <v>291</v>
      </c>
      <c r="L2971">
        <v>5</v>
      </c>
      <c r="M2971" t="s">
        <v>10803</v>
      </c>
      <c r="N2971" t="s">
        <v>59</v>
      </c>
      <c r="O2971" t="s">
        <v>47</v>
      </c>
      <c r="P2971" t="s">
        <v>47</v>
      </c>
      <c r="Y2971" t="s">
        <v>10804</v>
      </c>
      <c r="AG2971" t="s">
        <v>48</v>
      </c>
    </row>
    <row r="2972" spans="1:33">
      <c r="A2972" t="s">
        <v>117</v>
      </c>
      <c r="B2972" t="s">
        <v>10805</v>
      </c>
      <c r="D2972" t="s">
        <v>40</v>
      </c>
      <c r="E2972" t="s">
        <v>41</v>
      </c>
      <c r="J2972" t="s">
        <v>290</v>
      </c>
      <c r="K2972" t="s">
        <v>291</v>
      </c>
      <c r="L2972">
        <v>5</v>
      </c>
      <c r="M2972" t="s">
        <v>10806</v>
      </c>
      <c r="N2972" t="s">
        <v>59</v>
      </c>
      <c r="O2972" t="s">
        <v>47</v>
      </c>
      <c r="P2972" t="s">
        <v>47</v>
      </c>
      <c r="Y2972" t="s">
        <v>10807</v>
      </c>
      <c r="AG2972" t="s">
        <v>48</v>
      </c>
    </row>
    <row r="2973" spans="1:33">
      <c r="A2973" t="s">
        <v>10808</v>
      </c>
      <c r="B2973" t="s">
        <v>10809</v>
      </c>
      <c r="D2973" t="s">
        <v>40</v>
      </c>
      <c r="E2973" t="s">
        <v>41</v>
      </c>
      <c r="J2973" t="s">
        <v>290</v>
      </c>
      <c r="K2973" t="s">
        <v>291</v>
      </c>
      <c r="L2973">
        <v>5</v>
      </c>
      <c r="M2973" t="s">
        <v>10810</v>
      </c>
      <c r="N2973" t="s">
        <v>59</v>
      </c>
      <c r="O2973" t="s">
        <v>47</v>
      </c>
      <c r="P2973" t="s">
        <v>47</v>
      </c>
      <c r="Y2973" t="s">
        <v>10811</v>
      </c>
      <c r="AG2973" t="s">
        <v>48</v>
      </c>
    </row>
    <row r="2974" spans="1:33">
      <c r="A2974" t="s">
        <v>10812</v>
      </c>
      <c r="B2974" t="s">
        <v>10813</v>
      </c>
      <c r="D2974" t="s">
        <v>40</v>
      </c>
      <c r="E2974" t="s">
        <v>41</v>
      </c>
      <c r="J2974" t="s">
        <v>162</v>
      </c>
      <c r="K2974" t="s">
        <v>163</v>
      </c>
      <c r="L2974">
        <v>5</v>
      </c>
      <c r="M2974" t="s">
        <v>10810</v>
      </c>
      <c r="N2974" t="s">
        <v>59</v>
      </c>
      <c r="O2974" t="s">
        <v>47</v>
      </c>
      <c r="P2974" t="s">
        <v>47</v>
      </c>
      <c r="Y2974" t="s">
        <v>10814</v>
      </c>
      <c r="AG2974" t="s">
        <v>48</v>
      </c>
    </row>
    <row r="2975" spans="1:33">
      <c r="A2975" t="s">
        <v>10815</v>
      </c>
      <c r="B2975" t="s">
        <v>10816</v>
      </c>
      <c r="D2975" t="s">
        <v>40</v>
      </c>
      <c r="E2975" t="s">
        <v>41</v>
      </c>
      <c r="J2975" t="s">
        <v>129</v>
      </c>
      <c r="K2975" t="s">
        <v>130</v>
      </c>
      <c r="L2975">
        <v>5</v>
      </c>
      <c r="M2975" t="s">
        <v>10817</v>
      </c>
      <c r="N2975" t="s">
        <v>192</v>
      </c>
      <c r="O2975" t="s">
        <v>47</v>
      </c>
      <c r="P2975" t="s">
        <v>47</v>
      </c>
      <c r="Y2975" t="s">
        <v>10818</v>
      </c>
      <c r="AG2975" t="s">
        <v>48</v>
      </c>
    </row>
    <row r="2976" spans="1:33">
      <c r="A2976" t="s">
        <v>10819</v>
      </c>
      <c r="B2976" t="s">
        <v>10820</v>
      </c>
      <c r="D2976" t="s">
        <v>40</v>
      </c>
      <c r="E2976" t="s">
        <v>41</v>
      </c>
      <c r="H2976" t="s">
        <v>10821</v>
      </c>
      <c r="J2976" t="s">
        <v>162</v>
      </c>
      <c r="K2976" t="s">
        <v>163</v>
      </c>
      <c r="L2976">
        <v>5</v>
      </c>
      <c r="M2976" t="s">
        <v>10822</v>
      </c>
      <c r="N2976" t="s">
        <v>59</v>
      </c>
      <c r="O2976" t="s">
        <v>47</v>
      </c>
      <c r="P2976" t="s">
        <v>47</v>
      </c>
      <c r="Y2976" t="s">
        <v>10821</v>
      </c>
      <c r="AG2976" t="s">
        <v>48</v>
      </c>
    </row>
    <row r="2977" spans="1:33">
      <c r="A2977" t="s">
        <v>10823</v>
      </c>
      <c r="B2977" t="s">
        <v>10824</v>
      </c>
      <c r="D2977" t="s">
        <v>40</v>
      </c>
      <c r="E2977" t="s">
        <v>41</v>
      </c>
      <c r="J2977" t="s">
        <v>129</v>
      </c>
      <c r="K2977" t="s">
        <v>130</v>
      </c>
      <c r="L2977">
        <v>5</v>
      </c>
      <c r="M2977" t="s">
        <v>10825</v>
      </c>
      <c r="N2977" t="s">
        <v>218</v>
      </c>
      <c r="O2977" t="s">
        <v>47</v>
      </c>
      <c r="P2977" t="s">
        <v>47</v>
      </c>
      <c r="Y2977" t="s">
        <v>10826</v>
      </c>
      <c r="AG2977" t="s">
        <v>48</v>
      </c>
    </row>
    <row r="2978" spans="1:33">
      <c r="A2978" t="s">
        <v>10827</v>
      </c>
      <c r="B2978" t="s">
        <v>10828</v>
      </c>
      <c r="D2978" t="s">
        <v>40</v>
      </c>
      <c r="E2978" t="s">
        <v>41</v>
      </c>
      <c r="J2978" t="s">
        <v>290</v>
      </c>
      <c r="K2978" t="s">
        <v>291</v>
      </c>
      <c r="L2978">
        <v>5</v>
      </c>
      <c r="M2978" t="s">
        <v>10829</v>
      </c>
      <c r="N2978" t="s">
        <v>59</v>
      </c>
      <c r="O2978" t="s">
        <v>47</v>
      </c>
      <c r="P2978" t="s">
        <v>47</v>
      </c>
      <c r="Y2978" t="s">
        <v>10830</v>
      </c>
      <c r="AG2978" t="s">
        <v>48</v>
      </c>
    </row>
    <row r="2979" spans="1:33">
      <c r="A2979" t="s">
        <v>10831</v>
      </c>
      <c r="B2979" t="s">
        <v>10832</v>
      </c>
      <c r="D2979" t="s">
        <v>40</v>
      </c>
      <c r="E2979" t="s">
        <v>41</v>
      </c>
      <c r="J2979" t="s">
        <v>215</v>
      </c>
      <c r="K2979" t="s">
        <v>216</v>
      </c>
      <c r="L2979">
        <v>5</v>
      </c>
      <c r="M2979" t="s">
        <v>10833</v>
      </c>
      <c r="N2979" t="s">
        <v>46</v>
      </c>
      <c r="O2979" t="s">
        <v>47</v>
      </c>
      <c r="P2979" t="s">
        <v>47</v>
      </c>
      <c r="Y2979" t="s">
        <v>10834</v>
      </c>
      <c r="AG2979" t="s">
        <v>48</v>
      </c>
    </row>
    <row r="2980" spans="1:33">
      <c r="A2980" t="s">
        <v>10835</v>
      </c>
      <c r="B2980" t="s">
        <v>10836</v>
      </c>
      <c r="D2980" t="s">
        <v>40</v>
      </c>
      <c r="E2980" t="s">
        <v>41</v>
      </c>
      <c r="J2980" t="s">
        <v>290</v>
      </c>
      <c r="K2980" t="s">
        <v>291</v>
      </c>
      <c r="L2980">
        <v>5</v>
      </c>
      <c r="M2980" t="s">
        <v>10837</v>
      </c>
      <c r="N2980" t="s">
        <v>59</v>
      </c>
      <c r="O2980" t="s">
        <v>47</v>
      </c>
      <c r="P2980" t="s">
        <v>47</v>
      </c>
      <c r="Y2980" t="s">
        <v>10838</v>
      </c>
      <c r="AG2980" t="s">
        <v>48</v>
      </c>
    </row>
    <row r="2981" spans="1:33">
      <c r="A2981" t="s">
        <v>10839</v>
      </c>
      <c r="B2981" t="s">
        <v>10840</v>
      </c>
      <c r="D2981" t="s">
        <v>40</v>
      </c>
      <c r="E2981" t="s">
        <v>41</v>
      </c>
      <c r="J2981" t="s">
        <v>43</v>
      </c>
      <c r="K2981" t="s">
        <v>44</v>
      </c>
      <c r="L2981">
        <v>5</v>
      </c>
      <c r="M2981" t="s">
        <v>10841</v>
      </c>
      <c r="N2981" t="s">
        <v>192</v>
      </c>
      <c r="O2981" t="s">
        <v>47</v>
      </c>
      <c r="P2981" t="s">
        <v>47</v>
      </c>
      <c r="Y2981" t="s">
        <v>10842</v>
      </c>
      <c r="AG2981" t="s">
        <v>48</v>
      </c>
    </row>
    <row r="2982" spans="1:33">
      <c r="A2982" t="s">
        <v>10843</v>
      </c>
      <c r="B2982" t="s">
        <v>10844</v>
      </c>
      <c r="D2982" t="s">
        <v>40</v>
      </c>
      <c r="E2982" t="s">
        <v>41</v>
      </c>
      <c r="J2982" t="s">
        <v>2439</v>
      </c>
      <c r="K2982" t="s">
        <v>2440</v>
      </c>
      <c r="L2982">
        <v>5</v>
      </c>
      <c r="M2982" t="s">
        <v>10841</v>
      </c>
      <c r="N2982" t="s">
        <v>59</v>
      </c>
      <c r="O2982" t="s">
        <v>47</v>
      </c>
      <c r="P2982" t="s">
        <v>47</v>
      </c>
      <c r="Y2982" t="s">
        <v>10845</v>
      </c>
      <c r="AG2982" t="s">
        <v>48</v>
      </c>
    </row>
    <row r="2983" spans="1:33">
      <c r="A2983" t="s">
        <v>10846</v>
      </c>
      <c r="B2983" t="s">
        <v>10847</v>
      </c>
      <c r="D2983" t="s">
        <v>40</v>
      </c>
      <c r="E2983" t="s">
        <v>41</v>
      </c>
      <c r="J2983" t="s">
        <v>108</v>
      </c>
      <c r="K2983" t="s">
        <v>109</v>
      </c>
      <c r="L2983">
        <v>5</v>
      </c>
      <c r="M2983" t="s">
        <v>10848</v>
      </c>
      <c r="N2983" t="s">
        <v>59</v>
      </c>
      <c r="O2983" t="s">
        <v>47</v>
      </c>
      <c r="P2983" t="s">
        <v>47</v>
      </c>
      <c r="Y2983" t="s">
        <v>10849</v>
      </c>
      <c r="AG2983" t="s">
        <v>48</v>
      </c>
    </row>
    <row r="2984" spans="1:33">
      <c r="A2984" t="s">
        <v>10850</v>
      </c>
      <c r="B2984" t="s">
        <v>10851</v>
      </c>
      <c r="D2984" t="s">
        <v>40</v>
      </c>
      <c r="E2984" t="s">
        <v>41</v>
      </c>
      <c r="J2984" t="s">
        <v>162</v>
      </c>
      <c r="K2984" t="s">
        <v>163</v>
      </c>
      <c r="L2984">
        <v>5</v>
      </c>
      <c r="M2984" t="s">
        <v>10852</v>
      </c>
      <c r="N2984" t="s">
        <v>59</v>
      </c>
      <c r="O2984" t="s">
        <v>47</v>
      </c>
      <c r="P2984" t="s">
        <v>47</v>
      </c>
      <c r="Y2984" t="s">
        <v>10853</v>
      </c>
      <c r="AG2984" t="s">
        <v>48</v>
      </c>
    </row>
    <row r="2985" spans="1:33">
      <c r="A2985" t="s">
        <v>10854</v>
      </c>
      <c r="B2985" t="s">
        <v>10855</v>
      </c>
      <c r="D2985" t="s">
        <v>40</v>
      </c>
      <c r="E2985" t="s">
        <v>41</v>
      </c>
      <c r="J2985" t="s">
        <v>108</v>
      </c>
      <c r="K2985" t="s">
        <v>109</v>
      </c>
      <c r="L2985">
        <v>5</v>
      </c>
      <c r="M2985" t="s">
        <v>10856</v>
      </c>
      <c r="N2985" t="s">
        <v>59</v>
      </c>
      <c r="O2985" t="s">
        <v>47</v>
      </c>
      <c r="P2985" t="s">
        <v>47</v>
      </c>
      <c r="Y2985" t="s">
        <v>10857</v>
      </c>
      <c r="AG2985" t="s">
        <v>48</v>
      </c>
    </row>
    <row r="2986" spans="1:33">
      <c r="A2986" t="s">
        <v>10858</v>
      </c>
      <c r="B2986" t="s">
        <v>10859</v>
      </c>
      <c r="D2986" t="s">
        <v>40</v>
      </c>
      <c r="E2986" t="s">
        <v>41</v>
      </c>
      <c r="J2986" t="s">
        <v>290</v>
      </c>
      <c r="K2986" t="s">
        <v>291</v>
      </c>
      <c r="L2986">
        <v>5</v>
      </c>
      <c r="M2986" t="s">
        <v>10856</v>
      </c>
      <c r="N2986" t="s">
        <v>59</v>
      </c>
      <c r="O2986" t="s">
        <v>47</v>
      </c>
      <c r="P2986" t="s">
        <v>47</v>
      </c>
      <c r="Y2986" t="s">
        <v>10860</v>
      </c>
      <c r="AG2986" t="s">
        <v>48</v>
      </c>
    </row>
    <row r="2987" spans="1:33">
      <c r="A2987" t="s">
        <v>10861</v>
      </c>
      <c r="B2987" t="s">
        <v>10862</v>
      </c>
      <c r="D2987" t="s">
        <v>40</v>
      </c>
      <c r="E2987" t="s">
        <v>41</v>
      </c>
      <c r="H2987" t="s">
        <v>10863</v>
      </c>
      <c r="J2987" t="s">
        <v>129</v>
      </c>
      <c r="K2987" t="s">
        <v>130</v>
      </c>
      <c r="L2987">
        <v>5</v>
      </c>
      <c r="M2987" t="s">
        <v>10864</v>
      </c>
      <c r="N2987" t="s">
        <v>192</v>
      </c>
      <c r="O2987" t="s">
        <v>47</v>
      </c>
      <c r="P2987" t="s">
        <v>47</v>
      </c>
      <c r="Y2987" t="s">
        <v>10863</v>
      </c>
      <c r="AG2987" t="s">
        <v>48</v>
      </c>
    </row>
    <row r="2988" spans="1:33">
      <c r="A2988" t="s">
        <v>10865</v>
      </c>
      <c r="B2988" t="s">
        <v>10866</v>
      </c>
      <c r="D2988" t="s">
        <v>40</v>
      </c>
      <c r="E2988" t="s">
        <v>41</v>
      </c>
      <c r="J2988" t="s">
        <v>290</v>
      </c>
      <c r="K2988" t="s">
        <v>291</v>
      </c>
      <c r="L2988">
        <v>5</v>
      </c>
      <c r="M2988" t="s">
        <v>10867</v>
      </c>
      <c r="N2988" t="s">
        <v>59</v>
      </c>
      <c r="O2988" t="s">
        <v>47</v>
      </c>
      <c r="P2988" t="s">
        <v>47</v>
      </c>
      <c r="Y2988" t="s">
        <v>10868</v>
      </c>
      <c r="AG2988" t="s">
        <v>48</v>
      </c>
    </row>
    <row r="2989" spans="1:33">
      <c r="A2989" t="s">
        <v>10869</v>
      </c>
      <c r="B2989" t="s">
        <v>10870</v>
      </c>
      <c r="D2989" t="s">
        <v>40</v>
      </c>
      <c r="E2989" t="s">
        <v>41</v>
      </c>
      <c r="J2989" t="s">
        <v>290</v>
      </c>
      <c r="K2989" t="s">
        <v>291</v>
      </c>
      <c r="L2989">
        <v>5</v>
      </c>
      <c r="M2989" t="s">
        <v>10871</v>
      </c>
      <c r="N2989" t="s">
        <v>59</v>
      </c>
      <c r="O2989" t="s">
        <v>47</v>
      </c>
      <c r="P2989" t="s">
        <v>47</v>
      </c>
      <c r="Y2989" t="s">
        <v>10872</v>
      </c>
      <c r="AG2989" t="s">
        <v>48</v>
      </c>
    </row>
    <row r="2990" spans="1:33">
      <c r="A2990" t="s">
        <v>10873</v>
      </c>
      <c r="B2990" t="s">
        <v>10874</v>
      </c>
      <c r="D2990" t="s">
        <v>40</v>
      </c>
      <c r="E2990" t="s">
        <v>41</v>
      </c>
      <c r="J2990" t="s">
        <v>290</v>
      </c>
      <c r="K2990" t="s">
        <v>291</v>
      </c>
      <c r="L2990">
        <v>5</v>
      </c>
      <c r="M2990" t="s">
        <v>10871</v>
      </c>
      <c r="N2990" t="s">
        <v>59</v>
      </c>
      <c r="O2990" t="s">
        <v>47</v>
      </c>
      <c r="P2990" t="s">
        <v>47</v>
      </c>
      <c r="Y2990" t="s">
        <v>10875</v>
      </c>
      <c r="AG2990" t="s">
        <v>48</v>
      </c>
    </row>
    <row r="2991" spans="1:33">
      <c r="A2991" t="s">
        <v>10876</v>
      </c>
      <c r="B2991" t="s">
        <v>10877</v>
      </c>
      <c r="D2991" t="s">
        <v>40</v>
      </c>
      <c r="E2991" t="s">
        <v>41</v>
      </c>
      <c r="J2991" t="s">
        <v>290</v>
      </c>
      <c r="K2991" t="s">
        <v>291</v>
      </c>
      <c r="L2991">
        <v>5</v>
      </c>
      <c r="M2991" t="s">
        <v>10871</v>
      </c>
      <c r="N2991" t="s">
        <v>59</v>
      </c>
      <c r="O2991" t="s">
        <v>47</v>
      </c>
      <c r="P2991" t="s">
        <v>47</v>
      </c>
      <c r="Y2991" t="s">
        <v>10878</v>
      </c>
      <c r="AG2991" t="s">
        <v>48</v>
      </c>
    </row>
    <row r="2992" spans="1:33">
      <c r="A2992" t="s">
        <v>10879</v>
      </c>
      <c r="B2992" t="s">
        <v>10880</v>
      </c>
      <c r="D2992" t="s">
        <v>40</v>
      </c>
      <c r="E2992" t="s">
        <v>41</v>
      </c>
      <c r="H2992" t="s">
        <v>10881</v>
      </c>
      <c r="J2992" t="s">
        <v>215</v>
      </c>
      <c r="K2992" t="s">
        <v>216</v>
      </c>
      <c r="L2992">
        <v>5</v>
      </c>
      <c r="M2992" t="s">
        <v>10882</v>
      </c>
      <c r="N2992" t="s">
        <v>46</v>
      </c>
      <c r="O2992" t="s">
        <v>47</v>
      </c>
      <c r="P2992" t="s">
        <v>47</v>
      </c>
      <c r="Y2992" t="s">
        <v>10881</v>
      </c>
      <c r="AG2992" t="s">
        <v>48</v>
      </c>
    </row>
    <row r="2993" spans="1:33">
      <c r="A2993" t="s">
        <v>10883</v>
      </c>
      <c r="B2993" t="s">
        <v>10884</v>
      </c>
      <c r="D2993" t="s">
        <v>40</v>
      </c>
      <c r="E2993" t="s">
        <v>41</v>
      </c>
      <c r="J2993" t="s">
        <v>290</v>
      </c>
      <c r="K2993" t="s">
        <v>291</v>
      </c>
      <c r="L2993">
        <v>5</v>
      </c>
      <c r="M2993" t="s">
        <v>10885</v>
      </c>
      <c r="N2993" t="s">
        <v>59</v>
      </c>
      <c r="O2993" t="s">
        <v>47</v>
      </c>
      <c r="P2993" t="s">
        <v>47</v>
      </c>
      <c r="Y2993" t="s">
        <v>10886</v>
      </c>
      <c r="AG2993" t="s">
        <v>48</v>
      </c>
    </row>
    <row r="2994" spans="1:33">
      <c r="A2994" t="s">
        <v>10887</v>
      </c>
      <c r="B2994" t="s">
        <v>10888</v>
      </c>
      <c r="D2994" t="s">
        <v>40</v>
      </c>
      <c r="E2994" t="s">
        <v>41</v>
      </c>
      <c r="J2994" t="s">
        <v>129</v>
      </c>
      <c r="K2994" t="s">
        <v>130</v>
      </c>
      <c r="L2994">
        <v>5</v>
      </c>
      <c r="M2994" t="s">
        <v>10885</v>
      </c>
      <c r="N2994" t="s">
        <v>218</v>
      </c>
      <c r="O2994" t="s">
        <v>47</v>
      </c>
      <c r="P2994" t="s">
        <v>47</v>
      </c>
      <c r="Y2994" t="s">
        <v>10889</v>
      </c>
      <c r="AG2994" t="s">
        <v>48</v>
      </c>
    </row>
    <row r="2995" spans="1:33">
      <c r="A2995" t="s">
        <v>10890</v>
      </c>
      <c r="B2995" t="s">
        <v>10891</v>
      </c>
      <c r="D2995" t="s">
        <v>40</v>
      </c>
      <c r="E2995" t="s">
        <v>41</v>
      </c>
      <c r="J2995" t="s">
        <v>290</v>
      </c>
      <c r="K2995" t="s">
        <v>291</v>
      </c>
      <c r="L2995">
        <v>5</v>
      </c>
      <c r="M2995" t="s">
        <v>10885</v>
      </c>
      <c r="N2995" t="s">
        <v>59</v>
      </c>
      <c r="O2995" t="s">
        <v>47</v>
      </c>
      <c r="P2995" t="s">
        <v>47</v>
      </c>
      <c r="Y2995" t="s">
        <v>10892</v>
      </c>
      <c r="AG2995" t="s">
        <v>48</v>
      </c>
    </row>
    <row r="2996" spans="1:33">
      <c r="A2996" t="s">
        <v>10893</v>
      </c>
      <c r="B2996" t="s">
        <v>10894</v>
      </c>
      <c r="D2996" t="s">
        <v>40</v>
      </c>
      <c r="E2996" t="s">
        <v>41</v>
      </c>
      <c r="J2996" t="s">
        <v>43</v>
      </c>
      <c r="K2996" t="s">
        <v>44</v>
      </c>
      <c r="L2996">
        <v>5</v>
      </c>
      <c r="M2996" t="s">
        <v>10885</v>
      </c>
      <c r="N2996" t="s">
        <v>192</v>
      </c>
      <c r="O2996" t="s">
        <v>47</v>
      </c>
      <c r="P2996" t="s">
        <v>47</v>
      </c>
      <c r="Y2996" t="s">
        <v>10895</v>
      </c>
      <c r="AG2996" t="s">
        <v>48</v>
      </c>
    </row>
    <row r="2997" spans="1:33">
      <c r="A2997" t="s">
        <v>10896</v>
      </c>
      <c r="B2997" t="s">
        <v>10897</v>
      </c>
      <c r="D2997" t="s">
        <v>40</v>
      </c>
      <c r="E2997" t="s">
        <v>41</v>
      </c>
      <c r="J2997" t="s">
        <v>129</v>
      </c>
      <c r="K2997" t="s">
        <v>130</v>
      </c>
      <c r="L2997">
        <v>5</v>
      </c>
      <c r="M2997" t="s">
        <v>10898</v>
      </c>
      <c r="N2997" t="s">
        <v>46</v>
      </c>
      <c r="O2997" t="s">
        <v>47</v>
      </c>
      <c r="P2997" t="s">
        <v>47</v>
      </c>
      <c r="Y2997" t="s">
        <v>10899</v>
      </c>
      <c r="AG2997" t="s">
        <v>48</v>
      </c>
    </row>
    <row r="2998" spans="1:33">
      <c r="A2998" t="s">
        <v>10900</v>
      </c>
      <c r="B2998" t="s">
        <v>10901</v>
      </c>
      <c r="D2998" t="s">
        <v>40</v>
      </c>
      <c r="E2998" t="s">
        <v>41</v>
      </c>
      <c r="J2998" t="s">
        <v>108</v>
      </c>
      <c r="K2998" t="s">
        <v>109</v>
      </c>
      <c r="L2998">
        <v>5</v>
      </c>
      <c r="M2998" t="s">
        <v>10898</v>
      </c>
      <c r="N2998" t="s">
        <v>59</v>
      </c>
      <c r="O2998" t="s">
        <v>47</v>
      </c>
      <c r="P2998" t="s">
        <v>47</v>
      </c>
      <c r="Y2998" t="s">
        <v>10902</v>
      </c>
      <c r="AG2998" t="s">
        <v>48</v>
      </c>
    </row>
    <row r="2999" spans="1:33">
      <c r="A2999" t="s">
        <v>10903</v>
      </c>
      <c r="B2999" t="s">
        <v>10904</v>
      </c>
      <c r="D2999" t="s">
        <v>40</v>
      </c>
      <c r="E2999" t="s">
        <v>41</v>
      </c>
      <c r="J2999" t="s">
        <v>162</v>
      </c>
      <c r="K2999" t="s">
        <v>163</v>
      </c>
      <c r="L2999">
        <v>5</v>
      </c>
      <c r="M2999" t="s">
        <v>10905</v>
      </c>
      <c r="N2999" t="s">
        <v>59</v>
      </c>
      <c r="O2999" t="s">
        <v>47</v>
      </c>
      <c r="P2999" t="s">
        <v>47</v>
      </c>
      <c r="Y2999" t="s">
        <v>10906</v>
      </c>
      <c r="AG2999" t="s">
        <v>48</v>
      </c>
    </row>
    <row r="3000" spans="1:33">
      <c r="A3000" t="s">
        <v>10907</v>
      </c>
      <c r="B3000" t="s">
        <v>10908</v>
      </c>
      <c r="D3000" t="s">
        <v>40</v>
      </c>
      <c r="E3000" t="s">
        <v>41</v>
      </c>
      <c r="H3000" t="s">
        <v>10909</v>
      </c>
      <c r="J3000" t="s">
        <v>123</v>
      </c>
      <c r="K3000" t="s">
        <v>124</v>
      </c>
      <c r="L3000">
        <v>6</v>
      </c>
      <c r="M3000" t="s">
        <v>10910</v>
      </c>
      <c r="N3000" t="s">
        <v>46</v>
      </c>
      <c r="O3000" t="s">
        <v>47</v>
      </c>
      <c r="P3000" t="s">
        <v>47</v>
      </c>
      <c r="Y3000" t="s">
        <v>10909</v>
      </c>
      <c r="AG3000" t="s">
        <v>48</v>
      </c>
    </row>
    <row r="3001" spans="1:33">
      <c r="A3001" t="s">
        <v>10911</v>
      </c>
      <c r="B3001" t="s">
        <v>10912</v>
      </c>
      <c r="D3001" t="s">
        <v>40</v>
      </c>
      <c r="E3001" t="s">
        <v>41</v>
      </c>
      <c r="J3001" t="s">
        <v>108</v>
      </c>
      <c r="K3001" t="s">
        <v>109</v>
      </c>
      <c r="L3001">
        <v>5</v>
      </c>
      <c r="M3001" t="s">
        <v>10913</v>
      </c>
      <c r="N3001" t="s">
        <v>59</v>
      </c>
      <c r="O3001" t="s">
        <v>47</v>
      </c>
      <c r="P3001" t="s">
        <v>47</v>
      </c>
      <c r="Y3001" t="s">
        <v>10914</v>
      </c>
      <c r="AG3001" t="s">
        <v>48</v>
      </c>
    </row>
    <row r="3002" spans="1:33">
      <c r="A3002" t="s">
        <v>10915</v>
      </c>
      <c r="B3002" t="s">
        <v>10916</v>
      </c>
      <c r="D3002" t="s">
        <v>40</v>
      </c>
      <c r="E3002" t="s">
        <v>41</v>
      </c>
      <c r="J3002" t="s">
        <v>290</v>
      </c>
      <c r="K3002" t="s">
        <v>291</v>
      </c>
      <c r="L3002">
        <v>5</v>
      </c>
      <c r="M3002" t="s">
        <v>10917</v>
      </c>
      <c r="N3002" t="s">
        <v>59</v>
      </c>
      <c r="O3002" t="s">
        <v>47</v>
      </c>
      <c r="P3002" t="s">
        <v>47</v>
      </c>
      <c r="Y3002" t="s">
        <v>10918</v>
      </c>
      <c r="AG3002" t="s">
        <v>48</v>
      </c>
    </row>
    <row r="3003" spans="1:33">
      <c r="A3003" t="s">
        <v>10919</v>
      </c>
      <c r="B3003" t="s">
        <v>10920</v>
      </c>
      <c r="D3003" t="s">
        <v>40</v>
      </c>
      <c r="E3003" t="s">
        <v>41</v>
      </c>
      <c r="J3003" t="s">
        <v>290</v>
      </c>
      <c r="K3003" t="s">
        <v>291</v>
      </c>
      <c r="L3003">
        <v>5</v>
      </c>
      <c r="M3003" t="s">
        <v>10917</v>
      </c>
      <c r="N3003" t="s">
        <v>59</v>
      </c>
      <c r="O3003" t="s">
        <v>47</v>
      </c>
      <c r="P3003" t="s">
        <v>47</v>
      </c>
      <c r="Y3003" t="s">
        <v>10921</v>
      </c>
      <c r="AG3003" t="s">
        <v>48</v>
      </c>
    </row>
    <row r="3004" spans="1:33">
      <c r="A3004" t="s">
        <v>10922</v>
      </c>
      <c r="B3004" t="s">
        <v>10923</v>
      </c>
      <c r="D3004" t="s">
        <v>40</v>
      </c>
      <c r="E3004" t="s">
        <v>41</v>
      </c>
      <c r="J3004" t="s">
        <v>270</v>
      </c>
      <c r="K3004" t="s">
        <v>271</v>
      </c>
      <c r="L3004">
        <v>5</v>
      </c>
      <c r="M3004" t="s">
        <v>10917</v>
      </c>
      <c r="N3004" t="s">
        <v>59</v>
      </c>
      <c r="O3004" t="s">
        <v>47</v>
      </c>
      <c r="P3004" t="s">
        <v>47</v>
      </c>
      <c r="Y3004" t="s">
        <v>10924</v>
      </c>
      <c r="AG3004" t="s">
        <v>48</v>
      </c>
    </row>
    <row r="3005" spans="1:33">
      <c r="A3005" t="s">
        <v>10925</v>
      </c>
      <c r="B3005" t="s">
        <v>10926</v>
      </c>
      <c r="D3005" t="s">
        <v>40</v>
      </c>
      <c r="E3005" t="s">
        <v>41</v>
      </c>
      <c r="J3005" t="s">
        <v>290</v>
      </c>
      <c r="K3005" t="s">
        <v>291</v>
      </c>
      <c r="L3005">
        <v>5</v>
      </c>
      <c r="M3005" t="s">
        <v>10927</v>
      </c>
      <c r="N3005" t="s">
        <v>59</v>
      </c>
      <c r="O3005" t="s">
        <v>47</v>
      </c>
      <c r="P3005" t="s">
        <v>47</v>
      </c>
      <c r="Y3005" t="s">
        <v>10928</v>
      </c>
      <c r="AG3005" t="s">
        <v>48</v>
      </c>
    </row>
    <row r="3006" spans="1:33">
      <c r="A3006" t="s">
        <v>10929</v>
      </c>
      <c r="B3006" t="s">
        <v>10930</v>
      </c>
      <c r="D3006" t="s">
        <v>40</v>
      </c>
      <c r="E3006" t="s">
        <v>41</v>
      </c>
      <c r="J3006" t="s">
        <v>43</v>
      </c>
      <c r="K3006" t="s">
        <v>44</v>
      </c>
      <c r="L3006">
        <v>5</v>
      </c>
      <c r="M3006" t="s">
        <v>10927</v>
      </c>
      <c r="N3006" t="s">
        <v>192</v>
      </c>
      <c r="O3006" t="s">
        <v>47</v>
      </c>
      <c r="P3006" t="s">
        <v>47</v>
      </c>
      <c r="Y3006" t="s">
        <v>10931</v>
      </c>
      <c r="AG3006" t="s">
        <v>48</v>
      </c>
    </row>
    <row r="3007" spans="1:33">
      <c r="A3007" t="s">
        <v>117</v>
      </c>
      <c r="B3007" t="s">
        <v>10932</v>
      </c>
      <c r="D3007" t="s">
        <v>40</v>
      </c>
      <c r="E3007" t="s">
        <v>41</v>
      </c>
      <c r="J3007" t="s">
        <v>114</v>
      </c>
      <c r="K3007" t="s">
        <v>115</v>
      </c>
      <c r="L3007">
        <v>5</v>
      </c>
      <c r="M3007" t="s">
        <v>10933</v>
      </c>
      <c r="N3007" t="s">
        <v>59</v>
      </c>
      <c r="O3007" t="s">
        <v>47</v>
      </c>
      <c r="P3007" t="s">
        <v>47</v>
      </c>
      <c r="Y3007" t="s">
        <v>10934</v>
      </c>
      <c r="AG3007" t="s">
        <v>48</v>
      </c>
    </row>
    <row r="3008" spans="1:33">
      <c r="A3008" t="s">
        <v>10935</v>
      </c>
      <c r="B3008" t="s">
        <v>10936</v>
      </c>
      <c r="D3008" t="s">
        <v>40</v>
      </c>
      <c r="E3008" t="s">
        <v>41</v>
      </c>
      <c r="J3008" t="s">
        <v>108</v>
      </c>
      <c r="K3008" t="s">
        <v>109</v>
      </c>
      <c r="L3008">
        <v>5</v>
      </c>
      <c r="M3008" t="s">
        <v>10933</v>
      </c>
      <c r="N3008" t="s">
        <v>59</v>
      </c>
      <c r="O3008" t="s">
        <v>47</v>
      </c>
      <c r="P3008" t="s">
        <v>47</v>
      </c>
      <c r="Y3008" t="s">
        <v>10937</v>
      </c>
      <c r="AG3008" t="s">
        <v>48</v>
      </c>
    </row>
    <row r="3009" spans="1:33">
      <c r="A3009" t="s">
        <v>10938</v>
      </c>
      <c r="B3009" t="s">
        <v>10939</v>
      </c>
      <c r="D3009" t="s">
        <v>40</v>
      </c>
      <c r="E3009" t="s">
        <v>41</v>
      </c>
      <c r="H3009" t="s">
        <v>10940</v>
      </c>
      <c r="J3009" t="s">
        <v>69</v>
      </c>
      <c r="K3009" t="s">
        <v>70</v>
      </c>
      <c r="L3009">
        <v>5</v>
      </c>
      <c r="M3009" t="s">
        <v>10933</v>
      </c>
      <c r="N3009" t="s">
        <v>192</v>
      </c>
      <c r="O3009" t="s">
        <v>47</v>
      </c>
      <c r="P3009" t="s">
        <v>47</v>
      </c>
      <c r="Y3009" t="s">
        <v>10940</v>
      </c>
      <c r="AG3009" t="s">
        <v>48</v>
      </c>
    </row>
    <row r="3010" spans="1:33">
      <c r="A3010" t="s">
        <v>10941</v>
      </c>
      <c r="B3010" t="s">
        <v>10942</v>
      </c>
      <c r="D3010" t="s">
        <v>40</v>
      </c>
      <c r="E3010" t="s">
        <v>41</v>
      </c>
      <c r="J3010" t="s">
        <v>270</v>
      </c>
      <c r="K3010" t="s">
        <v>271</v>
      </c>
      <c r="L3010">
        <v>5</v>
      </c>
      <c r="M3010" t="s">
        <v>10933</v>
      </c>
      <c r="N3010" t="s">
        <v>59</v>
      </c>
      <c r="O3010" t="s">
        <v>47</v>
      </c>
      <c r="P3010" t="s">
        <v>47</v>
      </c>
      <c r="Y3010" t="s">
        <v>10943</v>
      </c>
      <c r="AG3010" t="s">
        <v>48</v>
      </c>
    </row>
    <row r="3011" spans="1:33">
      <c r="A3011" t="s">
        <v>10944</v>
      </c>
      <c r="B3011" t="s">
        <v>10945</v>
      </c>
      <c r="D3011" t="s">
        <v>40</v>
      </c>
      <c r="E3011" t="s">
        <v>41</v>
      </c>
      <c r="J3011" t="s">
        <v>290</v>
      </c>
      <c r="K3011" t="s">
        <v>291</v>
      </c>
      <c r="L3011">
        <v>5</v>
      </c>
      <c r="M3011" t="s">
        <v>10946</v>
      </c>
      <c r="N3011" t="s">
        <v>59</v>
      </c>
      <c r="O3011" t="s">
        <v>47</v>
      </c>
      <c r="P3011" t="s">
        <v>47</v>
      </c>
      <c r="Y3011" t="s">
        <v>10947</v>
      </c>
      <c r="AG3011" t="s">
        <v>48</v>
      </c>
    </row>
    <row r="3012" spans="1:33">
      <c r="A3012" t="s">
        <v>10948</v>
      </c>
      <c r="B3012" t="s">
        <v>10949</v>
      </c>
      <c r="D3012" t="s">
        <v>40</v>
      </c>
      <c r="E3012" t="s">
        <v>41</v>
      </c>
      <c r="J3012" t="s">
        <v>10950</v>
      </c>
      <c r="K3012" t="s">
        <v>10950</v>
      </c>
      <c r="L3012">
        <v>5</v>
      </c>
      <c r="M3012" t="s">
        <v>10946</v>
      </c>
      <c r="N3012" t="s">
        <v>192</v>
      </c>
      <c r="O3012" t="s">
        <v>47</v>
      </c>
      <c r="P3012" t="s">
        <v>47</v>
      </c>
      <c r="Y3012" t="s">
        <v>10951</v>
      </c>
      <c r="AG3012" t="s">
        <v>48</v>
      </c>
    </row>
    <row r="3013" spans="1:33">
      <c r="A3013" t="s">
        <v>10952</v>
      </c>
      <c r="B3013" t="s">
        <v>10953</v>
      </c>
      <c r="D3013" t="s">
        <v>40</v>
      </c>
      <c r="E3013" t="s">
        <v>41</v>
      </c>
      <c r="J3013" t="s">
        <v>270</v>
      </c>
      <c r="K3013" t="s">
        <v>271</v>
      </c>
      <c r="L3013">
        <v>5</v>
      </c>
      <c r="M3013" t="s">
        <v>10946</v>
      </c>
      <c r="N3013" t="s">
        <v>59</v>
      </c>
      <c r="O3013" t="s">
        <v>47</v>
      </c>
      <c r="P3013" t="s">
        <v>47</v>
      </c>
      <c r="Y3013" t="s">
        <v>10954</v>
      </c>
      <c r="AG3013" t="s">
        <v>48</v>
      </c>
    </row>
    <row r="3014" spans="1:33">
      <c r="A3014" t="s">
        <v>10955</v>
      </c>
      <c r="B3014" t="s">
        <v>10956</v>
      </c>
      <c r="D3014" t="s">
        <v>40</v>
      </c>
      <c r="E3014" t="s">
        <v>41</v>
      </c>
      <c r="J3014" t="s">
        <v>290</v>
      </c>
      <c r="K3014" t="s">
        <v>291</v>
      </c>
      <c r="L3014">
        <v>5</v>
      </c>
      <c r="M3014" t="s">
        <v>10946</v>
      </c>
      <c r="N3014" t="s">
        <v>59</v>
      </c>
      <c r="O3014" t="s">
        <v>47</v>
      </c>
      <c r="P3014" t="s">
        <v>47</v>
      </c>
      <c r="Y3014" t="s">
        <v>10957</v>
      </c>
      <c r="AG3014" t="s">
        <v>48</v>
      </c>
    </row>
    <row r="3015" spans="1:33">
      <c r="A3015" t="s">
        <v>10958</v>
      </c>
      <c r="B3015" t="s">
        <v>10959</v>
      </c>
      <c r="D3015" t="s">
        <v>40</v>
      </c>
      <c r="E3015" t="s">
        <v>41</v>
      </c>
      <c r="J3015" t="s">
        <v>290</v>
      </c>
      <c r="K3015" t="s">
        <v>291</v>
      </c>
      <c r="L3015">
        <v>5</v>
      </c>
      <c r="M3015" t="s">
        <v>10960</v>
      </c>
      <c r="N3015" t="s">
        <v>59</v>
      </c>
      <c r="O3015" t="s">
        <v>47</v>
      </c>
      <c r="P3015" t="s">
        <v>47</v>
      </c>
      <c r="Y3015" t="s">
        <v>10961</v>
      </c>
      <c r="AG3015" t="s">
        <v>48</v>
      </c>
    </row>
    <row r="3016" spans="1:33">
      <c r="A3016" t="s">
        <v>10962</v>
      </c>
      <c r="B3016" t="s">
        <v>10963</v>
      </c>
      <c r="D3016" t="s">
        <v>40</v>
      </c>
      <c r="E3016" t="s">
        <v>41</v>
      </c>
      <c r="J3016" t="s">
        <v>290</v>
      </c>
      <c r="K3016" t="s">
        <v>291</v>
      </c>
      <c r="L3016">
        <v>5</v>
      </c>
      <c r="M3016" t="s">
        <v>10964</v>
      </c>
      <c r="N3016" t="s">
        <v>59</v>
      </c>
      <c r="O3016" t="s">
        <v>47</v>
      </c>
      <c r="P3016" t="s">
        <v>47</v>
      </c>
      <c r="Y3016" t="s">
        <v>10965</v>
      </c>
      <c r="AG3016" t="s">
        <v>48</v>
      </c>
    </row>
    <row r="3017" spans="1:33">
      <c r="A3017" t="s">
        <v>10966</v>
      </c>
      <c r="B3017" t="s">
        <v>10967</v>
      </c>
      <c r="D3017" t="s">
        <v>40</v>
      </c>
      <c r="E3017" t="s">
        <v>41</v>
      </c>
      <c r="J3017" t="s">
        <v>108</v>
      </c>
      <c r="K3017" t="s">
        <v>109</v>
      </c>
      <c r="L3017">
        <v>5</v>
      </c>
      <c r="M3017" t="s">
        <v>10964</v>
      </c>
      <c r="N3017" t="s">
        <v>59</v>
      </c>
      <c r="O3017" t="s">
        <v>47</v>
      </c>
      <c r="P3017" t="s">
        <v>47</v>
      </c>
      <c r="Y3017" t="s">
        <v>10968</v>
      </c>
      <c r="AG3017" t="s">
        <v>48</v>
      </c>
    </row>
    <row r="3018" spans="1:33">
      <c r="A3018" t="s">
        <v>10969</v>
      </c>
      <c r="B3018" t="s">
        <v>10970</v>
      </c>
      <c r="D3018" t="s">
        <v>40</v>
      </c>
      <c r="E3018" t="s">
        <v>41</v>
      </c>
      <c r="J3018" t="s">
        <v>114</v>
      </c>
      <c r="K3018" t="s">
        <v>115</v>
      </c>
      <c r="L3018">
        <v>5</v>
      </c>
      <c r="M3018" t="s">
        <v>10971</v>
      </c>
      <c r="N3018" t="s">
        <v>59</v>
      </c>
      <c r="O3018" t="s">
        <v>47</v>
      </c>
      <c r="P3018" t="s">
        <v>47</v>
      </c>
      <c r="Y3018" t="s">
        <v>10972</v>
      </c>
      <c r="AG3018" t="s">
        <v>48</v>
      </c>
    </row>
    <row r="3019" spans="1:33">
      <c r="A3019" t="s">
        <v>10973</v>
      </c>
      <c r="B3019" t="s">
        <v>10974</v>
      </c>
      <c r="D3019" t="s">
        <v>40</v>
      </c>
      <c r="E3019" t="s">
        <v>41</v>
      </c>
      <c r="J3019" t="s">
        <v>108</v>
      </c>
      <c r="K3019" t="s">
        <v>109</v>
      </c>
      <c r="L3019">
        <v>5</v>
      </c>
      <c r="M3019" t="s">
        <v>10975</v>
      </c>
      <c r="N3019" t="s">
        <v>59</v>
      </c>
      <c r="O3019" t="s">
        <v>47</v>
      </c>
      <c r="P3019" t="s">
        <v>47</v>
      </c>
      <c r="Y3019" t="s">
        <v>10976</v>
      </c>
      <c r="AG3019" t="s">
        <v>48</v>
      </c>
    </row>
    <row r="3020" spans="1:33">
      <c r="A3020" t="s">
        <v>117</v>
      </c>
      <c r="B3020" t="s">
        <v>10977</v>
      </c>
      <c r="D3020" t="s">
        <v>40</v>
      </c>
      <c r="E3020" t="s">
        <v>41</v>
      </c>
      <c r="J3020" t="s">
        <v>108</v>
      </c>
      <c r="K3020" t="s">
        <v>109</v>
      </c>
      <c r="L3020">
        <v>5</v>
      </c>
      <c r="M3020" t="s">
        <v>10978</v>
      </c>
      <c r="N3020" t="s">
        <v>59</v>
      </c>
      <c r="O3020" t="s">
        <v>47</v>
      </c>
      <c r="P3020" t="s">
        <v>47</v>
      </c>
      <c r="Y3020" t="s">
        <v>10979</v>
      </c>
      <c r="AG3020" t="s">
        <v>48</v>
      </c>
    </row>
    <row r="3021" spans="1:33">
      <c r="A3021" t="s">
        <v>10980</v>
      </c>
      <c r="B3021" t="s">
        <v>10981</v>
      </c>
      <c r="D3021" t="s">
        <v>40</v>
      </c>
      <c r="E3021" t="s">
        <v>41</v>
      </c>
      <c r="J3021" t="s">
        <v>290</v>
      </c>
      <c r="K3021" t="s">
        <v>291</v>
      </c>
      <c r="L3021">
        <v>5</v>
      </c>
      <c r="M3021" t="s">
        <v>10982</v>
      </c>
      <c r="N3021" t="s">
        <v>59</v>
      </c>
      <c r="O3021" t="s">
        <v>47</v>
      </c>
      <c r="P3021" t="s">
        <v>47</v>
      </c>
      <c r="Y3021" t="s">
        <v>10983</v>
      </c>
      <c r="AG3021" t="s">
        <v>48</v>
      </c>
    </row>
    <row r="3022" spans="1:33">
      <c r="A3022" t="s">
        <v>10984</v>
      </c>
      <c r="B3022" t="s">
        <v>10985</v>
      </c>
      <c r="D3022" t="s">
        <v>40</v>
      </c>
      <c r="E3022" t="s">
        <v>41</v>
      </c>
      <c r="J3022" t="s">
        <v>290</v>
      </c>
      <c r="K3022" t="s">
        <v>291</v>
      </c>
      <c r="L3022">
        <v>5</v>
      </c>
      <c r="M3022" t="s">
        <v>10986</v>
      </c>
      <c r="N3022" t="s">
        <v>59</v>
      </c>
      <c r="O3022" t="s">
        <v>47</v>
      </c>
      <c r="P3022" t="s">
        <v>47</v>
      </c>
      <c r="Y3022" t="s">
        <v>10987</v>
      </c>
      <c r="AG3022" t="s">
        <v>48</v>
      </c>
    </row>
    <row r="3023" spans="1:33">
      <c r="A3023" t="s">
        <v>10988</v>
      </c>
      <c r="B3023" t="s">
        <v>10989</v>
      </c>
      <c r="D3023" t="s">
        <v>40</v>
      </c>
      <c r="E3023" t="s">
        <v>41</v>
      </c>
      <c r="J3023" t="s">
        <v>129</v>
      </c>
      <c r="K3023" t="s">
        <v>130</v>
      </c>
      <c r="L3023">
        <v>5</v>
      </c>
      <c r="M3023" t="s">
        <v>10990</v>
      </c>
      <c r="N3023" t="s">
        <v>192</v>
      </c>
      <c r="O3023" t="s">
        <v>47</v>
      </c>
      <c r="P3023" t="s">
        <v>47</v>
      </c>
      <c r="Y3023" t="s">
        <v>10991</v>
      </c>
      <c r="AG3023" t="s">
        <v>48</v>
      </c>
    </row>
    <row r="3024" spans="1:33">
      <c r="A3024" t="s">
        <v>10992</v>
      </c>
      <c r="B3024" t="s">
        <v>10993</v>
      </c>
      <c r="D3024" t="s">
        <v>40</v>
      </c>
      <c r="E3024" t="s">
        <v>41</v>
      </c>
      <c r="J3024" t="s">
        <v>270</v>
      </c>
      <c r="K3024" t="s">
        <v>271</v>
      </c>
      <c r="L3024">
        <v>5</v>
      </c>
      <c r="M3024" t="s">
        <v>10994</v>
      </c>
      <c r="N3024" t="s">
        <v>59</v>
      </c>
      <c r="O3024" t="s">
        <v>47</v>
      </c>
      <c r="P3024" t="s">
        <v>47</v>
      </c>
      <c r="Y3024" t="s">
        <v>10995</v>
      </c>
      <c r="AG3024" t="s">
        <v>48</v>
      </c>
    </row>
    <row r="3025" spans="1:33">
      <c r="A3025" t="s">
        <v>10996</v>
      </c>
      <c r="B3025" t="s">
        <v>10997</v>
      </c>
      <c r="D3025" t="s">
        <v>40</v>
      </c>
      <c r="E3025" t="s">
        <v>41</v>
      </c>
      <c r="J3025" t="s">
        <v>162</v>
      </c>
      <c r="K3025" t="s">
        <v>163</v>
      </c>
      <c r="L3025">
        <v>5</v>
      </c>
      <c r="M3025" t="s">
        <v>10994</v>
      </c>
      <c r="N3025" t="s">
        <v>59</v>
      </c>
      <c r="O3025" t="s">
        <v>47</v>
      </c>
      <c r="P3025" t="s">
        <v>47</v>
      </c>
      <c r="Y3025" t="s">
        <v>10998</v>
      </c>
      <c r="AG3025" t="s">
        <v>48</v>
      </c>
    </row>
    <row r="3026" spans="1:33">
      <c r="A3026" t="s">
        <v>10999</v>
      </c>
      <c r="B3026" t="s">
        <v>11000</v>
      </c>
      <c r="D3026" t="s">
        <v>40</v>
      </c>
      <c r="E3026" t="s">
        <v>41</v>
      </c>
      <c r="H3026" t="s">
        <v>11001</v>
      </c>
      <c r="J3026" t="s">
        <v>63</v>
      </c>
      <c r="K3026" t="s">
        <v>64</v>
      </c>
      <c r="L3026">
        <v>5</v>
      </c>
      <c r="M3026" t="s">
        <v>11002</v>
      </c>
      <c r="N3026" t="s">
        <v>59</v>
      </c>
      <c r="O3026" t="s">
        <v>47</v>
      </c>
      <c r="P3026" t="s">
        <v>47</v>
      </c>
      <c r="Y3026" t="s">
        <v>11001</v>
      </c>
      <c r="AG3026" t="s">
        <v>48</v>
      </c>
    </row>
    <row r="3027" spans="1:33">
      <c r="A3027" t="s">
        <v>11003</v>
      </c>
      <c r="B3027" t="s">
        <v>11004</v>
      </c>
      <c r="D3027" t="s">
        <v>40</v>
      </c>
      <c r="E3027" t="s">
        <v>41</v>
      </c>
      <c r="H3027" t="s">
        <v>11005</v>
      </c>
      <c r="J3027" t="s">
        <v>129</v>
      </c>
      <c r="K3027" t="s">
        <v>130</v>
      </c>
      <c r="L3027">
        <v>5</v>
      </c>
      <c r="M3027" t="s">
        <v>11006</v>
      </c>
      <c r="N3027" t="s">
        <v>192</v>
      </c>
      <c r="O3027" t="s">
        <v>47</v>
      </c>
      <c r="P3027" t="s">
        <v>47</v>
      </c>
      <c r="Y3027" t="s">
        <v>11005</v>
      </c>
      <c r="AG3027" t="s">
        <v>48</v>
      </c>
    </row>
    <row r="3028" spans="1:33">
      <c r="A3028" t="s">
        <v>11007</v>
      </c>
      <c r="B3028" t="s">
        <v>11008</v>
      </c>
      <c r="D3028" t="s">
        <v>40</v>
      </c>
      <c r="E3028" t="s">
        <v>41</v>
      </c>
      <c r="J3028" t="s">
        <v>290</v>
      </c>
      <c r="K3028" t="s">
        <v>291</v>
      </c>
      <c r="L3028">
        <v>5</v>
      </c>
      <c r="M3028" t="s">
        <v>11009</v>
      </c>
      <c r="N3028" t="s">
        <v>59</v>
      </c>
      <c r="O3028" t="s">
        <v>47</v>
      </c>
      <c r="P3028" t="s">
        <v>47</v>
      </c>
      <c r="Y3028" t="s">
        <v>11010</v>
      </c>
      <c r="AG3028" t="s">
        <v>48</v>
      </c>
    </row>
    <row r="3029" spans="1:33">
      <c r="A3029" t="s">
        <v>11011</v>
      </c>
      <c r="B3029" t="s">
        <v>11012</v>
      </c>
      <c r="D3029" t="s">
        <v>40</v>
      </c>
      <c r="E3029" t="s">
        <v>41</v>
      </c>
      <c r="J3029" t="s">
        <v>114</v>
      </c>
      <c r="K3029" t="s">
        <v>115</v>
      </c>
      <c r="L3029">
        <v>5</v>
      </c>
      <c r="M3029" t="s">
        <v>11013</v>
      </c>
      <c r="N3029" t="s">
        <v>59</v>
      </c>
      <c r="O3029" t="s">
        <v>47</v>
      </c>
      <c r="P3029" t="s">
        <v>47</v>
      </c>
      <c r="Y3029" t="s">
        <v>11014</v>
      </c>
      <c r="AG3029" t="s">
        <v>48</v>
      </c>
    </row>
    <row r="3030" spans="1:33">
      <c r="A3030" t="s">
        <v>11015</v>
      </c>
      <c r="B3030" t="s">
        <v>11016</v>
      </c>
      <c r="D3030" t="s">
        <v>40</v>
      </c>
      <c r="E3030" t="s">
        <v>41</v>
      </c>
      <c r="J3030" t="s">
        <v>162</v>
      </c>
      <c r="K3030" t="s">
        <v>163</v>
      </c>
      <c r="L3030">
        <v>5</v>
      </c>
      <c r="M3030" t="s">
        <v>11017</v>
      </c>
      <c r="N3030" t="s">
        <v>59</v>
      </c>
      <c r="O3030" t="s">
        <v>47</v>
      </c>
      <c r="P3030" t="s">
        <v>47</v>
      </c>
      <c r="Y3030" t="s">
        <v>11018</v>
      </c>
      <c r="AG3030" t="s">
        <v>48</v>
      </c>
    </row>
    <row r="3031" spans="1:33">
      <c r="A3031" t="s">
        <v>11019</v>
      </c>
      <c r="B3031" t="s">
        <v>11020</v>
      </c>
      <c r="D3031" t="s">
        <v>40</v>
      </c>
      <c r="E3031" t="s">
        <v>41</v>
      </c>
      <c r="J3031" t="s">
        <v>290</v>
      </c>
      <c r="K3031" t="s">
        <v>291</v>
      </c>
      <c r="L3031">
        <v>5</v>
      </c>
      <c r="M3031" t="s">
        <v>11021</v>
      </c>
      <c r="N3031" t="s">
        <v>59</v>
      </c>
      <c r="O3031" t="s">
        <v>47</v>
      </c>
      <c r="P3031" t="s">
        <v>47</v>
      </c>
      <c r="Y3031" t="s">
        <v>11022</v>
      </c>
      <c r="AG3031" t="s">
        <v>48</v>
      </c>
    </row>
    <row r="3032" spans="1:33">
      <c r="A3032" t="s">
        <v>11023</v>
      </c>
      <c r="B3032" t="s">
        <v>11024</v>
      </c>
      <c r="D3032" t="s">
        <v>40</v>
      </c>
      <c r="E3032" t="s">
        <v>41</v>
      </c>
      <c r="J3032" t="s">
        <v>290</v>
      </c>
      <c r="K3032" t="s">
        <v>291</v>
      </c>
      <c r="L3032">
        <v>5</v>
      </c>
      <c r="M3032" t="s">
        <v>11025</v>
      </c>
      <c r="N3032" t="s">
        <v>59</v>
      </c>
      <c r="O3032" t="s">
        <v>47</v>
      </c>
      <c r="P3032" t="s">
        <v>47</v>
      </c>
      <c r="Y3032" t="s">
        <v>11026</v>
      </c>
      <c r="AG3032" t="s">
        <v>48</v>
      </c>
    </row>
    <row r="3033" spans="1:33">
      <c r="A3033" t="s">
        <v>11027</v>
      </c>
      <c r="B3033" t="s">
        <v>11028</v>
      </c>
      <c r="D3033" t="s">
        <v>40</v>
      </c>
      <c r="E3033" t="s">
        <v>41</v>
      </c>
      <c r="J3033" t="s">
        <v>290</v>
      </c>
      <c r="K3033" t="s">
        <v>291</v>
      </c>
      <c r="L3033">
        <v>5</v>
      </c>
      <c r="M3033" t="s">
        <v>11029</v>
      </c>
      <c r="N3033" t="s">
        <v>59</v>
      </c>
      <c r="O3033" t="s">
        <v>47</v>
      </c>
      <c r="P3033" t="s">
        <v>47</v>
      </c>
      <c r="Y3033" t="s">
        <v>11030</v>
      </c>
      <c r="AG3033" t="s">
        <v>48</v>
      </c>
    </row>
    <row r="3034" spans="1:33">
      <c r="A3034" t="s">
        <v>11031</v>
      </c>
      <c r="B3034" t="s">
        <v>11032</v>
      </c>
      <c r="D3034" t="s">
        <v>40</v>
      </c>
      <c r="E3034" t="s">
        <v>41</v>
      </c>
      <c r="J3034" t="s">
        <v>290</v>
      </c>
      <c r="K3034" t="s">
        <v>291</v>
      </c>
      <c r="L3034">
        <v>5</v>
      </c>
      <c r="M3034" t="s">
        <v>11033</v>
      </c>
      <c r="N3034" t="s">
        <v>59</v>
      </c>
      <c r="O3034" t="s">
        <v>47</v>
      </c>
      <c r="P3034" t="s">
        <v>47</v>
      </c>
      <c r="Y3034" t="s">
        <v>11034</v>
      </c>
      <c r="AG3034" t="s">
        <v>48</v>
      </c>
    </row>
    <row r="3035" spans="1:33">
      <c r="A3035" t="s">
        <v>11035</v>
      </c>
      <c r="B3035" t="s">
        <v>11036</v>
      </c>
      <c r="D3035" t="s">
        <v>40</v>
      </c>
      <c r="E3035" t="s">
        <v>41</v>
      </c>
      <c r="J3035" t="s">
        <v>270</v>
      </c>
      <c r="K3035" t="s">
        <v>271</v>
      </c>
      <c r="L3035">
        <v>5</v>
      </c>
      <c r="M3035" t="s">
        <v>11037</v>
      </c>
      <c r="N3035" t="s">
        <v>59</v>
      </c>
      <c r="O3035" t="s">
        <v>47</v>
      </c>
      <c r="P3035" t="s">
        <v>47</v>
      </c>
      <c r="Y3035" t="s">
        <v>11038</v>
      </c>
      <c r="AG3035" t="s">
        <v>48</v>
      </c>
    </row>
    <row r="3036" spans="1:33">
      <c r="A3036" t="s">
        <v>11039</v>
      </c>
      <c r="B3036" t="s">
        <v>11040</v>
      </c>
      <c r="D3036" t="s">
        <v>40</v>
      </c>
      <c r="E3036" t="s">
        <v>41</v>
      </c>
      <c r="J3036" t="s">
        <v>108</v>
      </c>
      <c r="K3036" t="s">
        <v>109</v>
      </c>
      <c r="L3036">
        <v>5</v>
      </c>
      <c r="M3036" t="s">
        <v>11037</v>
      </c>
      <c r="N3036" t="s">
        <v>59</v>
      </c>
      <c r="O3036" t="s">
        <v>47</v>
      </c>
      <c r="P3036" t="s">
        <v>47</v>
      </c>
      <c r="Y3036" t="s">
        <v>11041</v>
      </c>
      <c r="AG3036" t="s">
        <v>48</v>
      </c>
    </row>
    <row r="3037" spans="1:33">
      <c r="A3037" t="s">
        <v>11042</v>
      </c>
      <c r="B3037" t="s">
        <v>11043</v>
      </c>
      <c r="D3037" t="s">
        <v>40</v>
      </c>
      <c r="E3037" t="s">
        <v>41</v>
      </c>
      <c r="J3037" t="s">
        <v>290</v>
      </c>
      <c r="K3037" t="s">
        <v>291</v>
      </c>
      <c r="L3037">
        <v>5</v>
      </c>
      <c r="M3037" t="s">
        <v>11044</v>
      </c>
      <c r="N3037" t="s">
        <v>59</v>
      </c>
      <c r="O3037" t="s">
        <v>47</v>
      </c>
      <c r="P3037" t="s">
        <v>47</v>
      </c>
      <c r="Y3037" t="s">
        <v>11045</v>
      </c>
      <c r="AG3037" t="s">
        <v>48</v>
      </c>
    </row>
    <row r="3038" spans="1:33">
      <c r="A3038" t="s">
        <v>11046</v>
      </c>
      <c r="B3038" t="s">
        <v>11047</v>
      </c>
      <c r="D3038" t="s">
        <v>40</v>
      </c>
      <c r="E3038" t="s">
        <v>41</v>
      </c>
      <c r="J3038" t="s">
        <v>129</v>
      </c>
      <c r="K3038" t="s">
        <v>130</v>
      </c>
      <c r="L3038">
        <v>5</v>
      </c>
      <c r="M3038" t="s">
        <v>11048</v>
      </c>
      <c r="N3038" t="s">
        <v>192</v>
      </c>
      <c r="O3038" t="s">
        <v>47</v>
      </c>
      <c r="P3038" t="s">
        <v>47</v>
      </c>
      <c r="Y3038" t="s">
        <v>11049</v>
      </c>
      <c r="AG3038" t="s">
        <v>48</v>
      </c>
    </row>
    <row r="3039" spans="1:33">
      <c r="A3039" t="s">
        <v>11050</v>
      </c>
      <c r="B3039" t="s">
        <v>11051</v>
      </c>
      <c r="D3039" t="s">
        <v>40</v>
      </c>
      <c r="E3039" t="s">
        <v>41</v>
      </c>
      <c r="J3039" t="s">
        <v>290</v>
      </c>
      <c r="K3039" t="s">
        <v>291</v>
      </c>
      <c r="L3039">
        <v>5</v>
      </c>
      <c r="M3039" t="s">
        <v>11048</v>
      </c>
      <c r="N3039" t="s">
        <v>59</v>
      </c>
      <c r="O3039" t="s">
        <v>47</v>
      </c>
      <c r="P3039" t="s">
        <v>47</v>
      </c>
      <c r="Y3039" t="s">
        <v>11052</v>
      </c>
      <c r="AG3039" t="s">
        <v>48</v>
      </c>
    </row>
    <row r="3040" spans="1:33">
      <c r="A3040" t="s">
        <v>11053</v>
      </c>
      <c r="B3040" t="s">
        <v>11054</v>
      </c>
      <c r="D3040" t="s">
        <v>40</v>
      </c>
      <c r="E3040" t="s">
        <v>41</v>
      </c>
      <c r="J3040" t="s">
        <v>290</v>
      </c>
      <c r="K3040" t="s">
        <v>291</v>
      </c>
      <c r="L3040">
        <v>5</v>
      </c>
      <c r="M3040" t="s">
        <v>11055</v>
      </c>
      <c r="N3040" t="s">
        <v>59</v>
      </c>
      <c r="O3040" t="s">
        <v>47</v>
      </c>
      <c r="P3040" t="s">
        <v>47</v>
      </c>
      <c r="Y3040" t="s">
        <v>11056</v>
      </c>
      <c r="AG3040" t="s">
        <v>48</v>
      </c>
    </row>
    <row r="3041" spans="1:33">
      <c r="A3041" t="s">
        <v>11057</v>
      </c>
      <c r="B3041" t="s">
        <v>11058</v>
      </c>
      <c r="D3041" t="s">
        <v>40</v>
      </c>
      <c r="E3041" t="s">
        <v>41</v>
      </c>
      <c r="J3041" t="s">
        <v>123</v>
      </c>
      <c r="K3041" t="s">
        <v>124</v>
      </c>
      <c r="L3041">
        <v>5</v>
      </c>
      <c r="M3041" t="s">
        <v>11059</v>
      </c>
      <c r="N3041" t="s">
        <v>218</v>
      </c>
      <c r="O3041" t="s">
        <v>47</v>
      </c>
      <c r="P3041" t="s">
        <v>47</v>
      </c>
      <c r="Y3041" t="s">
        <v>11060</v>
      </c>
      <c r="AG3041" t="s">
        <v>48</v>
      </c>
    </row>
    <row r="3042" spans="1:33">
      <c r="A3042" t="s">
        <v>11061</v>
      </c>
      <c r="B3042" t="s">
        <v>11062</v>
      </c>
      <c r="D3042" t="s">
        <v>40</v>
      </c>
      <c r="E3042" t="s">
        <v>41</v>
      </c>
      <c r="J3042" t="s">
        <v>290</v>
      </c>
      <c r="K3042" t="s">
        <v>291</v>
      </c>
      <c r="L3042">
        <v>5</v>
      </c>
      <c r="M3042" t="s">
        <v>11059</v>
      </c>
      <c r="N3042" t="s">
        <v>59</v>
      </c>
      <c r="O3042" t="s">
        <v>47</v>
      </c>
      <c r="P3042" t="s">
        <v>47</v>
      </c>
      <c r="Y3042" t="s">
        <v>11063</v>
      </c>
      <c r="AG3042" t="s">
        <v>48</v>
      </c>
    </row>
    <row r="3043" spans="1:33">
      <c r="A3043" t="s">
        <v>11064</v>
      </c>
      <c r="B3043" t="s">
        <v>11065</v>
      </c>
      <c r="D3043" t="s">
        <v>40</v>
      </c>
      <c r="E3043" t="s">
        <v>41</v>
      </c>
      <c r="H3043" t="s">
        <v>11066</v>
      </c>
      <c r="J3043" t="s">
        <v>290</v>
      </c>
      <c r="K3043" t="s">
        <v>291</v>
      </c>
      <c r="L3043">
        <v>5</v>
      </c>
      <c r="M3043" t="s">
        <v>11059</v>
      </c>
      <c r="N3043" t="s">
        <v>59</v>
      </c>
      <c r="O3043" t="s">
        <v>47</v>
      </c>
      <c r="P3043" t="s">
        <v>47</v>
      </c>
      <c r="Y3043" t="s">
        <v>11066</v>
      </c>
      <c r="AG3043" t="s">
        <v>48</v>
      </c>
    </row>
    <row r="3044" spans="1:33">
      <c r="A3044" t="s">
        <v>11067</v>
      </c>
      <c r="B3044" t="s">
        <v>11068</v>
      </c>
      <c r="D3044" t="s">
        <v>40</v>
      </c>
      <c r="E3044" t="s">
        <v>41</v>
      </c>
      <c r="J3044" t="s">
        <v>290</v>
      </c>
      <c r="K3044" t="s">
        <v>291</v>
      </c>
      <c r="L3044">
        <v>5</v>
      </c>
      <c r="M3044" t="s">
        <v>11059</v>
      </c>
      <c r="N3044" t="s">
        <v>59</v>
      </c>
      <c r="O3044" t="s">
        <v>47</v>
      </c>
      <c r="P3044" t="s">
        <v>47</v>
      </c>
      <c r="Y3044" t="s">
        <v>11069</v>
      </c>
      <c r="AG3044" t="s">
        <v>48</v>
      </c>
    </row>
    <row r="3045" spans="1:33">
      <c r="A3045" t="s">
        <v>11070</v>
      </c>
      <c r="B3045" t="s">
        <v>11071</v>
      </c>
      <c r="D3045" t="s">
        <v>40</v>
      </c>
      <c r="E3045" t="s">
        <v>41</v>
      </c>
      <c r="H3045" t="s">
        <v>11072</v>
      </c>
      <c r="J3045" t="s">
        <v>290</v>
      </c>
      <c r="K3045" t="s">
        <v>291</v>
      </c>
      <c r="L3045">
        <v>5</v>
      </c>
      <c r="M3045" t="s">
        <v>11073</v>
      </c>
      <c r="N3045" t="s">
        <v>59</v>
      </c>
      <c r="O3045" t="s">
        <v>47</v>
      </c>
      <c r="P3045" t="s">
        <v>47</v>
      </c>
      <c r="Y3045" t="s">
        <v>11072</v>
      </c>
      <c r="AG3045" t="s">
        <v>48</v>
      </c>
    </row>
    <row r="3046" spans="1:33">
      <c r="A3046" t="s">
        <v>11074</v>
      </c>
      <c r="B3046" t="s">
        <v>11075</v>
      </c>
      <c r="D3046" t="s">
        <v>40</v>
      </c>
      <c r="E3046" t="s">
        <v>41</v>
      </c>
      <c r="J3046" t="s">
        <v>290</v>
      </c>
      <c r="K3046" t="s">
        <v>291</v>
      </c>
      <c r="L3046">
        <v>5</v>
      </c>
      <c r="M3046" t="s">
        <v>11076</v>
      </c>
      <c r="N3046" t="s">
        <v>59</v>
      </c>
      <c r="O3046" t="s">
        <v>47</v>
      </c>
      <c r="P3046" t="s">
        <v>47</v>
      </c>
      <c r="Y3046" t="s">
        <v>11077</v>
      </c>
      <c r="AG3046" t="s">
        <v>48</v>
      </c>
    </row>
    <row r="3047" spans="1:33">
      <c r="A3047" t="s">
        <v>11078</v>
      </c>
      <c r="B3047" t="s">
        <v>11079</v>
      </c>
      <c r="D3047" t="s">
        <v>40</v>
      </c>
      <c r="E3047" t="s">
        <v>41</v>
      </c>
      <c r="J3047" t="s">
        <v>290</v>
      </c>
      <c r="K3047" t="s">
        <v>291</v>
      </c>
      <c r="L3047">
        <v>5</v>
      </c>
      <c r="M3047" t="s">
        <v>11080</v>
      </c>
      <c r="N3047" t="s">
        <v>59</v>
      </c>
      <c r="O3047" t="s">
        <v>47</v>
      </c>
      <c r="P3047" t="s">
        <v>47</v>
      </c>
      <c r="Y3047" t="s">
        <v>11081</v>
      </c>
      <c r="AG3047" t="s">
        <v>48</v>
      </c>
    </row>
    <row r="3048" spans="1:33">
      <c r="A3048" t="s">
        <v>11082</v>
      </c>
      <c r="B3048" t="s">
        <v>11083</v>
      </c>
      <c r="D3048" t="s">
        <v>40</v>
      </c>
      <c r="E3048" t="s">
        <v>41</v>
      </c>
      <c r="J3048" t="s">
        <v>290</v>
      </c>
      <c r="K3048" t="s">
        <v>291</v>
      </c>
      <c r="L3048">
        <v>5</v>
      </c>
      <c r="M3048" t="s">
        <v>11084</v>
      </c>
      <c r="N3048" t="s">
        <v>59</v>
      </c>
      <c r="O3048" t="s">
        <v>47</v>
      </c>
      <c r="P3048" t="s">
        <v>47</v>
      </c>
      <c r="Y3048" t="s">
        <v>11085</v>
      </c>
      <c r="AG3048" t="s">
        <v>48</v>
      </c>
    </row>
    <row r="3049" spans="1:33">
      <c r="A3049" t="s">
        <v>11086</v>
      </c>
      <c r="B3049" t="s">
        <v>11087</v>
      </c>
      <c r="D3049" t="s">
        <v>40</v>
      </c>
      <c r="E3049" t="s">
        <v>41</v>
      </c>
      <c r="J3049" t="s">
        <v>123</v>
      </c>
      <c r="K3049" t="s">
        <v>124</v>
      </c>
      <c r="L3049">
        <v>5</v>
      </c>
      <c r="M3049" t="s">
        <v>11084</v>
      </c>
      <c r="N3049" t="s">
        <v>46</v>
      </c>
      <c r="O3049" t="s">
        <v>47</v>
      </c>
      <c r="P3049" t="s">
        <v>47</v>
      </c>
      <c r="Y3049" t="s">
        <v>11088</v>
      </c>
      <c r="AG3049" t="s">
        <v>48</v>
      </c>
    </row>
    <row r="3050" spans="1:33">
      <c r="A3050" t="s">
        <v>11089</v>
      </c>
      <c r="B3050" t="s">
        <v>11090</v>
      </c>
      <c r="D3050" t="s">
        <v>40</v>
      </c>
      <c r="E3050" t="s">
        <v>41</v>
      </c>
      <c r="J3050" t="s">
        <v>162</v>
      </c>
      <c r="K3050" t="s">
        <v>163</v>
      </c>
      <c r="L3050">
        <v>5</v>
      </c>
      <c r="M3050" t="s">
        <v>11084</v>
      </c>
      <c r="N3050" t="s">
        <v>59</v>
      </c>
      <c r="O3050" t="s">
        <v>47</v>
      </c>
      <c r="P3050" t="s">
        <v>47</v>
      </c>
      <c r="Y3050" t="s">
        <v>11091</v>
      </c>
      <c r="AG3050" t="s">
        <v>48</v>
      </c>
    </row>
    <row r="3051" spans="1:33">
      <c r="A3051" t="s">
        <v>11092</v>
      </c>
      <c r="B3051" t="s">
        <v>11093</v>
      </c>
      <c r="D3051" t="s">
        <v>40</v>
      </c>
      <c r="E3051" t="s">
        <v>41</v>
      </c>
      <c r="H3051" t="s">
        <v>11094</v>
      </c>
      <c r="J3051" t="s">
        <v>129</v>
      </c>
      <c r="K3051" t="s">
        <v>130</v>
      </c>
      <c r="L3051">
        <v>5</v>
      </c>
      <c r="M3051" t="s">
        <v>11095</v>
      </c>
      <c r="N3051" t="s">
        <v>46</v>
      </c>
      <c r="O3051" t="s">
        <v>47</v>
      </c>
      <c r="P3051" t="s">
        <v>47</v>
      </c>
      <c r="Y3051" t="s">
        <v>11094</v>
      </c>
      <c r="AG3051" t="s">
        <v>48</v>
      </c>
    </row>
    <row r="3052" spans="1:33">
      <c r="A3052" t="s">
        <v>11096</v>
      </c>
      <c r="B3052" t="s">
        <v>11097</v>
      </c>
      <c r="D3052" t="s">
        <v>40</v>
      </c>
      <c r="E3052" t="s">
        <v>41</v>
      </c>
      <c r="J3052" t="s">
        <v>270</v>
      </c>
      <c r="K3052" t="s">
        <v>271</v>
      </c>
      <c r="L3052">
        <v>5</v>
      </c>
      <c r="M3052" t="s">
        <v>11098</v>
      </c>
      <c r="N3052" t="s">
        <v>59</v>
      </c>
      <c r="O3052" t="s">
        <v>47</v>
      </c>
      <c r="P3052" t="s">
        <v>47</v>
      </c>
      <c r="Y3052" t="s">
        <v>11099</v>
      </c>
      <c r="AG3052" t="s">
        <v>48</v>
      </c>
    </row>
    <row r="3053" spans="1:33">
      <c r="A3053" t="s">
        <v>11100</v>
      </c>
      <c r="B3053" t="s">
        <v>11101</v>
      </c>
      <c r="D3053" t="s">
        <v>40</v>
      </c>
      <c r="E3053" t="s">
        <v>41</v>
      </c>
      <c r="J3053" t="s">
        <v>290</v>
      </c>
      <c r="K3053" t="s">
        <v>291</v>
      </c>
      <c r="L3053">
        <v>5</v>
      </c>
      <c r="M3053" t="s">
        <v>11102</v>
      </c>
      <c r="N3053" t="s">
        <v>59</v>
      </c>
      <c r="O3053" t="s">
        <v>47</v>
      </c>
      <c r="P3053" t="s">
        <v>47</v>
      </c>
      <c r="Y3053" t="s">
        <v>11103</v>
      </c>
      <c r="AG3053" t="s">
        <v>48</v>
      </c>
    </row>
    <row r="3054" spans="1:33">
      <c r="A3054" t="s">
        <v>11104</v>
      </c>
      <c r="B3054" t="s">
        <v>11105</v>
      </c>
      <c r="D3054" t="s">
        <v>40</v>
      </c>
      <c r="E3054" t="s">
        <v>41</v>
      </c>
      <c r="J3054" t="s">
        <v>162</v>
      </c>
      <c r="K3054" t="s">
        <v>163</v>
      </c>
      <c r="L3054">
        <v>5</v>
      </c>
      <c r="M3054" t="s">
        <v>11102</v>
      </c>
      <c r="N3054" t="s">
        <v>59</v>
      </c>
      <c r="O3054" t="s">
        <v>47</v>
      </c>
      <c r="P3054" t="s">
        <v>47</v>
      </c>
      <c r="Y3054" t="s">
        <v>11106</v>
      </c>
      <c r="AG3054" t="s">
        <v>48</v>
      </c>
    </row>
    <row r="3055" spans="1:33">
      <c r="A3055" t="s">
        <v>11107</v>
      </c>
      <c r="B3055" t="s">
        <v>11108</v>
      </c>
      <c r="D3055" t="s">
        <v>40</v>
      </c>
      <c r="E3055" t="s">
        <v>41</v>
      </c>
      <c r="J3055" t="s">
        <v>1418</v>
      </c>
      <c r="K3055" t="s">
        <v>1419</v>
      </c>
      <c r="L3055">
        <v>5</v>
      </c>
      <c r="M3055" t="s">
        <v>11102</v>
      </c>
      <c r="N3055" t="s">
        <v>218</v>
      </c>
      <c r="O3055" t="s">
        <v>47</v>
      </c>
      <c r="P3055" t="s">
        <v>47</v>
      </c>
      <c r="Y3055" t="s">
        <v>11109</v>
      </c>
      <c r="AG3055" t="s">
        <v>48</v>
      </c>
    </row>
    <row r="3056" spans="1:33">
      <c r="A3056" t="s">
        <v>117</v>
      </c>
      <c r="B3056" t="s">
        <v>11110</v>
      </c>
      <c r="D3056" t="s">
        <v>40</v>
      </c>
      <c r="E3056" t="s">
        <v>41</v>
      </c>
      <c r="H3056" t="s">
        <v>11111</v>
      </c>
      <c r="J3056" t="s">
        <v>123</v>
      </c>
      <c r="K3056" t="s">
        <v>124</v>
      </c>
      <c r="L3056">
        <v>5</v>
      </c>
      <c r="M3056" t="s">
        <v>11112</v>
      </c>
      <c r="N3056" t="s">
        <v>218</v>
      </c>
      <c r="O3056" t="s">
        <v>47</v>
      </c>
      <c r="P3056" t="s">
        <v>47</v>
      </c>
      <c r="Y3056" t="s">
        <v>11111</v>
      </c>
      <c r="AG3056" t="s">
        <v>48</v>
      </c>
    </row>
    <row r="3057" spans="1:33">
      <c r="A3057" t="s">
        <v>11113</v>
      </c>
      <c r="B3057" t="s">
        <v>11114</v>
      </c>
      <c r="D3057" t="s">
        <v>40</v>
      </c>
      <c r="E3057" t="s">
        <v>41</v>
      </c>
      <c r="J3057" t="s">
        <v>108</v>
      </c>
      <c r="K3057" t="s">
        <v>109</v>
      </c>
      <c r="L3057">
        <v>5</v>
      </c>
      <c r="M3057" t="s">
        <v>11115</v>
      </c>
      <c r="N3057" t="s">
        <v>59</v>
      </c>
      <c r="O3057" t="s">
        <v>47</v>
      </c>
      <c r="P3057" t="s">
        <v>47</v>
      </c>
      <c r="Y3057" t="s">
        <v>11116</v>
      </c>
      <c r="AG3057" t="s">
        <v>48</v>
      </c>
    </row>
    <row r="3058" spans="1:33">
      <c r="A3058" t="s">
        <v>11117</v>
      </c>
      <c r="B3058" t="s">
        <v>11118</v>
      </c>
      <c r="D3058" t="s">
        <v>40</v>
      </c>
      <c r="E3058" t="s">
        <v>41</v>
      </c>
      <c r="J3058" t="s">
        <v>69</v>
      </c>
      <c r="K3058" t="s">
        <v>70</v>
      </c>
      <c r="L3058">
        <v>5</v>
      </c>
      <c r="M3058" t="s">
        <v>11119</v>
      </c>
      <c r="N3058" t="s">
        <v>46</v>
      </c>
      <c r="O3058" t="s">
        <v>47</v>
      </c>
      <c r="P3058" t="s">
        <v>47</v>
      </c>
      <c r="Y3058" t="s">
        <v>11120</v>
      </c>
      <c r="AG3058" t="s">
        <v>48</v>
      </c>
    </row>
    <row r="3059" spans="1:33">
      <c r="A3059" t="s">
        <v>11121</v>
      </c>
      <c r="B3059" t="s">
        <v>11122</v>
      </c>
      <c r="D3059" t="s">
        <v>40</v>
      </c>
      <c r="E3059" t="s">
        <v>41</v>
      </c>
      <c r="J3059" t="s">
        <v>270</v>
      </c>
      <c r="K3059" t="s">
        <v>271</v>
      </c>
      <c r="L3059">
        <v>5</v>
      </c>
      <c r="M3059" t="s">
        <v>11123</v>
      </c>
      <c r="N3059" t="s">
        <v>59</v>
      </c>
      <c r="O3059" t="s">
        <v>47</v>
      </c>
      <c r="P3059" t="s">
        <v>47</v>
      </c>
      <c r="Y3059" t="s">
        <v>11124</v>
      </c>
      <c r="AG3059" t="s">
        <v>48</v>
      </c>
    </row>
    <row r="3060" spans="1:33">
      <c r="A3060" t="s">
        <v>11125</v>
      </c>
      <c r="B3060" t="s">
        <v>11126</v>
      </c>
      <c r="D3060" t="s">
        <v>40</v>
      </c>
      <c r="E3060" t="s">
        <v>41</v>
      </c>
      <c r="H3060" t="s">
        <v>11127</v>
      </c>
      <c r="J3060" t="s">
        <v>129</v>
      </c>
      <c r="K3060" t="s">
        <v>130</v>
      </c>
      <c r="L3060">
        <v>7</v>
      </c>
      <c r="M3060" t="s">
        <v>11128</v>
      </c>
      <c r="N3060" t="s">
        <v>218</v>
      </c>
      <c r="O3060" t="s">
        <v>47</v>
      </c>
      <c r="P3060" t="s">
        <v>47</v>
      </c>
      <c r="Y3060" t="s">
        <v>11127</v>
      </c>
      <c r="AG3060" t="s">
        <v>48</v>
      </c>
    </row>
    <row r="3061" spans="1:33">
      <c r="A3061" t="s">
        <v>11129</v>
      </c>
      <c r="B3061" t="s">
        <v>11130</v>
      </c>
      <c r="D3061" t="s">
        <v>40</v>
      </c>
      <c r="E3061" t="s">
        <v>41</v>
      </c>
      <c r="J3061" t="s">
        <v>290</v>
      </c>
      <c r="K3061" t="s">
        <v>291</v>
      </c>
      <c r="L3061">
        <v>5</v>
      </c>
      <c r="M3061" t="s">
        <v>11131</v>
      </c>
      <c r="N3061" t="s">
        <v>59</v>
      </c>
      <c r="O3061" t="s">
        <v>47</v>
      </c>
      <c r="P3061" t="s">
        <v>47</v>
      </c>
      <c r="Y3061" t="s">
        <v>11132</v>
      </c>
      <c r="AG3061" t="s">
        <v>48</v>
      </c>
    </row>
    <row r="3062" spans="1:33">
      <c r="A3062" t="s">
        <v>11133</v>
      </c>
      <c r="B3062" t="s">
        <v>11134</v>
      </c>
      <c r="D3062" t="s">
        <v>40</v>
      </c>
      <c r="E3062" t="s">
        <v>41</v>
      </c>
      <c r="J3062" t="s">
        <v>290</v>
      </c>
      <c r="K3062" t="s">
        <v>291</v>
      </c>
      <c r="L3062">
        <v>5</v>
      </c>
      <c r="M3062" t="s">
        <v>11135</v>
      </c>
      <c r="N3062" t="s">
        <v>59</v>
      </c>
      <c r="O3062" t="s">
        <v>47</v>
      </c>
      <c r="P3062" t="s">
        <v>47</v>
      </c>
      <c r="Y3062" t="s">
        <v>11136</v>
      </c>
      <c r="AG3062" t="s">
        <v>48</v>
      </c>
    </row>
    <row r="3063" spans="1:33">
      <c r="A3063" t="s">
        <v>11137</v>
      </c>
      <c r="B3063" t="s">
        <v>11138</v>
      </c>
      <c r="D3063" t="s">
        <v>40</v>
      </c>
      <c r="E3063" t="s">
        <v>41</v>
      </c>
      <c r="J3063" t="s">
        <v>290</v>
      </c>
      <c r="K3063" t="s">
        <v>291</v>
      </c>
      <c r="L3063">
        <v>5</v>
      </c>
      <c r="M3063" t="s">
        <v>11135</v>
      </c>
      <c r="N3063" t="s">
        <v>59</v>
      </c>
      <c r="O3063" t="s">
        <v>47</v>
      </c>
      <c r="P3063" t="s">
        <v>47</v>
      </c>
      <c r="Y3063" t="s">
        <v>11139</v>
      </c>
      <c r="AG3063" t="s">
        <v>48</v>
      </c>
    </row>
    <row r="3064" spans="1:33">
      <c r="A3064" t="s">
        <v>11140</v>
      </c>
      <c r="B3064" t="s">
        <v>11141</v>
      </c>
      <c r="D3064" t="s">
        <v>40</v>
      </c>
      <c r="E3064" t="s">
        <v>41</v>
      </c>
      <c r="J3064" t="s">
        <v>162</v>
      </c>
      <c r="K3064" t="s">
        <v>163</v>
      </c>
      <c r="L3064">
        <v>5</v>
      </c>
      <c r="M3064" t="s">
        <v>11135</v>
      </c>
      <c r="N3064" t="s">
        <v>59</v>
      </c>
      <c r="O3064" t="s">
        <v>47</v>
      </c>
      <c r="P3064" t="s">
        <v>47</v>
      </c>
      <c r="Y3064" t="s">
        <v>11142</v>
      </c>
      <c r="AG3064" t="s">
        <v>48</v>
      </c>
    </row>
    <row r="3065" spans="1:33">
      <c r="A3065" t="s">
        <v>11143</v>
      </c>
      <c r="B3065" t="s">
        <v>11144</v>
      </c>
      <c r="D3065" t="s">
        <v>40</v>
      </c>
      <c r="E3065" t="s">
        <v>41</v>
      </c>
      <c r="J3065" t="s">
        <v>129</v>
      </c>
      <c r="K3065" t="s">
        <v>130</v>
      </c>
      <c r="L3065">
        <v>5</v>
      </c>
      <c r="M3065" t="s">
        <v>11145</v>
      </c>
      <c r="N3065" t="s">
        <v>46</v>
      </c>
      <c r="O3065" t="s">
        <v>47</v>
      </c>
      <c r="P3065" t="s">
        <v>47</v>
      </c>
      <c r="Y3065" t="s">
        <v>11146</v>
      </c>
      <c r="AG3065" t="s">
        <v>48</v>
      </c>
    </row>
    <row r="3066" spans="1:33">
      <c r="A3066" t="s">
        <v>11147</v>
      </c>
      <c r="B3066" t="s">
        <v>11148</v>
      </c>
      <c r="D3066" t="s">
        <v>40</v>
      </c>
      <c r="E3066" t="s">
        <v>41</v>
      </c>
      <c r="J3066" t="s">
        <v>162</v>
      </c>
      <c r="K3066" t="s">
        <v>163</v>
      </c>
      <c r="L3066">
        <v>5</v>
      </c>
      <c r="M3066" t="s">
        <v>11149</v>
      </c>
      <c r="N3066" t="s">
        <v>59</v>
      </c>
      <c r="O3066" t="s">
        <v>47</v>
      </c>
      <c r="P3066" t="s">
        <v>47</v>
      </c>
      <c r="Y3066" t="s">
        <v>11150</v>
      </c>
      <c r="AG3066" t="s">
        <v>48</v>
      </c>
    </row>
    <row r="3067" spans="1:33">
      <c r="A3067" t="s">
        <v>11151</v>
      </c>
      <c r="B3067" t="s">
        <v>11152</v>
      </c>
      <c r="D3067" t="s">
        <v>40</v>
      </c>
      <c r="E3067" t="s">
        <v>41</v>
      </c>
      <c r="J3067" t="s">
        <v>290</v>
      </c>
      <c r="K3067" t="s">
        <v>291</v>
      </c>
      <c r="L3067">
        <v>5</v>
      </c>
      <c r="M3067" t="s">
        <v>11149</v>
      </c>
      <c r="N3067" t="s">
        <v>59</v>
      </c>
      <c r="O3067" t="s">
        <v>47</v>
      </c>
      <c r="P3067" t="s">
        <v>47</v>
      </c>
      <c r="Y3067" t="s">
        <v>11153</v>
      </c>
      <c r="AG3067" t="s">
        <v>48</v>
      </c>
    </row>
    <row r="3068" spans="1:33">
      <c r="A3068" t="s">
        <v>11154</v>
      </c>
      <c r="B3068" t="s">
        <v>11155</v>
      </c>
      <c r="D3068" t="s">
        <v>40</v>
      </c>
      <c r="E3068" t="s">
        <v>41</v>
      </c>
      <c r="J3068" t="s">
        <v>108</v>
      </c>
      <c r="K3068" t="s">
        <v>109</v>
      </c>
      <c r="L3068">
        <v>5</v>
      </c>
      <c r="M3068" t="s">
        <v>11149</v>
      </c>
      <c r="N3068" t="s">
        <v>59</v>
      </c>
      <c r="O3068" t="s">
        <v>47</v>
      </c>
      <c r="P3068" t="s">
        <v>47</v>
      </c>
      <c r="Y3068" t="s">
        <v>11156</v>
      </c>
      <c r="AG3068" t="s">
        <v>48</v>
      </c>
    </row>
    <row r="3069" spans="1:33">
      <c r="A3069" t="s">
        <v>11157</v>
      </c>
      <c r="B3069" t="s">
        <v>11158</v>
      </c>
      <c r="D3069" t="s">
        <v>40</v>
      </c>
      <c r="E3069" t="s">
        <v>41</v>
      </c>
      <c r="J3069" t="s">
        <v>270</v>
      </c>
      <c r="K3069" t="s">
        <v>271</v>
      </c>
      <c r="L3069">
        <v>5</v>
      </c>
      <c r="M3069" t="s">
        <v>11159</v>
      </c>
      <c r="N3069" t="s">
        <v>59</v>
      </c>
      <c r="O3069" t="s">
        <v>47</v>
      </c>
      <c r="P3069" t="s">
        <v>47</v>
      </c>
      <c r="Y3069" t="s">
        <v>11160</v>
      </c>
      <c r="AG3069" t="s">
        <v>48</v>
      </c>
    </row>
    <row r="3070" spans="1:33">
      <c r="A3070" t="s">
        <v>11161</v>
      </c>
      <c r="B3070" t="s">
        <v>11162</v>
      </c>
      <c r="D3070" t="s">
        <v>40</v>
      </c>
      <c r="E3070" t="s">
        <v>41</v>
      </c>
      <c r="H3070" t="s">
        <v>11163</v>
      </c>
      <c r="J3070" t="s">
        <v>290</v>
      </c>
      <c r="K3070" t="s">
        <v>291</v>
      </c>
      <c r="L3070">
        <v>5</v>
      </c>
      <c r="M3070" t="s">
        <v>11159</v>
      </c>
      <c r="N3070" t="s">
        <v>59</v>
      </c>
      <c r="O3070" t="s">
        <v>47</v>
      </c>
      <c r="P3070" t="s">
        <v>47</v>
      </c>
      <c r="Y3070" t="s">
        <v>11163</v>
      </c>
      <c r="AG3070" t="s">
        <v>48</v>
      </c>
    </row>
    <row r="3071" spans="1:33">
      <c r="A3071" t="s">
        <v>11164</v>
      </c>
      <c r="B3071" t="s">
        <v>11165</v>
      </c>
      <c r="D3071" t="s">
        <v>40</v>
      </c>
      <c r="E3071" t="s">
        <v>41</v>
      </c>
      <c r="J3071" t="s">
        <v>108</v>
      </c>
      <c r="K3071" t="s">
        <v>109</v>
      </c>
      <c r="L3071">
        <v>5</v>
      </c>
      <c r="M3071" t="s">
        <v>11159</v>
      </c>
      <c r="N3071" t="s">
        <v>59</v>
      </c>
      <c r="O3071" t="s">
        <v>47</v>
      </c>
      <c r="P3071" t="s">
        <v>47</v>
      </c>
      <c r="Y3071" t="s">
        <v>11166</v>
      </c>
      <c r="AG3071" t="s">
        <v>48</v>
      </c>
    </row>
    <row r="3072" spans="1:33">
      <c r="A3072" t="s">
        <v>11167</v>
      </c>
      <c r="B3072" t="s">
        <v>11168</v>
      </c>
      <c r="D3072" t="s">
        <v>40</v>
      </c>
      <c r="E3072" t="s">
        <v>41</v>
      </c>
      <c r="H3072" t="s">
        <v>11169</v>
      </c>
      <c r="J3072" t="s">
        <v>63</v>
      </c>
      <c r="K3072" t="s">
        <v>64</v>
      </c>
      <c r="L3072">
        <v>5</v>
      </c>
      <c r="M3072" t="s">
        <v>11170</v>
      </c>
      <c r="N3072" t="s">
        <v>59</v>
      </c>
      <c r="O3072" t="s">
        <v>47</v>
      </c>
      <c r="P3072" t="s">
        <v>47</v>
      </c>
      <c r="Y3072" t="s">
        <v>11169</v>
      </c>
      <c r="AG3072" t="s">
        <v>48</v>
      </c>
    </row>
    <row r="3073" spans="1:33">
      <c r="A3073" t="s">
        <v>11171</v>
      </c>
      <c r="B3073" t="s">
        <v>11172</v>
      </c>
      <c r="D3073" t="s">
        <v>40</v>
      </c>
      <c r="E3073" t="s">
        <v>41</v>
      </c>
      <c r="J3073" t="s">
        <v>312</v>
      </c>
      <c r="K3073" t="s">
        <v>313</v>
      </c>
      <c r="L3073">
        <v>6</v>
      </c>
      <c r="M3073" t="s">
        <v>11173</v>
      </c>
      <c r="N3073" t="s">
        <v>46</v>
      </c>
      <c r="O3073" t="s">
        <v>47</v>
      </c>
      <c r="P3073" t="s">
        <v>47</v>
      </c>
      <c r="Y3073" t="s">
        <v>11174</v>
      </c>
      <c r="AG3073" t="s">
        <v>48</v>
      </c>
    </row>
    <row r="3074" spans="1:33">
      <c r="A3074" t="s">
        <v>11175</v>
      </c>
      <c r="B3074" t="s">
        <v>11176</v>
      </c>
      <c r="D3074" t="s">
        <v>40</v>
      </c>
      <c r="E3074" t="s">
        <v>41</v>
      </c>
      <c r="J3074" t="s">
        <v>270</v>
      </c>
      <c r="K3074" t="s">
        <v>271</v>
      </c>
      <c r="L3074">
        <v>5</v>
      </c>
      <c r="M3074" t="s">
        <v>11177</v>
      </c>
      <c r="N3074" t="s">
        <v>59</v>
      </c>
      <c r="O3074" t="s">
        <v>47</v>
      </c>
      <c r="P3074" t="s">
        <v>47</v>
      </c>
      <c r="Y3074" t="s">
        <v>11178</v>
      </c>
      <c r="AG3074" t="s">
        <v>48</v>
      </c>
    </row>
    <row r="3075" spans="1:33">
      <c r="A3075" t="s">
        <v>11179</v>
      </c>
      <c r="B3075" t="s">
        <v>11180</v>
      </c>
      <c r="D3075" t="s">
        <v>40</v>
      </c>
      <c r="E3075" t="s">
        <v>41</v>
      </c>
      <c r="J3075" t="s">
        <v>290</v>
      </c>
      <c r="K3075" t="s">
        <v>291</v>
      </c>
      <c r="L3075">
        <v>5</v>
      </c>
      <c r="M3075" t="s">
        <v>11177</v>
      </c>
      <c r="N3075" t="s">
        <v>59</v>
      </c>
      <c r="O3075" t="s">
        <v>47</v>
      </c>
      <c r="P3075" t="s">
        <v>47</v>
      </c>
      <c r="Y3075" t="s">
        <v>11181</v>
      </c>
      <c r="AG3075" t="s">
        <v>48</v>
      </c>
    </row>
    <row r="3076" spans="1:33">
      <c r="A3076" t="s">
        <v>11182</v>
      </c>
      <c r="B3076" t="s">
        <v>11183</v>
      </c>
      <c r="D3076" t="s">
        <v>40</v>
      </c>
      <c r="E3076" t="s">
        <v>41</v>
      </c>
      <c r="J3076" t="s">
        <v>270</v>
      </c>
      <c r="K3076" t="s">
        <v>271</v>
      </c>
      <c r="L3076">
        <v>5</v>
      </c>
      <c r="M3076" t="s">
        <v>11184</v>
      </c>
      <c r="N3076" t="s">
        <v>59</v>
      </c>
      <c r="O3076" t="s">
        <v>47</v>
      </c>
      <c r="P3076" t="s">
        <v>47</v>
      </c>
      <c r="Y3076" t="s">
        <v>11185</v>
      </c>
      <c r="AG3076" t="s">
        <v>48</v>
      </c>
    </row>
    <row r="3077" spans="1:33">
      <c r="A3077" t="s">
        <v>11186</v>
      </c>
      <c r="B3077" t="s">
        <v>11187</v>
      </c>
      <c r="D3077" t="s">
        <v>40</v>
      </c>
      <c r="E3077" t="s">
        <v>41</v>
      </c>
      <c r="J3077" t="s">
        <v>290</v>
      </c>
      <c r="K3077" t="s">
        <v>291</v>
      </c>
      <c r="L3077">
        <v>5</v>
      </c>
      <c r="M3077" t="s">
        <v>11188</v>
      </c>
      <c r="N3077" t="s">
        <v>59</v>
      </c>
      <c r="O3077" t="s">
        <v>47</v>
      </c>
      <c r="P3077" t="s">
        <v>47</v>
      </c>
      <c r="Y3077" t="s">
        <v>11189</v>
      </c>
      <c r="AG3077" t="s">
        <v>48</v>
      </c>
    </row>
    <row r="3078" spans="1:33">
      <c r="A3078" t="s">
        <v>11190</v>
      </c>
      <c r="B3078" t="s">
        <v>11191</v>
      </c>
      <c r="D3078" t="s">
        <v>40</v>
      </c>
      <c r="E3078" t="s">
        <v>41</v>
      </c>
      <c r="J3078" t="s">
        <v>162</v>
      </c>
      <c r="K3078" t="s">
        <v>163</v>
      </c>
      <c r="L3078">
        <v>5</v>
      </c>
      <c r="M3078" t="s">
        <v>11192</v>
      </c>
      <c r="N3078" t="s">
        <v>59</v>
      </c>
      <c r="O3078" t="s">
        <v>47</v>
      </c>
      <c r="P3078" t="s">
        <v>47</v>
      </c>
      <c r="Y3078" t="s">
        <v>11193</v>
      </c>
      <c r="AG3078" t="s">
        <v>48</v>
      </c>
    </row>
    <row r="3079" spans="1:33">
      <c r="A3079" t="s">
        <v>11194</v>
      </c>
      <c r="B3079" t="s">
        <v>11195</v>
      </c>
      <c r="D3079" t="s">
        <v>40</v>
      </c>
      <c r="E3079" t="s">
        <v>41</v>
      </c>
      <c r="J3079" t="s">
        <v>270</v>
      </c>
      <c r="K3079" t="s">
        <v>271</v>
      </c>
      <c r="L3079">
        <v>5</v>
      </c>
      <c r="M3079" t="s">
        <v>11192</v>
      </c>
      <c r="N3079" t="s">
        <v>59</v>
      </c>
      <c r="O3079" t="s">
        <v>47</v>
      </c>
      <c r="P3079" t="s">
        <v>47</v>
      </c>
      <c r="Y3079" t="s">
        <v>11196</v>
      </c>
      <c r="AG3079" t="s">
        <v>48</v>
      </c>
    </row>
    <row r="3080" spans="1:33">
      <c r="A3080" t="s">
        <v>11197</v>
      </c>
      <c r="B3080" t="s">
        <v>11198</v>
      </c>
      <c r="D3080" t="s">
        <v>40</v>
      </c>
      <c r="E3080" t="s">
        <v>41</v>
      </c>
      <c r="J3080" t="s">
        <v>290</v>
      </c>
      <c r="K3080" t="s">
        <v>291</v>
      </c>
      <c r="L3080">
        <v>5</v>
      </c>
      <c r="M3080" t="s">
        <v>11199</v>
      </c>
      <c r="N3080" t="s">
        <v>59</v>
      </c>
      <c r="O3080" t="s">
        <v>47</v>
      </c>
      <c r="P3080" t="s">
        <v>47</v>
      </c>
      <c r="Y3080" t="s">
        <v>11200</v>
      </c>
      <c r="AG3080" t="s">
        <v>48</v>
      </c>
    </row>
    <row r="3081" spans="1:33">
      <c r="A3081" t="s">
        <v>11201</v>
      </c>
      <c r="B3081" t="s">
        <v>11202</v>
      </c>
      <c r="D3081" t="s">
        <v>40</v>
      </c>
      <c r="E3081" t="s">
        <v>41</v>
      </c>
      <c r="J3081" t="s">
        <v>108</v>
      </c>
      <c r="K3081" t="s">
        <v>109</v>
      </c>
      <c r="L3081">
        <v>5</v>
      </c>
      <c r="M3081" t="s">
        <v>11199</v>
      </c>
      <c r="N3081" t="s">
        <v>59</v>
      </c>
      <c r="O3081" t="s">
        <v>47</v>
      </c>
      <c r="P3081" t="s">
        <v>47</v>
      </c>
      <c r="Y3081" t="s">
        <v>11203</v>
      </c>
      <c r="AG3081" t="s">
        <v>48</v>
      </c>
    </row>
    <row r="3082" spans="1:33">
      <c r="A3082" t="s">
        <v>11204</v>
      </c>
      <c r="B3082" t="s">
        <v>11205</v>
      </c>
      <c r="D3082" t="s">
        <v>40</v>
      </c>
      <c r="E3082" t="s">
        <v>41</v>
      </c>
      <c r="J3082" t="s">
        <v>290</v>
      </c>
      <c r="K3082" t="s">
        <v>291</v>
      </c>
      <c r="L3082">
        <v>5</v>
      </c>
      <c r="M3082" t="s">
        <v>11206</v>
      </c>
      <c r="N3082" t="s">
        <v>59</v>
      </c>
      <c r="O3082" t="s">
        <v>47</v>
      </c>
      <c r="P3082" t="s">
        <v>47</v>
      </c>
      <c r="Y3082" t="s">
        <v>11207</v>
      </c>
      <c r="AG3082" t="s">
        <v>48</v>
      </c>
    </row>
    <row r="3083" spans="1:33">
      <c r="A3083" t="s">
        <v>11208</v>
      </c>
      <c r="B3083" t="s">
        <v>11209</v>
      </c>
      <c r="D3083" t="s">
        <v>40</v>
      </c>
      <c r="E3083" t="s">
        <v>41</v>
      </c>
      <c r="J3083" t="s">
        <v>290</v>
      </c>
      <c r="K3083" t="s">
        <v>291</v>
      </c>
      <c r="L3083">
        <v>5</v>
      </c>
      <c r="M3083" t="s">
        <v>11206</v>
      </c>
      <c r="N3083" t="s">
        <v>59</v>
      </c>
      <c r="O3083" t="s">
        <v>47</v>
      </c>
      <c r="P3083" t="s">
        <v>47</v>
      </c>
      <c r="Y3083" t="s">
        <v>11210</v>
      </c>
      <c r="AG3083" t="s">
        <v>48</v>
      </c>
    </row>
    <row r="3084" spans="1:33">
      <c r="A3084" t="s">
        <v>11211</v>
      </c>
      <c r="B3084" t="s">
        <v>11212</v>
      </c>
      <c r="D3084" t="s">
        <v>40</v>
      </c>
      <c r="E3084" t="s">
        <v>41</v>
      </c>
      <c r="J3084" t="s">
        <v>290</v>
      </c>
      <c r="K3084" t="s">
        <v>291</v>
      </c>
      <c r="L3084">
        <v>5</v>
      </c>
      <c r="M3084" t="s">
        <v>11213</v>
      </c>
      <c r="N3084" t="s">
        <v>59</v>
      </c>
      <c r="O3084" t="s">
        <v>47</v>
      </c>
      <c r="P3084" t="s">
        <v>47</v>
      </c>
      <c r="Y3084" t="s">
        <v>11214</v>
      </c>
      <c r="AG3084" t="s">
        <v>48</v>
      </c>
    </row>
    <row r="3085" spans="1:33">
      <c r="A3085" t="s">
        <v>11215</v>
      </c>
      <c r="B3085" t="s">
        <v>11216</v>
      </c>
      <c r="D3085" t="s">
        <v>40</v>
      </c>
      <c r="E3085" t="s">
        <v>41</v>
      </c>
      <c r="J3085" t="s">
        <v>270</v>
      </c>
      <c r="K3085" t="s">
        <v>271</v>
      </c>
      <c r="L3085">
        <v>5</v>
      </c>
      <c r="M3085" t="s">
        <v>11213</v>
      </c>
      <c r="N3085" t="s">
        <v>59</v>
      </c>
      <c r="O3085" t="s">
        <v>47</v>
      </c>
      <c r="P3085" t="s">
        <v>47</v>
      </c>
      <c r="Y3085" t="s">
        <v>11217</v>
      </c>
      <c r="AG3085" t="s">
        <v>48</v>
      </c>
    </row>
    <row r="3086" spans="1:33">
      <c r="A3086" t="s">
        <v>11218</v>
      </c>
      <c r="B3086" t="s">
        <v>11219</v>
      </c>
      <c r="D3086" t="s">
        <v>40</v>
      </c>
      <c r="E3086" t="s">
        <v>41</v>
      </c>
      <c r="J3086" t="s">
        <v>129</v>
      </c>
      <c r="K3086" t="s">
        <v>130</v>
      </c>
      <c r="L3086">
        <v>5</v>
      </c>
      <c r="M3086" t="s">
        <v>11213</v>
      </c>
      <c r="N3086" t="s">
        <v>218</v>
      </c>
      <c r="O3086" t="s">
        <v>47</v>
      </c>
      <c r="P3086" t="s">
        <v>47</v>
      </c>
      <c r="Y3086" t="s">
        <v>11220</v>
      </c>
      <c r="AG3086" t="s">
        <v>48</v>
      </c>
    </row>
    <row r="3087" spans="1:33">
      <c r="A3087" t="s">
        <v>11221</v>
      </c>
      <c r="B3087" t="s">
        <v>11222</v>
      </c>
      <c r="D3087" t="s">
        <v>40</v>
      </c>
      <c r="E3087" t="s">
        <v>41</v>
      </c>
      <c r="J3087" t="s">
        <v>270</v>
      </c>
      <c r="K3087" t="s">
        <v>271</v>
      </c>
      <c r="L3087">
        <v>5</v>
      </c>
      <c r="M3087" t="s">
        <v>11213</v>
      </c>
      <c r="N3087" t="s">
        <v>59</v>
      </c>
      <c r="O3087" t="s">
        <v>47</v>
      </c>
      <c r="P3087" t="s">
        <v>47</v>
      </c>
      <c r="Y3087" t="s">
        <v>11223</v>
      </c>
      <c r="AG3087" t="s">
        <v>48</v>
      </c>
    </row>
    <row r="3088" spans="1:33">
      <c r="A3088" t="s">
        <v>11224</v>
      </c>
      <c r="B3088" t="s">
        <v>11225</v>
      </c>
      <c r="D3088" t="s">
        <v>40</v>
      </c>
      <c r="E3088" t="s">
        <v>41</v>
      </c>
      <c r="J3088" t="s">
        <v>270</v>
      </c>
      <c r="K3088" t="s">
        <v>271</v>
      </c>
      <c r="L3088">
        <v>5</v>
      </c>
      <c r="M3088" t="s">
        <v>11226</v>
      </c>
      <c r="N3088" t="s">
        <v>59</v>
      </c>
      <c r="O3088" t="s">
        <v>47</v>
      </c>
      <c r="P3088" t="s">
        <v>47</v>
      </c>
      <c r="Y3088" t="s">
        <v>11227</v>
      </c>
      <c r="AG3088" t="s">
        <v>48</v>
      </c>
    </row>
    <row r="3089" spans="1:33">
      <c r="A3089" t="s">
        <v>11228</v>
      </c>
      <c r="B3089" t="s">
        <v>11229</v>
      </c>
      <c r="D3089" t="s">
        <v>40</v>
      </c>
      <c r="E3089" t="s">
        <v>41</v>
      </c>
      <c r="J3089" t="s">
        <v>114</v>
      </c>
      <c r="K3089" t="s">
        <v>115</v>
      </c>
      <c r="L3089">
        <v>5</v>
      </c>
      <c r="M3089" t="s">
        <v>11230</v>
      </c>
      <c r="N3089" t="s">
        <v>59</v>
      </c>
      <c r="O3089" t="s">
        <v>47</v>
      </c>
      <c r="P3089" t="s">
        <v>47</v>
      </c>
      <c r="Y3089" t="s">
        <v>11231</v>
      </c>
      <c r="AG3089" t="s">
        <v>48</v>
      </c>
    </row>
    <row r="3090" spans="1:33">
      <c r="A3090" t="s">
        <v>11232</v>
      </c>
      <c r="B3090" t="s">
        <v>11233</v>
      </c>
      <c r="D3090" t="s">
        <v>40</v>
      </c>
      <c r="E3090" t="s">
        <v>41</v>
      </c>
      <c r="H3090" t="s">
        <v>11234</v>
      </c>
      <c r="J3090" t="s">
        <v>290</v>
      </c>
      <c r="K3090" t="s">
        <v>291</v>
      </c>
      <c r="L3090">
        <v>5</v>
      </c>
      <c r="M3090" t="s">
        <v>11235</v>
      </c>
      <c r="N3090" t="s">
        <v>59</v>
      </c>
      <c r="O3090" t="s">
        <v>47</v>
      </c>
      <c r="P3090" t="s">
        <v>47</v>
      </c>
      <c r="Y3090" t="s">
        <v>11234</v>
      </c>
      <c r="AG3090" t="s">
        <v>48</v>
      </c>
    </row>
    <row r="3091" spans="1:33">
      <c r="A3091" t="s">
        <v>11236</v>
      </c>
      <c r="B3091" t="s">
        <v>11237</v>
      </c>
      <c r="D3091" t="s">
        <v>40</v>
      </c>
      <c r="E3091" t="s">
        <v>41</v>
      </c>
      <c r="J3091" t="s">
        <v>129</v>
      </c>
      <c r="K3091" t="s">
        <v>130</v>
      </c>
      <c r="L3091">
        <v>5</v>
      </c>
      <c r="M3091" t="s">
        <v>11238</v>
      </c>
      <c r="N3091" t="s">
        <v>218</v>
      </c>
      <c r="O3091" t="s">
        <v>47</v>
      </c>
      <c r="P3091" t="s">
        <v>47</v>
      </c>
      <c r="Y3091" t="s">
        <v>11239</v>
      </c>
      <c r="AG3091" t="s">
        <v>48</v>
      </c>
    </row>
    <row r="3092" spans="1:33">
      <c r="A3092" t="s">
        <v>11240</v>
      </c>
      <c r="B3092" t="s">
        <v>11241</v>
      </c>
      <c r="D3092" t="s">
        <v>40</v>
      </c>
      <c r="E3092" t="s">
        <v>41</v>
      </c>
      <c r="J3092" t="s">
        <v>162</v>
      </c>
      <c r="K3092" t="s">
        <v>163</v>
      </c>
      <c r="L3092">
        <v>5</v>
      </c>
      <c r="M3092" t="s">
        <v>11238</v>
      </c>
      <c r="N3092" t="s">
        <v>59</v>
      </c>
      <c r="O3092" t="s">
        <v>47</v>
      </c>
      <c r="P3092" t="s">
        <v>47</v>
      </c>
      <c r="Y3092" t="s">
        <v>11242</v>
      </c>
      <c r="AG3092" t="s">
        <v>48</v>
      </c>
    </row>
    <row r="3093" spans="1:33">
      <c r="A3093" t="s">
        <v>11243</v>
      </c>
      <c r="B3093" t="s">
        <v>11244</v>
      </c>
      <c r="D3093" t="s">
        <v>40</v>
      </c>
      <c r="E3093" t="s">
        <v>41</v>
      </c>
      <c r="J3093" t="s">
        <v>290</v>
      </c>
      <c r="K3093" t="s">
        <v>291</v>
      </c>
      <c r="L3093">
        <v>5</v>
      </c>
      <c r="M3093" t="s">
        <v>11245</v>
      </c>
      <c r="N3093" t="s">
        <v>59</v>
      </c>
      <c r="O3093" t="s">
        <v>47</v>
      </c>
      <c r="P3093" t="s">
        <v>47</v>
      </c>
      <c r="Y3093" t="s">
        <v>11246</v>
      </c>
      <c r="AG3093" t="s">
        <v>48</v>
      </c>
    </row>
    <row r="3094" spans="1:33">
      <c r="A3094" t="s">
        <v>11247</v>
      </c>
      <c r="B3094" t="s">
        <v>11248</v>
      </c>
      <c r="D3094" t="s">
        <v>40</v>
      </c>
      <c r="E3094" t="s">
        <v>41</v>
      </c>
      <c r="J3094" t="s">
        <v>290</v>
      </c>
      <c r="K3094" t="s">
        <v>291</v>
      </c>
      <c r="L3094">
        <v>5</v>
      </c>
      <c r="M3094" t="s">
        <v>11245</v>
      </c>
      <c r="N3094" t="s">
        <v>59</v>
      </c>
      <c r="O3094" t="s">
        <v>47</v>
      </c>
      <c r="P3094" t="s">
        <v>47</v>
      </c>
      <c r="Y3094" t="s">
        <v>11249</v>
      </c>
      <c r="AG3094" t="s">
        <v>48</v>
      </c>
    </row>
    <row r="3095" spans="1:33">
      <c r="A3095" t="s">
        <v>11250</v>
      </c>
      <c r="B3095" t="s">
        <v>11251</v>
      </c>
      <c r="D3095" t="s">
        <v>40</v>
      </c>
      <c r="E3095" t="s">
        <v>41</v>
      </c>
      <c r="H3095" t="s">
        <v>11252</v>
      </c>
      <c r="J3095" t="s">
        <v>63</v>
      </c>
      <c r="K3095" t="s">
        <v>64</v>
      </c>
      <c r="L3095">
        <v>5</v>
      </c>
      <c r="M3095" t="s">
        <v>11253</v>
      </c>
      <c r="N3095" t="s">
        <v>59</v>
      </c>
      <c r="O3095" t="s">
        <v>47</v>
      </c>
      <c r="P3095" t="s">
        <v>47</v>
      </c>
      <c r="Y3095" t="s">
        <v>11252</v>
      </c>
      <c r="AG3095" t="s">
        <v>48</v>
      </c>
    </row>
    <row r="3096" spans="1:33">
      <c r="A3096" t="s">
        <v>11254</v>
      </c>
      <c r="B3096" t="s">
        <v>11255</v>
      </c>
      <c r="D3096" t="s">
        <v>40</v>
      </c>
      <c r="E3096" t="s">
        <v>41</v>
      </c>
      <c r="H3096" t="s">
        <v>11256</v>
      </c>
      <c r="J3096" t="s">
        <v>108</v>
      </c>
      <c r="K3096" t="s">
        <v>109</v>
      </c>
      <c r="L3096">
        <v>5</v>
      </c>
      <c r="M3096" t="s">
        <v>11257</v>
      </c>
      <c r="N3096" t="s">
        <v>59</v>
      </c>
      <c r="O3096" t="s">
        <v>47</v>
      </c>
      <c r="P3096" t="s">
        <v>47</v>
      </c>
      <c r="Y3096" t="s">
        <v>11256</v>
      </c>
      <c r="AG3096" t="s">
        <v>48</v>
      </c>
    </row>
    <row r="3097" spans="1:33">
      <c r="A3097" t="s">
        <v>11258</v>
      </c>
      <c r="B3097" t="s">
        <v>11259</v>
      </c>
      <c r="D3097" t="s">
        <v>40</v>
      </c>
      <c r="E3097" t="s">
        <v>41</v>
      </c>
      <c r="H3097" t="s">
        <v>11260</v>
      </c>
      <c r="J3097" t="s">
        <v>129</v>
      </c>
      <c r="K3097" t="s">
        <v>130</v>
      </c>
      <c r="L3097">
        <v>6</v>
      </c>
      <c r="M3097" t="s">
        <v>11261</v>
      </c>
      <c r="N3097" t="s">
        <v>218</v>
      </c>
      <c r="O3097" t="s">
        <v>47</v>
      </c>
      <c r="P3097" t="s">
        <v>47</v>
      </c>
      <c r="Y3097" t="s">
        <v>11260</v>
      </c>
      <c r="AG3097" t="s">
        <v>48</v>
      </c>
    </row>
    <row r="3098" spans="1:33">
      <c r="A3098" t="s">
        <v>11262</v>
      </c>
      <c r="B3098" t="s">
        <v>11263</v>
      </c>
      <c r="D3098" t="s">
        <v>40</v>
      </c>
      <c r="E3098" t="s">
        <v>41</v>
      </c>
      <c r="J3098" t="s">
        <v>290</v>
      </c>
      <c r="K3098" t="s">
        <v>291</v>
      </c>
      <c r="L3098">
        <v>5</v>
      </c>
      <c r="M3098" t="s">
        <v>11264</v>
      </c>
      <c r="N3098" t="s">
        <v>59</v>
      </c>
      <c r="O3098" t="s">
        <v>47</v>
      </c>
      <c r="P3098" t="s">
        <v>47</v>
      </c>
      <c r="Y3098" t="s">
        <v>11265</v>
      </c>
      <c r="AG3098" t="s">
        <v>48</v>
      </c>
    </row>
    <row r="3099" spans="1:33">
      <c r="A3099" t="s">
        <v>11266</v>
      </c>
      <c r="B3099" t="s">
        <v>11267</v>
      </c>
      <c r="D3099" t="s">
        <v>40</v>
      </c>
      <c r="E3099" t="s">
        <v>41</v>
      </c>
      <c r="J3099" t="s">
        <v>114</v>
      </c>
      <c r="K3099" t="s">
        <v>115</v>
      </c>
      <c r="L3099">
        <v>5</v>
      </c>
      <c r="M3099" t="s">
        <v>11268</v>
      </c>
      <c r="N3099" t="s">
        <v>59</v>
      </c>
      <c r="O3099" t="s">
        <v>47</v>
      </c>
      <c r="P3099" t="s">
        <v>47</v>
      </c>
      <c r="Y3099" t="s">
        <v>11269</v>
      </c>
      <c r="AG3099" t="s">
        <v>48</v>
      </c>
    </row>
    <row r="3100" spans="1:33">
      <c r="A3100" t="s">
        <v>11270</v>
      </c>
      <c r="B3100" t="s">
        <v>11271</v>
      </c>
      <c r="D3100" t="s">
        <v>40</v>
      </c>
      <c r="E3100" t="s">
        <v>41</v>
      </c>
      <c r="J3100" t="s">
        <v>108</v>
      </c>
      <c r="K3100" t="s">
        <v>109</v>
      </c>
      <c r="L3100">
        <v>5</v>
      </c>
      <c r="M3100" t="s">
        <v>11268</v>
      </c>
      <c r="N3100" t="s">
        <v>59</v>
      </c>
      <c r="O3100" t="s">
        <v>47</v>
      </c>
      <c r="P3100" t="s">
        <v>47</v>
      </c>
      <c r="Y3100" t="s">
        <v>11272</v>
      </c>
      <c r="AG3100" t="s">
        <v>48</v>
      </c>
    </row>
    <row r="3101" spans="1:33">
      <c r="A3101" t="s">
        <v>11273</v>
      </c>
      <c r="B3101" t="s">
        <v>11274</v>
      </c>
      <c r="D3101" t="s">
        <v>40</v>
      </c>
      <c r="E3101" t="s">
        <v>41</v>
      </c>
      <c r="H3101" t="s">
        <v>11275</v>
      </c>
      <c r="J3101" t="s">
        <v>63</v>
      </c>
      <c r="K3101" t="s">
        <v>64</v>
      </c>
      <c r="L3101">
        <v>5</v>
      </c>
      <c r="M3101" t="s">
        <v>11276</v>
      </c>
      <c r="N3101" t="s">
        <v>59</v>
      </c>
      <c r="O3101" t="s">
        <v>47</v>
      </c>
      <c r="P3101" t="s">
        <v>47</v>
      </c>
      <c r="Y3101" t="s">
        <v>11275</v>
      </c>
      <c r="AG3101" t="s">
        <v>48</v>
      </c>
    </row>
    <row r="3102" spans="1:33">
      <c r="A3102" t="s">
        <v>11277</v>
      </c>
      <c r="B3102" t="s">
        <v>11278</v>
      </c>
      <c r="D3102" t="s">
        <v>40</v>
      </c>
      <c r="E3102" t="s">
        <v>41</v>
      </c>
      <c r="J3102" t="s">
        <v>270</v>
      </c>
      <c r="K3102" t="s">
        <v>271</v>
      </c>
      <c r="L3102">
        <v>5</v>
      </c>
      <c r="M3102" t="s">
        <v>11279</v>
      </c>
      <c r="N3102" t="s">
        <v>59</v>
      </c>
      <c r="O3102" t="s">
        <v>47</v>
      </c>
      <c r="P3102" t="s">
        <v>47</v>
      </c>
      <c r="Y3102" t="s">
        <v>11280</v>
      </c>
      <c r="AG3102" t="s">
        <v>48</v>
      </c>
    </row>
    <row r="3103" spans="1:33">
      <c r="A3103" t="s">
        <v>11281</v>
      </c>
      <c r="B3103" t="s">
        <v>11282</v>
      </c>
      <c r="D3103" t="s">
        <v>40</v>
      </c>
      <c r="E3103" t="s">
        <v>41</v>
      </c>
      <c r="J3103" t="s">
        <v>290</v>
      </c>
      <c r="K3103" t="s">
        <v>291</v>
      </c>
      <c r="L3103">
        <v>5</v>
      </c>
      <c r="M3103" t="s">
        <v>11279</v>
      </c>
      <c r="N3103" t="s">
        <v>59</v>
      </c>
      <c r="O3103" t="s">
        <v>47</v>
      </c>
      <c r="P3103" t="s">
        <v>47</v>
      </c>
      <c r="Y3103" t="s">
        <v>11283</v>
      </c>
      <c r="AG3103" t="s">
        <v>48</v>
      </c>
    </row>
    <row r="3104" spans="1:33">
      <c r="A3104" t="s">
        <v>11284</v>
      </c>
      <c r="B3104" t="s">
        <v>11285</v>
      </c>
      <c r="D3104" t="s">
        <v>40</v>
      </c>
      <c r="E3104" t="s">
        <v>41</v>
      </c>
      <c r="J3104" t="s">
        <v>290</v>
      </c>
      <c r="K3104" t="s">
        <v>291</v>
      </c>
      <c r="L3104">
        <v>5</v>
      </c>
      <c r="M3104" t="s">
        <v>11279</v>
      </c>
      <c r="N3104" t="s">
        <v>59</v>
      </c>
      <c r="O3104" t="s">
        <v>47</v>
      </c>
      <c r="P3104" t="s">
        <v>47</v>
      </c>
      <c r="Y3104" t="s">
        <v>11286</v>
      </c>
      <c r="AG3104" t="s">
        <v>48</v>
      </c>
    </row>
    <row r="3105" spans="1:33">
      <c r="A3105" t="s">
        <v>11287</v>
      </c>
      <c r="B3105" t="s">
        <v>11288</v>
      </c>
      <c r="D3105" t="s">
        <v>40</v>
      </c>
      <c r="E3105" t="s">
        <v>41</v>
      </c>
      <c r="J3105" t="s">
        <v>162</v>
      </c>
      <c r="K3105" t="s">
        <v>163</v>
      </c>
      <c r="L3105">
        <v>5</v>
      </c>
      <c r="M3105" t="s">
        <v>11279</v>
      </c>
      <c r="N3105" t="s">
        <v>59</v>
      </c>
      <c r="O3105" t="s">
        <v>47</v>
      </c>
      <c r="P3105" t="s">
        <v>47</v>
      </c>
      <c r="Y3105" t="s">
        <v>11289</v>
      </c>
      <c r="AG3105" t="s">
        <v>48</v>
      </c>
    </row>
    <row r="3106" spans="1:33">
      <c r="A3106" t="s">
        <v>11290</v>
      </c>
      <c r="B3106" t="s">
        <v>11291</v>
      </c>
      <c r="D3106" t="s">
        <v>40</v>
      </c>
      <c r="E3106" t="s">
        <v>41</v>
      </c>
      <c r="J3106" t="s">
        <v>123</v>
      </c>
      <c r="K3106" t="s">
        <v>124</v>
      </c>
      <c r="L3106">
        <v>5</v>
      </c>
      <c r="M3106" t="s">
        <v>11292</v>
      </c>
      <c r="N3106" t="s">
        <v>192</v>
      </c>
      <c r="O3106" t="s">
        <v>47</v>
      </c>
      <c r="P3106" t="s">
        <v>47</v>
      </c>
      <c r="Y3106" t="s">
        <v>11293</v>
      </c>
      <c r="AG3106" t="s">
        <v>48</v>
      </c>
    </row>
    <row r="3107" spans="1:33">
      <c r="A3107" t="s">
        <v>11294</v>
      </c>
      <c r="B3107" t="s">
        <v>11295</v>
      </c>
      <c r="D3107" t="s">
        <v>40</v>
      </c>
      <c r="E3107" t="s">
        <v>41</v>
      </c>
      <c r="H3107" t="s">
        <v>11296</v>
      </c>
      <c r="J3107" t="s">
        <v>129</v>
      </c>
      <c r="K3107" t="s">
        <v>130</v>
      </c>
      <c r="L3107">
        <v>5</v>
      </c>
      <c r="M3107" t="s">
        <v>11292</v>
      </c>
      <c r="N3107" t="s">
        <v>192</v>
      </c>
      <c r="O3107" t="s">
        <v>47</v>
      </c>
      <c r="P3107" t="s">
        <v>47</v>
      </c>
      <c r="Y3107" t="s">
        <v>11296</v>
      </c>
      <c r="AG3107" t="s">
        <v>48</v>
      </c>
    </row>
    <row r="3108" spans="1:33">
      <c r="A3108" t="s">
        <v>11297</v>
      </c>
      <c r="B3108" t="s">
        <v>11298</v>
      </c>
      <c r="D3108" t="s">
        <v>40</v>
      </c>
      <c r="E3108" t="s">
        <v>41</v>
      </c>
      <c r="J3108" t="s">
        <v>129</v>
      </c>
      <c r="K3108" t="s">
        <v>130</v>
      </c>
      <c r="L3108">
        <v>5</v>
      </c>
      <c r="M3108" t="s">
        <v>11299</v>
      </c>
      <c r="N3108" t="s">
        <v>218</v>
      </c>
      <c r="O3108" t="s">
        <v>47</v>
      </c>
      <c r="P3108" t="s">
        <v>47</v>
      </c>
      <c r="Y3108" t="s">
        <v>11300</v>
      </c>
      <c r="AG3108" t="s">
        <v>48</v>
      </c>
    </row>
    <row r="3109" spans="1:33">
      <c r="A3109" t="s">
        <v>11301</v>
      </c>
      <c r="B3109" t="s">
        <v>11302</v>
      </c>
      <c r="D3109" t="s">
        <v>40</v>
      </c>
      <c r="E3109" t="s">
        <v>41</v>
      </c>
      <c r="J3109" t="s">
        <v>114</v>
      </c>
      <c r="K3109" t="s">
        <v>115</v>
      </c>
      <c r="L3109">
        <v>5</v>
      </c>
      <c r="M3109" t="s">
        <v>11303</v>
      </c>
      <c r="N3109" t="s">
        <v>59</v>
      </c>
      <c r="O3109" t="s">
        <v>47</v>
      </c>
      <c r="P3109" t="s">
        <v>47</v>
      </c>
      <c r="Y3109" t="s">
        <v>11304</v>
      </c>
      <c r="AG3109" t="s">
        <v>48</v>
      </c>
    </row>
    <row r="3110" spans="1:33">
      <c r="A3110" t="s">
        <v>11305</v>
      </c>
      <c r="B3110" t="s">
        <v>11306</v>
      </c>
      <c r="D3110" t="s">
        <v>40</v>
      </c>
      <c r="E3110" t="s">
        <v>41</v>
      </c>
      <c r="H3110" t="s">
        <v>11307</v>
      </c>
      <c r="J3110" t="s">
        <v>129</v>
      </c>
      <c r="K3110" t="s">
        <v>130</v>
      </c>
      <c r="L3110">
        <v>5</v>
      </c>
      <c r="M3110" t="s">
        <v>11308</v>
      </c>
      <c r="N3110" t="s">
        <v>218</v>
      </c>
      <c r="O3110" t="s">
        <v>47</v>
      </c>
      <c r="P3110" t="s">
        <v>47</v>
      </c>
      <c r="Y3110" t="s">
        <v>11307</v>
      </c>
      <c r="AG3110" t="s">
        <v>48</v>
      </c>
    </row>
    <row r="3111" spans="1:33">
      <c r="A3111" t="s">
        <v>11309</v>
      </c>
      <c r="B3111" t="s">
        <v>11310</v>
      </c>
      <c r="D3111" t="s">
        <v>40</v>
      </c>
      <c r="E3111" t="s">
        <v>41</v>
      </c>
      <c r="J3111" t="s">
        <v>43</v>
      </c>
      <c r="K3111" t="s">
        <v>44</v>
      </c>
      <c r="L3111">
        <v>5</v>
      </c>
      <c r="M3111" t="s">
        <v>11308</v>
      </c>
      <c r="N3111" t="s">
        <v>192</v>
      </c>
      <c r="O3111" t="s">
        <v>47</v>
      </c>
      <c r="P3111" t="s">
        <v>47</v>
      </c>
      <c r="Y3111" t="s">
        <v>11311</v>
      </c>
      <c r="AG3111" t="s">
        <v>48</v>
      </c>
    </row>
    <row r="3112" spans="1:33">
      <c r="A3112" t="s">
        <v>11312</v>
      </c>
      <c r="B3112" t="s">
        <v>11313</v>
      </c>
      <c r="D3112" t="s">
        <v>40</v>
      </c>
      <c r="E3112" t="s">
        <v>41</v>
      </c>
      <c r="J3112" t="s">
        <v>290</v>
      </c>
      <c r="K3112" t="s">
        <v>291</v>
      </c>
      <c r="L3112">
        <v>5</v>
      </c>
      <c r="M3112" t="s">
        <v>11308</v>
      </c>
      <c r="N3112" t="s">
        <v>59</v>
      </c>
      <c r="O3112" t="s">
        <v>47</v>
      </c>
      <c r="P3112" t="s">
        <v>47</v>
      </c>
      <c r="Y3112" t="s">
        <v>11314</v>
      </c>
      <c r="AG3112" t="s">
        <v>48</v>
      </c>
    </row>
    <row r="3113" spans="1:33">
      <c r="A3113" t="s">
        <v>11315</v>
      </c>
      <c r="B3113" t="s">
        <v>11316</v>
      </c>
      <c r="D3113" t="s">
        <v>40</v>
      </c>
      <c r="E3113" t="s">
        <v>41</v>
      </c>
      <c r="J3113" t="s">
        <v>108</v>
      </c>
      <c r="K3113" t="s">
        <v>109</v>
      </c>
      <c r="L3113">
        <v>5</v>
      </c>
      <c r="M3113" t="s">
        <v>11308</v>
      </c>
      <c r="N3113" t="s">
        <v>59</v>
      </c>
      <c r="O3113" t="s">
        <v>47</v>
      </c>
      <c r="P3113" t="s">
        <v>47</v>
      </c>
      <c r="Y3113" t="s">
        <v>11317</v>
      </c>
      <c r="AG3113" t="s">
        <v>48</v>
      </c>
    </row>
    <row r="3114" spans="1:33">
      <c r="A3114" t="s">
        <v>11318</v>
      </c>
      <c r="B3114" t="s">
        <v>11319</v>
      </c>
      <c r="D3114" t="s">
        <v>40</v>
      </c>
      <c r="E3114" t="s">
        <v>41</v>
      </c>
      <c r="H3114" t="s">
        <v>11320</v>
      </c>
      <c r="J3114" t="s">
        <v>129</v>
      </c>
      <c r="K3114" t="s">
        <v>130</v>
      </c>
      <c r="L3114">
        <v>5</v>
      </c>
      <c r="M3114" t="s">
        <v>11308</v>
      </c>
      <c r="N3114" t="s">
        <v>192</v>
      </c>
      <c r="O3114" t="s">
        <v>47</v>
      </c>
      <c r="P3114" t="s">
        <v>47</v>
      </c>
      <c r="Y3114" t="s">
        <v>11320</v>
      </c>
      <c r="AG3114" t="s">
        <v>48</v>
      </c>
    </row>
    <row r="3115" spans="1:33">
      <c r="A3115" t="s">
        <v>11321</v>
      </c>
      <c r="B3115" t="s">
        <v>11322</v>
      </c>
      <c r="D3115" t="s">
        <v>40</v>
      </c>
      <c r="E3115" t="s">
        <v>41</v>
      </c>
      <c r="H3115" t="s">
        <v>11323</v>
      </c>
      <c r="J3115" t="s">
        <v>63</v>
      </c>
      <c r="K3115" t="s">
        <v>64</v>
      </c>
      <c r="L3115">
        <v>5</v>
      </c>
      <c r="M3115" t="s">
        <v>11324</v>
      </c>
      <c r="N3115" t="s">
        <v>59</v>
      </c>
      <c r="O3115" t="s">
        <v>47</v>
      </c>
      <c r="P3115" t="s">
        <v>47</v>
      </c>
      <c r="Y3115" t="s">
        <v>11323</v>
      </c>
      <c r="AG3115" t="s">
        <v>48</v>
      </c>
    </row>
    <row r="3116" spans="1:33">
      <c r="A3116" t="s">
        <v>11325</v>
      </c>
      <c r="B3116" t="s">
        <v>11326</v>
      </c>
      <c r="D3116" t="s">
        <v>40</v>
      </c>
      <c r="E3116" t="s">
        <v>41</v>
      </c>
      <c r="H3116" t="s">
        <v>11327</v>
      </c>
      <c r="J3116" t="s">
        <v>129</v>
      </c>
      <c r="K3116" t="s">
        <v>130</v>
      </c>
      <c r="L3116">
        <v>5</v>
      </c>
      <c r="M3116" t="s">
        <v>11328</v>
      </c>
      <c r="N3116" t="s">
        <v>218</v>
      </c>
      <c r="O3116" t="s">
        <v>47</v>
      </c>
      <c r="P3116" t="s">
        <v>47</v>
      </c>
      <c r="Y3116" t="s">
        <v>11327</v>
      </c>
      <c r="AG3116" t="s">
        <v>48</v>
      </c>
    </row>
    <row r="3117" spans="1:33">
      <c r="A3117" t="s">
        <v>11329</v>
      </c>
      <c r="B3117" t="s">
        <v>11330</v>
      </c>
      <c r="D3117" t="s">
        <v>40</v>
      </c>
      <c r="E3117" t="s">
        <v>41</v>
      </c>
      <c r="J3117" t="s">
        <v>108</v>
      </c>
      <c r="K3117" t="s">
        <v>109</v>
      </c>
      <c r="L3117">
        <v>5</v>
      </c>
      <c r="M3117" t="s">
        <v>11331</v>
      </c>
      <c r="N3117" t="s">
        <v>59</v>
      </c>
      <c r="O3117" t="s">
        <v>47</v>
      </c>
      <c r="P3117" t="s">
        <v>47</v>
      </c>
      <c r="Y3117" t="s">
        <v>11332</v>
      </c>
      <c r="AG3117" t="s">
        <v>48</v>
      </c>
    </row>
    <row r="3118" spans="1:33">
      <c r="A3118" t="s">
        <v>117</v>
      </c>
      <c r="B3118" t="s">
        <v>11333</v>
      </c>
      <c r="D3118" t="s">
        <v>40</v>
      </c>
      <c r="E3118" t="s">
        <v>41</v>
      </c>
      <c r="J3118" t="s">
        <v>290</v>
      </c>
      <c r="K3118" t="s">
        <v>291</v>
      </c>
      <c r="L3118">
        <v>5</v>
      </c>
      <c r="M3118" t="s">
        <v>11334</v>
      </c>
      <c r="N3118" t="s">
        <v>59</v>
      </c>
      <c r="O3118" t="s">
        <v>47</v>
      </c>
      <c r="P3118" t="s">
        <v>47</v>
      </c>
      <c r="Y3118" t="s">
        <v>11335</v>
      </c>
      <c r="AG3118" t="s">
        <v>48</v>
      </c>
    </row>
    <row r="3119" spans="1:33">
      <c r="A3119" t="s">
        <v>11336</v>
      </c>
      <c r="B3119" t="s">
        <v>11337</v>
      </c>
      <c r="D3119" t="s">
        <v>40</v>
      </c>
      <c r="E3119" t="s">
        <v>41</v>
      </c>
      <c r="J3119" t="s">
        <v>162</v>
      </c>
      <c r="K3119" t="s">
        <v>163</v>
      </c>
      <c r="L3119">
        <v>5</v>
      </c>
      <c r="M3119" t="s">
        <v>11334</v>
      </c>
      <c r="N3119" t="s">
        <v>59</v>
      </c>
      <c r="O3119" t="s">
        <v>47</v>
      </c>
      <c r="P3119" t="s">
        <v>47</v>
      </c>
      <c r="Y3119" t="s">
        <v>11338</v>
      </c>
      <c r="AG3119" t="s">
        <v>48</v>
      </c>
    </row>
    <row r="3120" spans="1:33">
      <c r="A3120" t="s">
        <v>11339</v>
      </c>
      <c r="B3120" t="s">
        <v>11340</v>
      </c>
      <c r="D3120" t="s">
        <v>40</v>
      </c>
      <c r="E3120" t="s">
        <v>41</v>
      </c>
      <c r="J3120" t="s">
        <v>162</v>
      </c>
      <c r="K3120" t="s">
        <v>163</v>
      </c>
      <c r="L3120">
        <v>5</v>
      </c>
      <c r="M3120" t="s">
        <v>11334</v>
      </c>
      <c r="N3120" t="s">
        <v>59</v>
      </c>
      <c r="O3120" t="s">
        <v>47</v>
      </c>
      <c r="P3120" t="s">
        <v>47</v>
      </c>
      <c r="Y3120" t="s">
        <v>11341</v>
      </c>
      <c r="AG3120" t="s">
        <v>48</v>
      </c>
    </row>
    <row r="3121" spans="1:33">
      <c r="A3121" t="s">
        <v>11342</v>
      </c>
      <c r="B3121" t="s">
        <v>11343</v>
      </c>
      <c r="D3121" t="s">
        <v>40</v>
      </c>
      <c r="E3121" t="s">
        <v>41</v>
      </c>
      <c r="H3121" t="s">
        <v>11344</v>
      </c>
      <c r="J3121" t="s">
        <v>129</v>
      </c>
      <c r="K3121" t="s">
        <v>130</v>
      </c>
      <c r="L3121">
        <v>5</v>
      </c>
      <c r="M3121" t="s">
        <v>11345</v>
      </c>
      <c r="N3121" t="s">
        <v>218</v>
      </c>
      <c r="O3121" t="s">
        <v>47</v>
      </c>
      <c r="P3121" t="s">
        <v>47</v>
      </c>
      <c r="Y3121" t="s">
        <v>11344</v>
      </c>
      <c r="AG3121" t="s">
        <v>48</v>
      </c>
    </row>
    <row r="3122" spans="1:33">
      <c r="A3122" t="s">
        <v>11346</v>
      </c>
      <c r="B3122" t="s">
        <v>11347</v>
      </c>
      <c r="D3122" t="s">
        <v>40</v>
      </c>
      <c r="E3122" t="s">
        <v>41</v>
      </c>
      <c r="J3122" t="s">
        <v>290</v>
      </c>
      <c r="K3122" t="s">
        <v>291</v>
      </c>
      <c r="L3122">
        <v>5</v>
      </c>
      <c r="M3122" t="s">
        <v>11348</v>
      </c>
      <c r="N3122" t="s">
        <v>59</v>
      </c>
      <c r="O3122" t="s">
        <v>47</v>
      </c>
      <c r="P3122" t="s">
        <v>47</v>
      </c>
      <c r="Y3122" t="s">
        <v>11349</v>
      </c>
      <c r="AG3122" t="s">
        <v>48</v>
      </c>
    </row>
    <row r="3123" spans="1:33">
      <c r="A3123" t="s">
        <v>11350</v>
      </c>
      <c r="B3123" t="s">
        <v>11351</v>
      </c>
      <c r="D3123" t="s">
        <v>40</v>
      </c>
      <c r="E3123" t="s">
        <v>41</v>
      </c>
      <c r="J3123" t="s">
        <v>270</v>
      </c>
      <c r="K3123" t="s">
        <v>271</v>
      </c>
      <c r="L3123">
        <v>5</v>
      </c>
      <c r="M3123" t="s">
        <v>11348</v>
      </c>
      <c r="N3123" t="s">
        <v>59</v>
      </c>
      <c r="O3123" t="s">
        <v>47</v>
      </c>
      <c r="P3123" t="s">
        <v>47</v>
      </c>
      <c r="Y3123" t="s">
        <v>11352</v>
      </c>
      <c r="AG3123" t="s">
        <v>48</v>
      </c>
    </row>
    <row r="3124" spans="1:33">
      <c r="A3124" t="s">
        <v>117</v>
      </c>
      <c r="B3124" t="s">
        <v>11353</v>
      </c>
      <c r="D3124" t="s">
        <v>40</v>
      </c>
      <c r="E3124" t="s">
        <v>41</v>
      </c>
      <c r="J3124" t="s">
        <v>270</v>
      </c>
      <c r="K3124" t="s">
        <v>271</v>
      </c>
      <c r="L3124">
        <v>5</v>
      </c>
      <c r="M3124" t="s">
        <v>11348</v>
      </c>
      <c r="N3124" t="s">
        <v>59</v>
      </c>
      <c r="O3124" t="s">
        <v>47</v>
      </c>
      <c r="P3124" t="s">
        <v>47</v>
      </c>
      <c r="Y3124" t="s">
        <v>11354</v>
      </c>
      <c r="AG3124" t="s">
        <v>48</v>
      </c>
    </row>
    <row r="3125" spans="1:33">
      <c r="A3125" t="s">
        <v>11355</v>
      </c>
      <c r="B3125" t="s">
        <v>11356</v>
      </c>
      <c r="D3125" t="s">
        <v>40</v>
      </c>
      <c r="E3125" t="s">
        <v>41</v>
      </c>
      <c r="J3125" t="s">
        <v>270</v>
      </c>
      <c r="K3125" t="s">
        <v>271</v>
      </c>
      <c r="L3125">
        <v>5</v>
      </c>
      <c r="M3125" t="s">
        <v>11348</v>
      </c>
      <c r="N3125" t="s">
        <v>59</v>
      </c>
      <c r="O3125" t="s">
        <v>47</v>
      </c>
      <c r="P3125" t="s">
        <v>47</v>
      </c>
      <c r="Y3125" t="s">
        <v>11357</v>
      </c>
      <c r="AG3125" t="s">
        <v>48</v>
      </c>
    </row>
    <row r="3126" spans="1:33">
      <c r="A3126" t="s">
        <v>11358</v>
      </c>
      <c r="B3126" t="s">
        <v>11359</v>
      </c>
      <c r="D3126" t="s">
        <v>40</v>
      </c>
      <c r="E3126" t="s">
        <v>41</v>
      </c>
      <c r="H3126" t="s">
        <v>11360</v>
      </c>
      <c r="J3126" t="s">
        <v>63</v>
      </c>
      <c r="K3126" t="s">
        <v>64</v>
      </c>
      <c r="L3126">
        <v>5</v>
      </c>
      <c r="M3126" t="s">
        <v>11361</v>
      </c>
      <c r="N3126" t="s">
        <v>59</v>
      </c>
      <c r="O3126" t="s">
        <v>47</v>
      </c>
      <c r="P3126" t="s">
        <v>47</v>
      </c>
      <c r="Y3126" t="s">
        <v>11360</v>
      </c>
      <c r="AG3126" t="s">
        <v>48</v>
      </c>
    </row>
    <row r="3127" spans="1:33">
      <c r="A3127" t="s">
        <v>11362</v>
      </c>
      <c r="B3127" t="s">
        <v>11363</v>
      </c>
      <c r="D3127" t="s">
        <v>40</v>
      </c>
      <c r="E3127" t="s">
        <v>41</v>
      </c>
      <c r="H3127" t="s">
        <v>11364</v>
      </c>
      <c r="J3127" t="s">
        <v>63</v>
      </c>
      <c r="K3127" t="s">
        <v>64</v>
      </c>
      <c r="L3127">
        <v>5</v>
      </c>
      <c r="M3127" t="s">
        <v>11365</v>
      </c>
      <c r="N3127" t="s">
        <v>59</v>
      </c>
      <c r="O3127" t="s">
        <v>47</v>
      </c>
      <c r="P3127" t="s">
        <v>47</v>
      </c>
      <c r="Y3127" t="s">
        <v>11364</v>
      </c>
      <c r="AG3127" t="s">
        <v>48</v>
      </c>
    </row>
    <row r="3128" spans="1:33">
      <c r="A3128" t="s">
        <v>117</v>
      </c>
      <c r="B3128" t="s">
        <v>11366</v>
      </c>
      <c r="D3128" t="s">
        <v>40</v>
      </c>
      <c r="E3128" t="s">
        <v>41</v>
      </c>
      <c r="H3128" t="s">
        <v>11367</v>
      </c>
      <c r="J3128" t="s">
        <v>86</v>
      </c>
      <c r="K3128" t="s">
        <v>87</v>
      </c>
      <c r="L3128">
        <v>6</v>
      </c>
      <c r="M3128" t="s">
        <v>11368</v>
      </c>
      <c r="N3128" t="s">
        <v>192</v>
      </c>
      <c r="O3128" t="s">
        <v>47</v>
      </c>
      <c r="P3128" t="s">
        <v>47</v>
      </c>
      <c r="Y3128" t="s">
        <v>11367</v>
      </c>
      <c r="AG3128" t="s">
        <v>48</v>
      </c>
    </row>
    <row r="3129" spans="1:33">
      <c r="A3129" t="s">
        <v>11369</v>
      </c>
      <c r="B3129" t="s">
        <v>11370</v>
      </c>
      <c r="D3129" t="s">
        <v>40</v>
      </c>
      <c r="E3129" t="s">
        <v>41</v>
      </c>
      <c r="J3129" t="s">
        <v>162</v>
      </c>
      <c r="K3129" t="s">
        <v>163</v>
      </c>
      <c r="L3129">
        <v>5</v>
      </c>
      <c r="M3129" t="s">
        <v>11371</v>
      </c>
      <c r="N3129" t="s">
        <v>59</v>
      </c>
      <c r="O3129" t="s">
        <v>47</v>
      </c>
      <c r="P3129" t="s">
        <v>47</v>
      </c>
      <c r="Y3129" t="s">
        <v>11372</v>
      </c>
      <c r="AG3129" t="s">
        <v>48</v>
      </c>
    </row>
    <row r="3130" spans="1:33">
      <c r="A3130" t="s">
        <v>11373</v>
      </c>
      <c r="B3130" t="s">
        <v>11374</v>
      </c>
      <c r="D3130" t="s">
        <v>40</v>
      </c>
      <c r="E3130" t="s">
        <v>41</v>
      </c>
      <c r="J3130" t="s">
        <v>270</v>
      </c>
      <c r="K3130" t="s">
        <v>271</v>
      </c>
      <c r="L3130">
        <v>5</v>
      </c>
      <c r="M3130" t="s">
        <v>11371</v>
      </c>
      <c r="N3130" t="s">
        <v>59</v>
      </c>
      <c r="O3130" t="s">
        <v>47</v>
      </c>
      <c r="P3130" t="s">
        <v>47</v>
      </c>
      <c r="Y3130" t="s">
        <v>11375</v>
      </c>
      <c r="AG3130" t="s">
        <v>48</v>
      </c>
    </row>
    <row r="3131" spans="1:33">
      <c r="A3131" t="s">
        <v>11376</v>
      </c>
      <c r="B3131" t="s">
        <v>11377</v>
      </c>
      <c r="D3131" t="s">
        <v>40</v>
      </c>
      <c r="E3131" t="s">
        <v>41</v>
      </c>
      <c r="J3131" t="s">
        <v>290</v>
      </c>
      <c r="K3131" t="s">
        <v>291</v>
      </c>
      <c r="L3131">
        <v>5</v>
      </c>
      <c r="M3131" t="s">
        <v>11371</v>
      </c>
      <c r="N3131" t="s">
        <v>59</v>
      </c>
      <c r="O3131" t="s">
        <v>47</v>
      </c>
      <c r="P3131" t="s">
        <v>47</v>
      </c>
      <c r="Y3131" t="s">
        <v>11378</v>
      </c>
      <c r="AG3131" t="s">
        <v>48</v>
      </c>
    </row>
    <row r="3132" spans="1:33">
      <c r="A3132" t="s">
        <v>11379</v>
      </c>
      <c r="B3132" t="s">
        <v>11380</v>
      </c>
      <c r="D3132" t="s">
        <v>40</v>
      </c>
      <c r="E3132" t="s">
        <v>41</v>
      </c>
      <c r="J3132" t="s">
        <v>270</v>
      </c>
      <c r="K3132" t="s">
        <v>271</v>
      </c>
      <c r="L3132">
        <v>5</v>
      </c>
      <c r="M3132" t="s">
        <v>11371</v>
      </c>
      <c r="N3132" t="s">
        <v>59</v>
      </c>
      <c r="O3132" t="s">
        <v>47</v>
      </c>
      <c r="P3132" t="s">
        <v>47</v>
      </c>
      <c r="Y3132" t="s">
        <v>11381</v>
      </c>
      <c r="AG3132" t="s">
        <v>48</v>
      </c>
    </row>
    <row r="3133" spans="1:33">
      <c r="A3133" t="s">
        <v>11382</v>
      </c>
      <c r="B3133" t="s">
        <v>11383</v>
      </c>
      <c r="D3133" t="s">
        <v>40</v>
      </c>
      <c r="E3133" t="s">
        <v>41</v>
      </c>
      <c r="H3133" t="s">
        <v>11384</v>
      </c>
      <c r="J3133" t="s">
        <v>43</v>
      </c>
      <c r="K3133" t="s">
        <v>44</v>
      </c>
      <c r="L3133">
        <v>5</v>
      </c>
      <c r="M3133" t="s">
        <v>11385</v>
      </c>
      <c r="N3133" t="s">
        <v>192</v>
      </c>
      <c r="O3133" t="s">
        <v>47</v>
      </c>
      <c r="P3133" t="s">
        <v>47</v>
      </c>
      <c r="Y3133" t="s">
        <v>11384</v>
      </c>
      <c r="AG3133" t="s">
        <v>48</v>
      </c>
    </row>
    <row r="3134" spans="1:33">
      <c r="A3134" t="s">
        <v>11386</v>
      </c>
      <c r="B3134" t="s">
        <v>11387</v>
      </c>
      <c r="D3134" t="s">
        <v>40</v>
      </c>
      <c r="E3134" t="s">
        <v>41</v>
      </c>
      <c r="J3134" t="s">
        <v>215</v>
      </c>
      <c r="K3134" t="s">
        <v>216</v>
      </c>
      <c r="L3134">
        <v>6</v>
      </c>
      <c r="M3134" t="s">
        <v>11388</v>
      </c>
      <c r="N3134" t="s">
        <v>192</v>
      </c>
      <c r="O3134" t="s">
        <v>47</v>
      </c>
      <c r="P3134" t="s">
        <v>47</v>
      </c>
      <c r="Y3134" t="s">
        <v>11389</v>
      </c>
      <c r="AG3134" t="s">
        <v>48</v>
      </c>
    </row>
    <row r="3135" spans="1:33">
      <c r="A3135" t="s">
        <v>11390</v>
      </c>
      <c r="B3135" t="s">
        <v>11391</v>
      </c>
      <c r="D3135" t="s">
        <v>40</v>
      </c>
      <c r="E3135" t="s">
        <v>41</v>
      </c>
      <c r="J3135" t="s">
        <v>108</v>
      </c>
      <c r="K3135" t="s">
        <v>109</v>
      </c>
      <c r="L3135">
        <v>5</v>
      </c>
      <c r="M3135" t="s">
        <v>11392</v>
      </c>
      <c r="N3135" t="s">
        <v>59</v>
      </c>
      <c r="O3135" t="s">
        <v>47</v>
      </c>
      <c r="P3135" t="s">
        <v>47</v>
      </c>
      <c r="Y3135" t="s">
        <v>11393</v>
      </c>
      <c r="AG3135" t="s">
        <v>48</v>
      </c>
    </row>
    <row r="3136" spans="1:33">
      <c r="A3136" t="s">
        <v>11394</v>
      </c>
      <c r="B3136" t="s">
        <v>11395</v>
      </c>
      <c r="D3136" t="s">
        <v>40</v>
      </c>
      <c r="E3136" t="s">
        <v>41</v>
      </c>
      <c r="J3136" t="s">
        <v>2439</v>
      </c>
      <c r="K3136" t="s">
        <v>2440</v>
      </c>
      <c r="L3136">
        <v>5</v>
      </c>
      <c r="M3136" t="s">
        <v>11396</v>
      </c>
      <c r="N3136" t="s">
        <v>59</v>
      </c>
      <c r="O3136" t="s">
        <v>47</v>
      </c>
      <c r="P3136" t="s">
        <v>47</v>
      </c>
      <c r="Y3136" t="s">
        <v>11397</v>
      </c>
      <c r="AG3136" t="s">
        <v>48</v>
      </c>
    </row>
    <row r="3137" spans="1:33">
      <c r="A3137" t="s">
        <v>11398</v>
      </c>
      <c r="B3137" t="s">
        <v>11399</v>
      </c>
      <c r="D3137" t="s">
        <v>40</v>
      </c>
      <c r="E3137" t="s">
        <v>41</v>
      </c>
      <c r="J3137" t="s">
        <v>270</v>
      </c>
      <c r="K3137" t="s">
        <v>271</v>
      </c>
      <c r="L3137">
        <v>5</v>
      </c>
      <c r="M3137" t="s">
        <v>11396</v>
      </c>
      <c r="N3137" t="s">
        <v>59</v>
      </c>
      <c r="O3137" t="s">
        <v>47</v>
      </c>
      <c r="P3137" t="s">
        <v>47</v>
      </c>
      <c r="Y3137" t="s">
        <v>11400</v>
      </c>
      <c r="AG3137" t="s">
        <v>48</v>
      </c>
    </row>
    <row r="3138" spans="1:33">
      <c r="A3138" t="s">
        <v>11401</v>
      </c>
      <c r="B3138" t="s">
        <v>11402</v>
      </c>
      <c r="D3138" t="s">
        <v>40</v>
      </c>
      <c r="E3138" t="s">
        <v>41</v>
      </c>
      <c r="H3138" t="s">
        <v>11403</v>
      </c>
      <c r="J3138" t="s">
        <v>270</v>
      </c>
      <c r="K3138" t="s">
        <v>271</v>
      </c>
      <c r="L3138">
        <v>5</v>
      </c>
      <c r="M3138" t="s">
        <v>11404</v>
      </c>
      <c r="N3138" t="s">
        <v>59</v>
      </c>
      <c r="O3138" t="s">
        <v>47</v>
      </c>
      <c r="P3138" t="s">
        <v>47</v>
      </c>
      <c r="Y3138" t="s">
        <v>11403</v>
      </c>
      <c r="AG3138" t="s">
        <v>48</v>
      </c>
    </row>
    <row r="3139" spans="1:33">
      <c r="A3139" t="s">
        <v>11405</v>
      </c>
      <c r="B3139" t="s">
        <v>11406</v>
      </c>
      <c r="D3139" t="s">
        <v>40</v>
      </c>
      <c r="E3139" t="s">
        <v>41</v>
      </c>
      <c r="J3139" t="s">
        <v>162</v>
      </c>
      <c r="K3139" t="s">
        <v>163</v>
      </c>
      <c r="L3139">
        <v>5</v>
      </c>
      <c r="M3139" t="s">
        <v>11407</v>
      </c>
      <c r="N3139" t="s">
        <v>59</v>
      </c>
      <c r="O3139" t="s">
        <v>47</v>
      </c>
      <c r="P3139" t="s">
        <v>47</v>
      </c>
      <c r="Y3139" t="s">
        <v>11408</v>
      </c>
      <c r="AG3139" t="s">
        <v>48</v>
      </c>
    </row>
    <row r="3140" spans="1:33">
      <c r="A3140" t="s">
        <v>11409</v>
      </c>
      <c r="B3140" t="s">
        <v>11410</v>
      </c>
      <c r="D3140" t="s">
        <v>40</v>
      </c>
      <c r="E3140" t="s">
        <v>41</v>
      </c>
      <c r="H3140" t="s">
        <v>11411</v>
      </c>
      <c r="J3140" t="s">
        <v>86</v>
      </c>
      <c r="K3140" t="s">
        <v>87</v>
      </c>
      <c r="L3140">
        <v>5</v>
      </c>
      <c r="M3140" t="s">
        <v>11407</v>
      </c>
      <c r="N3140" t="s">
        <v>192</v>
      </c>
      <c r="O3140" t="s">
        <v>47</v>
      </c>
      <c r="P3140" t="s">
        <v>47</v>
      </c>
      <c r="Y3140" t="s">
        <v>11411</v>
      </c>
      <c r="AG3140" t="s">
        <v>48</v>
      </c>
    </row>
    <row r="3141" spans="1:33">
      <c r="A3141" t="s">
        <v>11412</v>
      </c>
      <c r="B3141" t="s">
        <v>11413</v>
      </c>
      <c r="D3141" t="s">
        <v>40</v>
      </c>
      <c r="E3141" t="s">
        <v>41</v>
      </c>
      <c r="H3141" t="s">
        <v>11414</v>
      </c>
      <c r="J3141" t="s">
        <v>129</v>
      </c>
      <c r="K3141" t="s">
        <v>130</v>
      </c>
      <c r="L3141">
        <v>6</v>
      </c>
      <c r="M3141" t="s">
        <v>11407</v>
      </c>
      <c r="N3141" t="s">
        <v>218</v>
      </c>
      <c r="O3141" t="s">
        <v>47</v>
      </c>
      <c r="P3141" t="s">
        <v>47</v>
      </c>
      <c r="Y3141" t="s">
        <v>11414</v>
      </c>
      <c r="AG3141" t="s">
        <v>48</v>
      </c>
    </row>
    <row r="3142" spans="1:33">
      <c r="A3142" t="s">
        <v>11415</v>
      </c>
      <c r="B3142" t="s">
        <v>11416</v>
      </c>
      <c r="D3142" t="s">
        <v>40</v>
      </c>
      <c r="E3142" t="s">
        <v>41</v>
      </c>
      <c r="J3142" t="s">
        <v>270</v>
      </c>
      <c r="K3142" t="s">
        <v>271</v>
      </c>
      <c r="L3142">
        <v>5</v>
      </c>
      <c r="M3142" t="s">
        <v>11417</v>
      </c>
      <c r="N3142" t="s">
        <v>59</v>
      </c>
      <c r="O3142" t="s">
        <v>47</v>
      </c>
      <c r="P3142" t="s">
        <v>47</v>
      </c>
      <c r="Y3142" t="s">
        <v>11418</v>
      </c>
      <c r="AG3142" t="s">
        <v>48</v>
      </c>
    </row>
    <row r="3143" spans="1:33">
      <c r="A3143" t="s">
        <v>11419</v>
      </c>
      <c r="B3143" t="s">
        <v>11420</v>
      </c>
      <c r="D3143" t="s">
        <v>40</v>
      </c>
      <c r="E3143" t="s">
        <v>41</v>
      </c>
      <c r="J3143" t="s">
        <v>108</v>
      </c>
      <c r="K3143" t="s">
        <v>109</v>
      </c>
      <c r="L3143">
        <v>5</v>
      </c>
      <c r="M3143" t="s">
        <v>11417</v>
      </c>
      <c r="N3143" t="s">
        <v>59</v>
      </c>
      <c r="O3143" t="s">
        <v>47</v>
      </c>
      <c r="P3143" t="s">
        <v>47</v>
      </c>
      <c r="Y3143" t="s">
        <v>11421</v>
      </c>
      <c r="AG3143" t="s">
        <v>48</v>
      </c>
    </row>
    <row r="3144" spans="1:33">
      <c r="A3144" t="s">
        <v>11422</v>
      </c>
      <c r="B3144" t="s">
        <v>11423</v>
      </c>
      <c r="D3144" t="s">
        <v>40</v>
      </c>
      <c r="E3144" t="s">
        <v>41</v>
      </c>
      <c r="J3144" t="s">
        <v>162</v>
      </c>
      <c r="K3144" t="s">
        <v>163</v>
      </c>
      <c r="L3144">
        <v>5</v>
      </c>
      <c r="M3144" t="s">
        <v>11424</v>
      </c>
      <c r="N3144" t="s">
        <v>59</v>
      </c>
      <c r="O3144" t="s">
        <v>47</v>
      </c>
      <c r="P3144" t="s">
        <v>47</v>
      </c>
      <c r="Y3144" t="s">
        <v>11425</v>
      </c>
      <c r="AG3144" t="s">
        <v>48</v>
      </c>
    </row>
    <row r="3145" spans="1:33">
      <c r="A3145" t="s">
        <v>11426</v>
      </c>
      <c r="B3145" t="s">
        <v>11427</v>
      </c>
      <c r="D3145" t="s">
        <v>40</v>
      </c>
      <c r="E3145" t="s">
        <v>41</v>
      </c>
      <c r="H3145" t="s">
        <v>11428</v>
      </c>
      <c r="J3145" t="s">
        <v>108</v>
      </c>
      <c r="K3145" t="s">
        <v>109</v>
      </c>
      <c r="L3145">
        <v>5</v>
      </c>
      <c r="M3145" t="s">
        <v>11429</v>
      </c>
      <c r="N3145" t="s">
        <v>192</v>
      </c>
      <c r="O3145" t="s">
        <v>47</v>
      </c>
      <c r="P3145" t="s">
        <v>47</v>
      </c>
      <c r="Y3145" t="s">
        <v>11428</v>
      </c>
      <c r="AG3145" t="s">
        <v>48</v>
      </c>
    </row>
    <row r="3146" spans="1:33">
      <c r="A3146" t="s">
        <v>11430</v>
      </c>
      <c r="B3146" t="s">
        <v>11431</v>
      </c>
      <c r="D3146" t="s">
        <v>40</v>
      </c>
      <c r="E3146" t="s">
        <v>41</v>
      </c>
      <c r="J3146" t="s">
        <v>162</v>
      </c>
      <c r="K3146" t="s">
        <v>163</v>
      </c>
      <c r="L3146">
        <v>5</v>
      </c>
      <c r="M3146" t="s">
        <v>11432</v>
      </c>
      <c r="N3146" t="s">
        <v>59</v>
      </c>
      <c r="O3146" t="s">
        <v>47</v>
      </c>
      <c r="P3146" t="s">
        <v>47</v>
      </c>
      <c r="Y3146" t="s">
        <v>11433</v>
      </c>
      <c r="AG3146" t="s">
        <v>48</v>
      </c>
    </row>
    <row r="3147" spans="1:33">
      <c r="A3147" t="s">
        <v>11434</v>
      </c>
      <c r="B3147" t="s">
        <v>11435</v>
      </c>
      <c r="D3147" t="s">
        <v>40</v>
      </c>
      <c r="E3147" t="s">
        <v>41</v>
      </c>
      <c r="J3147" t="s">
        <v>270</v>
      </c>
      <c r="K3147" t="s">
        <v>271</v>
      </c>
      <c r="L3147">
        <v>5</v>
      </c>
      <c r="M3147" t="s">
        <v>11436</v>
      </c>
      <c r="N3147" t="s">
        <v>59</v>
      </c>
      <c r="O3147" t="s">
        <v>47</v>
      </c>
      <c r="P3147" t="s">
        <v>47</v>
      </c>
      <c r="Y3147" t="s">
        <v>11437</v>
      </c>
      <c r="AG3147" t="s">
        <v>48</v>
      </c>
    </row>
    <row r="3148" spans="1:33">
      <c r="A3148" t="s">
        <v>11438</v>
      </c>
      <c r="B3148" t="s">
        <v>11439</v>
      </c>
      <c r="D3148" t="s">
        <v>40</v>
      </c>
      <c r="E3148" t="s">
        <v>41</v>
      </c>
      <c r="J3148" t="s">
        <v>108</v>
      </c>
      <c r="K3148" t="s">
        <v>109</v>
      </c>
      <c r="L3148">
        <v>5</v>
      </c>
      <c r="M3148" t="s">
        <v>11440</v>
      </c>
      <c r="N3148" t="s">
        <v>59</v>
      </c>
      <c r="O3148" t="s">
        <v>47</v>
      </c>
      <c r="P3148" t="s">
        <v>47</v>
      </c>
      <c r="Y3148" t="s">
        <v>11441</v>
      </c>
      <c r="AG3148" t="s">
        <v>48</v>
      </c>
    </row>
    <row r="3149" spans="1:33">
      <c r="A3149" t="s">
        <v>11442</v>
      </c>
      <c r="B3149" t="s">
        <v>11443</v>
      </c>
      <c r="D3149" t="s">
        <v>40</v>
      </c>
      <c r="E3149" t="s">
        <v>41</v>
      </c>
      <c r="J3149" t="s">
        <v>290</v>
      </c>
      <c r="K3149" t="s">
        <v>291</v>
      </c>
      <c r="L3149">
        <v>5</v>
      </c>
      <c r="M3149" t="s">
        <v>11444</v>
      </c>
      <c r="N3149" t="s">
        <v>59</v>
      </c>
      <c r="O3149" t="s">
        <v>47</v>
      </c>
      <c r="P3149" t="s">
        <v>47</v>
      </c>
      <c r="Y3149" t="s">
        <v>11445</v>
      </c>
      <c r="AG3149" t="s">
        <v>48</v>
      </c>
    </row>
    <row r="3150" spans="1:33">
      <c r="A3150" t="s">
        <v>11446</v>
      </c>
      <c r="B3150" t="s">
        <v>11447</v>
      </c>
      <c r="D3150" t="s">
        <v>40</v>
      </c>
      <c r="E3150" t="s">
        <v>41</v>
      </c>
      <c r="J3150" t="s">
        <v>108</v>
      </c>
      <c r="K3150" t="s">
        <v>109</v>
      </c>
      <c r="L3150">
        <v>5</v>
      </c>
      <c r="M3150" t="s">
        <v>11444</v>
      </c>
      <c r="N3150" t="s">
        <v>59</v>
      </c>
      <c r="O3150" t="s">
        <v>47</v>
      </c>
      <c r="P3150" t="s">
        <v>47</v>
      </c>
      <c r="Y3150" t="s">
        <v>11448</v>
      </c>
      <c r="AG3150" t="s">
        <v>48</v>
      </c>
    </row>
    <row r="3151" spans="1:33">
      <c r="A3151" t="s">
        <v>11449</v>
      </c>
      <c r="B3151" t="s">
        <v>11450</v>
      </c>
      <c r="D3151" t="s">
        <v>40</v>
      </c>
      <c r="E3151" t="s">
        <v>41</v>
      </c>
      <c r="J3151" t="s">
        <v>270</v>
      </c>
      <c r="K3151" t="s">
        <v>271</v>
      </c>
      <c r="L3151">
        <v>5</v>
      </c>
      <c r="M3151" t="s">
        <v>11451</v>
      </c>
      <c r="N3151" t="s">
        <v>59</v>
      </c>
      <c r="O3151" t="s">
        <v>47</v>
      </c>
      <c r="P3151" t="s">
        <v>47</v>
      </c>
      <c r="Y3151" t="s">
        <v>11452</v>
      </c>
      <c r="AG3151" t="s">
        <v>48</v>
      </c>
    </row>
    <row r="3152" spans="1:33">
      <c r="A3152" t="s">
        <v>11453</v>
      </c>
      <c r="B3152" t="s">
        <v>11454</v>
      </c>
      <c r="D3152" t="s">
        <v>40</v>
      </c>
      <c r="E3152" t="s">
        <v>41</v>
      </c>
      <c r="J3152" t="s">
        <v>108</v>
      </c>
      <c r="K3152" t="s">
        <v>109</v>
      </c>
      <c r="L3152">
        <v>5</v>
      </c>
      <c r="M3152" t="s">
        <v>11451</v>
      </c>
      <c r="N3152" t="s">
        <v>59</v>
      </c>
      <c r="O3152" t="s">
        <v>47</v>
      </c>
      <c r="P3152" t="s">
        <v>47</v>
      </c>
      <c r="Y3152" t="s">
        <v>11455</v>
      </c>
      <c r="AG3152" t="s">
        <v>48</v>
      </c>
    </row>
    <row r="3153" spans="1:33">
      <c r="A3153" t="s">
        <v>11456</v>
      </c>
      <c r="B3153" t="s">
        <v>11457</v>
      </c>
      <c r="D3153" t="s">
        <v>40</v>
      </c>
      <c r="E3153" t="s">
        <v>41</v>
      </c>
      <c r="J3153" t="s">
        <v>1052</v>
      </c>
      <c r="K3153" t="s">
        <v>1053</v>
      </c>
      <c r="L3153">
        <v>5</v>
      </c>
      <c r="M3153" t="s">
        <v>11458</v>
      </c>
      <c r="N3153" t="s">
        <v>192</v>
      </c>
      <c r="O3153" t="s">
        <v>47</v>
      </c>
      <c r="P3153" t="s">
        <v>47</v>
      </c>
      <c r="Y3153" t="s">
        <v>11459</v>
      </c>
      <c r="AG3153" t="s">
        <v>48</v>
      </c>
    </row>
    <row r="3154" spans="1:33">
      <c r="A3154" t="s">
        <v>117</v>
      </c>
      <c r="B3154" t="s">
        <v>11460</v>
      </c>
      <c r="D3154" t="s">
        <v>40</v>
      </c>
      <c r="E3154" t="s">
        <v>41</v>
      </c>
      <c r="J3154" t="s">
        <v>270</v>
      </c>
      <c r="K3154" t="s">
        <v>271</v>
      </c>
      <c r="L3154">
        <v>5</v>
      </c>
      <c r="M3154" t="s">
        <v>11458</v>
      </c>
      <c r="N3154" t="s">
        <v>59</v>
      </c>
      <c r="O3154" t="s">
        <v>47</v>
      </c>
      <c r="P3154" t="s">
        <v>47</v>
      </c>
      <c r="Y3154" t="s">
        <v>11461</v>
      </c>
      <c r="AG3154" t="s">
        <v>48</v>
      </c>
    </row>
    <row r="3155" spans="1:33">
      <c r="A3155" t="s">
        <v>11462</v>
      </c>
      <c r="B3155" t="s">
        <v>11463</v>
      </c>
      <c r="D3155" t="s">
        <v>40</v>
      </c>
      <c r="E3155" t="s">
        <v>41</v>
      </c>
      <c r="J3155" t="s">
        <v>129</v>
      </c>
      <c r="K3155" t="s">
        <v>130</v>
      </c>
      <c r="L3155">
        <v>5</v>
      </c>
      <c r="M3155" t="s">
        <v>11464</v>
      </c>
      <c r="N3155" t="s">
        <v>218</v>
      </c>
      <c r="O3155" t="s">
        <v>47</v>
      </c>
      <c r="P3155" t="s">
        <v>47</v>
      </c>
      <c r="Y3155" t="s">
        <v>11465</v>
      </c>
      <c r="AG3155" t="s">
        <v>48</v>
      </c>
    </row>
    <row r="3156" spans="1:33">
      <c r="A3156" t="s">
        <v>11466</v>
      </c>
      <c r="B3156" t="s">
        <v>11467</v>
      </c>
      <c r="D3156" t="s">
        <v>40</v>
      </c>
      <c r="E3156" t="s">
        <v>41</v>
      </c>
      <c r="J3156" t="s">
        <v>270</v>
      </c>
      <c r="K3156" t="s">
        <v>271</v>
      </c>
      <c r="L3156">
        <v>5</v>
      </c>
      <c r="M3156" t="s">
        <v>11468</v>
      </c>
      <c r="N3156" t="s">
        <v>59</v>
      </c>
      <c r="O3156" t="s">
        <v>47</v>
      </c>
      <c r="P3156" t="s">
        <v>47</v>
      </c>
      <c r="Y3156" t="s">
        <v>11469</v>
      </c>
      <c r="AG3156" t="s">
        <v>48</v>
      </c>
    </row>
    <row r="3157" spans="1:33">
      <c r="A3157" t="s">
        <v>11470</v>
      </c>
      <c r="B3157" t="s">
        <v>11471</v>
      </c>
      <c r="D3157" t="s">
        <v>40</v>
      </c>
      <c r="E3157" t="s">
        <v>41</v>
      </c>
      <c r="J3157" t="s">
        <v>114</v>
      </c>
      <c r="K3157" t="s">
        <v>115</v>
      </c>
      <c r="L3157">
        <v>5</v>
      </c>
      <c r="M3157" t="s">
        <v>11472</v>
      </c>
      <c r="N3157" t="s">
        <v>59</v>
      </c>
      <c r="O3157" t="s">
        <v>47</v>
      </c>
      <c r="P3157" t="s">
        <v>47</v>
      </c>
      <c r="Y3157" t="s">
        <v>11473</v>
      </c>
      <c r="AG3157" t="s">
        <v>48</v>
      </c>
    </row>
    <row r="3158" spans="1:33">
      <c r="A3158" t="s">
        <v>11474</v>
      </c>
      <c r="B3158" t="s">
        <v>11475</v>
      </c>
      <c r="D3158" t="s">
        <v>40</v>
      </c>
      <c r="E3158" t="s">
        <v>41</v>
      </c>
      <c r="J3158" t="s">
        <v>290</v>
      </c>
      <c r="K3158" t="s">
        <v>291</v>
      </c>
      <c r="L3158">
        <v>5</v>
      </c>
      <c r="M3158" t="s">
        <v>11476</v>
      </c>
      <c r="N3158" t="s">
        <v>59</v>
      </c>
      <c r="O3158" t="s">
        <v>47</v>
      </c>
      <c r="P3158" t="s">
        <v>47</v>
      </c>
      <c r="Y3158" t="s">
        <v>11477</v>
      </c>
      <c r="AG3158" t="s">
        <v>48</v>
      </c>
    </row>
    <row r="3159" spans="1:33">
      <c r="A3159" t="s">
        <v>11478</v>
      </c>
      <c r="B3159" t="s">
        <v>11479</v>
      </c>
      <c r="D3159" t="s">
        <v>40</v>
      </c>
      <c r="E3159" t="s">
        <v>41</v>
      </c>
      <c r="J3159" t="s">
        <v>108</v>
      </c>
      <c r="K3159" t="s">
        <v>109</v>
      </c>
      <c r="L3159">
        <v>5</v>
      </c>
      <c r="M3159" t="s">
        <v>11480</v>
      </c>
      <c r="N3159" t="s">
        <v>59</v>
      </c>
      <c r="O3159" t="s">
        <v>47</v>
      </c>
      <c r="P3159" t="s">
        <v>47</v>
      </c>
      <c r="Y3159" t="s">
        <v>11481</v>
      </c>
      <c r="AG3159" t="s">
        <v>48</v>
      </c>
    </row>
    <row r="3160" spans="1:33">
      <c r="A3160" t="s">
        <v>11482</v>
      </c>
      <c r="B3160" t="s">
        <v>11483</v>
      </c>
      <c r="D3160" t="s">
        <v>40</v>
      </c>
      <c r="E3160" t="s">
        <v>41</v>
      </c>
      <c r="J3160" t="s">
        <v>290</v>
      </c>
      <c r="K3160" t="s">
        <v>291</v>
      </c>
      <c r="L3160">
        <v>5</v>
      </c>
      <c r="M3160" t="s">
        <v>11484</v>
      </c>
      <c r="N3160" t="s">
        <v>59</v>
      </c>
      <c r="O3160" t="s">
        <v>47</v>
      </c>
      <c r="P3160" t="s">
        <v>47</v>
      </c>
      <c r="Y3160" t="s">
        <v>11485</v>
      </c>
      <c r="AG3160" t="s">
        <v>48</v>
      </c>
    </row>
    <row r="3161" spans="1:33">
      <c r="A3161" t="s">
        <v>11486</v>
      </c>
      <c r="B3161" t="s">
        <v>11487</v>
      </c>
      <c r="D3161" t="s">
        <v>40</v>
      </c>
      <c r="E3161" t="s">
        <v>41</v>
      </c>
      <c r="J3161" t="s">
        <v>108</v>
      </c>
      <c r="K3161" t="s">
        <v>109</v>
      </c>
      <c r="L3161">
        <v>5</v>
      </c>
      <c r="M3161" t="s">
        <v>11484</v>
      </c>
      <c r="N3161" t="s">
        <v>59</v>
      </c>
      <c r="O3161" t="s">
        <v>47</v>
      </c>
      <c r="P3161" t="s">
        <v>47</v>
      </c>
      <c r="Y3161" t="s">
        <v>11488</v>
      </c>
      <c r="AG3161" t="s">
        <v>48</v>
      </c>
    </row>
    <row r="3162" spans="1:33">
      <c r="A3162" t="s">
        <v>11489</v>
      </c>
      <c r="B3162" t="s">
        <v>11490</v>
      </c>
      <c r="D3162" t="s">
        <v>40</v>
      </c>
      <c r="E3162" t="s">
        <v>41</v>
      </c>
      <c r="J3162" t="s">
        <v>290</v>
      </c>
      <c r="K3162" t="s">
        <v>291</v>
      </c>
      <c r="L3162">
        <v>5</v>
      </c>
      <c r="M3162" t="s">
        <v>11491</v>
      </c>
      <c r="N3162" t="s">
        <v>59</v>
      </c>
      <c r="O3162" t="s">
        <v>47</v>
      </c>
      <c r="P3162" t="s">
        <v>47</v>
      </c>
      <c r="Y3162" t="s">
        <v>11492</v>
      </c>
      <c r="AG3162" t="s">
        <v>48</v>
      </c>
    </row>
    <row r="3163" spans="1:33">
      <c r="A3163" t="s">
        <v>11493</v>
      </c>
      <c r="B3163" t="s">
        <v>11494</v>
      </c>
      <c r="D3163" t="s">
        <v>40</v>
      </c>
      <c r="E3163" t="s">
        <v>41</v>
      </c>
      <c r="J3163" t="s">
        <v>290</v>
      </c>
      <c r="K3163" t="s">
        <v>291</v>
      </c>
      <c r="L3163">
        <v>5</v>
      </c>
      <c r="M3163" t="s">
        <v>11495</v>
      </c>
      <c r="N3163" t="s">
        <v>59</v>
      </c>
      <c r="O3163" t="s">
        <v>47</v>
      </c>
      <c r="P3163" t="s">
        <v>47</v>
      </c>
      <c r="Y3163" t="s">
        <v>11496</v>
      </c>
      <c r="AG3163" t="s">
        <v>48</v>
      </c>
    </row>
    <row r="3164" spans="1:33">
      <c r="A3164" t="s">
        <v>11497</v>
      </c>
      <c r="B3164" t="s">
        <v>11498</v>
      </c>
      <c r="D3164" t="s">
        <v>40</v>
      </c>
      <c r="E3164" t="s">
        <v>41</v>
      </c>
      <c r="J3164" t="s">
        <v>162</v>
      </c>
      <c r="K3164" t="s">
        <v>163</v>
      </c>
      <c r="L3164">
        <v>5</v>
      </c>
      <c r="M3164" t="s">
        <v>11495</v>
      </c>
      <c r="N3164" t="s">
        <v>59</v>
      </c>
      <c r="O3164" t="s">
        <v>47</v>
      </c>
      <c r="P3164" t="s">
        <v>47</v>
      </c>
      <c r="Y3164" t="s">
        <v>11499</v>
      </c>
      <c r="AG3164" t="s">
        <v>48</v>
      </c>
    </row>
    <row r="3165" spans="1:33">
      <c r="A3165" t="s">
        <v>11500</v>
      </c>
      <c r="B3165" t="s">
        <v>11501</v>
      </c>
      <c r="D3165" t="s">
        <v>40</v>
      </c>
      <c r="E3165" t="s">
        <v>41</v>
      </c>
      <c r="J3165" t="s">
        <v>290</v>
      </c>
      <c r="K3165" t="s">
        <v>291</v>
      </c>
      <c r="L3165">
        <v>5</v>
      </c>
      <c r="M3165" t="s">
        <v>11495</v>
      </c>
      <c r="N3165" t="s">
        <v>59</v>
      </c>
      <c r="O3165" t="s">
        <v>47</v>
      </c>
      <c r="P3165" t="s">
        <v>47</v>
      </c>
      <c r="Y3165" t="s">
        <v>11502</v>
      </c>
      <c r="AG3165" t="s">
        <v>48</v>
      </c>
    </row>
    <row r="3166" spans="1:33">
      <c r="A3166" t="s">
        <v>11503</v>
      </c>
      <c r="B3166" t="s">
        <v>11504</v>
      </c>
      <c r="D3166" t="s">
        <v>40</v>
      </c>
      <c r="E3166" t="s">
        <v>41</v>
      </c>
      <c r="J3166" t="s">
        <v>162</v>
      </c>
      <c r="K3166" t="s">
        <v>163</v>
      </c>
      <c r="L3166">
        <v>5</v>
      </c>
      <c r="M3166" t="s">
        <v>11505</v>
      </c>
      <c r="N3166" t="s">
        <v>59</v>
      </c>
      <c r="O3166" t="s">
        <v>47</v>
      </c>
      <c r="P3166" t="s">
        <v>47</v>
      </c>
      <c r="Y3166" t="s">
        <v>11506</v>
      </c>
      <c r="AG3166" t="s">
        <v>48</v>
      </c>
    </row>
    <row r="3167" spans="1:33">
      <c r="A3167" t="s">
        <v>11507</v>
      </c>
      <c r="B3167" t="s">
        <v>11508</v>
      </c>
      <c r="D3167" t="s">
        <v>40</v>
      </c>
      <c r="E3167" t="s">
        <v>41</v>
      </c>
      <c r="J3167" t="s">
        <v>270</v>
      </c>
      <c r="K3167" t="s">
        <v>271</v>
      </c>
      <c r="L3167">
        <v>5</v>
      </c>
      <c r="M3167" t="s">
        <v>11509</v>
      </c>
      <c r="N3167" t="s">
        <v>59</v>
      </c>
      <c r="O3167" t="s">
        <v>47</v>
      </c>
      <c r="P3167" t="s">
        <v>47</v>
      </c>
      <c r="Y3167" t="s">
        <v>11510</v>
      </c>
      <c r="AG3167" t="s">
        <v>48</v>
      </c>
    </row>
    <row r="3168" spans="1:33">
      <c r="A3168" t="s">
        <v>117</v>
      </c>
      <c r="B3168" t="s">
        <v>11511</v>
      </c>
      <c r="D3168" t="s">
        <v>40</v>
      </c>
      <c r="E3168" t="s">
        <v>41</v>
      </c>
      <c r="J3168" t="s">
        <v>162</v>
      </c>
      <c r="K3168" t="s">
        <v>163</v>
      </c>
      <c r="L3168">
        <v>5</v>
      </c>
      <c r="M3168" t="s">
        <v>11512</v>
      </c>
      <c r="N3168" t="s">
        <v>59</v>
      </c>
      <c r="O3168" t="s">
        <v>47</v>
      </c>
      <c r="P3168" t="s">
        <v>47</v>
      </c>
      <c r="Y3168" t="s">
        <v>11513</v>
      </c>
      <c r="AG3168" t="s">
        <v>48</v>
      </c>
    </row>
    <row r="3169" spans="1:33">
      <c r="A3169" t="s">
        <v>11514</v>
      </c>
      <c r="B3169" t="s">
        <v>11515</v>
      </c>
      <c r="D3169" t="s">
        <v>40</v>
      </c>
      <c r="E3169" t="s">
        <v>41</v>
      </c>
      <c r="J3169" t="s">
        <v>43</v>
      </c>
      <c r="K3169" t="s">
        <v>44</v>
      </c>
      <c r="L3169">
        <v>5</v>
      </c>
      <c r="M3169" t="s">
        <v>11516</v>
      </c>
      <c r="N3169" t="s">
        <v>192</v>
      </c>
      <c r="O3169" t="s">
        <v>47</v>
      </c>
      <c r="P3169" t="s">
        <v>47</v>
      </c>
      <c r="Y3169" t="s">
        <v>11517</v>
      </c>
      <c r="AG3169" t="s">
        <v>48</v>
      </c>
    </row>
    <row r="3170" spans="1:33">
      <c r="A3170" t="s">
        <v>11518</v>
      </c>
      <c r="B3170" t="s">
        <v>11519</v>
      </c>
      <c r="D3170" t="s">
        <v>40</v>
      </c>
      <c r="E3170" t="s">
        <v>41</v>
      </c>
      <c r="J3170" t="s">
        <v>129</v>
      </c>
      <c r="K3170" t="s">
        <v>130</v>
      </c>
      <c r="L3170">
        <v>5</v>
      </c>
      <c r="M3170" t="s">
        <v>11520</v>
      </c>
      <c r="N3170" t="s">
        <v>218</v>
      </c>
      <c r="O3170" t="s">
        <v>47</v>
      </c>
      <c r="P3170" t="s">
        <v>47</v>
      </c>
      <c r="Y3170" t="s">
        <v>11521</v>
      </c>
      <c r="AG3170" t="s">
        <v>48</v>
      </c>
    </row>
    <row r="3171" spans="1:33">
      <c r="A3171" t="s">
        <v>117</v>
      </c>
      <c r="B3171" t="s">
        <v>11522</v>
      </c>
      <c r="D3171" t="s">
        <v>40</v>
      </c>
      <c r="E3171" t="s">
        <v>41</v>
      </c>
      <c r="J3171" t="s">
        <v>290</v>
      </c>
      <c r="K3171" t="s">
        <v>291</v>
      </c>
      <c r="L3171">
        <v>5</v>
      </c>
      <c r="M3171" t="s">
        <v>11523</v>
      </c>
      <c r="N3171" t="s">
        <v>59</v>
      </c>
      <c r="O3171" t="s">
        <v>47</v>
      </c>
      <c r="P3171" t="s">
        <v>47</v>
      </c>
      <c r="Y3171" t="s">
        <v>11524</v>
      </c>
      <c r="AG3171" t="s">
        <v>48</v>
      </c>
    </row>
    <row r="3172" spans="1:33">
      <c r="A3172" t="s">
        <v>11525</v>
      </c>
      <c r="B3172" t="s">
        <v>11526</v>
      </c>
      <c r="D3172" t="s">
        <v>40</v>
      </c>
      <c r="E3172" t="s">
        <v>41</v>
      </c>
      <c r="J3172" t="s">
        <v>108</v>
      </c>
      <c r="K3172" t="s">
        <v>109</v>
      </c>
      <c r="L3172">
        <v>5</v>
      </c>
      <c r="M3172" t="s">
        <v>11523</v>
      </c>
      <c r="N3172" t="s">
        <v>59</v>
      </c>
      <c r="O3172" t="s">
        <v>47</v>
      </c>
      <c r="P3172" t="s">
        <v>47</v>
      </c>
      <c r="Y3172" t="s">
        <v>11527</v>
      </c>
      <c r="AG3172" t="s">
        <v>48</v>
      </c>
    </row>
    <row r="3173" spans="1:33">
      <c r="A3173" t="s">
        <v>11528</v>
      </c>
      <c r="B3173" t="s">
        <v>11529</v>
      </c>
      <c r="D3173" t="s">
        <v>40</v>
      </c>
      <c r="E3173" t="s">
        <v>41</v>
      </c>
      <c r="J3173" t="s">
        <v>129</v>
      </c>
      <c r="K3173" t="s">
        <v>130</v>
      </c>
      <c r="L3173">
        <v>5</v>
      </c>
      <c r="M3173" t="s">
        <v>11530</v>
      </c>
      <c r="N3173" t="s">
        <v>192</v>
      </c>
      <c r="O3173" t="s">
        <v>47</v>
      </c>
      <c r="P3173" t="s">
        <v>47</v>
      </c>
      <c r="Y3173" t="s">
        <v>11531</v>
      </c>
      <c r="AG3173" t="s">
        <v>48</v>
      </c>
    </row>
    <row r="3174" spans="1:33">
      <c r="A3174" t="s">
        <v>11532</v>
      </c>
      <c r="B3174" t="s">
        <v>11533</v>
      </c>
      <c r="D3174" t="s">
        <v>40</v>
      </c>
      <c r="E3174" t="s">
        <v>41</v>
      </c>
      <c r="J3174" t="s">
        <v>162</v>
      </c>
      <c r="K3174" t="s">
        <v>163</v>
      </c>
      <c r="L3174">
        <v>5</v>
      </c>
      <c r="M3174" t="s">
        <v>11534</v>
      </c>
      <c r="N3174" t="s">
        <v>59</v>
      </c>
      <c r="O3174" t="s">
        <v>47</v>
      </c>
      <c r="P3174" t="s">
        <v>47</v>
      </c>
      <c r="Y3174" t="s">
        <v>11535</v>
      </c>
      <c r="AG3174" t="s">
        <v>48</v>
      </c>
    </row>
    <row r="3175" spans="1:33">
      <c r="A3175" t="s">
        <v>11536</v>
      </c>
      <c r="B3175" t="s">
        <v>11537</v>
      </c>
      <c r="D3175" t="s">
        <v>40</v>
      </c>
      <c r="E3175" t="s">
        <v>41</v>
      </c>
      <c r="J3175" t="s">
        <v>290</v>
      </c>
      <c r="K3175" t="s">
        <v>291</v>
      </c>
      <c r="L3175">
        <v>5</v>
      </c>
      <c r="M3175" t="s">
        <v>11538</v>
      </c>
      <c r="N3175" t="s">
        <v>59</v>
      </c>
      <c r="O3175" t="s">
        <v>47</v>
      </c>
      <c r="P3175" t="s">
        <v>47</v>
      </c>
      <c r="Y3175" t="s">
        <v>11539</v>
      </c>
      <c r="AG3175" t="s">
        <v>48</v>
      </c>
    </row>
    <row r="3176" spans="1:33">
      <c r="A3176" t="s">
        <v>11540</v>
      </c>
      <c r="B3176" t="s">
        <v>11541</v>
      </c>
      <c r="D3176" t="s">
        <v>40</v>
      </c>
      <c r="E3176" t="s">
        <v>41</v>
      </c>
      <c r="J3176" t="s">
        <v>123</v>
      </c>
      <c r="K3176" t="s">
        <v>124</v>
      </c>
      <c r="L3176">
        <v>5</v>
      </c>
      <c r="M3176" t="s">
        <v>11542</v>
      </c>
      <c r="N3176" t="s">
        <v>192</v>
      </c>
      <c r="O3176" t="s">
        <v>47</v>
      </c>
      <c r="P3176" t="s">
        <v>47</v>
      </c>
      <c r="Y3176" t="s">
        <v>11543</v>
      </c>
      <c r="AG3176" t="s">
        <v>48</v>
      </c>
    </row>
    <row r="3177" spans="1:33">
      <c r="A3177" t="s">
        <v>11544</v>
      </c>
      <c r="B3177" t="s">
        <v>11545</v>
      </c>
      <c r="D3177" t="s">
        <v>40</v>
      </c>
      <c r="E3177" t="s">
        <v>41</v>
      </c>
      <c r="J3177" t="s">
        <v>108</v>
      </c>
      <c r="K3177" t="s">
        <v>109</v>
      </c>
      <c r="L3177">
        <v>5</v>
      </c>
      <c r="M3177" t="s">
        <v>11546</v>
      </c>
      <c r="N3177" t="s">
        <v>59</v>
      </c>
      <c r="O3177" t="s">
        <v>47</v>
      </c>
      <c r="P3177" t="s">
        <v>47</v>
      </c>
      <c r="Y3177" t="s">
        <v>11547</v>
      </c>
      <c r="AG3177" t="s">
        <v>48</v>
      </c>
    </row>
    <row r="3178" spans="1:33">
      <c r="A3178" t="s">
        <v>11548</v>
      </c>
      <c r="B3178" t="s">
        <v>11549</v>
      </c>
      <c r="D3178" t="s">
        <v>40</v>
      </c>
      <c r="E3178" t="s">
        <v>41</v>
      </c>
      <c r="H3178" t="s">
        <v>11550</v>
      </c>
      <c r="J3178" t="s">
        <v>114</v>
      </c>
      <c r="K3178" t="s">
        <v>115</v>
      </c>
      <c r="L3178">
        <v>5</v>
      </c>
      <c r="M3178" t="s">
        <v>11551</v>
      </c>
      <c r="N3178" t="s">
        <v>59</v>
      </c>
      <c r="O3178" t="s">
        <v>47</v>
      </c>
      <c r="P3178" t="s">
        <v>47</v>
      </c>
      <c r="Y3178" t="s">
        <v>11550</v>
      </c>
      <c r="AG3178" t="s">
        <v>48</v>
      </c>
    </row>
    <row r="3179" spans="1:33">
      <c r="A3179" t="s">
        <v>11552</v>
      </c>
      <c r="B3179" t="s">
        <v>11553</v>
      </c>
      <c r="D3179" t="s">
        <v>40</v>
      </c>
      <c r="E3179" t="s">
        <v>41</v>
      </c>
      <c r="J3179" t="s">
        <v>162</v>
      </c>
      <c r="K3179" t="s">
        <v>163</v>
      </c>
      <c r="L3179">
        <v>5</v>
      </c>
      <c r="M3179" t="s">
        <v>11551</v>
      </c>
      <c r="N3179" t="s">
        <v>59</v>
      </c>
      <c r="O3179" t="s">
        <v>47</v>
      </c>
      <c r="P3179" t="s">
        <v>47</v>
      </c>
      <c r="Y3179" t="s">
        <v>11554</v>
      </c>
      <c r="AG3179" t="s">
        <v>48</v>
      </c>
    </row>
    <row r="3180" spans="1:33">
      <c r="A3180" t="s">
        <v>11555</v>
      </c>
      <c r="B3180" t="s">
        <v>11556</v>
      </c>
      <c r="D3180" t="s">
        <v>40</v>
      </c>
      <c r="E3180" t="s">
        <v>41</v>
      </c>
      <c r="H3180" t="s">
        <v>11557</v>
      </c>
      <c r="J3180" t="s">
        <v>162</v>
      </c>
      <c r="K3180" t="s">
        <v>163</v>
      </c>
      <c r="L3180">
        <v>5</v>
      </c>
      <c r="M3180" t="s">
        <v>11551</v>
      </c>
      <c r="N3180" t="s">
        <v>59</v>
      </c>
      <c r="O3180" t="s">
        <v>47</v>
      </c>
      <c r="P3180" t="s">
        <v>47</v>
      </c>
      <c r="Y3180" t="s">
        <v>11557</v>
      </c>
      <c r="AG3180" t="s">
        <v>48</v>
      </c>
    </row>
    <row r="3181" spans="1:33">
      <c r="A3181" t="s">
        <v>11558</v>
      </c>
      <c r="B3181" t="s">
        <v>11559</v>
      </c>
      <c r="D3181" t="s">
        <v>40</v>
      </c>
      <c r="E3181" t="s">
        <v>41</v>
      </c>
      <c r="J3181" t="s">
        <v>270</v>
      </c>
      <c r="K3181" t="s">
        <v>271</v>
      </c>
      <c r="L3181">
        <v>5</v>
      </c>
      <c r="M3181" t="s">
        <v>11560</v>
      </c>
      <c r="N3181" t="s">
        <v>59</v>
      </c>
      <c r="O3181" t="s">
        <v>47</v>
      </c>
      <c r="P3181" t="s">
        <v>47</v>
      </c>
      <c r="Y3181" t="s">
        <v>11561</v>
      </c>
      <c r="AG3181" t="s">
        <v>48</v>
      </c>
    </row>
    <row r="3182" spans="1:33">
      <c r="A3182" t="s">
        <v>11562</v>
      </c>
      <c r="B3182" t="s">
        <v>11563</v>
      </c>
      <c r="D3182" t="s">
        <v>40</v>
      </c>
      <c r="E3182" t="s">
        <v>41</v>
      </c>
      <c r="J3182" t="s">
        <v>129</v>
      </c>
      <c r="K3182" t="s">
        <v>130</v>
      </c>
      <c r="L3182">
        <v>5</v>
      </c>
      <c r="M3182" t="s">
        <v>11564</v>
      </c>
      <c r="N3182" t="s">
        <v>218</v>
      </c>
      <c r="O3182" t="s">
        <v>47</v>
      </c>
      <c r="P3182" t="s">
        <v>47</v>
      </c>
      <c r="Y3182" t="s">
        <v>11565</v>
      </c>
      <c r="AG3182" t="s">
        <v>48</v>
      </c>
    </row>
    <row r="3183" spans="1:33">
      <c r="A3183" t="s">
        <v>11566</v>
      </c>
      <c r="B3183" t="s">
        <v>11567</v>
      </c>
      <c r="D3183" t="s">
        <v>40</v>
      </c>
      <c r="E3183" t="s">
        <v>41</v>
      </c>
      <c r="J3183" t="s">
        <v>270</v>
      </c>
      <c r="K3183" t="s">
        <v>271</v>
      </c>
      <c r="L3183">
        <v>5</v>
      </c>
      <c r="M3183" t="s">
        <v>11564</v>
      </c>
      <c r="N3183" t="s">
        <v>59</v>
      </c>
      <c r="O3183" t="s">
        <v>47</v>
      </c>
      <c r="P3183" t="s">
        <v>47</v>
      </c>
      <c r="Y3183" t="s">
        <v>11568</v>
      </c>
      <c r="AG3183" t="s">
        <v>48</v>
      </c>
    </row>
    <row r="3184" spans="1:33">
      <c r="A3184" t="s">
        <v>11569</v>
      </c>
      <c r="B3184" t="s">
        <v>11570</v>
      </c>
      <c r="D3184" t="s">
        <v>40</v>
      </c>
      <c r="E3184" t="s">
        <v>41</v>
      </c>
      <c r="J3184" t="s">
        <v>129</v>
      </c>
      <c r="K3184" t="s">
        <v>130</v>
      </c>
      <c r="L3184">
        <v>5</v>
      </c>
      <c r="M3184" t="s">
        <v>11571</v>
      </c>
      <c r="N3184" t="s">
        <v>192</v>
      </c>
      <c r="O3184" t="s">
        <v>47</v>
      </c>
      <c r="P3184" t="s">
        <v>47</v>
      </c>
      <c r="Y3184" t="s">
        <v>11572</v>
      </c>
      <c r="AG3184" t="s">
        <v>48</v>
      </c>
    </row>
    <row r="3185" spans="1:33">
      <c r="A3185" t="s">
        <v>11573</v>
      </c>
      <c r="B3185" t="s">
        <v>11574</v>
      </c>
      <c r="D3185" t="s">
        <v>40</v>
      </c>
      <c r="E3185" t="s">
        <v>41</v>
      </c>
      <c r="J3185" t="s">
        <v>108</v>
      </c>
      <c r="K3185" t="s">
        <v>109</v>
      </c>
      <c r="L3185">
        <v>5</v>
      </c>
      <c r="M3185" t="s">
        <v>11571</v>
      </c>
      <c r="N3185" t="s">
        <v>59</v>
      </c>
      <c r="O3185" t="s">
        <v>47</v>
      </c>
      <c r="P3185" t="s">
        <v>47</v>
      </c>
      <c r="Y3185" t="s">
        <v>11575</v>
      </c>
      <c r="AG3185" t="s">
        <v>48</v>
      </c>
    </row>
    <row r="3186" spans="1:33">
      <c r="A3186" t="s">
        <v>11576</v>
      </c>
      <c r="B3186" t="s">
        <v>11577</v>
      </c>
      <c r="D3186" t="s">
        <v>40</v>
      </c>
      <c r="E3186" t="s">
        <v>41</v>
      </c>
      <c r="J3186" t="s">
        <v>290</v>
      </c>
      <c r="K3186" t="s">
        <v>291</v>
      </c>
      <c r="L3186">
        <v>5</v>
      </c>
      <c r="M3186" t="s">
        <v>11571</v>
      </c>
      <c r="N3186" t="s">
        <v>59</v>
      </c>
      <c r="O3186" t="s">
        <v>47</v>
      </c>
      <c r="P3186" t="s">
        <v>47</v>
      </c>
      <c r="Y3186" t="s">
        <v>11578</v>
      </c>
      <c r="AG3186" t="s">
        <v>48</v>
      </c>
    </row>
    <row r="3187" spans="1:33">
      <c r="A3187" t="s">
        <v>11579</v>
      </c>
      <c r="B3187" t="s">
        <v>11580</v>
      </c>
      <c r="D3187" t="s">
        <v>40</v>
      </c>
      <c r="E3187" t="s">
        <v>41</v>
      </c>
      <c r="J3187" t="s">
        <v>290</v>
      </c>
      <c r="K3187" t="s">
        <v>291</v>
      </c>
      <c r="L3187">
        <v>5</v>
      </c>
      <c r="M3187" t="s">
        <v>11581</v>
      </c>
      <c r="N3187" t="s">
        <v>59</v>
      </c>
      <c r="O3187" t="s">
        <v>47</v>
      </c>
      <c r="P3187" t="s">
        <v>47</v>
      </c>
      <c r="Y3187" t="s">
        <v>11582</v>
      </c>
      <c r="AG3187" t="s">
        <v>48</v>
      </c>
    </row>
    <row r="3188" spans="1:33">
      <c r="A3188" t="s">
        <v>11583</v>
      </c>
      <c r="B3188" t="s">
        <v>11584</v>
      </c>
      <c r="D3188" t="s">
        <v>40</v>
      </c>
      <c r="E3188" t="s">
        <v>41</v>
      </c>
      <c r="H3188" t="s">
        <v>11585</v>
      </c>
      <c r="J3188" t="s">
        <v>312</v>
      </c>
      <c r="K3188" t="s">
        <v>313</v>
      </c>
      <c r="L3188">
        <v>5</v>
      </c>
      <c r="M3188" t="s">
        <v>11586</v>
      </c>
      <c r="N3188" t="s">
        <v>218</v>
      </c>
      <c r="O3188" t="s">
        <v>47</v>
      </c>
      <c r="P3188" t="s">
        <v>47</v>
      </c>
      <c r="Y3188" t="s">
        <v>11585</v>
      </c>
      <c r="AG3188" t="s">
        <v>48</v>
      </c>
    </row>
    <row r="3189" spans="1:33">
      <c r="A3189" t="s">
        <v>11587</v>
      </c>
      <c r="B3189" t="s">
        <v>11588</v>
      </c>
      <c r="D3189" t="s">
        <v>40</v>
      </c>
      <c r="E3189" t="s">
        <v>41</v>
      </c>
      <c r="J3189" t="s">
        <v>290</v>
      </c>
      <c r="K3189" t="s">
        <v>291</v>
      </c>
      <c r="L3189">
        <v>5</v>
      </c>
      <c r="M3189" t="s">
        <v>11589</v>
      </c>
      <c r="N3189" t="s">
        <v>59</v>
      </c>
      <c r="O3189" t="s">
        <v>47</v>
      </c>
      <c r="P3189" t="s">
        <v>47</v>
      </c>
      <c r="Y3189" t="s">
        <v>11590</v>
      </c>
      <c r="AG3189" t="s">
        <v>48</v>
      </c>
    </row>
    <row r="3190" spans="1:33">
      <c r="A3190" t="s">
        <v>11591</v>
      </c>
      <c r="B3190" t="s">
        <v>11592</v>
      </c>
      <c r="D3190" t="s">
        <v>40</v>
      </c>
      <c r="E3190" t="s">
        <v>41</v>
      </c>
      <c r="J3190" t="s">
        <v>108</v>
      </c>
      <c r="K3190" t="s">
        <v>109</v>
      </c>
      <c r="L3190">
        <v>5</v>
      </c>
      <c r="M3190" t="s">
        <v>11593</v>
      </c>
      <c r="N3190" t="s">
        <v>59</v>
      </c>
      <c r="O3190" t="s">
        <v>47</v>
      </c>
      <c r="P3190" t="s">
        <v>47</v>
      </c>
      <c r="Y3190" t="s">
        <v>11594</v>
      </c>
      <c r="AG3190" t="s">
        <v>48</v>
      </c>
    </row>
    <row r="3191" spans="1:33">
      <c r="A3191" t="s">
        <v>11595</v>
      </c>
      <c r="B3191" t="s">
        <v>11596</v>
      </c>
      <c r="D3191" t="s">
        <v>40</v>
      </c>
      <c r="E3191" t="s">
        <v>41</v>
      </c>
      <c r="J3191" t="s">
        <v>290</v>
      </c>
      <c r="K3191" t="s">
        <v>291</v>
      </c>
      <c r="L3191">
        <v>5</v>
      </c>
      <c r="M3191" t="s">
        <v>11593</v>
      </c>
      <c r="N3191" t="s">
        <v>59</v>
      </c>
      <c r="O3191" t="s">
        <v>47</v>
      </c>
      <c r="P3191" t="s">
        <v>47</v>
      </c>
      <c r="Y3191" t="s">
        <v>11597</v>
      </c>
      <c r="AG3191" t="s">
        <v>48</v>
      </c>
    </row>
    <row r="3192" spans="1:33">
      <c r="A3192" t="s">
        <v>11598</v>
      </c>
      <c r="B3192" t="s">
        <v>11599</v>
      </c>
      <c r="D3192" t="s">
        <v>40</v>
      </c>
      <c r="E3192" t="s">
        <v>41</v>
      </c>
      <c r="J3192" t="s">
        <v>290</v>
      </c>
      <c r="K3192" t="s">
        <v>291</v>
      </c>
      <c r="L3192">
        <v>5</v>
      </c>
      <c r="M3192" t="s">
        <v>11593</v>
      </c>
      <c r="N3192" t="s">
        <v>59</v>
      </c>
      <c r="O3192" t="s">
        <v>47</v>
      </c>
      <c r="P3192" t="s">
        <v>47</v>
      </c>
      <c r="Y3192" t="s">
        <v>11600</v>
      </c>
      <c r="AG3192" t="s">
        <v>48</v>
      </c>
    </row>
    <row r="3193" spans="1:33">
      <c r="A3193" t="s">
        <v>11601</v>
      </c>
      <c r="B3193" t="s">
        <v>11602</v>
      </c>
      <c r="D3193" t="s">
        <v>40</v>
      </c>
      <c r="E3193" t="s">
        <v>41</v>
      </c>
      <c r="J3193" t="s">
        <v>290</v>
      </c>
      <c r="K3193" t="s">
        <v>291</v>
      </c>
      <c r="L3193">
        <v>5</v>
      </c>
      <c r="M3193" t="s">
        <v>11593</v>
      </c>
      <c r="N3193" t="s">
        <v>59</v>
      </c>
      <c r="O3193" t="s">
        <v>47</v>
      </c>
      <c r="P3193" t="s">
        <v>47</v>
      </c>
      <c r="Y3193" t="s">
        <v>11603</v>
      </c>
      <c r="AG3193" t="s">
        <v>48</v>
      </c>
    </row>
    <row r="3194" spans="1:33">
      <c r="A3194" t="s">
        <v>11604</v>
      </c>
      <c r="B3194" t="s">
        <v>11605</v>
      </c>
      <c r="D3194" t="s">
        <v>40</v>
      </c>
      <c r="E3194" t="s">
        <v>41</v>
      </c>
      <c r="H3194" t="s">
        <v>11606</v>
      </c>
      <c r="J3194" t="s">
        <v>63</v>
      </c>
      <c r="K3194" t="s">
        <v>64</v>
      </c>
      <c r="L3194">
        <v>5</v>
      </c>
      <c r="M3194" t="s">
        <v>11607</v>
      </c>
      <c r="N3194" t="s">
        <v>59</v>
      </c>
      <c r="O3194" t="s">
        <v>47</v>
      </c>
      <c r="P3194" t="s">
        <v>47</v>
      </c>
      <c r="Y3194" t="s">
        <v>11606</v>
      </c>
      <c r="AG3194" t="s">
        <v>48</v>
      </c>
    </row>
    <row r="3195" spans="1:33">
      <c r="A3195" t="s">
        <v>11608</v>
      </c>
      <c r="B3195" t="s">
        <v>11609</v>
      </c>
      <c r="D3195" t="s">
        <v>40</v>
      </c>
      <c r="E3195" t="s">
        <v>41</v>
      </c>
      <c r="J3195" t="s">
        <v>290</v>
      </c>
      <c r="K3195" t="s">
        <v>291</v>
      </c>
      <c r="L3195">
        <v>5</v>
      </c>
      <c r="M3195" t="s">
        <v>11610</v>
      </c>
      <c r="N3195" t="s">
        <v>59</v>
      </c>
      <c r="O3195" t="s">
        <v>47</v>
      </c>
      <c r="P3195" t="s">
        <v>47</v>
      </c>
      <c r="Y3195" t="s">
        <v>11611</v>
      </c>
      <c r="AG3195" t="s">
        <v>48</v>
      </c>
    </row>
    <row r="3196" spans="1:33">
      <c r="A3196" t="s">
        <v>11612</v>
      </c>
      <c r="B3196" t="s">
        <v>11613</v>
      </c>
      <c r="D3196" t="s">
        <v>40</v>
      </c>
      <c r="E3196" t="s">
        <v>41</v>
      </c>
      <c r="J3196" t="s">
        <v>290</v>
      </c>
      <c r="K3196" t="s">
        <v>291</v>
      </c>
      <c r="L3196">
        <v>5</v>
      </c>
      <c r="M3196" t="s">
        <v>11610</v>
      </c>
      <c r="N3196" t="s">
        <v>59</v>
      </c>
      <c r="O3196" t="s">
        <v>47</v>
      </c>
      <c r="P3196" t="s">
        <v>47</v>
      </c>
      <c r="Y3196" t="s">
        <v>11614</v>
      </c>
      <c r="AG3196" t="s">
        <v>48</v>
      </c>
    </row>
    <row r="3197" spans="1:33">
      <c r="A3197" t="s">
        <v>11615</v>
      </c>
      <c r="B3197" t="s">
        <v>11616</v>
      </c>
      <c r="D3197" t="s">
        <v>40</v>
      </c>
      <c r="E3197" t="s">
        <v>41</v>
      </c>
      <c r="J3197" t="s">
        <v>129</v>
      </c>
      <c r="K3197" t="s">
        <v>130</v>
      </c>
      <c r="L3197">
        <v>5</v>
      </c>
      <c r="M3197" t="s">
        <v>11617</v>
      </c>
      <c r="N3197" t="s">
        <v>192</v>
      </c>
      <c r="O3197" t="s">
        <v>47</v>
      </c>
      <c r="P3197" t="s">
        <v>47</v>
      </c>
      <c r="Y3197" t="s">
        <v>11618</v>
      </c>
      <c r="AG3197" t="s">
        <v>48</v>
      </c>
    </row>
    <row r="3198" spans="1:33">
      <c r="A3198" t="s">
        <v>11619</v>
      </c>
      <c r="B3198" t="s">
        <v>11620</v>
      </c>
      <c r="D3198" t="s">
        <v>40</v>
      </c>
      <c r="E3198" t="s">
        <v>41</v>
      </c>
      <c r="H3198" t="s">
        <v>11621</v>
      </c>
      <c r="J3198" t="s">
        <v>108</v>
      </c>
      <c r="K3198" t="s">
        <v>109</v>
      </c>
      <c r="L3198">
        <v>5</v>
      </c>
      <c r="M3198" t="s">
        <v>11622</v>
      </c>
      <c r="N3198" t="s">
        <v>59</v>
      </c>
      <c r="O3198" t="s">
        <v>47</v>
      </c>
      <c r="P3198" t="s">
        <v>47</v>
      </c>
      <c r="Y3198" t="s">
        <v>11621</v>
      </c>
      <c r="AG3198" t="s">
        <v>48</v>
      </c>
    </row>
    <row r="3199" spans="1:33">
      <c r="A3199" t="s">
        <v>11623</v>
      </c>
      <c r="B3199" t="s">
        <v>11624</v>
      </c>
      <c r="D3199" t="s">
        <v>40</v>
      </c>
      <c r="E3199" t="s">
        <v>41</v>
      </c>
      <c r="H3199" t="s">
        <v>11625</v>
      </c>
      <c r="J3199" t="s">
        <v>123</v>
      </c>
      <c r="K3199" t="s">
        <v>124</v>
      </c>
      <c r="L3199">
        <v>5</v>
      </c>
      <c r="M3199" t="s">
        <v>11626</v>
      </c>
      <c r="N3199" t="s">
        <v>59</v>
      </c>
      <c r="O3199" t="s">
        <v>47</v>
      </c>
      <c r="P3199" t="s">
        <v>47</v>
      </c>
      <c r="Y3199" t="s">
        <v>11625</v>
      </c>
      <c r="AG3199" t="s">
        <v>48</v>
      </c>
    </row>
    <row r="3200" spans="1:33">
      <c r="A3200" t="s">
        <v>11627</v>
      </c>
      <c r="B3200" t="s">
        <v>11628</v>
      </c>
      <c r="D3200" t="s">
        <v>40</v>
      </c>
      <c r="E3200" t="s">
        <v>41</v>
      </c>
      <c r="J3200" t="s">
        <v>108</v>
      </c>
      <c r="K3200" t="s">
        <v>109</v>
      </c>
      <c r="L3200">
        <v>5</v>
      </c>
      <c r="M3200" t="s">
        <v>11629</v>
      </c>
      <c r="N3200" t="s">
        <v>59</v>
      </c>
      <c r="O3200" t="s">
        <v>47</v>
      </c>
      <c r="P3200" t="s">
        <v>47</v>
      </c>
      <c r="Y3200" t="s">
        <v>11630</v>
      </c>
      <c r="AG3200" t="s">
        <v>48</v>
      </c>
    </row>
    <row r="3201" spans="1:33">
      <c r="A3201" t="s">
        <v>11631</v>
      </c>
      <c r="B3201" t="s">
        <v>11632</v>
      </c>
      <c r="D3201" t="s">
        <v>40</v>
      </c>
      <c r="E3201" t="s">
        <v>41</v>
      </c>
      <c r="J3201" t="s">
        <v>43</v>
      </c>
      <c r="K3201" t="s">
        <v>44</v>
      </c>
      <c r="L3201">
        <v>5</v>
      </c>
      <c r="M3201" t="s">
        <v>11633</v>
      </c>
      <c r="N3201" t="s">
        <v>192</v>
      </c>
      <c r="O3201" t="s">
        <v>47</v>
      </c>
      <c r="P3201" t="s">
        <v>47</v>
      </c>
      <c r="Y3201" t="s">
        <v>11634</v>
      </c>
      <c r="AG3201" t="s">
        <v>48</v>
      </c>
    </row>
    <row r="3202" spans="1:33">
      <c r="A3202" t="s">
        <v>11635</v>
      </c>
      <c r="B3202" t="s">
        <v>11636</v>
      </c>
      <c r="D3202" t="s">
        <v>40</v>
      </c>
      <c r="E3202" t="s">
        <v>41</v>
      </c>
      <c r="J3202" t="s">
        <v>108</v>
      </c>
      <c r="K3202" t="s">
        <v>109</v>
      </c>
      <c r="L3202">
        <v>5</v>
      </c>
      <c r="M3202" t="s">
        <v>11633</v>
      </c>
      <c r="N3202" t="s">
        <v>59</v>
      </c>
      <c r="O3202" t="s">
        <v>47</v>
      </c>
      <c r="P3202" t="s">
        <v>47</v>
      </c>
      <c r="Y3202" t="s">
        <v>11637</v>
      </c>
      <c r="AG3202" t="s">
        <v>48</v>
      </c>
    </row>
    <row r="3203" spans="1:33">
      <c r="A3203" t="s">
        <v>11638</v>
      </c>
      <c r="B3203" t="s">
        <v>11639</v>
      </c>
      <c r="D3203" t="s">
        <v>40</v>
      </c>
      <c r="E3203" t="s">
        <v>41</v>
      </c>
      <c r="H3203" t="s">
        <v>11640</v>
      </c>
      <c r="J3203" t="s">
        <v>86</v>
      </c>
      <c r="K3203" t="s">
        <v>87</v>
      </c>
      <c r="L3203">
        <v>6</v>
      </c>
      <c r="M3203" t="s">
        <v>11641</v>
      </c>
      <c r="N3203" t="s">
        <v>192</v>
      </c>
      <c r="O3203" t="s">
        <v>47</v>
      </c>
      <c r="P3203" t="s">
        <v>47</v>
      </c>
      <c r="Y3203" t="s">
        <v>11640</v>
      </c>
      <c r="AG3203" t="s">
        <v>48</v>
      </c>
    </row>
    <row r="3204" spans="1:33">
      <c r="A3204" t="s">
        <v>11642</v>
      </c>
      <c r="B3204" t="s">
        <v>11643</v>
      </c>
      <c r="D3204" t="s">
        <v>40</v>
      </c>
      <c r="E3204" t="s">
        <v>41</v>
      </c>
      <c r="J3204" t="s">
        <v>108</v>
      </c>
      <c r="K3204" t="s">
        <v>109</v>
      </c>
      <c r="L3204">
        <v>5</v>
      </c>
      <c r="M3204" t="s">
        <v>11644</v>
      </c>
      <c r="N3204" t="s">
        <v>59</v>
      </c>
      <c r="O3204" t="s">
        <v>47</v>
      </c>
      <c r="P3204" t="s">
        <v>47</v>
      </c>
      <c r="Y3204" t="s">
        <v>11645</v>
      </c>
      <c r="AG3204" t="s">
        <v>48</v>
      </c>
    </row>
    <row r="3205" spans="1:33">
      <c r="A3205" t="s">
        <v>11646</v>
      </c>
      <c r="B3205" t="s">
        <v>11647</v>
      </c>
      <c r="D3205" t="s">
        <v>40</v>
      </c>
      <c r="E3205" t="s">
        <v>41</v>
      </c>
      <c r="J3205" t="s">
        <v>290</v>
      </c>
      <c r="K3205" t="s">
        <v>291</v>
      </c>
      <c r="L3205">
        <v>5</v>
      </c>
      <c r="M3205" t="s">
        <v>11644</v>
      </c>
      <c r="N3205" t="s">
        <v>59</v>
      </c>
      <c r="O3205" t="s">
        <v>47</v>
      </c>
      <c r="P3205" t="s">
        <v>47</v>
      </c>
      <c r="Y3205" t="s">
        <v>11648</v>
      </c>
      <c r="AG3205" t="s">
        <v>48</v>
      </c>
    </row>
    <row r="3206" spans="1:33">
      <c r="A3206" t="s">
        <v>11649</v>
      </c>
      <c r="B3206" t="s">
        <v>11650</v>
      </c>
      <c r="D3206" t="s">
        <v>40</v>
      </c>
      <c r="E3206" t="s">
        <v>41</v>
      </c>
      <c r="J3206" t="s">
        <v>108</v>
      </c>
      <c r="K3206" t="s">
        <v>109</v>
      </c>
      <c r="L3206">
        <v>5</v>
      </c>
      <c r="M3206" t="s">
        <v>11651</v>
      </c>
      <c r="N3206" t="s">
        <v>59</v>
      </c>
      <c r="O3206" t="s">
        <v>47</v>
      </c>
      <c r="P3206" t="s">
        <v>47</v>
      </c>
      <c r="Y3206" t="s">
        <v>11652</v>
      </c>
      <c r="AG3206" t="s">
        <v>48</v>
      </c>
    </row>
    <row r="3207" spans="1:33">
      <c r="A3207" t="s">
        <v>11653</v>
      </c>
      <c r="B3207" t="s">
        <v>11654</v>
      </c>
      <c r="D3207" t="s">
        <v>40</v>
      </c>
      <c r="E3207" t="s">
        <v>41</v>
      </c>
      <c r="J3207" t="s">
        <v>290</v>
      </c>
      <c r="K3207" t="s">
        <v>291</v>
      </c>
      <c r="L3207">
        <v>5</v>
      </c>
      <c r="M3207" t="s">
        <v>11655</v>
      </c>
      <c r="N3207" t="s">
        <v>59</v>
      </c>
      <c r="O3207" t="s">
        <v>47</v>
      </c>
      <c r="P3207" t="s">
        <v>47</v>
      </c>
      <c r="Y3207" t="s">
        <v>11656</v>
      </c>
      <c r="AG3207" t="s">
        <v>48</v>
      </c>
    </row>
    <row r="3208" spans="1:33">
      <c r="A3208" t="s">
        <v>11657</v>
      </c>
      <c r="B3208" t="s">
        <v>11658</v>
      </c>
      <c r="D3208" t="s">
        <v>40</v>
      </c>
      <c r="E3208" t="s">
        <v>41</v>
      </c>
      <c r="J3208" t="s">
        <v>108</v>
      </c>
      <c r="K3208" t="s">
        <v>109</v>
      </c>
      <c r="L3208">
        <v>5</v>
      </c>
      <c r="M3208" t="s">
        <v>11659</v>
      </c>
      <c r="N3208" t="s">
        <v>59</v>
      </c>
      <c r="O3208" t="s">
        <v>47</v>
      </c>
      <c r="P3208" t="s">
        <v>47</v>
      </c>
      <c r="Y3208" t="s">
        <v>11660</v>
      </c>
      <c r="AG3208" t="s">
        <v>48</v>
      </c>
    </row>
    <row r="3209" spans="1:33">
      <c r="A3209" t="s">
        <v>11661</v>
      </c>
      <c r="B3209" t="s">
        <v>11662</v>
      </c>
      <c r="D3209" t="s">
        <v>40</v>
      </c>
      <c r="E3209" t="s">
        <v>41</v>
      </c>
      <c r="J3209" t="s">
        <v>114</v>
      </c>
      <c r="K3209" t="s">
        <v>115</v>
      </c>
      <c r="L3209">
        <v>5</v>
      </c>
      <c r="M3209" t="s">
        <v>11663</v>
      </c>
      <c r="N3209" t="s">
        <v>59</v>
      </c>
      <c r="O3209" t="s">
        <v>47</v>
      </c>
      <c r="P3209" t="s">
        <v>47</v>
      </c>
      <c r="Y3209" t="s">
        <v>11664</v>
      </c>
      <c r="AG3209" t="s">
        <v>48</v>
      </c>
    </row>
    <row r="3210" spans="1:33">
      <c r="A3210" t="s">
        <v>11665</v>
      </c>
      <c r="B3210" t="s">
        <v>11666</v>
      </c>
      <c r="D3210" t="s">
        <v>40</v>
      </c>
      <c r="E3210" t="s">
        <v>41</v>
      </c>
      <c r="J3210" t="s">
        <v>290</v>
      </c>
      <c r="K3210" t="s">
        <v>291</v>
      </c>
      <c r="L3210">
        <v>5</v>
      </c>
      <c r="M3210" t="s">
        <v>11663</v>
      </c>
      <c r="N3210" t="s">
        <v>59</v>
      </c>
      <c r="O3210" t="s">
        <v>47</v>
      </c>
      <c r="P3210" t="s">
        <v>47</v>
      </c>
      <c r="Y3210" t="s">
        <v>11667</v>
      </c>
      <c r="AG3210" t="s">
        <v>48</v>
      </c>
    </row>
    <row r="3211" spans="1:33">
      <c r="A3211" t="s">
        <v>11668</v>
      </c>
      <c r="B3211" t="s">
        <v>11669</v>
      </c>
      <c r="D3211" t="s">
        <v>40</v>
      </c>
      <c r="E3211" t="s">
        <v>41</v>
      </c>
      <c r="J3211" t="s">
        <v>108</v>
      </c>
      <c r="K3211" t="s">
        <v>109</v>
      </c>
      <c r="L3211">
        <v>5</v>
      </c>
      <c r="M3211" t="s">
        <v>11670</v>
      </c>
      <c r="N3211" t="s">
        <v>59</v>
      </c>
      <c r="O3211" t="s">
        <v>47</v>
      </c>
      <c r="P3211" t="s">
        <v>47</v>
      </c>
      <c r="Y3211" t="s">
        <v>11671</v>
      </c>
      <c r="AG3211" t="s">
        <v>48</v>
      </c>
    </row>
    <row r="3212" spans="1:33">
      <c r="A3212" t="s">
        <v>11672</v>
      </c>
      <c r="B3212" t="s">
        <v>11673</v>
      </c>
      <c r="D3212" t="s">
        <v>40</v>
      </c>
      <c r="E3212" t="s">
        <v>41</v>
      </c>
      <c r="H3212" t="s">
        <v>11674</v>
      </c>
      <c r="J3212" t="s">
        <v>129</v>
      </c>
      <c r="K3212" t="s">
        <v>130</v>
      </c>
      <c r="L3212">
        <v>5</v>
      </c>
      <c r="M3212" t="s">
        <v>11675</v>
      </c>
      <c r="N3212" t="s">
        <v>192</v>
      </c>
      <c r="O3212" t="s">
        <v>47</v>
      </c>
      <c r="P3212" t="s">
        <v>47</v>
      </c>
      <c r="Y3212" t="s">
        <v>11674</v>
      </c>
      <c r="AG3212" t="s">
        <v>48</v>
      </c>
    </row>
    <row r="3213" spans="1:33">
      <c r="A3213" t="s">
        <v>11676</v>
      </c>
      <c r="B3213" t="s">
        <v>11677</v>
      </c>
      <c r="D3213" t="s">
        <v>40</v>
      </c>
      <c r="E3213" t="s">
        <v>41</v>
      </c>
      <c r="J3213" t="s">
        <v>290</v>
      </c>
      <c r="K3213" t="s">
        <v>291</v>
      </c>
      <c r="L3213">
        <v>5</v>
      </c>
      <c r="M3213" t="s">
        <v>11675</v>
      </c>
      <c r="N3213" t="s">
        <v>59</v>
      </c>
      <c r="O3213" t="s">
        <v>47</v>
      </c>
      <c r="P3213" t="s">
        <v>47</v>
      </c>
      <c r="Y3213" t="s">
        <v>11678</v>
      </c>
      <c r="AG3213" t="s">
        <v>48</v>
      </c>
    </row>
    <row r="3214" spans="1:33">
      <c r="A3214" t="s">
        <v>11679</v>
      </c>
      <c r="B3214" t="s">
        <v>11680</v>
      </c>
      <c r="D3214" t="s">
        <v>40</v>
      </c>
      <c r="E3214" t="s">
        <v>41</v>
      </c>
      <c r="J3214" t="s">
        <v>270</v>
      </c>
      <c r="K3214" t="s">
        <v>271</v>
      </c>
      <c r="L3214">
        <v>5</v>
      </c>
      <c r="M3214" t="s">
        <v>11681</v>
      </c>
      <c r="N3214" t="s">
        <v>59</v>
      </c>
      <c r="O3214" t="s">
        <v>47</v>
      </c>
      <c r="P3214" t="s">
        <v>47</v>
      </c>
      <c r="Y3214" t="s">
        <v>11682</v>
      </c>
      <c r="AG3214" t="s">
        <v>48</v>
      </c>
    </row>
    <row r="3215" spans="1:33">
      <c r="A3215" t="s">
        <v>11683</v>
      </c>
      <c r="B3215" t="s">
        <v>11684</v>
      </c>
      <c r="D3215" t="s">
        <v>40</v>
      </c>
      <c r="E3215" t="s">
        <v>41</v>
      </c>
      <c r="J3215" t="s">
        <v>290</v>
      </c>
      <c r="K3215" t="s">
        <v>291</v>
      </c>
      <c r="L3215">
        <v>5</v>
      </c>
      <c r="M3215" t="s">
        <v>11685</v>
      </c>
      <c r="N3215" t="s">
        <v>59</v>
      </c>
      <c r="O3215" t="s">
        <v>47</v>
      </c>
      <c r="P3215" t="s">
        <v>47</v>
      </c>
      <c r="Y3215" t="s">
        <v>11686</v>
      </c>
      <c r="AG3215" t="s">
        <v>48</v>
      </c>
    </row>
    <row r="3216" spans="1:33">
      <c r="A3216" t="s">
        <v>11687</v>
      </c>
      <c r="B3216" t="s">
        <v>11688</v>
      </c>
      <c r="D3216" t="s">
        <v>40</v>
      </c>
      <c r="E3216" t="s">
        <v>41</v>
      </c>
      <c r="J3216" t="s">
        <v>270</v>
      </c>
      <c r="K3216" t="s">
        <v>271</v>
      </c>
      <c r="L3216">
        <v>5</v>
      </c>
      <c r="M3216" t="s">
        <v>11689</v>
      </c>
      <c r="N3216" t="s">
        <v>59</v>
      </c>
      <c r="O3216" t="s">
        <v>47</v>
      </c>
      <c r="P3216" t="s">
        <v>47</v>
      </c>
      <c r="Y3216" t="s">
        <v>11690</v>
      </c>
      <c r="AG3216" t="s">
        <v>48</v>
      </c>
    </row>
    <row r="3217" spans="1:33">
      <c r="A3217" t="s">
        <v>11691</v>
      </c>
      <c r="B3217" t="s">
        <v>11692</v>
      </c>
      <c r="D3217" t="s">
        <v>40</v>
      </c>
      <c r="E3217" t="s">
        <v>41</v>
      </c>
      <c r="H3217" t="s">
        <v>11693</v>
      </c>
      <c r="J3217" t="s">
        <v>290</v>
      </c>
      <c r="K3217" t="s">
        <v>291</v>
      </c>
      <c r="L3217">
        <v>5</v>
      </c>
      <c r="M3217" t="s">
        <v>11689</v>
      </c>
      <c r="N3217" t="s">
        <v>59</v>
      </c>
      <c r="O3217" t="s">
        <v>47</v>
      </c>
      <c r="P3217" t="s">
        <v>47</v>
      </c>
      <c r="Y3217" t="s">
        <v>11693</v>
      </c>
      <c r="AG3217" t="s">
        <v>48</v>
      </c>
    </row>
    <row r="3218" spans="1:33">
      <c r="A3218" t="s">
        <v>11694</v>
      </c>
      <c r="B3218" t="s">
        <v>11695</v>
      </c>
      <c r="D3218" t="s">
        <v>40</v>
      </c>
      <c r="E3218" t="s">
        <v>41</v>
      </c>
      <c r="J3218" t="s">
        <v>290</v>
      </c>
      <c r="K3218" t="s">
        <v>291</v>
      </c>
      <c r="L3218">
        <v>5</v>
      </c>
      <c r="M3218" t="s">
        <v>11689</v>
      </c>
      <c r="N3218" t="s">
        <v>59</v>
      </c>
      <c r="O3218" t="s">
        <v>47</v>
      </c>
      <c r="P3218" t="s">
        <v>47</v>
      </c>
      <c r="Y3218" t="s">
        <v>11696</v>
      </c>
      <c r="AG3218" t="s">
        <v>48</v>
      </c>
    </row>
    <row r="3219" spans="1:33">
      <c r="A3219" t="s">
        <v>11697</v>
      </c>
      <c r="B3219" t="s">
        <v>11698</v>
      </c>
      <c r="D3219" t="s">
        <v>40</v>
      </c>
      <c r="E3219" t="s">
        <v>41</v>
      </c>
      <c r="J3219" t="s">
        <v>290</v>
      </c>
      <c r="K3219" t="s">
        <v>291</v>
      </c>
      <c r="L3219">
        <v>5</v>
      </c>
      <c r="M3219" t="s">
        <v>11699</v>
      </c>
      <c r="N3219" t="s">
        <v>59</v>
      </c>
      <c r="O3219" t="s">
        <v>47</v>
      </c>
      <c r="P3219" t="s">
        <v>47</v>
      </c>
      <c r="Y3219" t="s">
        <v>11700</v>
      </c>
      <c r="AG3219" t="s">
        <v>48</v>
      </c>
    </row>
    <row r="3220" spans="1:33">
      <c r="A3220" t="s">
        <v>11701</v>
      </c>
      <c r="B3220" t="s">
        <v>11702</v>
      </c>
      <c r="D3220" t="s">
        <v>40</v>
      </c>
      <c r="E3220" t="s">
        <v>41</v>
      </c>
      <c r="J3220" t="s">
        <v>270</v>
      </c>
      <c r="K3220" t="s">
        <v>271</v>
      </c>
      <c r="L3220">
        <v>5</v>
      </c>
      <c r="M3220" t="s">
        <v>11699</v>
      </c>
      <c r="N3220" t="s">
        <v>59</v>
      </c>
      <c r="O3220" t="s">
        <v>47</v>
      </c>
      <c r="P3220" t="s">
        <v>47</v>
      </c>
      <c r="Y3220" t="s">
        <v>11703</v>
      </c>
      <c r="AG3220" t="s">
        <v>48</v>
      </c>
    </row>
    <row r="3221" spans="1:33">
      <c r="A3221" t="s">
        <v>11704</v>
      </c>
      <c r="B3221" t="s">
        <v>11705</v>
      </c>
      <c r="D3221" t="s">
        <v>40</v>
      </c>
      <c r="E3221" t="s">
        <v>41</v>
      </c>
      <c r="J3221" t="s">
        <v>108</v>
      </c>
      <c r="K3221" t="s">
        <v>109</v>
      </c>
      <c r="L3221">
        <v>5</v>
      </c>
      <c r="M3221" t="s">
        <v>11706</v>
      </c>
      <c r="N3221" t="s">
        <v>59</v>
      </c>
      <c r="O3221" t="s">
        <v>47</v>
      </c>
      <c r="P3221" t="s">
        <v>47</v>
      </c>
      <c r="Y3221" t="s">
        <v>11707</v>
      </c>
      <c r="AG3221" t="s">
        <v>48</v>
      </c>
    </row>
    <row r="3222" spans="1:33">
      <c r="A3222" t="s">
        <v>11708</v>
      </c>
      <c r="B3222" t="s">
        <v>11709</v>
      </c>
      <c r="D3222" t="s">
        <v>40</v>
      </c>
      <c r="E3222" t="s">
        <v>41</v>
      </c>
      <c r="J3222" t="s">
        <v>129</v>
      </c>
      <c r="K3222" t="s">
        <v>130</v>
      </c>
      <c r="L3222">
        <v>5</v>
      </c>
      <c r="M3222" t="s">
        <v>11706</v>
      </c>
      <c r="N3222" t="s">
        <v>192</v>
      </c>
      <c r="O3222" t="s">
        <v>47</v>
      </c>
      <c r="P3222" t="s">
        <v>47</v>
      </c>
      <c r="Y3222" t="s">
        <v>11710</v>
      </c>
      <c r="AG3222" t="s">
        <v>48</v>
      </c>
    </row>
    <row r="3223" spans="1:33">
      <c r="A3223" t="s">
        <v>11711</v>
      </c>
      <c r="B3223" t="s">
        <v>11712</v>
      </c>
      <c r="D3223" t="s">
        <v>40</v>
      </c>
      <c r="E3223" t="s">
        <v>41</v>
      </c>
      <c r="J3223" t="s">
        <v>129</v>
      </c>
      <c r="K3223" t="s">
        <v>130</v>
      </c>
      <c r="L3223">
        <v>5</v>
      </c>
      <c r="M3223" t="s">
        <v>11713</v>
      </c>
      <c r="N3223" t="s">
        <v>192</v>
      </c>
      <c r="O3223" t="s">
        <v>47</v>
      </c>
      <c r="P3223" t="s">
        <v>47</v>
      </c>
      <c r="Y3223" t="s">
        <v>11714</v>
      </c>
      <c r="AG3223" t="s">
        <v>48</v>
      </c>
    </row>
    <row r="3224" spans="1:33">
      <c r="A3224" t="s">
        <v>11715</v>
      </c>
      <c r="B3224" t="s">
        <v>11716</v>
      </c>
      <c r="D3224" t="s">
        <v>40</v>
      </c>
      <c r="E3224" t="s">
        <v>41</v>
      </c>
      <c r="J3224" t="s">
        <v>290</v>
      </c>
      <c r="K3224" t="s">
        <v>291</v>
      </c>
      <c r="L3224">
        <v>5</v>
      </c>
      <c r="M3224" t="s">
        <v>11717</v>
      </c>
      <c r="N3224" t="s">
        <v>59</v>
      </c>
      <c r="O3224" t="s">
        <v>47</v>
      </c>
      <c r="P3224" t="s">
        <v>47</v>
      </c>
      <c r="Y3224" t="s">
        <v>11718</v>
      </c>
      <c r="AG3224" t="s">
        <v>48</v>
      </c>
    </row>
    <row r="3225" spans="1:33">
      <c r="A3225" t="s">
        <v>11719</v>
      </c>
      <c r="B3225" t="s">
        <v>11720</v>
      </c>
      <c r="D3225" t="s">
        <v>40</v>
      </c>
      <c r="E3225" t="s">
        <v>41</v>
      </c>
      <c r="J3225" t="s">
        <v>108</v>
      </c>
      <c r="K3225" t="s">
        <v>109</v>
      </c>
      <c r="L3225">
        <v>5</v>
      </c>
      <c r="M3225" t="s">
        <v>11721</v>
      </c>
      <c r="N3225" t="s">
        <v>59</v>
      </c>
      <c r="O3225" t="s">
        <v>47</v>
      </c>
      <c r="P3225" t="s">
        <v>47</v>
      </c>
      <c r="Y3225" t="s">
        <v>11722</v>
      </c>
      <c r="AG3225" t="s">
        <v>48</v>
      </c>
    </row>
    <row r="3226" spans="1:33">
      <c r="A3226" t="s">
        <v>11723</v>
      </c>
      <c r="B3226" t="s">
        <v>11724</v>
      </c>
      <c r="D3226" t="s">
        <v>40</v>
      </c>
      <c r="E3226" t="s">
        <v>41</v>
      </c>
      <c r="J3226" t="s">
        <v>108</v>
      </c>
      <c r="K3226" t="s">
        <v>109</v>
      </c>
      <c r="L3226">
        <v>5</v>
      </c>
      <c r="M3226" t="s">
        <v>11721</v>
      </c>
      <c r="N3226" t="s">
        <v>59</v>
      </c>
      <c r="O3226" t="s">
        <v>47</v>
      </c>
      <c r="P3226" t="s">
        <v>47</v>
      </c>
      <c r="Y3226" t="s">
        <v>11725</v>
      </c>
      <c r="AG3226" t="s">
        <v>48</v>
      </c>
    </row>
    <row r="3227" spans="1:33">
      <c r="A3227" t="s">
        <v>11726</v>
      </c>
      <c r="B3227" t="s">
        <v>11727</v>
      </c>
      <c r="D3227" t="s">
        <v>40</v>
      </c>
      <c r="E3227" t="s">
        <v>41</v>
      </c>
      <c r="H3227" t="s">
        <v>11728</v>
      </c>
      <c r="J3227" t="s">
        <v>129</v>
      </c>
      <c r="K3227" t="s">
        <v>130</v>
      </c>
      <c r="L3227">
        <v>5</v>
      </c>
      <c r="M3227" t="s">
        <v>11729</v>
      </c>
      <c r="N3227" t="s">
        <v>192</v>
      </c>
      <c r="O3227" t="s">
        <v>47</v>
      </c>
      <c r="P3227" t="s">
        <v>47</v>
      </c>
      <c r="Y3227" t="s">
        <v>11728</v>
      </c>
      <c r="AG3227" t="s">
        <v>48</v>
      </c>
    </row>
    <row r="3228" spans="1:33">
      <c r="A3228" t="s">
        <v>11730</v>
      </c>
      <c r="B3228" t="s">
        <v>11731</v>
      </c>
      <c r="D3228" t="s">
        <v>40</v>
      </c>
      <c r="E3228" t="s">
        <v>41</v>
      </c>
      <c r="J3228" t="s">
        <v>270</v>
      </c>
      <c r="K3228" t="s">
        <v>271</v>
      </c>
      <c r="L3228">
        <v>5</v>
      </c>
      <c r="M3228" t="s">
        <v>11732</v>
      </c>
      <c r="N3228" t="s">
        <v>59</v>
      </c>
      <c r="O3228" t="s">
        <v>47</v>
      </c>
      <c r="P3228" t="s">
        <v>47</v>
      </c>
      <c r="Y3228" t="s">
        <v>11733</v>
      </c>
      <c r="AG3228" t="s">
        <v>48</v>
      </c>
    </row>
    <row r="3229" spans="1:33">
      <c r="A3229" t="s">
        <v>11734</v>
      </c>
      <c r="B3229" t="s">
        <v>11735</v>
      </c>
      <c r="D3229" t="s">
        <v>40</v>
      </c>
      <c r="E3229" t="s">
        <v>41</v>
      </c>
      <c r="J3229" t="s">
        <v>290</v>
      </c>
      <c r="K3229" t="s">
        <v>291</v>
      </c>
      <c r="L3229">
        <v>5</v>
      </c>
      <c r="M3229" t="s">
        <v>11732</v>
      </c>
      <c r="N3229" t="s">
        <v>59</v>
      </c>
      <c r="O3229" t="s">
        <v>47</v>
      </c>
      <c r="P3229" t="s">
        <v>47</v>
      </c>
      <c r="Y3229" t="s">
        <v>11736</v>
      </c>
      <c r="AG3229" t="s">
        <v>48</v>
      </c>
    </row>
    <row r="3230" spans="1:33">
      <c r="A3230" t="s">
        <v>11737</v>
      </c>
      <c r="B3230" t="s">
        <v>11738</v>
      </c>
      <c r="D3230" t="s">
        <v>40</v>
      </c>
      <c r="E3230" t="s">
        <v>41</v>
      </c>
      <c r="J3230" t="s">
        <v>290</v>
      </c>
      <c r="K3230" t="s">
        <v>291</v>
      </c>
      <c r="L3230">
        <v>5</v>
      </c>
      <c r="M3230" t="s">
        <v>11732</v>
      </c>
      <c r="N3230" t="s">
        <v>59</v>
      </c>
      <c r="O3230" t="s">
        <v>47</v>
      </c>
      <c r="P3230" t="s">
        <v>47</v>
      </c>
      <c r="Y3230" t="s">
        <v>11739</v>
      </c>
      <c r="AG3230" t="s">
        <v>48</v>
      </c>
    </row>
    <row r="3231" spans="1:33">
      <c r="A3231" t="s">
        <v>11740</v>
      </c>
      <c r="B3231" t="s">
        <v>11741</v>
      </c>
      <c r="D3231" t="s">
        <v>40</v>
      </c>
      <c r="E3231" t="s">
        <v>41</v>
      </c>
      <c r="J3231" t="s">
        <v>108</v>
      </c>
      <c r="K3231" t="s">
        <v>109</v>
      </c>
      <c r="L3231">
        <v>5</v>
      </c>
      <c r="M3231" t="s">
        <v>11732</v>
      </c>
      <c r="N3231" t="s">
        <v>59</v>
      </c>
      <c r="O3231" t="s">
        <v>47</v>
      </c>
      <c r="P3231" t="s">
        <v>47</v>
      </c>
      <c r="Y3231" t="s">
        <v>11742</v>
      </c>
      <c r="AG3231" t="s">
        <v>48</v>
      </c>
    </row>
    <row r="3232" spans="1:33">
      <c r="A3232" t="s">
        <v>11743</v>
      </c>
      <c r="B3232" t="s">
        <v>11744</v>
      </c>
      <c r="D3232" t="s">
        <v>40</v>
      </c>
      <c r="E3232" t="s">
        <v>41</v>
      </c>
      <c r="J3232" t="s">
        <v>162</v>
      </c>
      <c r="K3232" t="s">
        <v>163</v>
      </c>
      <c r="L3232">
        <v>5</v>
      </c>
      <c r="M3232" t="s">
        <v>11745</v>
      </c>
      <c r="N3232" t="s">
        <v>59</v>
      </c>
      <c r="O3232" t="s">
        <v>47</v>
      </c>
      <c r="P3232" t="s">
        <v>47</v>
      </c>
      <c r="Y3232" t="s">
        <v>11746</v>
      </c>
      <c r="AG3232" t="s">
        <v>48</v>
      </c>
    </row>
    <row r="3233" spans="1:33">
      <c r="A3233" t="s">
        <v>11747</v>
      </c>
      <c r="B3233" t="s">
        <v>11748</v>
      </c>
      <c r="D3233" t="s">
        <v>40</v>
      </c>
      <c r="E3233" t="s">
        <v>41</v>
      </c>
      <c r="J3233" t="s">
        <v>270</v>
      </c>
      <c r="K3233" t="s">
        <v>271</v>
      </c>
      <c r="L3233">
        <v>5</v>
      </c>
      <c r="M3233" t="s">
        <v>11749</v>
      </c>
      <c r="N3233" t="s">
        <v>59</v>
      </c>
      <c r="O3233" t="s">
        <v>47</v>
      </c>
      <c r="P3233" t="s">
        <v>47</v>
      </c>
      <c r="Y3233" t="s">
        <v>11750</v>
      </c>
      <c r="AG3233" t="s">
        <v>48</v>
      </c>
    </row>
    <row r="3234" spans="1:33">
      <c r="A3234" t="s">
        <v>11751</v>
      </c>
      <c r="B3234" t="s">
        <v>11752</v>
      </c>
      <c r="D3234" t="s">
        <v>40</v>
      </c>
      <c r="E3234" t="s">
        <v>41</v>
      </c>
      <c r="J3234" t="s">
        <v>129</v>
      </c>
      <c r="K3234" t="s">
        <v>130</v>
      </c>
      <c r="L3234">
        <v>5</v>
      </c>
      <c r="M3234" t="s">
        <v>11753</v>
      </c>
      <c r="N3234" t="s">
        <v>192</v>
      </c>
      <c r="O3234" t="s">
        <v>47</v>
      </c>
      <c r="P3234" t="s">
        <v>47</v>
      </c>
      <c r="Y3234" t="s">
        <v>11754</v>
      </c>
      <c r="AG3234" t="s">
        <v>48</v>
      </c>
    </row>
    <row r="3235" spans="1:33">
      <c r="A3235" t="s">
        <v>11755</v>
      </c>
      <c r="B3235" t="s">
        <v>11756</v>
      </c>
      <c r="D3235" t="s">
        <v>40</v>
      </c>
      <c r="E3235" t="s">
        <v>41</v>
      </c>
      <c r="J3235" t="s">
        <v>290</v>
      </c>
      <c r="K3235" t="s">
        <v>291</v>
      </c>
      <c r="L3235">
        <v>5</v>
      </c>
      <c r="M3235" t="s">
        <v>11753</v>
      </c>
      <c r="N3235" t="s">
        <v>59</v>
      </c>
      <c r="O3235" t="s">
        <v>47</v>
      </c>
      <c r="P3235" t="s">
        <v>47</v>
      </c>
      <c r="Y3235" t="s">
        <v>11757</v>
      </c>
      <c r="AG3235" t="s">
        <v>48</v>
      </c>
    </row>
    <row r="3236" spans="1:33">
      <c r="A3236" t="s">
        <v>11758</v>
      </c>
      <c r="B3236" t="s">
        <v>11759</v>
      </c>
      <c r="D3236" t="s">
        <v>40</v>
      </c>
      <c r="E3236" t="s">
        <v>41</v>
      </c>
      <c r="J3236" t="s">
        <v>162</v>
      </c>
      <c r="K3236" t="s">
        <v>163</v>
      </c>
      <c r="L3236">
        <v>5</v>
      </c>
      <c r="M3236" t="s">
        <v>11753</v>
      </c>
      <c r="N3236" t="s">
        <v>59</v>
      </c>
      <c r="O3236" t="s">
        <v>47</v>
      </c>
      <c r="P3236" t="s">
        <v>47</v>
      </c>
      <c r="Y3236" t="s">
        <v>11760</v>
      </c>
      <c r="AG3236" t="s">
        <v>48</v>
      </c>
    </row>
    <row r="3237" spans="1:33">
      <c r="A3237" t="s">
        <v>11761</v>
      </c>
      <c r="B3237" t="s">
        <v>11762</v>
      </c>
      <c r="D3237" t="s">
        <v>40</v>
      </c>
      <c r="E3237" t="s">
        <v>41</v>
      </c>
      <c r="J3237" t="s">
        <v>290</v>
      </c>
      <c r="K3237" t="s">
        <v>291</v>
      </c>
      <c r="L3237">
        <v>5</v>
      </c>
      <c r="M3237" t="s">
        <v>11753</v>
      </c>
      <c r="N3237" t="s">
        <v>59</v>
      </c>
      <c r="O3237" t="s">
        <v>47</v>
      </c>
      <c r="P3237" t="s">
        <v>47</v>
      </c>
      <c r="Y3237" t="s">
        <v>11763</v>
      </c>
      <c r="AG3237" t="s">
        <v>48</v>
      </c>
    </row>
    <row r="3238" spans="1:33">
      <c r="A3238" t="s">
        <v>11764</v>
      </c>
      <c r="B3238" t="s">
        <v>11765</v>
      </c>
      <c r="D3238" t="s">
        <v>40</v>
      </c>
      <c r="E3238" t="s">
        <v>41</v>
      </c>
      <c r="H3238" t="s">
        <v>11766</v>
      </c>
      <c r="J3238" t="s">
        <v>63</v>
      </c>
      <c r="K3238" t="s">
        <v>64</v>
      </c>
      <c r="L3238">
        <v>5</v>
      </c>
      <c r="M3238" t="s">
        <v>11767</v>
      </c>
      <c r="N3238" t="s">
        <v>59</v>
      </c>
      <c r="O3238" t="s">
        <v>47</v>
      </c>
      <c r="P3238" t="s">
        <v>47</v>
      </c>
      <c r="Y3238" t="s">
        <v>11766</v>
      </c>
      <c r="AG3238" t="s">
        <v>48</v>
      </c>
    </row>
    <row r="3239" spans="1:33">
      <c r="A3239" t="s">
        <v>11768</v>
      </c>
      <c r="B3239" t="s">
        <v>11769</v>
      </c>
      <c r="D3239" t="s">
        <v>40</v>
      </c>
      <c r="E3239" t="s">
        <v>41</v>
      </c>
      <c r="J3239" t="s">
        <v>108</v>
      </c>
      <c r="K3239" t="s">
        <v>109</v>
      </c>
      <c r="L3239">
        <v>5</v>
      </c>
      <c r="M3239" t="s">
        <v>11770</v>
      </c>
      <c r="N3239" t="s">
        <v>59</v>
      </c>
      <c r="O3239" t="s">
        <v>47</v>
      </c>
      <c r="P3239" t="s">
        <v>47</v>
      </c>
      <c r="Y3239" t="s">
        <v>11771</v>
      </c>
      <c r="AG3239" t="s">
        <v>48</v>
      </c>
    </row>
    <row r="3240" spans="1:33">
      <c r="A3240" t="s">
        <v>11772</v>
      </c>
      <c r="B3240" t="s">
        <v>11773</v>
      </c>
      <c r="D3240" t="s">
        <v>40</v>
      </c>
      <c r="E3240" t="s">
        <v>41</v>
      </c>
      <c r="J3240" t="s">
        <v>108</v>
      </c>
      <c r="K3240" t="s">
        <v>109</v>
      </c>
      <c r="L3240">
        <v>5</v>
      </c>
      <c r="M3240" t="s">
        <v>11770</v>
      </c>
      <c r="N3240" t="s">
        <v>59</v>
      </c>
      <c r="O3240" t="s">
        <v>47</v>
      </c>
      <c r="P3240" t="s">
        <v>47</v>
      </c>
      <c r="Y3240" t="s">
        <v>11774</v>
      </c>
      <c r="AG3240" t="s">
        <v>48</v>
      </c>
    </row>
    <row r="3241" spans="1:33">
      <c r="A3241" t="s">
        <v>11775</v>
      </c>
      <c r="B3241" t="s">
        <v>11776</v>
      </c>
      <c r="D3241" t="s">
        <v>40</v>
      </c>
      <c r="E3241" t="s">
        <v>41</v>
      </c>
      <c r="J3241" t="s">
        <v>290</v>
      </c>
      <c r="K3241" t="s">
        <v>291</v>
      </c>
      <c r="L3241">
        <v>5</v>
      </c>
      <c r="M3241" t="s">
        <v>11777</v>
      </c>
      <c r="N3241" t="s">
        <v>59</v>
      </c>
      <c r="O3241" t="s">
        <v>47</v>
      </c>
      <c r="P3241" t="s">
        <v>47</v>
      </c>
      <c r="Y3241" t="s">
        <v>11778</v>
      </c>
      <c r="AG3241" t="s">
        <v>48</v>
      </c>
    </row>
    <row r="3242" spans="1:33">
      <c r="A3242" t="s">
        <v>11779</v>
      </c>
      <c r="B3242" t="s">
        <v>11780</v>
      </c>
      <c r="D3242" t="s">
        <v>40</v>
      </c>
      <c r="E3242" t="s">
        <v>41</v>
      </c>
      <c r="J3242" t="s">
        <v>108</v>
      </c>
      <c r="K3242" t="s">
        <v>109</v>
      </c>
      <c r="L3242">
        <v>5</v>
      </c>
      <c r="M3242" t="s">
        <v>11781</v>
      </c>
      <c r="N3242" t="s">
        <v>59</v>
      </c>
      <c r="O3242" t="s">
        <v>47</v>
      </c>
      <c r="P3242" t="s">
        <v>47</v>
      </c>
      <c r="Y3242" t="s">
        <v>11782</v>
      </c>
      <c r="AG3242" t="s">
        <v>48</v>
      </c>
    </row>
    <row r="3243" spans="1:33">
      <c r="A3243" t="s">
        <v>117</v>
      </c>
      <c r="B3243" t="s">
        <v>11783</v>
      </c>
      <c r="D3243" t="s">
        <v>40</v>
      </c>
      <c r="E3243" t="s">
        <v>41</v>
      </c>
      <c r="J3243" t="s">
        <v>129</v>
      </c>
      <c r="K3243" t="s">
        <v>130</v>
      </c>
      <c r="L3243">
        <v>5</v>
      </c>
      <c r="M3243" t="s">
        <v>11781</v>
      </c>
      <c r="N3243" t="s">
        <v>192</v>
      </c>
      <c r="O3243" t="s">
        <v>47</v>
      </c>
      <c r="P3243" t="s">
        <v>47</v>
      </c>
      <c r="Y3243" t="s">
        <v>11784</v>
      </c>
      <c r="AG3243" t="s">
        <v>48</v>
      </c>
    </row>
    <row r="3244" spans="1:33">
      <c r="A3244" t="s">
        <v>11785</v>
      </c>
      <c r="B3244" t="s">
        <v>11786</v>
      </c>
      <c r="D3244" t="s">
        <v>40</v>
      </c>
      <c r="E3244" t="s">
        <v>41</v>
      </c>
      <c r="J3244" t="s">
        <v>290</v>
      </c>
      <c r="K3244" t="s">
        <v>291</v>
      </c>
      <c r="L3244">
        <v>5</v>
      </c>
      <c r="M3244" t="s">
        <v>11787</v>
      </c>
      <c r="N3244" t="s">
        <v>59</v>
      </c>
      <c r="O3244" t="s">
        <v>47</v>
      </c>
      <c r="P3244" t="s">
        <v>47</v>
      </c>
      <c r="Y3244" t="s">
        <v>11788</v>
      </c>
      <c r="AG3244" t="s">
        <v>48</v>
      </c>
    </row>
    <row r="3245" spans="1:33">
      <c r="A3245" t="s">
        <v>11789</v>
      </c>
      <c r="B3245" t="s">
        <v>11790</v>
      </c>
      <c r="D3245" t="s">
        <v>40</v>
      </c>
      <c r="E3245" t="s">
        <v>41</v>
      </c>
      <c r="J3245" t="s">
        <v>270</v>
      </c>
      <c r="K3245" t="s">
        <v>271</v>
      </c>
      <c r="L3245">
        <v>5</v>
      </c>
      <c r="M3245" t="s">
        <v>11791</v>
      </c>
      <c r="N3245" t="s">
        <v>59</v>
      </c>
      <c r="O3245" t="s">
        <v>47</v>
      </c>
      <c r="P3245" t="s">
        <v>47</v>
      </c>
      <c r="Y3245" t="s">
        <v>11792</v>
      </c>
      <c r="AG3245" t="s">
        <v>48</v>
      </c>
    </row>
    <row r="3246" spans="1:33">
      <c r="A3246" t="s">
        <v>11793</v>
      </c>
      <c r="B3246" t="s">
        <v>11794</v>
      </c>
      <c r="D3246" t="s">
        <v>40</v>
      </c>
      <c r="E3246" t="s">
        <v>41</v>
      </c>
      <c r="J3246" t="s">
        <v>162</v>
      </c>
      <c r="K3246" t="s">
        <v>163</v>
      </c>
      <c r="L3246">
        <v>5</v>
      </c>
      <c r="M3246" t="s">
        <v>11795</v>
      </c>
      <c r="N3246" t="s">
        <v>59</v>
      </c>
      <c r="O3246" t="s">
        <v>47</v>
      </c>
      <c r="P3246" t="s">
        <v>47</v>
      </c>
      <c r="Y3246" t="s">
        <v>11796</v>
      </c>
      <c r="AG3246" t="s">
        <v>48</v>
      </c>
    </row>
    <row r="3247" spans="1:33">
      <c r="A3247" t="s">
        <v>11797</v>
      </c>
      <c r="B3247" t="s">
        <v>11798</v>
      </c>
      <c r="D3247" t="s">
        <v>40</v>
      </c>
      <c r="E3247" t="s">
        <v>41</v>
      </c>
      <c r="J3247" t="s">
        <v>129</v>
      </c>
      <c r="K3247" t="s">
        <v>130</v>
      </c>
      <c r="L3247">
        <v>5</v>
      </c>
      <c r="M3247" t="s">
        <v>11795</v>
      </c>
      <c r="N3247" t="s">
        <v>192</v>
      </c>
      <c r="O3247" t="s">
        <v>47</v>
      </c>
      <c r="P3247" t="s">
        <v>47</v>
      </c>
      <c r="Y3247" t="s">
        <v>11799</v>
      </c>
      <c r="AG3247" t="s">
        <v>48</v>
      </c>
    </row>
    <row r="3248" spans="1:33">
      <c r="A3248" t="s">
        <v>11800</v>
      </c>
      <c r="B3248" t="s">
        <v>11801</v>
      </c>
      <c r="D3248" t="s">
        <v>40</v>
      </c>
      <c r="E3248" t="s">
        <v>41</v>
      </c>
      <c r="J3248" t="s">
        <v>108</v>
      </c>
      <c r="K3248" t="s">
        <v>109</v>
      </c>
      <c r="L3248">
        <v>5</v>
      </c>
      <c r="M3248" t="s">
        <v>11795</v>
      </c>
      <c r="N3248" t="s">
        <v>59</v>
      </c>
      <c r="O3248" t="s">
        <v>47</v>
      </c>
      <c r="P3248" t="s">
        <v>47</v>
      </c>
      <c r="Y3248" t="s">
        <v>11802</v>
      </c>
      <c r="AG3248" t="s">
        <v>48</v>
      </c>
    </row>
    <row r="3249" spans="1:33">
      <c r="A3249" t="s">
        <v>11803</v>
      </c>
      <c r="B3249" t="s">
        <v>11804</v>
      </c>
      <c r="D3249" t="s">
        <v>40</v>
      </c>
      <c r="E3249" t="s">
        <v>41</v>
      </c>
      <c r="J3249" t="s">
        <v>270</v>
      </c>
      <c r="K3249" t="s">
        <v>271</v>
      </c>
      <c r="L3249">
        <v>5</v>
      </c>
      <c r="M3249" t="s">
        <v>11805</v>
      </c>
      <c r="N3249" t="s">
        <v>59</v>
      </c>
      <c r="O3249" t="s">
        <v>47</v>
      </c>
      <c r="P3249" t="s">
        <v>47</v>
      </c>
      <c r="Y3249" t="s">
        <v>11806</v>
      </c>
      <c r="AG3249" t="s">
        <v>48</v>
      </c>
    </row>
    <row r="3250" spans="1:33">
      <c r="A3250" t="s">
        <v>11807</v>
      </c>
      <c r="B3250" t="s">
        <v>11808</v>
      </c>
      <c r="D3250" t="s">
        <v>40</v>
      </c>
      <c r="E3250" t="s">
        <v>41</v>
      </c>
      <c r="J3250" t="s">
        <v>108</v>
      </c>
      <c r="K3250" t="s">
        <v>109</v>
      </c>
      <c r="L3250">
        <v>5</v>
      </c>
      <c r="M3250" t="s">
        <v>11809</v>
      </c>
      <c r="N3250" t="s">
        <v>59</v>
      </c>
      <c r="O3250" t="s">
        <v>47</v>
      </c>
      <c r="P3250" t="s">
        <v>47</v>
      </c>
      <c r="Y3250" t="s">
        <v>11810</v>
      </c>
      <c r="AG3250" t="s">
        <v>48</v>
      </c>
    </row>
    <row r="3251" spans="1:33">
      <c r="A3251" t="s">
        <v>11811</v>
      </c>
      <c r="B3251" t="s">
        <v>11812</v>
      </c>
      <c r="D3251" t="s">
        <v>40</v>
      </c>
      <c r="E3251" t="s">
        <v>41</v>
      </c>
      <c r="J3251" t="s">
        <v>162</v>
      </c>
      <c r="K3251" t="s">
        <v>163</v>
      </c>
      <c r="L3251">
        <v>5</v>
      </c>
      <c r="M3251" t="s">
        <v>11813</v>
      </c>
      <c r="N3251" t="s">
        <v>59</v>
      </c>
      <c r="O3251" t="s">
        <v>47</v>
      </c>
      <c r="P3251" t="s">
        <v>47</v>
      </c>
      <c r="Y3251" t="s">
        <v>11814</v>
      </c>
      <c r="AG3251" t="s">
        <v>48</v>
      </c>
    </row>
    <row r="3252" spans="1:33">
      <c r="A3252" t="s">
        <v>11815</v>
      </c>
      <c r="B3252" t="s">
        <v>11816</v>
      </c>
      <c r="D3252" t="s">
        <v>40</v>
      </c>
      <c r="E3252" t="s">
        <v>41</v>
      </c>
      <c r="J3252" t="s">
        <v>43</v>
      </c>
      <c r="K3252" t="s">
        <v>44</v>
      </c>
      <c r="L3252">
        <v>5</v>
      </c>
      <c r="M3252" t="s">
        <v>11813</v>
      </c>
      <c r="N3252" t="s">
        <v>192</v>
      </c>
      <c r="O3252" t="s">
        <v>47</v>
      </c>
      <c r="P3252" t="s">
        <v>47</v>
      </c>
      <c r="Y3252" t="s">
        <v>11817</v>
      </c>
      <c r="AG3252" t="s">
        <v>48</v>
      </c>
    </row>
    <row r="3253" spans="1:33">
      <c r="A3253" t="s">
        <v>11818</v>
      </c>
      <c r="B3253" t="s">
        <v>11819</v>
      </c>
      <c r="D3253" t="s">
        <v>40</v>
      </c>
      <c r="E3253" t="s">
        <v>41</v>
      </c>
      <c r="J3253" t="s">
        <v>290</v>
      </c>
      <c r="K3253" t="s">
        <v>291</v>
      </c>
      <c r="L3253">
        <v>5</v>
      </c>
      <c r="M3253" t="s">
        <v>11820</v>
      </c>
      <c r="N3253" t="s">
        <v>59</v>
      </c>
      <c r="O3253" t="s">
        <v>47</v>
      </c>
      <c r="P3253" t="s">
        <v>47</v>
      </c>
      <c r="Y3253" t="s">
        <v>11821</v>
      </c>
      <c r="AG3253" t="s">
        <v>48</v>
      </c>
    </row>
    <row r="3254" spans="1:33">
      <c r="A3254" t="s">
        <v>11822</v>
      </c>
      <c r="B3254" t="s">
        <v>11823</v>
      </c>
      <c r="D3254" t="s">
        <v>40</v>
      </c>
      <c r="E3254" t="s">
        <v>41</v>
      </c>
      <c r="J3254" t="s">
        <v>290</v>
      </c>
      <c r="K3254" t="s">
        <v>291</v>
      </c>
      <c r="L3254">
        <v>5</v>
      </c>
      <c r="M3254" t="s">
        <v>11824</v>
      </c>
      <c r="N3254" t="s">
        <v>59</v>
      </c>
      <c r="O3254" t="s">
        <v>47</v>
      </c>
      <c r="P3254" t="s">
        <v>47</v>
      </c>
      <c r="Y3254" t="s">
        <v>11825</v>
      </c>
      <c r="AG3254" t="s">
        <v>48</v>
      </c>
    </row>
    <row r="3255" spans="1:33">
      <c r="A3255" t="s">
        <v>11826</v>
      </c>
      <c r="B3255" t="s">
        <v>11827</v>
      </c>
      <c r="D3255" t="s">
        <v>40</v>
      </c>
      <c r="E3255" t="s">
        <v>41</v>
      </c>
      <c r="J3255" t="s">
        <v>290</v>
      </c>
      <c r="K3255" t="s">
        <v>291</v>
      </c>
      <c r="L3255">
        <v>5</v>
      </c>
      <c r="M3255" t="s">
        <v>11828</v>
      </c>
      <c r="N3255" t="s">
        <v>59</v>
      </c>
      <c r="O3255" t="s">
        <v>47</v>
      </c>
      <c r="P3255" t="s">
        <v>47</v>
      </c>
      <c r="Y3255" t="s">
        <v>11829</v>
      </c>
      <c r="AG3255" t="s">
        <v>48</v>
      </c>
    </row>
    <row r="3256" spans="1:33">
      <c r="A3256" t="s">
        <v>11830</v>
      </c>
      <c r="B3256" t="s">
        <v>11831</v>
      </c>
      <c r="D3256" t="s">
        <v>40</v>
      </c>
      <c r="E3256" t="s">
        <v>41</v>
      </c>
      <c r="J3256" t="s">
        <v>108</v>
      </c>
      <c r="K3256" t="s">
        <v>109</v>
      </c>
      <c r="L3256">
        <v>5</v>
      </c>
      <c r="M3256" t="s">
        <v>11828</v>
      </c>
      <c r="N3256" t="s">
        <v>59</v>
      </c>
      <c r="O3256" t="s">
        <v>47</v>
      </c>
      <c r="P3256" t="s">
        <v>47</v>
      </c>
      <c r="Y3256" t="s">
        <v>11832</v>
      </c>
      <c r="AG3256" t="s">
        <v>48</v>
      </c>
    </row>
    <row r="3257" spans="1:33">
      <c r="A3257" t="s">
        <v>117</v>
      </c>
      <c r="B3257" t="s">
        <v>11833</v>
      </c>
      <c r="D3257" t="s">
        <v>40</v>
      </c>
      <c r="E3257" t="s">
        <v>41</v>
      </c>
      <c r="J3257" t="s">
        <v>129</v>
      </c>
      <c r="K3257" t="s">
        <v>130</v>
      </c>
      <c r="L3257">
        <v>5</v>
      </c>
      <c r="M3257" t="s">
        <v>11828</v>
      </c>
      <c r="N3257" t="s">
        <v>192</v>
      </c>
      <c r="O3257" t="s">
        <v>47</v>
      </c>
      <c r="P3257" t="s">
        <v>47</v>
      </c>
      <c r="Y3257" t="s">
        <v>11834</v>
      </c>
      <c r="AG3257" t="s">
        <v>48</v>
      </c>
    </row>
    <row r="3258" spans="1:33">
      <c r="A3258" t="s">
        <v>11835</v>
      </c>
      <c r="B3258" t="s">
        <v>11836</v>
      </c>
      <c r="D3258" t="s">
        <v>40</v>
      </c>
      <c r="E3258" t="s">
        <v>41</v>
      </c>
      <c r="J3258" t="s">
        <v>270</v>
      </c>
      <c r="K3258" t="s">
        <v>271</v>
      </c>
      <c r="L3258">
        <v>5</v>
      </c>
      <c r="M3258" t="s">
        <v>11837</v>
      </c>
      <c r="N3258" t="s">
        <v>59</v>
      </c>
      <c r="O3258" t="s">
        <v>47</v>
      </c>
      <c r="P3258" t="s">
        <v>47</v>
      </c>
      <c r="Y3258" t="s">
        <v>11838</v>
      </c>
      <c r="AG3258" t="s">
        <v>48</v>
      </c>
    </row>
    <row r="3259" spans="1:33">
      <c r="A3259" t="s">
        <v>11839</v>
      </c>
      <c r="B3259" t="s">
        <v>11840</v>
      </c>
      <c r="D3259" t="s">
        <v>40</v>
      </c>
      <c r="E3259" t="s">
        <v>41</v>
      </c>
      <c r="J3259" t="s">
        <v>114</v>
      </c>
      <c r="K3259" t="s">
        <v>115</v>
      </c>
      <c r="L3259">
        <v>5</v>
      </c>
      <c r="M3259" t="s">
        <v>11837</v>
      </c>
      <c r="N3259" t="s">
        <v>59</v>
      </c>
      <c r="O3259" t="s">
        <v>47</v>
      </c>
      <c r="P3259" t="s">
        <v>47</v>
      </c>
      <c r="Y3259" t="s">
        <v>11841</v>
      </c>
      <c r="AG3259" t="s">
        <v>48</v>
      </c>
    </row>
    <row r="3260" spans="1:33">
      <c r="A3260" t="s">
        <v>11842</v>
      </c>
      <c r="B3260" t="s">
        <v>11843</v>
      </c>
      <c r="D3260" t="s">
        <v>40</v>
      </c>
      <c r="E3260" t="s">
        <v>41</v>
      </c>
      <c r="J3260" t="s">
        <v>290</v>
      </c>
      <c r="K3260" t="s">
        <v>291</v>
      </c>
      <c r="L3260">
        <v>5</v>
      </c>
      <c r="M3260" t="s">
        <v>11837</v>
      </c>
      <c r="N3260" t="s">
        <v>59</v>
      </c>
      <c r="O3260" t="s">
        <v>47</v>
      </c>
      <c r="P3260" t="s">
        <v>47</v>
      </c>
      <c r="Y3260" t="s">
        <v>11844</v>
      </c>
      <c r="AG3260" t="s">
        <v>48</v>
      </c>
    </row>
    <row r="3261" spans="1:33">
      <c r="A3261" t="s">
        <v>11845</v>
      </c>
      <c r="B3261" t="s">
        <v>11846</v>
      </c>
      <c r="D3261" t="s">
        <v>40</v>
      </c>
      <c r="E3261" t="s">
        <v>41</v>
      </c>
      <c r="J3261" t="s">
        <v>270</v>
      </c>
      <c r="K3261" t="s">
        <v>271</v>
      </c>
      <c r="L3261">
        <v>5</v>
      </c>
      <c r="M3261" t="s">
        <v>11837</v>
      </c>
      <c r="N3261" t="s">
        <v>59</v>
      </c>
      <c r="O3261" t="s">
        <v>47</v>
      </c>
      <c r="P3261" t="s">
        <v>47</v>
      </c>
      <c r="Y3261" t="s">
        <v>11847</v>
      </c>
      <c r="AG3261" t="s">
        <v>48</v>
      </c>
    </row>
    <row r="3262" spans="1:33">
      <c r="A3262" t="s">
        <v>11848</v>
      </c>
      <c r="B3262" t="s">
        <v>11849</v>
      </c>
      <c r="D3262" t="s">
        <v>40</v>
      </c>
      <c r="E3262" t="s">
        <v>41</v>
      </c>
      <c r="J3262" t="s">
        <v>290</v>
      </c>
      <c r="K3262" t="s">
        <v>291</v>
      </c>
      <c r="L3262">
        <v>5</v>
      </c>
      <c r="M3262" t="s">
        <v>11850</v>
      </c>
      <c r="N3262" t="s">
        <v>59</v>
      </c>
      <c r="O3262" t="s">
        <v>47</v>
      </c>
      <c r="P3262" t="s">
        <v>47</v>
      </c>
      <c r="Y3262" t="s">
        <v>11851</v>
      </c>
      <c r="AG3262" t="s">
        <v>48</v>
      </c>
    </row>
    <row r="3263" spans="1:33">
      <c r="A3263" t="s">
        <v>11852</v>
      </c>
      <c r="B3263" t="s">
        <v>11853</v>
      </c>
      <c r="D3263" t="s">
        <v>40</v>
      </c>
      <c r="E3263" t="s">
        <v>41</v>
      </c>
      <c r="H3263" t="s">
        <v>11854</v>
      </c>
      <c r="J3263" t="s">
        <v>129</v>
      </c>
      <c r="K3263" t="s">
        <v>130</v>
      </c>
      <c r="L3263">
        <v>5</v>
      </c>
      <c r="M3263" t="s">
        <v>11850</v>
      </c>
      <c r="N3263" t="s">
        <v>192</v>
      </c>
      <c r="O3263" t="s">
        <v>47</v>
      </c>
      <c r="P3263" t="s">
        <v>47</v>
      </c>
      <c r="Y3263" t="s">
        <v>11854</v>
      </c>
      <c r="AG3263" t="s">
        <v>48</v>
      </c>
    </row>
    <row r="3264" spans="1:33">
      <c r="A3264" t="s">
        <v>11855</v>
      </c>
      <c r="B3264" t="s">
        <v>11856</v>
      </c>
      <c r="D3264" t="s">
        <v>40</v>
      </c>
      <c r="E3264" t="s">
        <v>41</v>
      </c>
      <c r="J3264" t="s">
        <v>108</v>
      </c>
      <c r="K3264" t="s">
        <v>109</v>
      </c>
      <c r="L3264">
        <v>5</v>
      </c>
      <c r="M3264" t="s">
        <v>11857</v>
      </c>
      <c r="N3264" t="s">
        <v>59</v>
      </c>
      <c r="O3264" t="s">
        <v>47</v>
      </c>
      <c r="P3264" t="s">
        <v>47</v>
      </c>
      <c r="Y3264" t="s">
        <v>11858</v>
      </c>
      <c r="AG3264" t="s">
        <v>48</v>
      </c>
    </row>
    <row r="3265" spans="1:33">
      <c r="A3265" t="s">
        <v>11859</v>
      </c>
      <c r="B3265" t="s">
        <v>11860</v>
      </c>
      <c r="D3265" t="s">
        <v>40</v>
      </c>
      <c r="E3265" t="s">
        <v>41</v>
      </c>
      <c r="J3265" t="s">
        <v>108</v>
      </c>
      <c r="K3265" t="s">
        <v>109</v>
      </c>
      <c r="L3265">
        <v>5</v>
      </c>
      <c r="M3265" t="s">
        <v>11861</v>
      </c>
      <c r="N3265" t="s">
        <v>59</v>
      </c>
      <c r="O3265" t="s">
        <v>47</v>
      </c>
      <c r="P3265" t="s">
        <v>47</v>
      </c>
      <c r="Y3265" t="s">
        <v>11862</v>
      </c>
      <c r="AG3265" t="s">
        <v>48</v>
      </c>
    </row>
    <row r="3266" spans="1:33">
      <c r="A3266" t="s">
        <v>11863</v>
      </c>
      <c r="B3266" t="s">
        <v>11864</v>
      </c>
      <c r="D3266" t="s">
        <v>40</v>
      </c>
      <c r="E3266" t="s">
        <v>41</v>
      </c>
      <c r="J3266" t="s">
        <v>290</v>
      </c>
      <c r="K3266" t="s">
        <v>291</v>
      </c>
      <c r="L3266">
        <v>5</v>
      </c>
      <c r="M3266" t="s">
        <v>11865</v>
      </c>
      <c r="N3266" t="s">
        <v>59</v>
      </c>
      <c r="O3266" t="s">
        <v>47</v>
      </c>
      <c r="P3266" t="s">
        <v>47</v>
      </c>
      <c r="Y3266" t="s">
        <v>11866</v>
      </c>
      <c r="AG3266" t="s">
        <v>48</v>
      </c>
    </row>
    <row r="3267" spans="1:33">
      <c r="A3267" t="s">
        <v>11867</v>
      </c>
      <c r="B3267" t="s">
        <v>11868</v>
      </c>
      <c r="D3267" t="s">
        <v>40</v>
      </c>
      <c r="E3267" t="s">
        <v>41</v>
      </c>
      <c r="J3267" t="s">
        <v>43</v>
      </c>
      <c r="K3267" t="s">
        <v>44</v>
      </c>
      <c r="L3267">
        <v>5</v>
      </c>
      <c r="M3267" t="s">
        <v>11865</v>
      </c>
      <c r="N3267" t="s">
        <v>192</v>
      </c>
      <c r="O3267" t="s">
        <v>47</v>
      </c>
      <c r="P3267" t="s">
        <v>47</v>
      </c>
      <c r="Y3267" t="s">
        <v>11869</v>
      </c>
      <c r="AG3267" t="s">
        <v>48</v>
      </c>
    </row>
    <row r="3268" spans="1:33">
      <c r="A3268" t="s">
        <v>117</v>
      </c>
      <c r="B3268" t="s">
        <v>11870</v>
      </c>
      <c r="D3268" t="s">
        <v>40</v>
      </c>
      <c r="E3268" t="s">
        <v>41</v>
      </c>
      <c r="J3268" t="s">
        <v>162</v>
      </c>
      <c r="K3268" t="s">
        <v>163</v>
      </c>
      <c r="L3268">
        <v>5</v>
      </c>
      <c r="M3268" t="s">
        <v>11871</v>
      </c>
      <c r="N3268" t="s">
        <v>59</v>
      </c>
      <c r="O3268" t="s">
        <v>47</v>
      </c>
      <c r="P3268" t="s">
        <v>47</v>
      </c>
      <c r="Y3268" t="s">
        <v>11872</v>
      </c>
      <c r="AG3268" t="s">
        <v>48</v>
      </c>
    </row>
    <row r="3269" spans="1:33">
      <c r="A3269" t="s">
        <v>11873</v>
      </c>
      <c r="B3269" t="s">
        <v>11874</v>
      </c>
      <c r="D3269" t="s">
        <v>40</v>
      </c>
      <c r="E3269" t="s">
        <v>41</v>
      </c>
      <c r="J3269" t="s">
        <v>290</v>
      </c>
      <c r="K3269" t="s">
        <v>291</v>
      </c>
      <c r="L3269">
        <v>5</v>
      </c>
      <c r="M3269" t="s">
        <v>11871</v>
      </c>
      <c r="N3269" t="s">
        <v>59</v>
      </c>
      <c r="O3269" t="s">
        <v>47</v>
      </c>
      <c r="P3269" t="s">
        <v>47</v>
      </c>
      <c r="Y3269" t="s">
        <v>11875</v>
      </c>
      <c r="AG3269" t="s">
        <v>48</v>
      </c>
    </row>
    <row r="3270" spans="1:33">
      <c r="A3270" t="s">
        <v>11876</v>
      </c>
      <c r="B3270" t="s">
        <v>11877</v>
      </c>
      <c r="D3270" t="s">
        <v>40</v>
      </c>
      <c r="E3270" t="s">
        <v>41</v>
      </c>
      <c r="H3270" t="s">
        <v>11878</v>
      </c>
      <c r="J3270" t="s">
        <v>63</v>
      </c>
      <c r="K3270" t="s">
        <v>64</v>
      </c>
      <c r="L3270">
        <v>5</v>
      </c>
      <c r="M3270" t="s">
        <v>11879</v>
      </c>
      <c r="N3270" t="s">
        <v>59</v>
      </c>
      <c r="O3270" t="s">
        <v>47</v>
      </c>
      <c r="P3270" t="s">
        <v>47</v>
      </c>
      <c r="Y3270" t="s">
        <v>11878</v>
      </c>
      <c r="AG3270" t="s">
        <v>48</v>
      </c>
    </row>
    <row r="3271" spans="1:33">
      <c r="A3271" t="s">
        <v>11880</v>
      </c>
      <c r="B3271" t="s">
        <v>11881</v>
      </c>
      <c r="D3271" t="s">
        <v>40</v>
      </c>
      <c r="E3271" t="s">
        <v>41</v>
      </c>
      <c r="H3271" t="s">
        <v>11882</v>
      </c>
      <c r="J3271" t="s">
        <v>63</v>
      </c>
      <c r="K3271" t="s">
        <v>64</v>
      </c>
      <c r="L3271">
        <v>5</v>
      </c>
      <c r="M3271" t="s">
        <v>11883</v>
      </c>
      <c r="N3271" t="s">
        <v>59</v>
      </c>
      <c r="O3271" t="s">
        <v>47</v>
      </c>
      <c r="P3271" t="s">
        <v>47</v>
      </c>
      <c r="Y3271" t="s">
        <v>11882</v>
      </c>
      <c r="AG3271" t="s">
        <v>48</v>
      </c>
    </row>
    <row r="3272" spans="1:33">
      <c r="A3272" t="s">
        <v>11884</v>
      </c>
      <c r="B3272" t="s">
        <v>11885</v>
      </c>
      <c r="D3272" t="s">
        <v>40</v>
      </c>
      <c r="E3272" t="s">
        <v>41</v>
      </c>
      <c r="J3272" t="s">
        <v>290</v>
      </c>
      <c r="K3272" t="s">
        <v>291</v>
      </c>
      <c r="L3272">
        <v>5</v>
      </c>
      <c r="M3272" t="s">
        <v>11886</v>
      </c>
      <c r="N3272" t="s">
        <v>59</v>
      </c>
      <c r="O3272" t="s">
        <v>47</v>
      </c>
      <c r="P3272" t="s">
        <v>47</v>
      </c>
      <c r="Y3272" t="s">
        <v>11887</v>
      </c>
      <c r="AG3272" t="s">
        <v>48</v>
      </c>
    </row>
    <row r="3273" spans="1:33">
      <c r="A3273" t="s">
        <v>11888</v>
      </c>
      <c r="B3273" t="s">
        <v>11889</v>
      </c>
      <c r="D3273" t="s">
        <v>40</v>
      </c>
      <c r="E3273" t="s">
        <v>41</v>
      </c>
      <c r="J3273" t="s">
        <v>270</v>
      </c>
      <c r="K3273" t="s">
        <v>271</v>
      </c>
      <c r="L3273">
        <v>5</v>
      </c>
      <c r="M3273" t="s">
        <v>11886</v>
      </c>
      <c r="N3273" t="s">
        <v>59</v>
      </c>
      <c r="O3273" t="s">
        <v>47</v>
      </c>
      <c r="P3273" t="s">
        <v>47</v>
      </c>
      <c r="Y3273" t="s">
        <v>11890</v>
      </c>
      <c r="AG3273" t="s">
        <v>48</v>
      </c>
    </row>
    <row r="3274" spans="1:33">
      <c r="A3274" t="s">
        <v>11891</v>
      </c>
      <c r="B3274" t="s">
        <v>11892</v>
      </c>
      <c r="D3274" t="s">
        <v>40</v>
      </c>
      <c r="E3274" t="s">
        <v>41</v>
      </c>
      <c r="J3274" t="s">
        <v>290</v>
      </c>
      <c r="K3274" t="s">
        <v>291</v>
      </c>
      <c r="L3274">
        <v>5</v>
      </c>
      <c r="M3274" t="s">
        <v>11886</v>
      </c>
      <c r="N3274" t="s">
        <v>59</v>
      </c>
      <c r="O3274" t="s">
        <v>47</v>
      </c>
      <c r="P3274" t="s">
        <v>47</v>
      </c>
      <c r="Y3274" t="s">
        <v>11893</v>
      </c>
      <c r="AG3274" t="s">
        <v>48</v>
      </c>
    </row>
    <row r="3275" spans="1:33">
      <c r="A3275" t="s">
        <v>11894</v>
      </c>
      <c r="B3275" t="s">
        <v>11895</v>
      </c>
      <c r="D3275" t="s">
        <v>40</v>
      </c>
      <c r="E3275" t="s">
        <v>41</v>
      </c>
      <c r="J3275" t="s">
        <v>270</v>
      </c>
      <c r="K3275" t="s">
        <v>271</v>
      </c>
      <c r="L3275">
        <v>5</v>
      </c>
      <c r="M3275" t="s">
        <v>11896</v>
      </c>
      <c r="N3275" t="s">
        <v>59</v>
      </c>
      <c r="O3275" t="s">
        <v>47</v>
      </c>
      <c r="P3275" t="s">
        <v>47</v>
      </c>
      <c r="Y3275" t="s">
        <v>11897</v>
      </c>
      <c r="AG3275" t="s">
        <v>48</v>
      </c>
    </row>
    <row r="3276" spans="1:33">
      <c r="A3276" t="s">
        <v>11898</v>
      </c>
      <c r="B3276" t="s">
        <v>11899</v>
      </c>
      <c r="D3276" t="s">
        <v>40</v>
      </c>
      <c r="E3276" t="s">
        <v>41</v>
      </c>
      <c r="H3276" t="s">
        <v>11900</v>
      </c>
      <c r="J3276" t="s">
        <v>63</v>
      </c>
      <c r="K3276" t="s">
        <v>64</v>
      </c>
      <c r="L3276">
        <v>5</v>
      </c>
      <c r="M3276" t="s">
        <v>11901</v>
      </c>
      <c r="N3276" t="s">
        <v>59</v>
      </c>
      <c r="O3276" t="s">
        <v>47</v>
      </c>
      <c r="P3276" t="s">
        <v>47</v>
      </c>
      <c r="Y3276" t="s">
        <v>11900</v>
      </c>
      <c r="AG3276" t="s">
        <v>48</v>
      </c>
    </row>
    <row r="3277" spans="1:33">
      <c r="A3277" t="s">
        <v>11902</v>
      </c>
      <c r="B3277" t="s">
        <v>11903</v>
      </c>
      <c r="D3277" t="s">
        <v>40</v>
      </c>
      <c r="E3277" t="s">
        <v>41</v>
      </c>
      <c r="H3277" t="s">
        <v>11904</v>
      </c>
      <c r="J3277" t="s">
        <v>43</v>
      </c>
      <c r="K3277" t="s">
        <v>44</v>
      </c>
      <c r="L3277">
        <v>5</v>
      </c>
      <c r="M3277" t="s">
        <v>11905</v>
      </c>
      <c r="N3277" t="s">
        <v>218</v>
      </c>
      <c r="O3277" t="s">
        <v>47</v>
      </c>
      <c r="P3277" t="s">
        <v>47</v>
      </c>
      <c r="Y3277" t="s">
        <v>11904</v>
      </c>
      <c r="AG3277" t="s">
        <v>48</v>
      </c>
    </row>
    <row r="3278" spans="1:33">
      <c r="A3278" t="s">
        <v>11906</v>
      </c>
      <c r="B3278" t="s">
        <v>11907</v>
      </c>
      <c r="D3278" t="s">
        <v>40</v>
      </c>
      <c r="E3278" t="s">
        <v>41</v>
      </c>
      <c r="J3278" t="s">
        <v>290</v>
      </c>
      <c r="K3278" t="s">
        <v>291</v>
      </c>
      <c r="L3278">
        <v>5</v>
      </c>
      <c r="M3278" t="s">
        <v>11908</v>
      </c>
      <c r="N3278" t="s">
        <v>59</v>
      </c>
      <c r="O3278" t="s">
        <v>47</v>
      </c>
      <c r="P3278" t="s">
        <v>47</v>
      </c>
      <c r="Y3278" t="s">
        <v>11909</v>
      </c>
      <c r="AG3278" t="s">
        <v>48</v>
      </c>
    </row>
    <row r="3279" spans="1:33">
      <c r="A3279" t="s">
        <v>11910</v>
      </c>
      <c r="B3279" t="s">
        <v>11911</v>
      </c>
      <c r="D3279" t="s">
        <v>40</v>
      </c>
      <c r="E3279" t="s">
        <v>41</v>
      </c>
      <c r="J3279" t="s">
        <v>114</v>
      </c>
      <c r="K3279" t="s">
        <v>115</v>
      </c>
      <c r="L3279">
        <v>5</v>
      </c>
      <c r="M3279" t="s">
        <v>11908</v>
      </c>
      <c r="N3279" t="s">
        <v>59</v>
      </c>
      <c r="O3279" t="s">
        <v>47</v>
      </c>
      <c r="P3279" t="s">
        <v>47</v>
      </c>
      <c r="Y3279" t="s">
        <v>11912</v>
      </c>
      <c r="AG3279" t="s">
        <v>48</v>
      </c>
    </row>
    <row r="3280" spans="1:33">
      <c r="A3280" t="s">
        <v>11913</v>
      </c>
      <c r="B3280" t="s">
        <v>11914</v>
      </c>
      <c r="D3280" t="s">
        <v>40</v>
      </c>
      <c r="E3280" t="s">
        <v>41</v>
      </c>
      <c r="J3280" t="s">
        <v>270</v>
      </c>
      <c r="K3280" t="s">
        <v>271</v>
      </c>
      <c r="L3280">
        <v>5</v>
      </c>
      <c r="M3280" t="s">
        <v>11908</v>
      </c>
      <c r="N3280" t="s">
        <v>59</v>
      </c>
      <c r="O3280" t="s">
        <v>47</v>
      </c>
      <c r="P3280" t="s">
        <v>47</v>
      </c>
      <c r="Y3280" t="s">
        <v>11915</v>
      </c>
      <c r="AG3280" t="s">
        <v>48</v>
      </c>
    </row>
    <row r="3281" spans="1:33">
      <c r="A3281" t="s">
        <v>11916</v>
      </c>
      <c r="B3281" t="s">
        <v>11917</v>
      </c>
      <c r="D3281" t="s">
        <v>40</v>
      </c>
      <c r="E3281" t="s">
        <v>41</v>
      </c>
      <c r="H3281" t="s">
        <v>11918</v>
      </c>
      <c r="J3281" t="s">
        <v>63</v>
      </c>
      <c r="K3281" t="s">
        <v>64</v>
      </c>
      <c r="L3281">
        <v>5</v>
      </c>
      <c r="M3281" t="s">
        <v>11919</v>
      </c>
      <c r="N3281" t="s">
        <v>59</v>
      </c>
      <c r="O3281" t="s">
        <v>47</v>
      </c>
      <c r="P3281" t="s">
        <v>47</v>
      </c>
      <c r="Y3281" t="s">
        <v>11918</v>
      </c>
      <c r="AG3281" t="s">
        <v>48</v>
      </c>
    </row>
    <row r="3282" spans="1:33">
      <c r="A3282" t="s">
        <v>11920</v>
      </c>
      <c r="B3282" t="s">
        <v>11921</v>
      </c>
      <c r="D3282" t="s">
        <v>40</v>
      </c>
      <c r="E3282" t="s">
        <v>41</v>
      </c>
      <c r="H3282" t="s">
        <v>11922</v>
      </c>
      <c r="J3282" t="s">
        <v>108</v>
      </c>
      <c r="K3282" t="s">
        <v>109</v>
      </c>
      <c r="L3282">
        <v>5</v>
      </c>
      <c r="M3282" t="s">
        <v>11923</v>
      </c>
      <c r="N3282" t="s">
        <v>59</v>
      </c>
      <c r="O3282" t="s">
        <v>47</v>
      </c>
      <c r="P3282" t="s">
        <v>47</v>
      </c>
      <c r="Y3282" t="s">
        <v>11922</v>
      </c>
      <c r="AG3282" t="s">
        <v>48</v>
      </c>
    </row>
    <row r="3283" spans="1:33">
      <c r="A3283" t="s">
        <v>11924</v>
      </c>
      <c r="B3283" t="s">
        <v>11925</v>
      </c>
      <c r="D3283" t="s">
        <v>40</v>
      </c>
      <c r="E3283" t="s">
        <v>41</v>
      </c>
      <c r="J3283" t="s">
        <v>129</v>
      </c>
      <c r="K3283" t="s">
        <v>130</v>
      </c>
      <c r="L3283">
        <v>5</v>
      </c>
      <c r="M3283" t="s">
        <v>11926</v>
      </c>
      <c r="N3283" t="s">
        <v>218</v>
      </c>
      <c r="O3283" t="s">
        <v>47</v>
      </c>
      <c r="P3283" t="s">
        <v>47</v>
      </c>
      <c r="Y3283" t="s">
        <v>11927</v>
      </c>
      <c r="AG3283" t="s">
        <v>48</v>
      </c>
    </row>
    <row r="3284" spans="1:33">
      <c r="A3284" t="s">
        <v>11928</v>
      </c>
      <c r="B3284" t="s">
        <v>11929</v>
      </c>
      <c r="D3284" t="s">
        <v>40</v>
      </c>
      <c r="E3284" t="s">
        <v>41</v>
      </c>
      <c r="J3284" t="s">
        <v>108</v>
      </c>
      <c r="K3284" t="s">
        <v>109</v>
      </c>
      <c r="L3284">
        <v>5</v>
      </c>
      <c r="M3284" t="s">
        <v>11930</v>
      </c>
      <c r="N3284" t="s">
        <v>59</v>
      </c>
      <c r="O3284" t="s">
        <v>47</v>
      </c>
      <c r="P3284" t="s">
        <v>47</v>
      </c>
      <c r="Y3284" t="s">
        <v>11931</v>
      </c>
      <c r="AG3284" t="s">
        <v>48</v>
      </c>
    </row>
    <row r="3285" spans="1:33">
      <c r="A3285" t="s">
        <v>11932</v>
      </c>
      <c r="B3285" t="s">
        <v>11933</v>
      </c>
      <c r="D3285" t="s">
        <v>40</v>
      </c>
      <c r="E3285" t="s">
        <v>41</v>
      </c>
      <c r="J3285" t="s">
        <v>129</v>
      </c>
      <c r="K3285" t="s">
        <v>130</v>
      </c>
      <c r="L3285">
        <v>5</v>
      </c>
      <c r="M3285" t="s">
        <v>11934</v>
      </c>
      <c r="N3285" t="s">
        <v>218</v>
      </c>
      <c r="O3285" t="s">
        <v>47</v>
      </c>
      <c r="P3285" t="s">
        <v>47</v>
      </c>
      <c r="Y3285" t="s">
        <v>11935</v>
      </c>
      <c r="AG3285" t="s">
        <v>48</v>
      </c>
    </row>
    <row r="3286" spans="1:33">
      <c r="A3286" t="s">
        <v>117</v>
      </c>
      <c r="B3286" t="s">
        <v>11936</v>
      </c>
      <c r="D3286" t="s">
        <v>40</v>
      </c>
      <c r="E3286" t="s">
        <v>41</v>
      </c>
      <c r="J3286" t="s">
        <v>290</v>
      </c>
      <c r="K3286" t="s">
        <v>291</v>
      </c>
      <c r="L3286">
        <v>5</v>
      </c>
      <c r="M3286" t="s">
        <v>11937</v>
      </c>
      <c r="N3286" t="s">
        <v>59</v>
      </c>
      <c r="O3286" t="s">
        <v>47</v>
      </c>
      <c r="P3286" t="s">
        <v>47</v>
      </c>
      <c r="Y3286" t="s">
        <v>11938</v>
      </c>
      <c r="AG3286" t="s">
        <v>48</v>
      </c>
    </row>
    <row r="3287" spans="1:33">
      <c r="A3287" t="s">
        <v>11939</v>
      </c>
      <c r="B3287" t="s">
        <v>11940</v>
      </c>
      <c r="D3287" t="s">
        <v>40</v>
      </c>
      <c r="E3287" t="s">
        <v>41</v>
      </c>
      <c r="J3287" t="s">
        <v>162</v>
      </c>
      <c r="K3287" t="s">
        <v>163</v>
      </c>
      <c r="L3287">
        <v>5</v>
      </c>
      <c r="M3287" t="s">
        <v>11941</v>
      </c>
      <c r="N3287" t="s">
        <v>59</v>
      </c>
      <c r="O3287" t="s">
        <v>47</v>
      </c>
      <c r="P3287" t="s">
        <v>47</v>
      </c>
      <c r="Y3287" t="s">
        <v>11942</v>
      </c>
      <c r="AG3287" t="s">
        <v>48</v>
      </c>
    </row>
    <row r="3288" spans="1:33">
      <c r="A3288" t="s">
        <v>11943</v>
      </c>
      <c r="B3288" t="s">
        <v>11944</v>
      </c>
      <c r="D3288" t="s">
        <v>40</v>
      </c>
      <c r="E3288" t="s">
        <v>41</v>
      </c>
      <c r="J3288" t="s">
        <v>290</v>
      </c>
      <c r="K3288" t="s">
        <v>291</v>
      </c>
      <c r="L3288">
        <v>5</v>
      </c>
      <c r="M3288" t="s">
        <v>11941</v>
      </c>
      <c r="N3288" t="s">
        <v>59</v>
      </c>
      <c r="O3288" t="s">
        <v>47</v>
      </c>
      <c r="P3288" t="s">
        <v>47</v>
      </c>
      <c r="Y3288" t="s">
        <v>11945</v>
      </c>
      <c r="AG3288" t="s">
        <v>48</v>
      </c>
    </row>
    <row r="3289" spans="1:33">
      <c r="A3289" t="s">
        <v>11946</v>
      </c>
      <c r="B3289" t="s">
        <v>11947</v>
      </c>
      <c r="D3289" t="s">
        <v>40</v>
      </c>
      <c r="E3289" t="s">
        <v>41</v>
      </c>
      <c r="J3289" t="s">
        <v>108</v>
      </c>
      <c r="K3289" t="s">
        <v>109</v>
      </c>
      <c r="L3289">
        <v>5</v>
      </c>
      <c r="M3289" t="s">
        <v>11948</v>
      </c>
      <c r="N3289" t="s">
        <v>59</v>
      </c>
      <c r="O3289" t="s">
        <v>47</v>
      </c>
      <c r="P3289" t="s">
        <v>47</v>
      </c>
      <c r="Y3289" t="s">
        <v>11949</v>
      </c>
      <c r="AG3289" t="s">
        <v>48</v>
      </c>
    </row>
    <row r="3290" spans="1:33">
      <c r="A3290" t="s">
        <v>11950</v>
      </c>
      <c r="B3290" t="s">
        <v>11951</v>
      </c>
      <c r="D3290" t="s">
        <v>40</v>
      </c>
      <c r="E3290" t="s">
        <v>41</v>
      </c>
      <c r="J3290" t="s">
        <v>129</v>
      </c>
      <c r="K3290" t="s">
        <v>130</v>
      </c>
      <c r="L3290">
        <v>5</v>
      </c>
      <c r="M3290" t="s">
        <v>11952</v>
      </c>
      <c r="N3290" t="s">
        <v>218</v>
      </c>
      <c r="O3290" t="s">
        <v>47</v>
      </c>
      <c r="P3290" t="s">
        <v>47</v>
      </c>
      <c r="Y3290" t="s">
        <v>11953</v>
      </c>
      <c r="AG3290" t="s">
        <v>48</v>
      </c>
    </row>
    <row r="3291" spans="1:33">
      <c r="A3291" t="s">
        <v>11954</v>
      </c>
      <c r="B3291" t="s">
        <v>11955</v>
      </c>
      <c r="D3291" t="s">
        <v>40</v>
      </c>
      <c r="E3291" t="s">
        <v>41</v>
      </c>
      <c r="J3291" t="s">
        <v>162</v>
      </c>
      <c r="K3291" t="s">
        <v>163</v>
      </c>
      <c r="L3291">
        <v>5</v>
      </c>
      <c r="M3291" t="s">
        <v>11952</v>
      </c>
      <c r="N3291" t="s">
        <v>59</v>
      </c>
      <c r="O3291" t="s">
        <v>47</v>
      </c>
      <c r="P3291" t="s">
        <v>47</v>
      </c>
      <c r="Y3291" t="s">
        <v>11956</v>
      </c>
      <c r="AG3291" t="s">
        <v>48</v>
      </c>
    </row>
    <row r="3292" spans="1:33">
      <c r="A3292" t="s">
        <v>11957</v>
      </c>
      <c r="B3292" t="s">
        <v>11958</v>
      </c>
      <c r="D3292" t="s">
        <v>40</v>
      </c>
      <c r="E3292" t="s">
        <v>41</v>
      </c>
      <c r="J3292" t="s">
        <v>290</v>
      </c>
      <c r="K3292" t="s">
        <v>291</v>
      </c>
      <c r="L3292">
        <v>5</v>
      </c>
      <c r="M3292" t="s">
        <v>11952</v>
      </c>
      <c r="N3292" t="s">
        <v>59</v>
      </c>
      <c r="O3292" t="s">
        <v>47</v>
      </c>
      <c r="P3292" t="s">
        <v>47</v>
      </c>
      <c r="Y3292" t="s">
        <v>11959</v>
      </c>
      <c r="AG3292" t="s">
        <v>48</v>
      </c>
    </row>
    <row r="3293" spans="1:33">
      <c r="A3293" t="s">
        <v>11960</v>
      </c>
      <c r="B3293" t="s">
        <v>11961</v>
      </c>
      <c r="D3293" t="s">
        <v>40</v>
      </c>
      <c r="E3293" t="s">
        <v>41</v>
      </c>
      <c r="H3293" t="s">
        <v>11962</v>
      </c>
      <c r="J3293" t="s">
        <v>63</v>
      </c>
      <c r="K3293" t="s">
        <v>64</v>
      </c>
      <c r="L3293">
        <v>5</v>
      </c>
      <c r="M3293" t="s">
        <v>11963</v>
      </c>
      <c r="N3293" t="s">
        <v>59</v>
      </c>
      <c r="O3293" t="s">
        <v>47</v>
      </c>
      <c r="P3293" t="s">
        <v>47</v>
      </c>
      <c r="Y3293" t="s">
        <v>11962</v>
      </c>
      <c r="AG3293" t="s">
        <v>48</v>
      </c>
    </row>
    <row r="3294" spans="1:33">
      <c r="A3294" t="s">
        <v>11964</v>
      </c>
      <c r="B3294" t="s">
        <v>11965</v>
      </c>
      <c r="D3294" t="s">
        <v>40</v>
      </c>
      <c r="E3294" t="s">
        <v>41</v>
      </c>
      <c r="H3294" t="s">
        <v>11966</v>
      </c>
      <c r="J3294" t="s">
        <v>123</v>
      </c>
      <c r="K3294" t="s">
        <v>124</v>
      </c>
      <c r="L3294">
        <v>5</v>
      </c>
      <c r="M3294" t="s">
        <v>11967</v>
      </c>
      <c r="N3294" t="s">
        <v>218</v>
      </c>
      <c r="O3294" t="s">
        <v>47</v>
      </c>
      <c r="P3294" t="s">
        <v>47</v>
      </c>
      <c r="Y3294" t="s">
        <v>11966</v>
      </c>
      <c r="AG3294" t="s">
        <v>48</v>
      </c>
    </row>
    <row r="3295" spans="1:33">
      <c r="A3295" t="s">
        <v>11968</v>
      </c>
      <c r="B3295" t="s">
        <v>11969</v>
      </c>
      <c r="D3295" t="s">
        <v>40</v>
      </c>
      <c r="E3295" t="s">
        <v>41</v>
      </c>
      <c r="J3295" t="s">
        <v>290</v>
      </c>
      <c r="K3295" t="s">
        <v>291</v>
      </c>
      <c r="L3295">
        <v>5</v>
      </c>
      <c r="M3295" t="s">
        <v>11970</v>
      </c>
      <c r="N3295" t="s">
        <v>59</v>
      </c>
      <c r="O3295" t="s">
        <v>47</v>
      </c>
      <c r="P3295" t="s">
        <v>47</v>
      </c>
      <c r="Y3295" t="s">
        <v>11971</v>
      </c>
      <c r="AG3295" t="s">
        <v>48</v>
      </c>
    </row>
    <row r="3296" spans="1:33">
      <c r="A3296" t="s">
        <v>11972</v>
      </c>
      <c r="B3296" t="s">
        <v>11973</v>
      </c>
      <c r="D3296" t="s">
        <v>40</v>
      </c>
      <c r="E3296" t="s">
        <v>41</v>
      </c>
      <c r="J3296" t="s">
        <v>108</v>
      </c>
      <c r="K3296" t="s">
        <v>109</v>
      </c>
      <c r="L3296">
        <v>5</v>
      </c>
      <c r="M3296" t="s">
        <v>11970</v>
      </c>
      <c r="N3296" t="s">
        <v>59</v>
      </c>
      <c r="O3296" t="s">
        <v>47</v>
      </c>
      <c r="P3296" t="s">
        <v>47</v>
      </c>
      <c r="Y3296" t="s">
        <v>11974</v>
      </c>
      <c r="AG3296" t="s">
        <v>48</v>
      </c>
    </row>
    <row r="3297" spans="1:33">
      <c r="A3297" t="s">
        <v>11975</v>
      </c>
      <c r="B3297" t="s">
        <v>11976</v>
      </c>
      <c r="D3297" t="s">
        <v>40</v>
      </c>
      <c r="E3297" t="s">
        <v>41</v>
      </c>
      <c r="J3297" t="s">
        <v>270</v>
      </c>
      <c r="K3297" t="s">
        <v>271</v>
      </c>
      <c r="L3297">
        <v>5</v>
      </c>
      <c r="M3297" t="s">
        <v>11970</v>
      </c>
      <c r="N3297" t="s">
        <v>59</v>
      </c>
      <c r="O3297" t="s">
        <v>47</v>
      </c>
      <c r="P3297" t="s">
        <v>47</v>
      </c>
      <c r="Y3297" t="s">
        <v>11977</v>
      </c>
      <c r="AG3297" t="s">
        <v>48</v>
      </c>
    </row>
    <row r="3298" spans="1:33">
      <c r="A3298" t="s">
        <v>11978</v>
      </c>
      <c r="B3298" t="s">
        <v>11979</v>
      </c>
      <c r="D3298" t="s">
        <v>40</v>
      </c>
      <c r="E3298" t="s">
        <v>41</v>
      </c>
      <c r="J3298" t="s">
        <v>129</v>
      </c>
      <c r="K3298" t="s">
        <v>130</v>
      </c>
      <c r="L3298">
        <v>5</v>
      </c>
      <c r="M3298" t="s">
        <v>11980</v>
      </c>
      <c r="N3298" t="s">
        <v>218</v>
      </c>
      <c r="O3298" t="s">
        <v>47</v>
      </c>
      <c r="P3298" t="s">
        <v>47</v>
      </c>
      <c r="Y3298" t="s">
        <v>11981</v>
      </c>
      <c r="AG3298" t="s">
        <v>48</v>
      </c>
    </row>
    <row r="3299" spans="1:33">
      <c r="A3299" t="s">
        <v>11982</v>
      </c>
      <c r="B3299" t="s">
        <v>11983</v>
      </c>
      <c r="D3299" t="s">
        <v>40</v>
      </c>
      <c r="E3299" t="s">
        <v>41</v>
      </c>
      <c r="J3299" t="s">
        <v>290</v>
      </c>
      <c r="K3299" t="s">
        <v>291</v>
      </c>
      <c r="L3299">
        <v>5</v>
      </c>
      <c r="M3299" t="s">
        <v>11984</v>
      </c>
      <c r="N3299" t="s">
        <v>59</v>
      </c>
      <c r="O3299" t="s">
        <v>47</v>
      </c>
      <c r="P3299" t="s">
        <v>47</v>
      </c>
      <c r="Y3299" t="s">
        <v>11985</v>
      </c>
      <c r="AG3299" t="s">
        <v>48</v>
      </c>
    </row>
    <row r="3300" spans="1:33">
      <c r="A3300" t="s">
        <v>11986</v>
      </c>
      <c r="B3300" t="s">
        <v>11987</v>
      </c>
      <c r="D3300" t="s">
        <v>40</v>
      </c>
      <c r="E3300" t="s">
        <v>41</v>
      </c>
      <c r="J3300" t="s">
        <v>108</v>
      </c>
      <c r="K3300" t="s">
        <v>109</v>
      </c>
      <c r="L3300">
        <v>5</v>
      </c>
      <c r="M3300" t="s">
        <v>11988</v>
      </c>
      <c r="N3300" t="s">
        <v>59</v>
      </c>
      <c r="O3300" t="s">
        <v>47</v>
      </c>
      <c r="P3300" t="s">
        <v>47</v>
      </c>
      <c r="Y3300" t="s">
        <v>11989</v>
      </c>
      <c r="AG3300" t="s">
        <v>48</v>
      </c>
    </row>
    <row r="3301" spans="1:33">
      <c r="A3301" t="s">
        <v>11990</v>
      </c>
      <c r="B3301" t="s">
        <v>11991</v>
      </c>
      <c r="D3301" t="s">
        <v>40</v>
      </c>
      <c r="E3301" t="s">
        <v>41</v>
      </c>
      <c r="J3301" t="s">
        <v>162</v>
      </c>
      <c r="K3301" t="s">
        <v>163</v>
      </c>
      <c r="L3301">
        <v>5</v>
      </c>
      <c r="M3301" t="s">
        <v>11992</v>
      </c>
      <c r="N3301" t="s">
        <v>59</v>
      </c>
      <c r="O3301" t="s">
        <v>47</v>
      </c>
      <c r="P3301" t="s">
        <v>47</v>
      </c>
      <c r="Y3301" t="s">
        <v>11993</v>
      </c>
      <c r="AG3301" t="s">
        <v>48</v>
      </c>
    </row>
    <row r="3302" spans="1:33">
      <c r="A3302" t="s">
        <v>11994</v>
      </c>
      <c r="B3302" t="s">
        <v>11995</v>
      </c>
      <c r="D3302" t="s">
        <v>40</v>
      </c>
      <c r="E3302" t="s">
        <v>41</v>
      </c>
      <c r="J3302" t="s">
        <v>290</v>
      </c>
      <c r="K3302" t="s">
        <v>291</v>
      </c>
      <c r="L3302">
        <v>5</v>
      </c>
      <c r="M3302" t="s">
        <v>11996</v>
      </c>
      <c r="N3302" t="s">
        <v>59</v>
      </c>
      <c r="O3302" t="s">
        <v>47</v>
      </c>
      <c r="P3302" t="s">
        <v>47</v>
      </c>
      <c r="Y3302" t="s">
        <v>11997</v>
      </c>
      <c r="AG3302" t="s">
        <v>48</v>
      </c>
    </row>
    <row r="3303" spans="1:33">
      <c r="A3303" t="s">
        <v>11998</v>
      </c>
      <c r="B3303" t="s">
        <v>11999</v>
      </c>
      <c r="D3303" t="s">
        <v>40</v>
      </c>
      <c r="E3303" t="s">
        <v>41</v>
      </c>
      <c r="J3303" t="s">
        <v>290</v>
      </c>
      <c r="K3303" t="s">
        <v>291</v>
      </c>
      <c r="L3303">
        <v>5</v>
      </c>
      <c r="M3303" t="s">
        <v>11996</v>
      </c>
      <c r="N3303" t="s">
        <v>59</v>
      </c>
      <c r="O3303" t="s">
        <v>47</v>
      </c>
      <c r="P3303" t="s">
        <v>47</v>
      </c>
      <c r="Y3303" t="s">
        <v>12000</v>
      </c>
      <c r="AG3303" t="s">
        <v>48</v>
      </c>
    </row>
    <row r="3304" spans="1:33">
      <c r="A3304" t="s">
        <v>12001</v>
      </c>
      <c r="B3304" t="s">
        <v>12002</v>
      </c>
      <c r="D3304" t="s">
        <v>40</v>
      </c>
      <c r="E3304" t="s">
        <v>41</v>
      </c>
      <c r="J3304" t="s">
        <v>270</v>
      </c>
      <c r="K3304" t="s">
        <v>271</v>
      </c>
      <c r="L3304">
        <v>5</v>
      </c>
      <c r="M3304" t="s">
        <v>12003</v>
      </c>
      <c r="N3304" t="s">
        <v>59</v>
      </c>
      <c r="O3304" t="s">
        <v>47</v>
      </c>
      <c r="P3304" t="s">
        <v>47</v>
      </c>
      <c r="Y3304" t="s">
        <v>12004</v>
      </c>
      <c r="AG3304" t="s">
        <v>48</v>
      </c>
    </row>
    <row r="3305" spans="1:33">
      <c r="A3305" t="s">
        <v>12005</v>
      </c>
      <c r="B3305" t="s">
        <v>12006</v>
      </c>
      <c r="D3305" t="s">
        <v>40</v>
      </c>
      <c r="E3305" t="s">
        <v>41</v>
      </c>
      <c r="H3305" t="s">
        <v>12007</v>
      </c>
      <c r="J3305" t="s">
        <v>290</v>
      </c>
      <c r="K3305" t="s">
        <v>291</v>
      </c>
      <c r="L3305">
        <v>5</v>
      </c>
      <c r="M3305" t="s">
        <v>12008</v>
      </c>
      <c r="N3305" t="s">
        <v>59</v>
      </c>
      <c r="O3305" t="s">
        <v>47</v>
      </c>
      <c r="P3305" t="s">
        <v>47</v>
      </c>
      <c r="Y3305" t="s">
        <v>12007</v>
      </c>
      <c r="AG3305" t="s">
        <v>48</v>
      </c>
    </row>
    <row r="3306" spans="1:33">
      <c r="A3306" t="s">
        <v>12009</v>
      </c>
      <c r="B3306" t="s">
        <v>12010</v>
      </c>
      <c r="D3306" t="s">
        <v>40</v>
      </c>
      <c r="E3306" t="s">
        <v>41</v>
      </c>
      <c r="J3306" t="s">
        <v>215</v>
      </c>
      <c r="K3306" t="s">
        <v>216</v>
      </c>
      <c r="L3306">
        <v>5</v>
      </c>
      <c r="M3306" t="s">
        <v>12008</v>
      </c>
      <c r="N3306" t="s">
        <v>218</v>
      </c>
      <c r="O3306" t="s">
        <v>47</v>
      </c>
      <c r="P3306" t="s">
        <v>47</v>
      </c>
      <c r="Y3306" t="s">
        <v>12011</v>
      </c>
      <c r="AG3306" t="s">
        <v>48</v>
      </c>
    </row>
    <row r="3307" spans="1:33">
      <c r="A3307" t="s">
        <v>12012</v>
      </c>
      <c r="B3307" t="s">
        <v>12013</v>
      </c>
      <c r="D3307" t="s">
        <v>40</v>
      </c>
      <c r="E3307" t="s">
        <v>41</v>
      </c>
      <c r="J3307" t="s">
        <v>290</v>
      </c>
      <c r="K3307" t="s">
        <v>291</v>
      </c>
      <c r="L3307">
        <v>5</v>
      </c>
      <c r="M3307" t="s">
        <v>12008</v>
      </c>
      <c r="N3307" t="s">
        <v>59</v>
      </c>
      <c r="O3307" t="s">
        <v>47</v>
      </c>
      <c r="P3307" t="s">
        <v>47</v>
      </c>
      <c r="Y3307" t="s">
        <v>12014</v>
      </c>
      <c r="AG3307" t="s">
        <v>48</v>
      </c>
    </row>
    <row r="3308" spans="1:33">
      <c r="A3308" t="s">
        <v>12015</v>
      </c>
      <c r="B3308" t="s">
        <v>12016</v>
      </c>
      <c r="D3308" t="s">
        <v>40</v>
      </c>
      <c r="E3308" t="s">
        <v>41</v>
      </c>
      <c r="H3308" t="s">
        <v>12017</v>
      </c>
      <c r="J3308" t="s">
        <v>63</v>
      </c>
      <c r="K3308" t="s">
        <v>64</v>
      </c>
      <c r="L3308">
        <v>5</v>
      </c>
      <c r="M3308" t="s">
        <v>12018</v>
      </c>
      <c r="N3308" t="s">
        <v>59</v>
      </c>
      <c r="O3308" t="s">
        <v>47</v>
      </c>
      <c r="P3308" t="s">
        <v>47</v>
      </c>
      <c r="Y3308" t="s">
        <v>12017</v>
      </c>
      <c r="AG3308" t="s">
        <v>48</v>
      </c>
    </row>
    <row r="3309" spans="1:33">
      <c r="A3309" t="s">
        <v>12019</v>
      </c>
      <c r="B3309" t="s">
        <v>12020</v>
      </c>
      <c r="D3309" t="s">
        <v>40</v>
      </c>
      <c r="E3309" t="s">
        <v>41</v>
      </c>
      <c r="J3309" t="s">
        <v>270</v>
      </c>
      <c r="K3309" t="s">
        <v>271</v>
      </c>
      <c r="L3309">
        <v>5</v>
      </c>
      <c r="M3309" t="s">
        <v>12021</v>
      </c>
      <c r="N3309" t="s">
        <v>59</v>
      </c>
      <c r="O3309" t="s">
        <v>47</v>
      </c>
      <c r="P3309" t="s">
        <v>47</v>
      </c>
      <c r="Y3309" t="s">
        <v>12022</v>
      </c>
      <c r="AG3309" t="s">
        <v>48</v>
      </c>
    </row>
    <row r="3310" spans="1:33">
      <c r="A3310" t="s">
        <v>12023</v>
      </c>
      <c r="B3310" t="s">
        <v>12024</v>
      </c>
      <c r="D3310" t="s">
        <v>40</v>
      </c>
      <c r="E3310" t="s">
        <v>41</v>
      </c>
      <c r="J3310" t="s">
        <v>43</v>
      </c>
      <c r="K3310" t="s">
        <v>44</v>
      </c>
      <c r="L3310">
        <v>5</v>
      </c>
      <c r="M3310" t="s">
        <v>12025</v>
      </c>
      <c r="N3310" t="s">
        <v>218</v>
      </c>
      <c r="O3310" t="s">
        <v>47</v>
      </c>
      <c r="P3310" t="s">
        <v>47</v>
      </c>
      <c r="Y3310" t="s">
        <v>12026</v>
      </c>
      <c r="AG3310" t="s">
        <v>48</v>
      </c>
    </row>
    <row r="3311" spans="1:33">
      <c r="A3311" t="s">
        <v>12027</v>
      </c>
      <c r="B3311" t="s">
        <v>12028</v>
      </c>
      <c r="D3311" t="s">
        <v>40</v>
      </c>
      <c r="E3311" t="s">
        <v>41</v>
      </c>
      <c r="J3311" t="s">
        <v>162</v>
      </c>
      <c r="K3311" t="s">
        <v>163</v>
      </c>
      <c r="L3311">
        <v>5</v>
      </c>
      <c r="M3311" t="s">
        <v>12029</v>
      </c>
      <c r="N3311" t="s">
        <v>59</v>
      </c>
      <c r="O3311" t="s">
        <v>47</v>
      </c>
      <c r="P3311" t="s">
        <v>47</v>
      </c>
      <c r="Y3311" t="s">
        <v>12030</v>
      </c>
      <c r="AG3311" t="s">
        <v>48</v>
      </c>
    </row>
    <row r="3312" spans="1:33">
      <c r="A3312" t="s">
        <v>12031</v>
      </c>
      <c r="B3312" t="s">
        <v>12032</v>
      </c>
      <c r="D3312" t="s">
        <v>40</v>
      </c>
      <c r="E3312" t="s">
        <v>41</v>
      </c>
      <c r="J3312" t="s">
        <v>290</v>
      </c>
      <c r="K3312" t="s">
        <v>291</v>
      </c>
      <c r="L3312">
        <v>5</v>
      </c>
      <c r="M3312" t="s">
        <v>12029</v>
      </c>
      <c r="N3312" t="s">
        <v>59</v>
      </c>
      <c r="O3312" t="s">
        <v>47</v>
      </c>
      <c r="P3312" t="s">
        <v>47</v>
      </c>
      <c r="Y3312" t="s">
        <v>12033</v>
      </c>
      <c r="AG3312" t="s">
        <v>48</v>
      </c>
    </row>
    <row r="3313" spans="1:33">
      <c r="A3313" t="s">
        <v>12034</v>
      </c>
      <c r="B3313" t="s">
        <v>12035</v>
      </c>
      <c r="D3313" t="s">
        <v>40</v>
      </c>
      <c r="E3313" t="s">
        <v>41</v>
      </c>
      <c r="J3313" t="s">
        <v>162</v>
      </c>
      <c r="K3313" t="s">
        <v>163</v>
      </c>
      <c r="L3313">
        <v>5</v>
      </c>
      <c r="M3313" t="s">
        <v>12036</v>
      </c>
      <c r="N3313" t="s">
        <v>59</v>
      </c>
      <c r="O3313" t="s">
        <v>47</v>
      </c>
      <c r="P3313" t="s">
        <v>47</v>
      </c>
      <c r="Y3313" t="s">
        <v>12037</v>
      </c>
      <c r="AG3313" t="s">
        <v>48</v>
      </c>
    </row>
    <row r="3314" spans="1:33">
      <c r="A3314" t="s">
        <v>12038</v>
      </c>
      <c r="B3314" t="s">
        <v>12039</v>
      </c>
      <c r="D3314" t="s">
        <v>40</v>
      </c>
      <c r="E3314" t="s">
        <v>41</v>
      </c>
      <c r="H3314" t="s">
        <v>12040</v>
      </c>
      <c r="J3314" t="s">
        <v>129</v>
      </c>
      <c r="K3314" t="s">
        <v>130</v>
      </c>
      <c r="L3314">
        <v>5</v>
      </c>
      <c r="M3314" t="s">
        <v>12041</v>
      </c>
      <c r="N3314" t="s">
        <v>218</v>
      </c>
      <c r="O3314" t="s">
        <v>47</v>
      </c>
      <c r="P3314" t="s">
        <v>47</v>
      </c>
      <c r="Y3314" t="s">
        <v>12040</v>
      </c>
      <c r="AG3314" t="s">
        <v>48</v>
      </c>
    </row>
    <row r="3315" spans="1:33">
      <c r="A3315" t="s">
        <v>12042</v>
      </c>
      <c r="B3315" t="s">
        <v>12043</v>
      </c>
      <c r="D3315" t="s">
        <v>40</v>
      </c>
      <c r="E3315" t="s">
        <v>41</v>
      </c>
      <c r="H3315" t="s">
        <v>12044</v>
      </c>
      <c r="J3315" t="s">
        <v>290</v>
      </c>
      <c r="K3315" t="s">
        <v>291</v>
      </c>
      <c r="L3315">
        <v>5</v>
      </c>
      <c r="M3315" t="s">
        <v>12045</v>
      </c>
      <c r="N3315" t="s">
        <v>59</v>
      </c>
      <c r="O3315" t="s">
        <v>47</v>
      </c>
      <c r="P3315" t="s">
        <v>47</v>
      </c>
      <c r="Y3315" t="s">
        <v>12044</v>
      </c>
      <c r="AG3315" t="s">
        <v>48</v>
      </c>
    </row>
    <row r="3316" spans="1:33">
      <c r="A3316" t="s">
        <v>12046</v>
      </c>
      <c r="B3316" t="s">
        <v>12047</v>
      </c>
      <c r="D3316" t="s">
        <v>40</v>
      </c>
      <c r="E3316" t="s">
        <v>41</v>
      </c>
      <c r="J3316" t="s">
        <v>162</v>
      </c>
      <c r="K3316" t="s">
        <v>163</v>
      </c>
      <c r="L3316">
        <v>5</v>
      </c>
      <c r="M3316" t="s">
        <v>12045</v>
      </c>
      <c r="N3316" t="s">
        <v>59</v>
      </c>
      <c r="O3316" t="s">
        <v>47</v>
      </c>
      <c r="P3316" t="s">
        <v>47</v>
      </c>
      <c r="Y3316" t="s">
        <v>12048</v>
      </c>
      <c r="AG3316" t="s">
        <v>48</v>
      </c>
    </row>
    <row r="3317" spans="1:33">
      <c r="A3317" t="s">
        <v>12049</v>
      </c>
      <c r="B3317" t="s">
        <v>12050</v>
      </c>
      <c r="D3317" t="s">
        <v>40</v>
      </c>
      <c r="E3317" t="s">
        <v>41</v>
      </c>
      <c r="J3317" t="s">
        <v>108</v>
      </c>
      <c r="K3317" t="s">
        <v>109</v>
      </c>
      <c r="L3317">
        <v>5</v>
      </c>
      <c r="M3317" t="s">
        <v>12045</v>
      </c>
      <c r="N3317" t="s">
        <v>59</v>
      </c>
      <c r="O3317" t="s">
        <v>47</v>
      </c>
      <c r="P3317" t="s">
        <v>47</v>
      </c>
      <c r="Y3317" t="s">
        <v>12051</v>
      </c>
      <c r="AG3317" t="s">
        <v>48</v>
      </c>
    </row>
    <row r="3318" spans="1:33">
      <c r="A3318" t="s">
        <v>117</v>
      </c>
      <c r="B3318" t="s">
        <v>12052</v>
      </c>
      <c r="D3318" t="s">
        <v>40</v>
      </c>
      <c r="E3318" t="s">
        <v>41</v>
      </c>
      <c r="H3318" t="s">
        <v>12053</v>
      </c>
      <c r="J3318" t="s">
        <v>108</v>
      </c>
      <c r="K3318" t="s">
        <v>109</v>
      </c>
      <c r="L3318">
        <v>5</v>
      </c>
      <c r="M3318" t="s">
        <v>12054</v>
      </c>
      <c r="N3318" t="s">
        <v>59</v>
      </c>
      <c r="O3318" t="s">
        <v>47</v>
      </c>
      <c r="P3318" t="s">
        <v>47</v>
      </c>
      <c r="Y3318" t="s">
        <v>12053</v>
      </c>
      <c r="AG3318" t="s">
        <v>48</v>
      </c>
    </row>
    <row r="3319" spans="1:33">
      <c r="A3319" t="s">
        <v>12055</v>
      </c>
      <c r="B3319" t="s">
        <v>12056</v>
      </c>
      <c r="D3319" t="s">
        <v>40</v>
      </c>
      <c r="E3319" t="s">
        <v>41</v>
      </c>
      <c r="J3319" t="s">
        <v>162</v>
      </c>
      <c r="K3319" t="s">
        <v>163</v>
      </c>
      <c r="L3319">
        <v>5</v>
      </c>
      <c r="M3319" t="s">
        <v>12057</v>
      </c>
      <c r="N3319" t="s">
        <v>59</v>
      </c>
      <c r="O3319" t="s">
        <v>47</v>
      </c>
      <c r="P3319" t="s">
        <v>47</v>
      </c>
      <c r="Y3319" t="s">
        <v>12058</v>
      </c>
      <c r="AG3319" t="s">
        <v>48</v>
      </c>
    </row>
    <row r="3320" spans="1:33">
      <c r="A3320" t="s">
        <v>12059</v>
      </c>
      <c r="B3320" t="s">
        <v>12060</v>
      </c>
      <c r="D3320" t="s">
        <v>40</v>
      </c>
      <c r="E3320" t="s">
        <v>41</v>
      </c>
      <c r="J3320" t="s">
        <v>1418</v>
      </c>
      <c r="K3320" t="s">
        <v>1419</v>
      </c>
      <c r="L3320">
        <v>5</v>
      </c>
      <c r="M3320" t="s">
        <v>12061</v>
      </c>
      <c r="N3320" t="s">
        <v>192</v>
      </c>
      <c r="O3320" t="s">
        <v>47</v>
      </c>
      <c r="P3320" t="s">
        <v>47</v>
      </c>
      <c r="Y3320" t="s">
        <v>12062</v>
      </c>
      <c r="AG3320" t="s">
        <v>48</v>
      </c>
    </row>
    <row r="3321" spans="1:33">
      <c r="A3321" t="s">
        <v>12063</v>
      </c>
      <c r="B3321" t="s">
        <v>12064</v>
      </c>
      <c r="D3321" t="s">
        <v>40</v>
      </c>
      <c r="E3321" t="s">
        <v>41</v>
      </c>
      <c r="J3321" t="s">
        <v>290</v>
      </c>
      <c r="K3321" t="s">
        <v>291</v>
      </c>
      <c r="L3321">
        <v>5</v>
      </c>
      <c r="M3321" t="s">
        <v>12065</v>
      </c>
      <c r="N3321" t="s">
        <v>59</v>
      </c>
      <c r="O3321" t="s">
        <v>47</v>
      </c>
      <c r="P3321" t="s">
        <v>47</v>
      </c>
      <c r="Y3321" t="s">
        <v>12066</v>
      </c>
      <c r="AG3321" t="s">
        <v>48</v>
      </c>
    </row>
    <row r="3322" spans="1:33">
      <c r="A3322" t="s">
        <v>12067</v>
      </c>
      <c r="B3322" t="s">
        <v>12068</v>
      </c>
      <c r="D3322" t="s">
        <v>40</v>
      </c>
      <c r="E3322" t="s">
        <v>41</v>
      </c>
      <c r="J3322" t="s">
        <v>290</v>
      </c>
      <c r="K3322" t="s">
        <v>291</v>
      </c>
      <c r="L3322">
        <v>5</v>
      </c>
      <c r="M3322" t="s">
        <v>12069</v>
      </c>
      <c r="N3322" t="s">
        <v>59</v>
      </c>
      <c r="O3322" t="s">
        <v>47</v>
      </c>
      <c r="P3322" t="s">
        <v>47</v>
      </c>
      <c r="Y3322" t="s">
        <v>12070</v>
      </c>
      <c r="AG3322" t="s">
        <v>48</v>
      </c>
    </row>
    <row r="3323" spans="1:33">
      <c r="A3323" t="s">
        <v>12071</v>
      </c>
      <c r="B3323" t="s">
        <v>12072</v>
      </c>
      <c r="D3323" t="s">
        <v>40</v>
      </c>
      <c r="E3323" t="s">
        <v>41</v>
      </c>
      <c r="J3323" t="s">
        <v>162</v>
      </c>
      <c r="K3323" t="s">
        <v>163</v>
      </c>
      <c r="L3323">
        <v>5</v>
      </c>
      <c r="M3323" t="s">
        <v>12073</v>
      </c>
      <c r="N3323" t="s">
        <v>59</v>
      </c>
      <c r="O3323" t="s">
        <v>47</v>
      </c>
      <c r="P3323" t="s">
        <v>47</v>
      </c>
      <c r="Y3323" t="s">
        <v>12074</v>
      </c>
      <c r="AG3323" t="s">
        <v>48</v>
      </c>
    </row>
    <row r="3324" spans="1:33">
      <c r="A3324" t="s">
        <v>12075</v>
      </c>
      <c r="B3324" t="s">
        <v>12076</v>
      </c>
      <c r="D3324" t="s">
        <v>40</v>
      </c>
      <c r="E3324" t="s">
        <v>41</v>
      </c>
      <c r="J3324" t="s">
        <v>162</v>
      </c>
      <c r="K3324" t="s">
        <v>163</v>
      </c>
      <c r="L3324">
        <v>5</v>
      </c>
      <c r="M3324" t="s">
        <v>12073</v>
      </c>
      <c r="N3324" t="s">
        <v>59</v>
      </c>
      <c r="O3324" t="s">
        <v>47</v>
      </c>
      <c r="P3324" t="s">
        <v>47</v>
      </c>
      <c r="Y3324" t="s">
        <v>12077</v>
      </c>
      <c r="AG3324" t="s">
        <v>48</v>
      </c>
    </row>
    <row r="3325" spans="1:33">
      <c r="A3325" t="s">
        <v>12078</v>
      </c>
      <c r="B3325" t="s">
        <v>12079</v>
      </c>
      <c r="D3325" t="s">
        <v>40</v>
      </c>
      <c r="E3325" t="s">
        <v>41</v>
      </c>
      <c r="J3325" t="s">
        <v>290</v>
      </c>
      <c r="K3325" t="s">
        <v>291</v>
      </c>
      <c r="L3325">
        <v>5</v>
      </c>
      <c r="M3325" t="s">
        <v>12073</v>
      </c>
      <c r="N3325" t="s">
        <v>59</v>
      </c>
      <c r="O3325" t="s">
        <v>47</v>
      </c>
      <c r="P3325" t="s">
        <v>47</v>
      </c>
      <c r="Y3325" t="s">
        <v>12080</v>
      </c>
      <c r="AG3325" t="s">
        <v>48</v>
      </c>
    </row>
    <row r="3326" spans="1:33">
      <c r="A3326" t="s">
        <v>12081</v>
      </c>
      <c r="B3326" t="s">
        <v>12082</v>
      </c>
      <c r="D3326" t="s">
        <v>40</v>
      </c>
      <c r="E3326" t="s">
        <v>41</v>
      </c>
      <c r="H3326" t="s">
        <v>12083</v>
      </c>
      <c r="J3326" t="s">
        <v>290</v>
      </c>
      <c r="K3326" t="s">
        <v>291</v>
      </c>
      <c r="L3326">
        <v>5</v>
      </c>
      <c r="M3326" t="s">
        <v>12084</v>
      </c>
      <c r="N3326" t="s">
        <v>59</v>
      </c>
      <c r="O3326" t="s">
        <v>47</v>
      </c>
      <c r="P3326" t="s">
        <v>47</v>
      </c>
      <c r="Y3326" t="s">
        <v>12083</v>
      </c>
      <c r="AG3326" t="s">
        <v>48</v>
      </c>
    </row>
    <row r="3327" spans="1:33">
      <c r="A3327" t="s">
        <v>12085</v>
      </c>
      <c r="B3327" t="s">
        <v>12086</v>
      </c>
      <c r="D3327" t="s">
        <v>40</v>
      </c>
      <c r="E3327" t="s">
        <v>41</v>
      </c>
      <c r="J3327" t="s">
        <v>270</v>
      </c>
      <c r="K3327" t="s">
        <v>271</v>
      </c>
      <c r="L3327">
        <v>5</v>
      </c>
      <c r="M3327" t="s">
        <v>12087</v>
      </c>
      <c r="N3327" t="s">
        <v>59</v>
      </c>
      <c r="O3327" t="s">
        <v>47</v>
      </c>
      <c r="P3327" t="s">
        <v>47</v>
      </c>
      <c r="Y3327" t="s">
        <v>12088</v>
      </c>
      <c r="AG3327" t="s">
        <v>48</v>
      </c>
    </row>
    <row r="3328" spans="1:33">
      <c r="A3328" t="s">
        <v>12089</v>
      </c>
      <c r="B3328" t="s">
        <v>12090</v>
      </c>
      <c r="D3328" t="s">
        <v>40</v>
      </c>
      <c r="E3328" t="s">
        <v>41</v>
      </c>
      <c r="H3328" t="s">
        <v>12091</v>
      </c>
      <c r="J3328" t="s">
        <v>270</v>
      </c>
      <c r="K3328" t="s">
        <v>271</v>
      </c>
      <c r="L3328">
        <v>5</v>
      </c>
      <c r="M3328" t="s">
        <v>12092</v>
      </c>
      <c r="N3328" t="s">
        <v>59</v>
      </c>
      <c r="O3328" t="s">
        <v>47</v>
      </c>
      <c r="P3328" t="s">
        <v>47</v>
      </c>
      <c r="Y3328" t="s">
        <v>12091</v>
      </c>
      <c r="AG3328" t="s">
        <v>48</v>
      </c>
    </row>
    <row r="3329" spans="1:33">
      <c r="A3329" t="s">
        <v>12093</v>
      </c>
      <c r="B3329" t="s">
        <v>12094</v>
      </c>
      <c r="D3329" t="s">
        <v>40</v>
      </c>
      <c r="E3329" t="s">
        <v>41</v>
      </c>
      <c r="J3329" t="s">
        <v>290</v>
      </c>
      <c r="K3329" t="s">
        <v>291</v>
      </c>
      <c r="L3329">
        <v>5</v>
      </c>
      <c r="M3329" t="s">
        <v>12095</v>
      </c>
      <c r="N3329" t="s">
        <v>59</v>
      </c>
      <c r="O3329" t="s">
        <v>47</v>
      </c>
      <c r="P3329" t="s">
        <v>47</v>
      </c>
      <c r="Y3329" t="s">
        <v>12096</v>
      </c>
      <c r="AG3329" t="s">
        <v>48</v>
      </c>
    </row>
    <row r="3330" spans="1:33">
      <c r="A3330" t="s">
        <v>12097</v>
      </c>
      <c r="B3330" t="s">
        <v>12098</v>
      </c>
      <c r="D3330" t="s">
        <v>40</v>
      </c>
      <c r="E3330" t="s">
        <v>41</v>
      </c>
      <c r="J3330" t="s">
        <v>290</v>
      </c>
      <c r="K3330" t="s">
        <v>291</v>
      </c>
      <c r="L3330">
        <v>5</v>
      </c>
      <c r="M3330" t="s">
        <v>12099</v>
      </c>
      <c r="N3330" t="s">
        <v>59</v>
      </c>
      <c r="O3330" t="s">
        <v>47</v>
      </c>
      <c r="P3330" t="s">
        <v>47</v>
      </c>
      <c r="Y3330" t="s">
        <v>12100</v>
      </c>
      <c r="AG3330" t="s">
        <v>48</v>
      </c>
    </row>
    <row r="3331" spans="1:33">
      <c r="A3331" t="s">
        <v>12101</v>
      </c>
      <c r="B3331" t="s">
        <v>12102</v>
      </c>
      <c r="D3331" t="s">
        <v>40</v>
      </c>
      <c r="E3331" t="s">
        <v>41</v>
      </c>
      <c r="J3331" t="s">
        <v>270</v>
      </c>
      <c r="K3331" t="s">
        <v>271</v>
      </c>
      <c r="L3331">
        <v>5</v>
      </c>
      <c r="M3331" t="s">
        <v>12103</v>
      </c>
      <c r="N3331" t="s">
        <v>59</v>
      </c>
      <c r="O3331" t="s">
        <v>47</v>
      </c>
      <c r="P3331" t="s">
        <v>47</v>
      </c>
      <c r="Y3331" t="s">
        <v>12104</v>
      </c>
      <c r="AG3331" t="s">
        <v>48</v>
      </c>
    </row>
    <row r="3332" spans="1:33">
      <c r="A3332" t="s">
        <v>117</v>
      </c>
      <c r="B3332" t="s">
        <v>12105</v>
      </c>
      <c r="D3332" t="s">
        <v>40</v>
      </c>
      <c r="E3332" t="s">
        <v>41</v>
      </c>
      <c r="J3332" t="s">
        <v>290</v>
      </c>
      <c r="K3332" t="s">
        <v>291</v>
      </c>
      <c r="L3332">
        <v>5</v>
      </c>
      <c r="M3332" t="s">
        <v>12103</v>
      </c>
      <c r="N3332" t="s">
        <v>59</v>
      </c>
      <c r="O3332" t="s">
        <v>47</v>
      </c>
      <c r="P3332" t="s">
        <v>47</v>
      </c>
      <c r="Y3332" t="s">
        <v>12106</v>
      </c>
      <c r="AG3332" t="s">
        <v>48</v>
      </c>
    </row>
    <row r="3333" spans="1:33">
      <c r="A3333" t="s">
        <v>12107</v>
      </c>
      <c r="B3333" t="s">
        <v>12108</v>
      </c>
      <c r="D3333" t="s">
        <v>40</v>
      </c>
      <c r="E3333" t="s">
        <v>41</v>
      </c>
      <c r="J3333" t="s">
        <v>129</v>
      </c>
      <c r="K3333" t="s">
        <v>130</v>
      </c>
      <c r="L3333">
        <v>5</v>
      </c>
      <c r="M3333" t="s">
        <v>12103</v>
      </c>
      <c r="N3333" t="s">
        <v>218</v>
      </c>
      <c r="O3333" t="s">
        <v>47</v>
      </c>
      <c r="P3333" t="s">
        <v>47</v>
      </c>
      <c r="Y3333" t="s">
        <v>12109</v>
      </c>
      <c r="AG3333" t="s">
        <v>48</v>
      </c>
    </row>
    <row r="3334" spans="1:33">
      <c r="A3334" t="s">
        <v>12110</v>
      </c>
      <c r="B3334" t="s">
        <v>12111</v>
      </c>
      <c r="D3334" t="s">
        <v>40</v>
      </c>
      <c r="E3334" t="s">
        <v>41</v>
      </c>
      <c r="J3334" t="s">
        <v>290</v>
      </c>
      <c r="K3334" t="s">
        <v>291</v>
      </c>
      <c r="L3334">
        <v>5</v>
      </c>
      <c r="M3334" t="s">
        <v>12112</v>
      </c>
      <c r="N3334" t="s">
        <v>59</v>
      </c>
      <c r="O3334" t="s">
        <v>47</v>
      </c>
      <c r="P3334" t="s">
        <v>47</v>
      </c>
      <c r="Y3334" t="s">
        <v>12113</v>
      </c>
      <c r="AG3334" t="s">
        <v>48</v>
      </c>
    </row>
    <row r="3335" spans="1:33">
      <c r="A3335" t="s">
        <v>12114</v>
      </c>
      <c r="B3335" t="s">
        <v>12115</v>
      </c>
      <c r="D3335" t="s">
        <v>40</v>
      </c>
      <c r="E3335" t="s">
        <v>41</v>
      </c>
      <c r="J3335" t="s">
        <v>108</v>
      </c>
      <c r="K3335" t="s">
        <v>109</v>
      </c>
      <c r="L3335">
        <v>5</v>
      </c>
      <c r="M3335" t="s">
        <v>12112</v>
      </c>
      <c r="N3335" t="s">
        <v>59</v>
      </c>
      <c r="O3335" t="s">
        <v>47</v>
      </c>
      <c r="P3335" t="s">
        <v>47</v>
      </c>
      <c r="Y3335" t="s">
        <v>12116</v>
      </c>
      <c r="AG3335" t="s">
        <v>48</v>
      </c>
    </row>
    <row r="3336" spans="1:33">
      <c r="A3336" t="s">
        <v>12117</v>
      </c>
      <c r="B3336" t="s">
        <v>12118</v>
      </c>
      <c r="D3336" t="s">
        <v>40</v>
      </c>
      <c r="E3336" t="s">
        <v>41</v>
      </c>
      <c r="J3336" t="s">
        <v>129</v>
      </c>
      <c r="K3336" t="s">
        <v>130</v>
      </c>
      <c r="L3336">
        <v>5</v>
      </c>
      <c r="M3336" t="s">
        <v>12119</v>
      </c>
      <c r="N3336" t="s">
        <v>192</v>
      </c>
      <c r="O3336" t="s">
        <v>47</v>
      </c>
      <c r="P3336" t="s">
        <v>47</v>
      </c>
      <c r="Y3336" t="s">
        <v>12120</v>
      </c>
      <c r="AG3336" t="s">
        <v>48</v>
      </c>
    </row>
    <row r="3337" spans="1:33">
      <c r="A3337" t="s">
        <v>12121</v>
      </c>
      <c r="B3337" t="s">
        <v>12122</v>
      </c>
      <c r="D3337" t="s">
        <v>40</v>
      </c>
      <c r="E3337" t="s">
        <v>41</v>
      </c>
      <c r="J3337" t="s">
        <v>162</v>
      </c>
      <c r="K3337" t="s">
        <v>163</v>
      </c>
      <c r="L3337">
        <v>5</v>
      </c>
      <c r="M3337" t="s">
        <v>12123</v>
      </c>
      <c r="N3337" t="s">
        <v>59</v>
      </c>
      <c r="O3337" t="s">
        <v>47</v>
      </c>
      <c r="P3337" t="s">
        <v>47</v>
      </c>
      <c r="Y3337" t="s">
        <v>12124</v>
      </c>
      <c r="AG3337" t="s">
        <v>48</v>
      </c>
    </row>
    <row r="3338" spans="1:33">
      <c r="A3338" t="s">
        <v>12125</v>
      </c>
      <c r="B3338" t="s">
        <v>12126</v>
      </c>
      <c r="D3338" t="s">
        <v>40</v>
      </c>
      <c r="E3338" t="s">
        <v>41</v>
      </c>
      <c r="J3338" t="s">
        <v>162</v>
      </c>
      <c r="K3338" t="s">
        <v>163</v>
      </c>
      <c r="L3338">
        <v>5</v>
      </c>
      <c r="M3338" t="s">
        <v>12123</v>
      </c>
      <c r="N3338" t="s">
        <v>59</v>
      </c>
      <c r="O3338" t="s">
        <v>47</v>
      </c>
      <c r="P3338" t="s">
        <v>47</v>
      </c>
      <c r="Y3338" t="s">
        <v>12127</v>
      </c>
      <c r="AG3338" t="s">
        <v>48</v>
      </c>
    </row>
    <row r="3339" spans="1:33">
      <c r="A3339" t="s">
        <v>12128</v>
      </c>
      <c r="B3339" t="s">
        <v>12129</v>
      </c>
      <c r="D3339" t="s">
        <v>40</v>
      </c>
      <c r="E3339" t="s">
        <v>41</v>
      </c>
      <c r="J3339" t="s">
        <v>108</v>
      </c>
      <c r="K3339" t="s">
        <v>109</v>
      </c>
      <c r="L3339">
        <v>5</v>
      </c>
      <c r="M3339" t="s">
        <v>12123</v>
      </c>
      <c r="N3339" t="s">
        <v>59</v>
      </c>
      <c r="O3339" t="s">
        <v>47</v>
      </c>
      <c r="P3339" t="s">
        <v>47</v>
      </c>
      <c r="Y3339" t="s">
        <v>12130</v>
      </c>
      <c r="AG3339" t="s">
        <v>48</v>
      </c>
    </row>
    <row r="3340" spans="1:33">
      <c r="A3340" t="s">
        <v>12131</v>
      </c>
      <c r="B3340" t="s">
        <v>12132</v>
      </c>
      <c r="D3340" t="s">
        <v>40</v>
      </c>
      <c r="E3340" t="s">
        <v>41</v>
      </c>
      <c r="J3340" t="s">
        <v>270</v>
      </c>
      <c r="K3340" t="s">
        <v>271</v>
      </c>
      <c r="L3340">
        <v>5</v>
      </c>
      <c r="M3340" t="s">
        <v>12133</v>
      </c>
      <c r="N3340" t="s">
        <v>59</v>
      </c>
      <c r="O3340" t="s">
        <v>47</v>
      </c>
      <c r="P3340" t="s">
        <v>47</v>
      </c>
      <c r="Y3340" t="s">
        <v>12134</v>
      </c>
      <c r="AG3340" t="s">
        <v>48</v>
      </c>
    </row>
    <row r="3341" spans="1:33">
      <c r="A3341" t="s">
        <v>12135</v>
      </c>
      <c r="B3341" t="s">
        <v>12136</v>
      </c>
      <c r="D3341" t="s">
        <v>40</v>
      </c>
      <c r="E3341" t="s">
        <v>41</v>
      </c>
      <c r="J3341" t="s">
        <v>290</v>
      </c>
      <c r="K3341" t="s">
        <v>291</v>
      </c>
      <c r="L3341">
        <v>5</v>
      </c>
      <c r="M3341" t="s">
        <v>12137</v>
      </c>
      <c r="N3341" t="s">
        <v>59</v>
      </c>
      <c r="O3341" t="s">
        <v>47</v>
      </c>
      <c r="P3341" t="s">
        <v>47</v>
      </c>
      <c r="Y3341" t="s">
        <v>12138</v>
      </c>
      <c r="AG3341" t="s">
        <v>48</v>
      </c>
    </row>
    <row r="3342" spans="1:33">
      <c r="A3342" t="s">
        <v>12139</v>
      </c>
      <c r="B3342" t="s">
        <v>12140</v>
      </c>
      <c r="D3342" t="s">
        <v>40</v>
      </c>
      <c r="E3342" t="s">
        <v>41</v>
      </c>
      <c r="J3342" t="s">
        <v>290</v>
      </c>
      <c r="K3342" t="s">
        <v>291</v>
      </c>
      <c r="L3342">
        <v>5</v>
      </c>
      <c r="M3342" t="s">
        <v>12141</v>
      </c>
      <c r="N3342" t="s">
        <v>59</v>
      </c>
      <c r="O3342" t="s">
        <v>47</v>
      </c>
      <c r="P3342" t="s">
        <v>47</v>
      </c>
      <c r="Y3342" t="s">
        <v>12142</v>
      </c>
      <c r="AG3342" t="s">
        <v>48</v>
      </c>
    </row>
    <row r="3343" spans="1:33">
      <c r="A3343" t="s">
        <v>12143</v>
      </c>
      <c r="B3343" t="s">
        <v>12144</v>
      </c>
      <c r="D3343" t="s">
        <v>40</v>
      </c>
      <c r="E3343" t="s">
        <v>41</v>
      </c>
      <c r="J3343" t="s">
        <v>290</v>
      </c>
      <c r="K3343" t="s">
        <v>291</v>
      </c>
      <c r="L3343">
        <v>5</v>
      </c>
      <c r="M3343" t="s">
        <v>12145</v>
      </c>
      <c r="N3343" t="s">
        <v>59</v>
      </c>
      <c r="O3343" t="s">
        <v>47</v>
      </c>
      <c r="P3343" t="s">
        <v>47</v>
      </c>
      <c r="Y3343" t="s">
        <v>12146</v>
      </c>
      <c r="AG3343" t="s">
        <v>48</v>
      </c>
    </row>
    <row r="3344" spans="1:33">
      <c r="A3344" t="s">
        <v>12147</v>
      </c>
      <c r="B3344" t="s">
        <v>12148</v>
      </c>
      <c r="D3344" t="s">
        <v>40</v>
      </c>
      <c r="E3344" t="s">
        <v>41</v>
      </c>
      <c r="J3344" t="s">
        <v>290</v>
      </c>
      <c r="K3344" t="s">
        <v>291</v>
      </c>
      <c r="L3344">
        <v>5</v>
      </c>
      <c r="M3344" t="s">
        <v>12145</v>
      </c>
      <c r="N3344" t="s">
        <v>59</v>
      </c>
      <c r="O3344" t="s">
        <v>47</v>
      </c>
      <c r="P3344" t="s">
        <v>47</v>
      </c>
      <c r="Y3344" t="s">
        <v>12149</v>
      </c>
      <c r="AG3344" t="s">
        <v>48</v>
      </c>
    </row>
    <row r="3345" spans="1:33">
      <c r="A3345" t="s">
        <v>12150</v>
      </c>
      <c r="B3345" t="s">
        <v>12151</v>
      </c>
      <c r="D3345" t="s">
        <v>40</v>
      </c>
      <c r="E3345" t="s">
        <v>41</v>
      </c>
      <c r="J3345" t="s">
        <v>108</v>
      </c>
      <c r="K3345" t="s">
        <v>109</v>
      </c>
      <c r="L3345">
        <v>5</v>
      </c>
      <c r="M3345" t="s">
        <v>12145</v>
      </c>
      <c r="N3345" t="s">
        <v>59</v>
      </c>
      <c r="O3345" t="s">
        <v>47</v>
      </c>
      <c r="P3345" t="s">
        <v>47</v>
      </c>
      <c r="Y3345" t="s">
        <v>12152</v>
      </c>
      <c r="AG3345" t="s">
        <v>48</v>
      </c>
    </row>
    <row r="3346" spans="1:33">
      <c r="A3346" t="s">
        <v>12153</v>
      </c>
      <c r="B3346" t="s">
        <v>12154</v>
      </c>
      <c r="D3346" t="s">
        <v>40</v>
      </c>
      <c r="E3346" t="s">
        <v>41</v>
      </c>
      <c r="J3346" t="s">
        <v>129</v>
      </c>
      <c r="K3346" t="s">
        <v>130</v>
      </c>
      <c r="L3346">
        <v>5</v>
      </c>
      <c r="M3346" t="s">
        <v>12155</v>
      </c>
      <c r="N3346" t="s">
        <v>192</v>
      </c>
      <c r="O3346" t="s">
        <v>47</v>
      </c>
      <c r="P3346" t="s">
        <v>47</v>
      </c>
      <c r="Y3346" t="s">
        <v>12156</v>
      </c>
      <c r="AG3346" t="s">
        <v>48</v>
      </c>
    </row>
    <row r="3347" spans="1:33">
      <c r="A3347" t="s">
        <v>12157</v>
      </c>
      <c r="B3347" t="s">
        <v>12158</v>
      </c>
      <c r="D3347" t="s">
        <v>40</v>
      </c>
      <c r="E3347" t="s">
        <v>41</v>
      </c>
      <c r="J3347" t="s">
        <v>290</v>
      </c>
      <c r="K3347" t="s">
        <v>291</v>
      </c>
      <c r="L3347">
        <v>5</v>
      </c>
      <c r="M3347" t="s">
        <v>12159</v>
      </c>
      <c r="N3347" t="s">
        <v>59</v>
      </c>
      <c r="O3347" t="s">
        <v>47</v>
      </c>
      <c r="P3347" t="s">
        <v>47</v>
      </c>
      <c r="Y3347" t="s">
        <v>12160</v>
      </c>
      <c r="AG3347" t="s">
        <v>48</v>
      </c>
    </row>
    <row r="3348" spans="1:33">
      <c r="A3348" t="s">
        <v>12161</v>
      </c>
      <c r="B3348" t="s">
        <v>12162</v>
      </c>
      <c r="D3348" t="s">
        <v>40</v>
      </c>
      <c r="E3348" t="s">
        <v>41</v>
      </c>
      <c r="J3348" t="s">
        <v>290</v>
      </c>
      <c r="K3348" t="s">
        <v>291</v>
      </c>
      <c r="L3348">
        <v>5</v>
      </c>
      <c r="M3348" t="s">
        <v>12163</v>
      </c>
      <c r="N3348" t="s">
        <v>59</v>
      </c>
      <c r="O3348" t="s">
        <v>47</v>
      </c>
      <c r="P3348" t="s">
        <v>47</v>
      </c>
      <c r="Y3348" t="s">
        <v>12164</v>
      </c>
      <c r="AG3348" t="s">
        <v>48</v>
      </c>
    </row>
    <row r="3349" spans="1:33">
      <c r="A3349" t="s">
        <v>12165</v>
      </c>
      <c r="B3349" t="s">
        <v>12166</v>
      </c>
      <c r="D3349" t="s">
        <v>40</v>
      </c>
      <c r="E3349" t="s">
        <v>41</v>
      </c>
      <c r="H3349" t="s">
        <v>12167</v>
      </c>
      <c r="J3349" t="s">
        <v>290</v>
      </c>
      <c r="K3349" t="s">
        <v>291</v>
      </c>
      <c r="L3349">
        <v>5</v>
      </c>
      <c r="M3349" t="s">
        <v>12168</v>
      </c>
      <c r="N3349" t="s">
        <v>59</v>
      </c>
      <c r="O3349" t="s">
        <v>47</v>
      </c>
      <c r="P3349" t="s">
        <v>47</v>
      </c>
      <c r="Y3349" t="s">
        <v>12167</v>
      </c>
      <c r="AG3349" t="s">
        <v>48</v>
      </c>
    </row>
    <row r="3350" spans="1:33">
      <c r="A3350" t="s">
        <v>12169</v>
      </c>
      <c r="B3350" t="s">
        <v>12170</v>
      </c>
      <c r="D3350" t="s">
        <v>40</v>
      </c>
      <c r="E3350" t="s">
        <v>41</v>
      </c>
      <c r="J3350" t="s">
        <v>108</v>
      </c>
      <c r="K3350" t="s">
        <v>109</v>
      </c>
      <c r="L3350">
        <v>5</v>
      </c>
      <c r="M3350" t="s">
        <v>12171</v>
      </c>
      <c r="N3350" t="s">
        <v>59</v>
      </c>
      <c r="O3350" t="s">
        <v>47</v>
      </c>
      <c r="P3350" t="s">
        <v>47</v>
      </c>
      <c r="Y3350" t="s">
        <v>12172</v>
      </c>
      <c r="AG3350" t="s">
        <v>48</v>
      </c>
    </row>
    <row r="3351" spans="1:33">
      <c r="A3351" t="s">
        <v>12173</v>
      </c>
      <c r="B3351" t="s">
        <v>12174</v>
      </c>
      <c r="D3351" t="s">
        <v>40</v>
      </c>
      <c r="E3351" t="s">
        <v>41</v>
      </c>
      <c r="J3351" t="s">
        <v>129</v>
      </c>
      <c r="K3351" t="s">
        <v>130</v>
      </c>
      <c r="L3351">
        <v>5</v>
      </c>
      <c r="M3351" t="s">
        <v>12175</v>
      </c>
      <c r="N3351" t="s">
        <v>192</v>
      </c>
      <c r="O3351" t="s">
        <v>47</v>
      </c>
      <c r="P3351" t="s">
        <v>47</v>
      </c>
      <c r="Y3351" t="s">
        <v>12176</v>
      </c>
      <c r="AG3351" t="s">
        <v>48</v>
      </c>
    </row>
    <row r="3352" spans="1:33">
      <c r="A3352" t="s">
        <v>12177</v>
      </c>
      <c r="B3352" t="s">
        <v>12178</v>
      </c>
      <c r="D3352" t="s">
        <v>40</v>
      </c>
      <c r="E3352" t="s">
        <v>41</v>
      </c>
      <c r="J3352" t="s">
        <v>162</v>
      </c>
      <c r="K3352" t="s">
        <v>163</v>
      </c>
      <c r="L3352">
        <v>5</v>
      </c>
      <c r="M3352" t="s">
        <v>12179</v>
      </c>
      <c r="N3352" t="s">
        <v>59</v>
      </c>
      <c r="O3352" t="s">
        <v>47</v>
      </c>
      <c r="P3352" t="s">
        <v>47</v>
      </c>
      <c r="Y3352" t="s">
        <v>12180</v>
      </c>
      <c r="AG3352" t="s">
        <v>48</v>
      </c>
    </row>
    <row r="3353" spans="1:33">
      <c r="A3353" t="s">
        <v>12181</v>
      </c>
      <c r="B3353" t="s">
        <v>12182</v>
      </c>
      <c r="D3353" t="s">
        <v>40</v>
      </c>
      <c r="E3353" t="s">
        <v>41</v>
      </c>
      <c r="J3353" t="s">
        <v>290</v>
      </c>
      <c r="K3353" t="s">
        <v>291</v>
      </c>
      <c r="L3353">
        <v>5</v>
      </c>
      <c r="M3353" t="s">
        <v>12183</v>
      </c>
      <c r="N3353" t="s">
        <v>59</v>
      </c>
      <c r="O3353" t="s">
        <v>47</v>
      </c>
      <c r="P3353" t="s">
        <v>47</v>
      </c>
      <c r="Y3353" t="s">
        <v>12184</v>
      </c>
      <c r="AG3353" t="s">
        <v>48</v>
      </c>
    </row>
    <row r="3354" spans="1:33">
      <c r="A3354" t="s">
        <v>12185</v>
      </c>
      <c r="B3354" t="s">
        <v>12186</v>
      </c>
      <c r="D3354" t="s">
        <v>40</v>
      </c>
      <c r="E3354" t="s">
        <v>41</v>
      </c>
      <c r="J3354" t="s">
        <v>108</v>
      </c>
      <c r="K3354" t="s">
        <v>109</v>
      </c>
      <c r="L3354">
        <v>5</v>
      </c>
      <c r="M3354" t="s">
        <v>12187</v>
      </c>
      <c r="N3354" t="s">
        <v>59</v>
      </c>
      <c r="O3354" t="s">
        <v>47</v>
      </c>
      <c r="P3354" t="s">
        <v>47</v>
      </c>
      <c r="Y3354" t="s">
        <v>12188</v>
      </c>
      <c r="AG3354" t="s">
        <v>48</v>
      </c>
    </row>
    <row r="3355" spans="1:33">
      <c r="A3355" t="s">
        <v>12189</v>
      </c>
      <c r="B3355" t="s">
        <v>12190</v>
      </c>
      <c r="D3355" t="s">
        <v>40</v>
      </c>
      <c r="E3355" t="s">
        <v>41</v>
      </c>
      <c r="J3355" t="s">
        <v>108</v>
      </c>
      <c r="K3355" t="s">
        <v>109</v>
      </c>
      <c r="L3355">
        <v>5</v>
      </c>
      <c r="M3355" t="s">
        <v>12191</v>
      </c>
      <c r="N3355" t="s">
        <v>59</v>
      </c>
      <c r="O3355" t="s">
        <v>47</v>
      </c>
      <c r="P3355" t="s">
        <v>47</v>
      </c>
      <c r="Y3355" t="s">
        <v>12192</v>
      </c>
      <c r="AG3355" t="s">
        <v>48</v>
      </c>
    </row>
    <row r="3356" spans="1:33">
      <c r="A3356" t="s">
        <v>12193</v>
      </c>
      <c r="B3356" t="s">
        <v>12194</v>
      </c>
      <c r="D3356" t="s">
        <v>40</v>
      </c>
      <c r="E3356" t="s">
        <v>41</v>
      </c>
      <c r="J3356" t="s">
        <v>290</v>
      </c>
      <c r="K3356" t="s">
        <v>291</v>
      </c>
      <c r="L3356">
        <v>5</v>
      </c>
      <c r="M3356" t="s">
        <v>12191</v>
      </c>
      <c r="N3356" t="s">
        <v>59</v>
      </c>
      <c r="O3356" t="s">
        <v>47</v>
      </c>
      <c r="P3356" t="s">
        <v>47</v>
      </c>
      <c r="Y3356" t="s">
        <v>12195</v>
      </c>
      <c r="AG3356" t="s">
        <v>48</v>
      </c>
    </row>
    <row r="3357" spans="1:33">
      <c r="A3357" t="s">
        <v>12196</v>
      </c>
      <c r="B3357" t="s">
        <v>12197</v>
      </c>
      <c r="D3357" t="s">
        <v>40</v>
      </c>
      <c r="E3357" t="s">
        <v>41</v>
      </c>
      <c r="J3357" t="s">
        <v>290</v>
      </c>
      <c r="K3357" t="s">
        <v>291</v>
      </c>
      <c r="L3357">
        <v>5</v>
      </c>
      <c r="M3357" t="s">
        <v>12191</v>
      </c>
      <c r="N3357" t="s">
        <v>59</v>
      </c>
      <c r="O3357" t="s">
        <v>47</v>
      </c>
      <c r="P3357" t="s">
        <v>47</v>
      </c>
      <c r="Y3357" t="s">
        <v>12198</v>
      </c>
      <c r="AG3357" t="s">
        <v>48</v>
      </c>
    </row>
    <row r="3358" spans="1:33">
      <c r="A3358" t="s">
        <v>12199</v>
      </c>
      <c r="B3358" t="s">
        <v>12200</v>
      </c>
      <c r="D3358" t="s">
        <v>40</v>
      </c>
      <c r="E3358" t="s">
        <v>41</v>
      </c>
      <c r="H3358" t="s">
        <v>12201</v>
      </c>
      <c r="J3358" t="s">
        <v>123</v>
      </c>
      <c r="K3358" t="s">
        <v>124</v>
      </c>
      <c r="L3358">
        <v>5</v>
      </c>
      <c r="M3358" t="s">
        <v>12202</v>
      </c>
      <c r="N3358" t="s">
        <v>192</v>
      </c>
      <c r="O3358" t="s">
        <v>47</v>
      </c>
      <c r="P3358" t="s">
        <v>47</v>
      </c>
      <c r="Y3358" t="s">
        <v>12201</v>
      </c>
      <c r="AG3358" t="s">
        <v>48</v>
      </c>
    </row>
    <row r="3359" spans="1:33">
      <c r="A3359" t="s">
        <v>12203</v>
      </c>
      <c r="B3359" t="s">
        <v>12204</v>
      </c>
      <c r="D3359" t="s">
        <v>40</v>
      </c>
      <c r="E3359" t="s">
        <v>41</v>
      </c>
      <c r="J3359" t="s">
        <v>114</v>
      </c>
      <c r="K3359" t="s">
        <v>115</v>
      </c>
      <c r="L3359">
        <v>5</v>
      </c>
      <c r="M3359" t="s">
        <v>12202</v>
      </c>
      <c r="N3359" t="s">
        <v>59</v>
      </c>
      <c r="O3359" t="s">
        <v>47</v>
      </c>
      <c r="P3359" t="s">
        <v>47</v>
      </c>
      <c r="Y3359" t="s">
        <v>12205</v>
      </c>
      <c r="AG3359" t="s">
        <v>48</v>
      </c>
    </row>
    <row r="3360" spans="1:33">
      <c r="A3360" t="s">
        <v>12206</v>
      </c>
      <c r="B3360" t="s">
        <v>12207</v>
      </c>
      <c r="D3360" t="s">
        <v>40</v>
      </c>
      <c r="E3360" t="s">
        <v>41</v>
      </c>
      <c r="J3360" t="s">
        <v>290</v>
      </c>
      <c r="K3360" t="s">
        <v>291</v>
      </c>
      <c r="L3360">
        <v>5</v>
      </c>
      <c r="M3360" t="s">
        <v>12208</v>
      </c>
      <c r="N3360" t="s">
        <v>59</v>
      </c>
      <c r="O3360" t="s">
        <v>47</v>
      </c>
      <c r="P3360" t="s">
        <v>47</v>
      </c>
      <c r="Y3360" t="s">
        <v>12209</v>
      </c>
      <c r="AG3360" t="s">
        <v>48</v>
      </c>
    </row>
    <row r="3361" spans="1:33">
      <c r="A3361" t="s">
        <v>12210</v>
      </c>
      <c r="B3361" t="s">
        <v>12211</v>
      </c>
      <c r="D3361" t="s">
        <v>40</v>
      </c>
      <c r="E3361" t="s">
        <v>41</v>
      </c>
      <c r="J3361" t="s">
        <v>290</v>
      </c>
      <c r="K3361" t="s">
        <v>291</v>
      </c>
      <c r="L3361">
        <v>5</v>
      </c>
      <c r="M3361" t="s">
        <v>12212</v>
      </c>
      <c r="N3361" t="s">
        <v>59</v>
      </c>
      <c r="O3361" t="s">
        <v>47</v>
      </c>
      <c r="P3361" t="s">
        <v>47</v>
      </c>
      <c r="Y3361" t="s">
        <v>12213</v>
      </c>
      <c r="AG3361" t="s">
        <v>48</v>
      </c>
    </row>
    <row r="3362" spans="1:33">
      <c r="A3362" t="s">
        <v>12214</v>
      </c>
      <c r="B3362" t="s">
        <v>12215</v>
      </c>
      <c r="D3362" t="s">
        <v>40</v>
      </c>
      <c r="E3362" t="s">
        <v>41</v>
      </c>
      <c r="J3362" t="s">
        <v>162</v>
      </c>
      <c r="K3362" t="s">
        <v>163</v>
      </c>
      <c r="L3362">
        <v>5</v>
      </c>
      <c r="M3362" t="s">
        <v>12212</v>
      </c>
      <c r="N3362" t="s">
        <v>59</v>
      </c>
      <c r="O3362" t="s">
        <v>47</v>
      </c>
      <c r="P3362" t="s">
        <v>47</v>
      </c>
      <c r="Y3362" t="s">
        <v>12216</v>
      </c>
      <c r="AG3362" t="s">
        <v>48</v>
      </c>
    </row>
    <row r="3363" spans="1:33">
      <c r="A3363" t="s">
        <v>12217</v>
      </c>
      <c r="B3363" t="s">
        <v>12218</v>
      </c>
      <c r="D3363" t="s">
        <v>40</v>
      </c>
      <c r="E3363" t="s">
        <v>41</v>
      </c>
      <c r="J3363" t="s">
        <v>290</v>
      </c>
      <c r="K3363" t="s">
        <v>291</v>
      </c>
      <c r="L3363">
        <v>5</v>
      </c>
      <c r="M3363" t="s">
        <v>12212</v>
      </c>
      <c r="N3363" t="s">
        <v>59</v>
      </c>
      <c r="O3363" t="s">
        <v>47</v>
      </c>
      <c r="P3363" t="s">
        <v>47</v>
      </c>
      <c r="Y3363" t="s">
        <v>12219</v>
      </c>
      <c r="AG3363" t="s">
        <v>48</v>
      </c>
    </row>
    <row r="3364" spans="1:33">
      <c r="A3364" t="s">
        <v>12220</v>
      </c>
      <c r="B3364" t="s">
        <v>12221</v>
      </c>
      <c r="D3364" t="s">
        <v>40</v>
      </c>
      <c r="E3364" t="s">
        <v>41</v>
      </c>
      <c r="J3364" t="s">
        <v>123</v>
      </c>
      <c r="K3364" t="s">
        <v>124</v>
      </c>
      <c r="L3364">
        <v>5</v>
      </c>
      <c r="M3364" t="s">
        <v>12212</v>
      </c>
      <c r="N3364" t="s">
        <v>218</v>
      </c>
      <c r="O3364" t="s">
        <v>47</v>
      </c>
      <c r="P3364" t="s">
        <v>47</v>
      </c>
      <c r="Y3364" t="s">
        <v>12222</v>
      </c>
      <c r="AG3364" t="s">
        <v>48</v>
      </c>
    </row>
    <row r="3365" spans="1:33">
      <c r="A3365" t="s">
        <v>12223</v>
      </c>
      <c r="B3365" t="s">
        <v>12224</v>
      </c>
      <c r="D3365" t="s">
        <v>40</v>
      </c>
      <c r="E3365" t="s">
        <v>41</v>
      </c>
      <c r="J3365" t="s">
        <v>123</v>
      </c>
      <c r="K3365" t="s">
        <v>124</v>
      </c>
      <c r="L3365">
        <v>5</v>
      </c>
      <c r="M3365" t="s">
        <v>12225</v>
      </c>
      <c r="N3365" t="s">
        <v>218</v>
      </c>
      <c r="O3365" t="s">
        <v>47</v>
      </c>
      <c r="P3365" t="s">
        <v>47</v>
      </c>
      <c r="Y3365" t="s">
        <v>12226</v>
      </c>
      <c r="AG3365" t="s">
        <v>48</v>
      </c>
    </row>
    <row r="3366" spans="1:33">
      <c r="A3366" t="s">
        <v>12227</v>
      </c>
      <c r="B3366" t="s">
        <v>12228</v>
      </c>
      <c r="D3366" t="s">
        <v>40</v>
      </c>
      <c r="E3366" t="s">
        <v>41</v>
      </c>
      <c r="J3366" t="s">
        <v>290</v>
      </c>
      <c r="K3366" t="s">
        <v>291</v>
      </c>
      <c r="L3366">
        <v>5</v>
      </c>
      <c r="M3366" t="s">
        <v>12229</v>
      </c>
      <c r="N3366" t="s">
        <v>59</v>
      </c>
      <c r="O3366" t="s">
        <v>47</v>
      </c>
      <c r="P3366" t="s">
        <v>47</v>
      </c>
      <c r="Y3366" t="s">
        <v>12230</v>
      </c>
      <c r="AG3366" t="s">
        <v>48</v>
      </c>
    </row>
    <row r="3367" spans="1:33">
      <c r="A3367" t="s">
        <v>12231</v>
      </c>
      <c r="B3367" t="s">
        <v>12232</v>
      </c>
      <c r="D3367" t="s">
        <v>40</v>
      </c>
      <c r="E3367" t="s">
        <v>41</v>
      </c>
      <c r="H3367" t="s">
        <v>12233</v>
      </c>
      <c r="J3367" t="s">
        <v>290</v>
      </c>
      <c r="K3367" t="s">
        <v>291</v>
      </c>
      <c r="L3367">
        <v>5</v>
      </c>
      <c r="M3367" t="s">
        <v>12234</v>
      </c>
      <c r="N3367" t="s">
        <v>59</v>
      </c>
      <c r="O3367" t="s">
        <v>47</v>
      </c>
      <c r="P3367" t="s">
        <v>47</v>
      </c>
      <c r="Y3367" t="s">
        <v>12233</v>
      </c>
      <c r="AG3367" t="s">
        <v>48</v>
      </c>
    </row>
    <row r="3368" spans="1:33">
      <c r="A3368" t="s">
        <v>12235</v>
      </c>
      <c r="B3368" t="s">
        <v>12236</v>
      </c>
      <c r="D3368" t="s">
        <v>40</v>
      </c>
      <c r="E3368" t="s">
        <v>41</v>
      </c>
      <c r="J3368" t="s">
        <v>123</v>
      </c>
      <c r="K3368" t="s">
        <v>124</v>
      </c>
      <c r="L3368">
        <v>5</v>
      </c>
      <c r="M3368" t="s">
        <v>12234</v>
      </c>
      <c r="N3368" t="s">
        <v>192</v>
      </c>
      <c r="O3368" t="s">
        <v>47</v>
      </c>
      <c r="P3368" t="s">
        <v>47</v>
      </c>
      <c r="Y3368" t="s">
        <v>12237</v>
      </c>
      <c r="AG3368" t="s">
        <v>48</v>
      </c>
    </row>
    <row r="3369" spans="1:33">
      <c r="A3369" t="s">
        <v>12238</v>
      </c>
      <c r="B3369" t="s">
        <v>12239</v>
      </c>
      <c r="D3369" t="s">
        <v>40</v>
      </c>
      <c r="E3369" t="s">
        <v>41</v>
      </c>
      <c r="J3369" t="s">
        <v>162</v>
      </c>
      <c r="K3369" t="s">
        <v>163</v>
      </c>
      <c r="L3369">
        <v>5</v>
      </c>
      <c r="M3369" t="s">
        <v>12240</v>
      </c>
      <c r="N3369" t="s">
        <v>59</v>
      </c>
      <c r="O3369" t="s">
        <v>47</v>
      </c>
      <c r="P3369" t="s">
        <v>47</v>
      </c>
      <c r="Y3369" t="s">
        <v>12241</v>
      </c>
      <c r="AG3369" t="s">
        <v>48</v>
      </c>
    </row>
    <row r="3370" spans="1:33">
      <c r="A3370" t="s">
        <v>12242</v>
      </c>
      <c r="B3370" t="s">
        <v>12243</v>
      </c>
      <c r="D3370" t="s">
        <v>40</v>
      </c>
      <c r="E3370" t="s">
        <v>41</v>
      </c>
      <c r="J3370" t="s">
        <v>270</v>
      </c>
      <c r="K3370" t="s">
        <v>271</v>
      </c>
      <c r="L3370">
        <v>5</v>
      </c>
      <c r="M3370" t="s">
        <v>12244</v>
      </c>
      <c r="N3370" t="s">
        <v>59</v>
      </c>
      <c r="O3370" t="s">
        <v>47</v>
      </c>
      <c r="P3370" t="s">
        <v>47</v>
      </c>
      <c r="Y3370" t="s">
        <v>12245</v>
      </c>
      <c r="AG3370" t="s">
        <v>48</v>
      </c>
    </row>
    <row r="3371" spans="1:33">
      <c r="A3371" t="s">
        <v>12246</v>
      </c>
      <c r="B3371" t="s">
        <v>12247</v>
      </c>
      <c r="D3371" t="s">
        <v>40</v>
      </c>
      <c r="E3371" t="s">
        <v>41</v>
      </c>
      <c r="J3371" t="s">
        <v>270</v>
      </c>
      <c r="K3371" t="s">
        <v>271</v>
      </c>
      <c r="L3371">
        <v>5</v>
      </c>
      <c r="M3371" t="s">
        <v>12248</v>
      </c>
      <c r="N3371" t="s">
        <v>59</v>
      </c>
      <c r="O3371" t="s">
        <v>47</v>
      </c>
      <c r="P3371" t="s">
        <v>47</v>
      </c>
      <c r="Y3371" t="s">
        <v>12249</v>
      </c>
      <c r="AG3371" t="s">
        <v>48</v>
      </c>
    </row>
    <row r="3372" spans="1:33">
      <c r="A3372" t="s">
        <v>12250</v>
      </c>
      <c r="B3372" t="s">
        <v>12251</v>
      </c>
      <c r="D3372" t="s">
        <v>40</v>
      </c>
      <c r="E3372" t="s">
        <v>41</v>
      </c>
      <c r="J3372" t="s">
        <v>8931</v>
      </c>
      <c r="K3372" t="s">
        <v>8932</v>
      </c>
      <c r="L3372">
        <v>6</v>
      </c>
      <c r="M3372" t="s">
        <v>12252</v>
      </c>
      <c r="N3372" t="s">
        <v>46</v>
      </c>
      <c r="O3372" t="s">
        <v>47</v>
      </c>
      <c r="P3372" t="s">
        <v>47</v>
      </c>
      <c r="Y3372" t="s">
        <v>12253</v>
      </c>
      <c r="AG3372" t="s">
        <v>48</v>
      </c>
    </row>
    <row r="3373" spans="1:33">
      <c r="A3373" t="s">
        <v>12254</v>
      </c>
      <c r="B3373" t="s">
        <v>12255</v>
      </c>
      <c r="D3373" t="s">
        <v>40</v>
      </c>
      <c r="E3373" t="s">
        <v>41</v>
      </c>
      <c r="J3373" t="s">
        <v>108</v>
      </c>
      <c r="K3373" t="s">
        <v>109</v>
      </c>
      <c r="L3373">
        <v>5</v>
      </c>
      <c r="M3373" t="s">
        <v>12256</v>
      </c>
      <c r="N3373" t="s">
        <v>59</v>
      </c>
      <c r="O3373" t="s">
        <v>47</v>
      </c>
      <c r="P3373" t="s">
        <v>47</v>
      </c>
      <c r="Y3373" t="s">
        <v>12257</v>
      </c>
      <c r="AG3373" t="s">
        <v>48</v>
      </c>
    </row>
    <row r="3374" spans="1:33">
      <c r="A3374" t="s">
        <v>12258</v>
      </c>
      <c r="B3374" t="s">
        <v>12259</v>
      </c>
      <c r="D3374" t="s">
        <v>40</v>
      </c>
      <c r="E3374" t="s">
        <v>41</v>
      </c>
      <c r="J3374" t="s">
        <v>162</v>
      </c>
      <c r="K3374" t="s">
        <v>163</v>
      </c>
      <c r="L3374">
        <v>5</v>
      </c>
      <c r="M3374" t="s">
        <v>12260</v>
      </c>
      <c r="N3374" t="s">
        <v>59</v>
      </c>
      <c r="O3374" t="s">
        <v>47</v>
      </c>
      <c r="P3374" t="s">
        <v>47</v>
      </c>
      <c r="Y3374" t="s">
        <v>12261</v>
      </c>
      <c r="AG3374" t="s">
        <v>48</v>
      </c>
    </row>
    <row r="3375" spans="1:33">
      <c r="A3375" t="s">
        <v>12262</v>
      </c>
      <c r="B3375" t="s">
        <v>12263</v>
      </c>
      <c r="D3375" t="s">
        <v>40</v>
      </c>
      <c r="E3375" t="s">
        <v>41</v>
      </c>
      <c r="J3375" t="s">
        <v>108</v>
      </c>
      <c r="K3375" t="s">
        <v>109</v>
      </c>
      <c r="L3375">
        <v>5</v>
      </c>
      <c r="M3375" t="s">
        <v>12264</v>
      </c>
      <c r="N3375" t="s">
        <v>59</v>
      </c>
      <c r="O3375" t="s">
        <v>47</v>
      </c>
      <c r="P3375" t="s">
        <v>47</v>
      </c>
      <c r="Y3375" t="s">
        <v>12265</v>
      </c>
      <c r="AG3375" t="s">
        <v>48</v>
      </c>
    </row>
    <row r="3376" spans="1:33">
      <c r="A3376" t="s">
        <v>12266</v>
      </c>
      <c r="B3376" t="s">
        <v>12267</v>
      </c>
      <c r="D3376" t="s">
        <v>40</v>
      </c>
      <c r="E3376" t="s">
        <v>41</v>
      </c>
      <c r="J3376" t="s">
        <v>108</v>
      </c>
      <c r="K3376" t="s">
        <v>109</v>
      </c>
      <c r="L3376">
        <v>5</v>
      </c>
      <c r="M3376" t="s">
        <v>12268</v>
      </c>
      <c r="N3376" t="s">
        <v>59</v>
      </c>
      <c r="O3376" t="s">
        <v>47</v>
      </c>
      <c r="P3376" t="s">
        <v>47</v>
      </c>
      <c r="Y3376" t="s">
        <v>12269</v>
      </c>
      <c r="AG3376" t="s">
        <v>48</v>
      </c>
    </row>
    <row r="3377" spans="1:33">
      <c r="A3377" t="s">
        <v>12270</v>
      </c>
      <c r="B3377" t="s">
        <v>12271</v>
      </c>
      <c r="D3377" t="s">
        <v>40</v>
      </c>
      <c r="E3377" t="s">
        <v>41</v>
      </c>
      <c r="J3377" t="s">
        <v>290</v>
      </c>
      <c r="K3377" t="s">
        <v>291</v>
      </c>
      <c r="L3377">
        <v>5</v>
      </c>
      <c r="M3377" t="s">
        <v>12268</v>
      </c>
      <c r="N3377" t="s">
        <v>59</v>
      </c>
      <c r="O3377" t="s">
        <v>47</v>
      </c>
      <c r="P3377" t="s">
        <v>47</v>
      </c>
      <c r="Y3377" t="s">
        <v>12272</v>
      </c>
      <c r="AG3377" t="s">
        <v>48</v>
      </c>
    </row>
    <row r="3378" spans="1:33">
      <c r="A3378" t="s">
        <v>12273</v>
      </c>
      <c r="B3378" t="s">
        <v>12274</v>
      </c>
      <c r="D3378" t="s">
        <v>40</v>
      </c>
      <c r="E3378" t="s">
        <v>41</v>
      </c>
      <c r="J3378" t="s">
        <v>129</v>
      </c>
      <c r="K3378" t="s">
        <v>130</v>
      </c>
      <c r="L3378">
        <v>5</v>
      </c>
      <c r="M3378" t="s">
        <v>12275</v>
      </c>
      <c r="N3378" t="s">
        <v>46</v>
      </c>
      <c r="O3378" t="s">
        <v>47</v>
      </c>
      <c r="P3378" t="s">
        <v>47</v>
      </c>
      <c r="Y3378" t="s">
        <v>12276</v>
      </c>
      <c r="AG3378" t="s">
        <v>48</v>
      </c>
    </row>
    <row r="3379" spans="1:33">
      <c r="A3379" t="s">
        <v>117</v>
      </c>
      <c r="B3379" t="s">
        <v>12277</v>
      </c>
      <c r="D3379" t="s">
        <v>40</v>
      </c>
      <c r="E3379" t="s">
        <v>41</v>
      </c>
      <c r="J3379" t="s">
        <v>290</v>
      </c>
      <c r="K3379" t="s">
        <v>291</v>
      </c>
      <c r="L3379">
        <v>5</v>
      </c>
      <c r="M3379" t="s">
        <v>12278</v>
      </c>
      <c r="N3379" t="s">
        <v>59</v>
      </c>
      <c r="O3379" t="s">
        <v>47</v>
      </c>
      <c r="P3379" t="s">
        <v>47</v>
      </c>
      <c r="Y3379" t="s">
        <v>12279</v>
      </c>
      <c r="AG3379" t="s">
        <v>48</v>
      </c>
    </row>
    <row r="3380" spans="1:33">
      <c r="A3380" t="s">
        <v>12280</v>
      </c>
      <c r="B3380" t="s">
        <v>12281</v>
      </c>
      <c r="D3380" t="s">
        <v>40</v>
      </c>
      <c r="E3380" t="s">
        <v>41</v>
      </c>
      <c r="J3380" t="s">
        <v>162</v>
      </c>
      <c r="K3380" t="s">
        <v>163</v>
      </c>
      <c r="L3380">
        <v>5</v>
      </c>
      <c r="M3380" t="s">
        <v>12282</v>
      </c>
      <c r="N3380" t="s">
        <v>59</v>
      </c>
      <c r="O3380" t="s">
        <v>47</v>
      </c>
      <c r="P3380" t="s">
        <v>47</v>
      </c>
      <c r="Y3380" t="s">
        <v>12283</v>
      </c>
      <c r="AG3380" t="s">
        <v>48</v>
      </c>
    </row>
    <row r="3381" spans="1:33">
      <c r="A3381" t="s">
        <v>12284</v>
      </c>
      <c r="B3381" t="s">
        <v>12285</v>
      </c>
      <c r="D3381" t="s">
        <v>40</v>
      </c>
      <c r="E3381" t="s">
        <v>41</v>
      </c>
      <c r="J3381" t="s">
        <v>290</v>
      </c>
      <c r="K3381" t="s">
        <v>291</v>
      </c>
      <c r="L3381">
        <v>5</v>
      </c>
      <c r="M3381" t="s">
        <v>12282</v>
      </c>
      <c r="N3381" t="s">
        <v>59</v>
      </c>
      <c r="O3381" t="s">
        <v>47</v>
      </c>
      <c r="P3381" t="s">
        <v>47</v>
      </c>
      <c r="Y3381" t="s">
        <v>12286</v>
      </c>
      <c r="AG3381" t="s">
        <v>48</v>
      </c>
    </row>
    <row r="3382" spans="1:33">
      <c r="A3382" t="s">
        <v>12287</v>
      </c>
      <c r="B3382" t="s">
        <v>12288</v>
      </c>
      <c r="D3382" t="s">
        <v>40</v>
      </c>
      <c r="E3382" t="s">
        <v>41</v>
      </c>
      <c r="J3382" t="s">
        <v>129</v>
      </c>
      <c r="K3382" t="s">
        <v>130</v>
      </c>
      <c r="L3382">
        <v>5</v>
      </c>
      <c r="M3382" t="s">
        <v>12282</v>
      </c>
      <c r="N3382" t="s">
        <v>192</v>
      </c>
      <c r="O3382" t="s">
        <v>47</v>
      </c>
      <c r="P3382" t="s">
        <v>47</v>
      </c>
      <c r="Y3382" t="s">
        <v>12289</v>
      </c>
      <c r="AG3382" t="s">
        <v>48</v>
      </c>
    </row>
    <row r="3383" spans="1:33">
      <c r="A3383" t="s">
        <v>12290</v>
      </c>
      <c r="B3383" t="s">
        <v>12291</v>
      </c>
      <c r="D3383" t="s">
        <v>40</v>
      </c>
      <c r="E3383" t="s">
        <v>41</v>
      </c>
      <c r="J3383" t="s">
        <v>123</v>
      </c>
      <c r="K3383" t="s">
        <v>124</v>
      </c>
      <c r="L3383">
        <v>5</v>
      </c>
      <c r="M3383" t="s">
        <v>12282</v>
      </c>
      <c r="N3383" t="s">
        <v>218</v>
      </c>
      <c r="O3383" t="s">
        <v>47</v>
      </c>
      <c r="P3383" t="s">
        <v>47</v>
      </c>
      <c r="Y3383" t="s">
        <v>12292</v>
      </c>
      <c r="AG3383" t="s">
        <v>48</v>
      </c>
    </row>
    <row r="3384" spans="1:33">
      <c r="A3384" t="s">
        <v>12293</v>
      </c>
      <c r="B3384" t="s">
        <v>12294</v>
      </c>
      <c r="D3384" t="s">
        <v>40</v>
      </c>
      <c r="E3384" t="s">
        <v>41</v>
      </c>
      <c r="J3384" t="s">
        <v>162</v>
      </c>
      <c r="K3384" t="s">
        <v>163</v>
      </c>
      <c r="L3384">
        <v>5</v>
      </c>
      <c r="M3384" t="s">
        <v>12295</v>
      </c>
      <c r="N3384" t="s">
        <v>59</v>
      </c>
      <c r="O3384" t="s">
        <v>47</v>
      </c>
      <c r="P3384" t="s">
        <v>47</v>
      </c>
      <c r="Y3384" t="s">
        <v>12296</v>
      </c>
      <c r="AG3384" t="s">
        <v>48</v>
      </c>
    </row>
    <row r="3385" spans="1:33">
      <c r="A3385" t="s">
        <v>12297</v>
      </c>
      <c r="B3385" t="s">
        <v>12298</v>
      </c>
      <c r="D3385" t="s">
        <v>40</v>
      </c>
      <c r="E3385" t="s">
        <v>41</v>
      </c>
      <c r="J3385" t="s">
        <v>290</v>
      </c>
      <c r="K3385" t="s">
        <v>291</v>
      </c>
      <c r="L3385">
        <v>5</v>
      </c>
      <c r="M3385" t="s">
        <v>12299</v>
      </c>
      <c r="N3385" t="s">
        <v>59</v>
      </c>
      <c r="O3385" t="s">
        <v>47</v>
      </c>
      <c r="P3385" t="s">
        <v>47</v>
      </c>
      <c r="Y3385" t="s">
        <v>12300</v>
      </c>
      <c r="AG3385" t="s">
        <v>48</v>
      </c>
    </row>
    <row r="3386" spans="1:33">
      <c r="A3386" t="s">
        <v>12301</v>
      </c>
      <c r="B3386" t="s">
        <v>12302</v>
      </c>
      <c r="D3386" t="s">
        <v>40</v>
      </c>
      <c r="E3386" t="s">
        <v>41</v>
      </c>
      <c r="J3386" t="s">
        <v>43</v>
      </c>
      <c r="K3386" t="s">
        <v>44</v>
      </c>
      <c r="L3386">
        <v>5</v>
      </c>
      <c r="M3386" t="s">
        <v>12299</v>
      </c>
      <c r="N3386" t="s">
        <v>192</v>
      </c>
      <c r="O3386" t="s">
        <v>47</v>
      </c>
      <c r="P3386" t="s">
        <v>47</v>
      </c>
      <c r="Y3386" t="s">
        <v>12303</v>
      </c>
      <c r="AG3386" t="s">
        <v>48</v>
      </c>
    </row>
    <row r="3387" spans="1:33">
      <c r="A3387" t="s">
        <v>12304</v>
      </c>
      <c r="B3387" t="s">
        <v>12305</v>
      </c>
      <c r="D3387" t="s">
        <v>40</v>
      </c>
      <c r="E3387" t="s">
        <v>41</v>
      </c>
      <c r="J3387" t="s">
        <v>290</v>
      </c>
      <c r="K3387" t="s">
        <v>291</v>
      </c>
      <c r="L3387">
        <v>5</v>
      </c>
      <c r="M3387" t="s">
        <v>12299</v>
      </c>
      <c r="N3387" t="s">
        <v>59</v>
      </c>
      <c r="O3387" t="s">
        <v>47</v>
      </c>
      <c r="P3387" t="s">
        <v>47</v>
      </c>
      <c r="Y3387" t="s">
        <v>12306</v>
      </c>
      <c r="AG3387" t="s">
        <v>48</v>
      </c>
    </row>
    <row r="3388" spans="1:33">
      <c r="A3388" t="s">
        <v>12307</v>
      </c>
      <c r="B3388" t="s">
        <v>12308</v>
      </c>
      <c r="D3388" t="s">
        <v>40</v>
      </c>
      <c r="E3388" t="s">
        <v>41</v>
      </c>
      <c r="J3388" t="s">
        <v>162</v>
      </c>
      <c r="K3388" t="s">
        <v>163</v>
      </c>
      <c r="L3388">
        <v>5</v>
      </c>
      <c r="M3388" t="s">
        <v>12309</v>
      </c>
      <c r="N3388" t="s">
        <v>59</v>
      </c>
      <c r="O3388" t="s">
        <v>47</v>
      </c>
      <c r="P3388" t="s">
        <v>47</v>
      </c>
      <c r="Y3388" t="s">
        <v>12310</v>
      </c>
      <c r="AG3388" t="s">
        <v>48</v>
      </c>
    </row>
    <row r="3389" spans="1:33">
      <c r="A3389" t="s">
        <v>12311</v>
      </c>
      <c r="B3389" t="s">
        <v>12312</v>
      </c>
      <c r="D3389" t="s">
        <v>40</v>
      </c>
      <c r="E3389" t="s">
        <v>41</v>
      </c>
      <c r="J3389" t="s">
        <v>108</v>
      </c>
      <c r="K3389" t="s">
        <v>109</v>
      </c>
      <c r="L3389">
        <v>5</v>
      </c>
      <c r="M3389" t="s">
        <v>12309</v>
      </c>
      <c r="N3389" t="s">
        <v>59</v>
      </c>
      <c r="O3389" t="s">
        <v>47</v>
      </c>
      <c r="P3389" t="s">
        <v>47</v>
      </c>
      <c r="Y3389" t="s">
        <v>12313</v>
      </c>
      <c r="AG3389" t="s">
        <v>48</v>
      </c>
    </row>
    <row r="3390" spans="1:33">
      <c r="A3390" t="s">
        <v>12314</v>
      </c>
      <c r="B3390" t="s">
        <v>12315</v>
      </c>
      <c r="D3390" t="s">
        <v>40</v>
      </c>
      <c r="E3390" t="s">
        <v>41</v>
      </c>
      <c r="J3390" t="s">
        <v>312</v>
      </c>
      <c r="K3390" t="s">
        <v>313</v>
      </c>
      <c r="L3390">
        <v>5</v>
      </c>
      <c r="M3390" t="s">
        <v>12316</v>
      </c>
      <c r="N3390" t="s">
        <v>192</v>
      </c>
      <c r="O3390" t="s">
        <v>47</v>
      </c>
      <c r="P3390" t="s">
        <v>47</v>
      </c>
      <c r="Y3390" t="s">
        <v>12317</v>
      </c>
      <c r="AG3390" t="s">
        <v>48</v>
      </c>
    </row>
    <row r="3391" spans="1:33">
      <c r="A3391" t="s">
        <v>12318</v>
      </c>
      <c r="B3391" t="s">
        <v>12319</v>
      </c>
      <c r="D3391" t="s">
        <v>40</v>
      </c>
      <c r="E3391" t="s">
        <v>41</v>
      </c>
      <c r="J3391" t="s">
        <v>290</v>
      </c>
      <c r="K3391" t="s">
        <v>291</v>
      </c>
      <c r="L3391">
        <v>5</v>
      </c>
      <c r="M3391" t="s">
        <v>12320</v>
      </c>
      <c r="N3391" t="s">
        <v>59</v>
      </c>
      <c r="O3391" t="s">
        <v>47</v>
      </c>
      <c r="P3391" t="s">
        <v>47</v>
      </c>
      <c r="Y3391" t="s">
        <v>12321</v>
      </c>
      <c r="AG3391" t="s">
        <v>48</v>
      </c>
    </row>
    <row r="3392" spans="1:33">
      <c r="A3392" t="s">
        <v>12322</v>
      </c>
      <c r="B3392" t="s">
        <v>12323</v>
      </c>
      <c r="D3392" t="s">
        <v>40</v>
      </c>
      <c r="E3392" t="s">
        <v>41</v>
      </c>
      <c r="J3392" t="s">
        <v>290</v>
      </c>
      <c r="K3392" t="s">
        <v>291</v>
      </c>
      <c r="L3392">
        <v>5</v>
      </c>
      <c r="M3392" t="s">
        <v>12320</v>
      </c>
      <c r="N3392" t="s">
        <v>59</v>
      </c>
      <c r="O3392" t="s">
        <v>47</v>
      </c>
      <c r="P3392" t="s">
        <v>47</v>
      </c>
      <c r="Y3392" t="s">
        <v>12324</v>
      </c>
      <c r="AG3392" t="s">
        <v>48</v>
      </c>
    </row>
    <row r="3393" spans="1:33">
      <c r="A3393" t="s">
        <v>12325</v>
      </c>
      <c r="B3393" t="s">
        <v>12326</v>
      </c>
      <c r="D3393" t="s">
        <v>40</v>
      </c>
      <c r="E3393" t="s">
        <v>41</v>
      </c>
      <c r="J3393" t="s">
        <v>129</v>
      </c>
      <c r="K3393" t="s">
        <v>130</v>
      </c>
      <c r="L3393">
        <v>5</v>
      </c>
      <c r="M3393" t="s">
        <v>12320</v>
      </c>
      <c r="N3393" t="s">
        <v>192</v>
      </c>
      <c r="O3393" t="s">
        <v>47</v>
      </c>
      <c r="P3393" t="s">
        <v>47</v>
      </c>
      <c r="Y3393" t="s">
        <v>12327</v>
      </c>
      <c r="AG3393" t="s">
        <v>48</v>
      </c>
    </row>
    <row r="3394" spans="1:33">
      <c r="A3394" t="s">
        <v>12328</v>
      </c>
      <c r="B3394" t="s">
        <v>12329</v>
      </c>
      <c r="D3394" t="s">
        <v>40</v>
      </c>
      <c r="E3394" t="s">
        <v>41</v>
      </c>
      <c r="J3394" t="s">
        <v>162</v>
      </c>
      <c r="K3394" t="s">
        <v>163</v>
      </c>
      <c r="L3394">
        <v>5</v>
      </c>
      <c r="M3394" t="s">
        <v>12330</v>
      </c>
      <c r="N3394" t="s">
        <v>59</v>
      </c>
      <c r="O3394" t="s">
        <v>47</v>
      </c>
      <c r="P3394" t="s">
        <v>47</v>
      </c>
      <c r="Y3394" t="s">
        <v>12331</v>
      </c>
      <c r="AG3394" t="s">
        <v>48</v>
      </c>
    </row>
    <row r="3395" spans="1:33">
      <c r="A3395" t="s">
        <v>12332</v>
      </c>
      <c r="B3395" t="s">
        <v>12333</v>
      </c>
      <c r="D3395" t="s">
        <v>40</v>
      </c>
      <c r="E3395" t="s">
        <v>41</v>
      </c>
      <c r="J3395" t="s">
        <v>129</v>
      </c>
      <c r="K3395" t="s">
        <v>130</v>
      </c>
      <c r="L3395">
        <v>5</v>
      </c>
      <c r="M3395" t="s">
        <v>12334</v>
      </c>
      <c r="N3395" t="s">
        <v>192</v>
      </c>
      <c r="O3395" t="s">
        <v>47</v>
      </c>
      <c r="P3395" t="s">
        <v>47</v>
      </c>
      <c r="Y3395" t="s">
        <v>12335</v>
      </c>
      <c r="AG3395" t="s">
        <v>48</v>
      </c>
    </row>
    <row r="3396" spans="1:33">
      <c r="A3396" t="s">
        <v>12336</v>
      </c>
      <c r="B3396" t="s">
        <v>12337</v>
      </c>
      <c r="D3396" t="s">
        <v>40</v>
      </c>
      <c r="E3396" t="s">
        <v>41</v>
      </c>
      <c r="J3396" t="s">
        <v>290</v>
      </c>
      <c r="K3396" t="s">
        <v>291</v>
      </c>
      <c r="L3396">
        <v>5</v>
      </c>
      <c r="M3396" t="s">
        <v>12334</v>
      </c>
      <c r="N3396" t="s">
        <v>59</v>
      </c>
      <c r="O3396" t="s">
        <v>47</v>
      </c>
      <c r="P3396" t="s">
        <v>47</v>
      </c>
      <c r="Y3396" t="s">
        <v>12338</v>
      </c>
      <c r="AG3396" t="s">
        <v>48</v>
      </c>
    </row>
    <row r="3397" spans="1:33">
      <c r="A3397" t="s">
        <v>12339</v>
      </c>
      <c r="B3397" t="s">
        <v>12340</v>
      </c>
      <c r="D3397" t="s">
        <v>40</v>
      </c>
      <c r="E3397" t="s">
        <v>41</v>
      </c>
      <c r="H3397" t="s">
        <v>12341</v>
      </c>
      <c r="J3397" t="s">
        <v>114</v>
      </c>
      <c r="K3397" t="s">
        <v>115</v>
      </c>
      <c r="L3397">
        <v>5</v>
      </c>
      <c r="M3397" t="s">
        <v>12334</v>
      </c>
      <c r="N3397" t="s">
        <v>59</v>
      </c>
      <c r="O3397" t="s">
        <v>47</v>
      </c>
      <c r="P3397" t="s">
        <v>47</v>
      </c>
      <c r="Y3397" t="s">
        <v>12341</v>
      </c>
      <c r="AG3397" t="s">
        <v>48</v>
      </c>
    </row>
    <row r="3398" spans="1:33">
      <c r="A3398" t="s">
        <v>12342</v>
      </c>
      <c r="B3398" t="s">
        <v>12343</v>
      </c>
      <c r="D3398" t="s">
        <v>40</v>
      </c>
      <c r="E3398" t="s">
        <v>41</v>
      </c>
      <c r="J3398" t="s">
        <v>270</v>
      </c>
      <c r="K3398" t="s">
        <v>271</v>
      </c>
      <c r="L3398">
        <v>5</v>
      </c>
      <c r="M3398" t="s">
        <v>12344</v>
      </c>
      <c r="N3398" t="s">
        <v>59</v>
      </c>
      <c r="O3398" t="s">
        <v>47</v>
      </c>
      <c r="P3398" t="s">
        <v>47</v>
      </c>
      <c r="Y3398" t="s">
        <v>12345</v>
      </c>
      <c r="AG3398" t="s">
        <v>48</v>
      </c>
    </row>
    <row r="3399" spans="1:33">
      <c r="A3399" t="s">
        <v>117</v>
      </c>
      <c r="B3399" t="s">
        <v>12346</v>
      </c>
      <c r="D3399" t="s">
        <v>40</v>
      </c>
      <c r="E3399" t="s">
        <v>41</v>
      </c>
      <c r="J3399" t="s">
        <v>162</v>
      </c>
      <c r="K3399" t="s">
        <v>163</v>
      </c>
      <c r="L3399">
        <v>5</v>
      </c>
      <c r="M3399" t="s">
        <v>12344</v>
      </c>
      <c r="N3399" t="s">
        <v>59</v>
      </c>
      <c r="O3399" t="s">
        <v>47</v>
      </c>
      <c r="P3399" t="s">
        <v>47</v>
      </c>
      <c r="Y3399" t="s">
        <v>12347</v>
      </c>
      <c r="AG3399" t="s">
        <v>48</v>
      </c>
    </row>
    <row r="3400" spans="1:33">
      <c r="A3400" t="s">
        <v>12348</v>
      </c>
      <c r="B3400" t="s">
        <v>12349</v>
      </c>
      <c r="D3400" t="s">
        <v>40</v>
      </c>
      <c r="E3400" t="s">
        <v>41</v>
      </c>
      <c r="J3400" t="s">
        <v>290</v>
      </c>
      <c r="K3400" t="s">
        <v>291</v>
      </c>
      <c r="L3400">
        <v>5</v>
      </c>
      <c r="M3400" t="s">
        <v>12350</v>
      </c>
      <c r="N3400" t="s">
        <v>59</v>
      </c>
      <c r="O3400" t="s">
        <v>47</v>
      </c>
      <c r="P3400" t="s">
        <v>47</v>
      </c>
      <c r="Y3400" t="s">
        <v>12351</v>
      </c>
      <c r="AG3400" t="s">
        <v>48</v>
      </c>
    </row>
    <row r="3401" spans="1:33">
      <c r="A3401" t="s">
        <v>12352</v>
      </c>
      <c r="B3401" t="s">
        <v>12353</v>
      </c>
      <c r="D3401" t="s">
        <v>40</v>
      </c>
      <c r="E3401" t="s">
        <v>41</v>
      </c>
      <c r="J3401" t="s">
        <v>129</v>
      </c>
      <c r="K3401" t="s">
        <v>130</v>
      </c>
      <c r="L3401">
        <v>5</v>
      </c>
      <c r="M3401" t="s">
        <v>12350</v>
      </c>
      <c r="N3401" t="s">
        <v>192</v>
      </c>
      <c r="O3401" t="s">
        <v>47</v>
      </c>
      <c r="P3401" t="s">
        <v>47</v>
      </c>
      <c r="Y3401" t="s">
        <v>12354</v>
      </c>
      <c r="AG3401" t="s">
        <v>48</v>
      </c>
    </row>
    <row r="3402" spans="1:33">
      <c r="A3402" t="s">
        <v>12355</v>
      </c>
      <c r="B3402" t="s">
        <v>12356</v>
      </c>
      <c r="D3402" t="s">
        <v>40</v>
      </c>
      <c r="E3402" t="s">
        <v>41</v>
      </c>
      <c r="J3402" t="s">
        <v>290</v>
      </c>
      <c r="K3402" t="s">
        <v>291</v>
      </c>
      <c r="L3402">
        <v>5</v>
      </c>
      <c r="M3402" t="s">
        <v>12357</v>
      </c>
      <c r="N3402" t="s">
        <v>59</v>
      </c>
      <c r="O3402" t="s">
        <v>47</v>
      </c>
      <c r="P3402" t="s">
        <v>47</v>
      </c>
      <c r="Y3402" t="s">
        <v>12358</v>
      </c>
      <c r="AG3402" t="s">
        <v>48</v>
      </c>
    </row>
    <row r="3403" spans="1:33">
      <c r="A3403" t="s">
        <v>12359</v>
      </c>
      <c r="B3403" t="s">
        <v>12360</v>
      </c>
      <c r="D3403" t="s">
        <v>40</v>
      </c>
      <c r="E3403" t="s">
        <v>41</v>
      </c>
      <c r="J3403" t="s">
        <v>290</v>
      </c>
      <c r="K3403" t="s">
        <v>291</v>
      </c>
      <c r="L3403">
        <v>5</v>
      </c>
      <c r="M3403" t="s">
        <v>12361</v>
      </c>
      <c r="N3403" t="s">
        <v>59</v>
      </c>
      <c r="O3403" t="s">
        <v>47</v>
      </c>
      <c r="P3403" t="s">
        <v>47</v>
      </c>
      <c r="Y3403" t="s">
        <v>12362</v>
      </c>
      <c r="AG3403" t="s">
        <v>48</v>
      </c>
    </row>
    <row r="3404" spans="1:33">
      <c r="A3404" t="s">
        <v>12363</v>
      </c>
      <c r="B3404" t="s">
        <v>12364</v>
      </c>
      <c r="D3404" t="s">
        <v>40</v>
      </c>
      <c r="E3404" t="s">
        <v>41</v>
      </c>
      <c r="J3404" t="s">
        <v>290</v>
      </c>
      <c r="K3404" t="s">
        <v>291</v>
      </c>
      <c r="L3404">
        <v>5</v>
      </c>
      <c r="M3404" t="s">
        <v>12361</v>
      </c>
      <c r="N3404" t="s">
        <v>59</v>
      </c>
      <c r="O3404" t="s">
        <v>47</v>
      </c>
      <c r="P3404" t="s">
        <v>47</v>
      </c>
      <c r="Y3404" t="s">
        <v>12365</v>
      </c>
      <c r="AG3404" t="s">
        <v>48</v>
      </c>
    </row>
    <row r="3405" spans="1:33">
      <c r="A3405" t="s">
        <v>12366</v>
      </c>
      <c r="B3405" t="s">
        <v>12367</v>
      </c>
      <c r="D3405" t="s">
        <v>40</v>
      </c>
      <c r="E3405" t="s">
        <v>41</v>
      </c>
      <c r="J3405" t="s">
        <v>290</v>
      </c>
      <c r="K3405" t="s">
        <v>291</v>
      </c>
      <c r="L3405">
        <v>5</v>
      </c>
      <c r="M3405" t="s">
        <v>12361</v>
      </c>
      <c r="N3405" t="s">
        <v>59</v>
      </c>
      <c r="O3405" t="s">
        <v>47</v>
      </c>
      <c r="P3405" t="s">
        <v>47</v>
      </c>
      <c r="Y3405" t="s">
        <v>12368</v>
      </c>
      <c r="AG3405" t="s">
        <v>48</v>
      </c>
    </row>
    <row r="3406" spans="1:33">
      <c r="A3406" t="s">
        <v>12369</v>
      </c>
      <c r="B3406" t="s">
        <v>12370</v>
      </c>
      <c r="D3406" t="s">
        <v>40</v>
      </c>
      <c r="E3406" t="s">
        <v>41</v>
      </c>
      <c r="J3406" t="s">
        <v>129</v>
      </c>
      <c r="K3406" t="s">
        <v>130</v>
      </c>
      <c r="L3406">
        <v>5</v>
      </c>
      <c r="M3406" t="s">
        <v>12361</v>
      </c>
      <c r="N3406" t="s">
        <v>192</v>
      </c>
      <c r="O3406" t="s">
        <v>47</v>
      </c>
      <c r="P3406" t="s">
        <v>47</v>
      </c>
      <c r="Y3406" t="s">
        <v>12371</v>
      </c>
      <c r="AG3406" t="s">
        <v>48</v>
      </c>
    </row>
    <row r="3407" spans="1:33">
      <c r="A3407" t="s">
        <v>12372</v>
      </c>
      <c r="B3407" t="s">
        <v>12373</v>
      </c>
      <c r="D3407" t="s">
        <v>40</v>
      </c>
      <c r="E3407" t="s">
        <v>41</v>
      </c>
      <c r="J3407" t="s">
        <v>108</v>
      </c>
      <c r="K3407" t="s">
        <v>109</v>
      </c>
      <c r="L3407">
        <v>5</v>
      </c>
      <c r="M3407" t="s">
        <v>12374</v>
      </c>
      <c r="N3407" t="s">
        <v>59</v>
      </c>
      <c r="O3407" t="s">
        <v>47</v>
      </c>
      <c r="P3407" t="s">
        <v>47</v>
      </c>
      <c r="Y3407" t="s">
        <v>12375</v>
      </c>
      <c r="AG3407" t="s">
        <v>48</v>
      </c>
    </row>
    <row r="3408" spans="1:33">
      <c r="A3408" t="s">
        <v>12376</v>
      </c>
      <c r="B3408" t="s">
        <v>12377</v>
      </c>
      <c r="D3408" t="s">
        <v>40</v>
      </c>
      <c r="E3408" t="s">
        <v>41</v>
      </c>
      <c r="H3408" t="s">
        <v>12378</v>
      </c>
      <c r="J3408" t="s">
        <v>290</v>
      </c>
      <c r="K3408" t="s">
        <v>291</v>
      </c>
      <c r="L3408">
        <v>5</v>
      </c>
      <c r="M3408" t="s">
        <v>12374</v>
      </c>
      <c r="N3408" t="s">
        <v>59</v>
      </c>
      <c r="O3408" t="s">
        <v>47</v>
      </c>
      <c r="P3408" t="s">
        <v>47</v>
      </c>
      <c r="Y3408" t="s">
        <v>12378</v>
      </c>
      <c r="AG3408" t="s">
        <v>48</v>
      </c>
    </row>
    <row r="3409" spans="1:33">
      <c r="A3409" t="s">
        <v>12379</v>
      </c>
      <c r="B3409" t="s">
        <v>12380</v>
      </c>
      <c r="D3409" t="s">
        <v>40</v>
      </c>
      <c r="E3409" t="s">
        <v>41</v>
      </c>
      <c r="J3409" t="s">
        <v>108</v>
      </c>
      <c r="K3409" t="s">
        <v>109</v>
      </c>
      <c r="L3409">
        <v>5</v>
      </c>
      <c r="M3409" t="s">
        <v>12374</v>
      </c>
      <c r="N3409" t="s">
        <v>59</v>
      </c>
      <c r="O3409" t="s">
        <v>47</v>
      </c>
      <c r="P3409" t="s">
        <v>47</v>
      </c>
      <c r="Y3409" t="s">
        <v>12381</v>
      </c>
      <c r="AG3409" t="s">
        <v>48</v>
      </c>
    </row>
    <row r="3410" spans="1:33">
      <c r="A3410" t="s">
        <v>12382</v>
      </c>
      <c r="B3410" t="s">
        <v>12383</v>
      </c>
      <c r="D3410" t="s">
        <v>40</v>
      </c>
      <c r="E3410" t="s">
        <v>41</v>
      </c>
      <c r="J3410" t="s">
        <v>290</v>
      </c>
      <c r="K3410" t="s">
        <v>291</v>
      </c>
      <c r="L3410">
        <v>5</v>
      </c>
      <c r="M3410" t="s">
        <v>12374</v>
      </c>
      <c r="N3410" t="s">
        <v>59</v>
      </c>
      <c r="O3410" t="s">
        <v>47</v>
      </c>
      <c r="P3410" t="s">
        <v>47</v>
      </c>
      <c r="Y3410" t="s">
        <v>12384</v>
      </c>
      <c r="AG3410" t="s">
        <v>48</v>
      </c>
    </row>
    <row r="3411" spans="1:33">
      <c r="A3411" t="s">
        <v>12385</v>
      </c>
      <c r="B3411" t="s">
        <v>12386</v>
      </c>
      <c r="D3411" t="s">
        <v>40</v>
      </c>
      <c r="E3411" t="s">
        <v>41</v>
      </c>
      <c r="J3411" t="s">
        <v>129</v>
      </c>
      <c r="K3411" t="s">
        <v>130</v>
      </c>
      <c r="L3411">
        <v>5</v>
      </c>
      <c r="M3411" t="s">
        <v>12387</v>
      </c>
      <c r="N3411" t="s">
        <v>218</v>
      </c>
      <c r="O3411" t="s">
        <v>47</v>
      </c>
      <c r="P3411" t="s">
        <v>47</v>
      </c>
      <c r="Y3411" t="s">
        <v>12388</v>
      </c>
      <c r="AG3411" t="s">
        <v>48</v>
      </c>
    </row>
    <row r="3412" spans="1:33">
      <c r="A3412" t="s">
        <v>12389</v>
      </c>
      <c r="B3412" t="s">
        <v>12390</v>
      </c>
      <c r="D3412" t="s">
        <v>40</v>
      </c>
      <c r="E3412" t="s">
        <v>41</v>
      </c>
      <c r="J3412" t="s">
        <v>162</v>
      </c>
      <c r="K3412" t="s">
        <v>163</v>
      </c>
      <c r="L3412">
        <v>5</v>
      </c>
      <c r="M3412" t="s">
        <v>12391</v>
      </c>
      <c r="N3412" t="s">
        <v>59</v>
      </c>
      <c r="O3412" t="s">
        <v>47</v>
      </c>
      <c r="P3412" t="s">
        <v>47</v>
      </c>
      <c r="Y3412" t="s">
        <v>12392</v>
      </c>
      <c r="AG3412" t="s">
        <v>48</v>
      </c>
    </row>
    <row r="3413" spans="1:33">
      <c r="A3413" t="s">
        <v>12393</v>
      </c>
      <c r="B3413" t="s">
        <v>12394</v>
      </c>
      <c r="D3413" t="s">
        <v>40</v>
      </c>
      <c r="E3413" t="s">
        <v>41</v>
      </c>
      <c r="J3413" t="s">
        <v>162</v>
      </c>
      <c r="K3413" t="s">
        <v>163</v>
      </c>
      <c r="L3413">
        <v>5</v>
      </c>
      <c r="M3413" t="s">
        <v>12391</v>
      </c>
      <c r="N3413" t="s">
        <v>59</v>
      </c>
      <c r="O3413" t="s">
        <v>47</v>
      </c>
      <c r="P3413" t="s">
        <v>47</v>
      </c>
      <c r="Y3413" t="s">
        <v>12395</v>
      </c>
      <c r="AG3413" t="s">
        <v>48</v>
      </c>
    </row>
    <row r="3414" spans="1:33">
      <c r="A3414" t="s">
        <v>12396</v>
      </c>
      <c r="B3414" t="s">
        <v>12397</v>
      </c>
      <c r="D3414" t="s">
        <v>40</v>
      </c>
      <c r="E3414" t="s">
        <v>41</v>
      </c>
      <c r="J3414" t="s">
        <v>162</v>
      </c>
      <c r="K3414" t="s">
        <v>163</v>
      </c>
      <c r="L3414">
        <v>5</v>
      </c>
      <c r="M3414" t="s">
        <v>12391</v>
      </c>
      <c r="N3414" t="s">
        <v>59</v>
      </c>
      <c r="O3414" t="s">
        <v>47</v>
      </c>
      <c r="P3414" t="s">
        <v>47</v>
      </c>
      <c r="Y3414" t="s">
        <v>12398</v>
      </c>
      <c r="AG3414" t="s">
        <v>48</v>
      </c>
    </row>
    <row r="3415" spans="1:33">
      <c r="A3415" t="s">
        <v>12399</v>
      </c>
      <c r="B3415" t="s">
        <v>12400</v>
      </c>
      <c r="D3415" t="s">
        <v>40</v>
      </c>
      <c r="E3415" t="s">
        <v>41</v>
      </c>
      <c r="J3415" t="s">
        <v>162</v>
      </c>
      <c r="K3415" t="s">
        <v>163</v>
      </c>
      <c r="L3415">
        <v>5</v>
      </c>
      <c r="M3415" t="s">
        <v>12401</v>
      </c>
      <c r="N3415" t="s">
        <v>59</v>
      </c>
      <c r="O3415" t="s">
        <v>47</v>
      </c>
      <c r="P3415" t="s">
        <v>47</v>
      </c>
      <c r="Y3415" t="s">
        <v>12402</v>
      </c>
      <c r="AG3415" t="s">
        <v>48</v>
      </c>
    </row>
    <row r="3416" spans="1:33">
      <c r="A3416" t="s">
        <v>12403</v>
      </c>
      <c r="B3416" t="s">
        <v>12404</v>
      </c>
      <c r="D3416" t="s">
        <v>40</v>
      </c>
      <c r="E3416" t="s">
        <v>41</v>
      </c>
      <c r="J3416" t="s">
        <v>270</v>
      </c>
      <c r="K3416" t="s">
        <v>271</v>
      </c>
      <c r="L3416">
        <v>5</v>
      </c>
      <c r="M3416" t="s">
        <v>12405</v>
      </c>
      <c r="N3416" t="s">
        <v>59</v>
      </c>
      <c r="O3416" t="s">
        <v>47</v>
      </c>
      <c r="P3416" t="s">
        <v>47</v>
      </c>
      <c r="Y3416" t="s">
        <v>12406</v>
      </c>
      <c r="AG3416" t="s">
        <v>48</v>
      </c>
    </row>
    <row r="3417" spans="1:33">
      <c r="A3417" t="s">
        <v>12407</v>
      </c>
      <c r="B3417" t="s">
        <v>12408</v>
      </c>
      <c r="D3417" t="s">
        <v>40</v>
      </c>
      <c r="E3417" t="s">
        <v>41</v>
      </c>
      <c r="J3417" t="s">
        <v>270</v>
      </c>
      <c r="K3417" t="s">
        <v>271</v>
      </c>
      <c r="L3417">
        <v>5</v>
      </c>
      <c r="M3417" t="s">
        <v>12405</v>
      </c>
      <c r="N3417" t="s">
        <v>59</v>
      </c>
      <c r="O3417" t="s">
        <v>47</v>
      </c>
      <c r="P3417" t="s">
        <v>47</v>
      </c>
      <c r="Y3417" t="s">
        <v>12409</v>
      </c>
      <c r="AG3417" t="s">
        <v>48</v>
      </c>
    </row>
    <row r="3418" spans="1:33">
      <c r="A3418" t="s">
        <v>12410</v>
      </c>
      <c r="B3418" t="s">
        <v>12411</v>
      </c>
      <c r="D3418" t="s">
        <v>40</v>
      </c>
      <c r="E3418" t="s">
        <v>41</v>
      </c>
      <c r="J3418" t="s">
        <v>162</v>
      </c>
      <c r="K3418" t="s">
        <v>163</v>
      </c>
      <c r="L3418">
        <v>5</v>
      </c>
      <c r="M3418" t="s">
        <v>12405</v>
      </c>
      <c r="N3418" t="s">
        <v>59</v>
      </c>
      <c r="O3418" t="s">
        <v>47</v>
      </c>
      <c r="P3418" t="s">
        <v>47</v>
      </c>
      <c r="Y3418" t="s">
        <v>12412</v>
      </c>
      <c r="AG3418" t="s">
        <v>48</v>
      </c>
    </row>
    <row r="3419" spans="1:33">
      <c r="A3419" t="s">
        <v>12413</v>
      </c>
      <c r="B3419" t="s">
        <v>12414</v>
      </c>
      <c r="D3419" t="s">
        <v>40</v>
      </c>
      <c r="E3419" t="s">
        <v>41</v>
      </c>
      <c r="J3419" t="s">
        <v>290</v>
      </c>
      <c r="K3419" t="s">
        <v>291</v>
      </c>
      <c r="L3419">
        <v>5</v>
      </c>
      <c r="M3419" t="s">
        <v>12405</v>
      </c>
      <c r="N3419" t="s">
        <v>59</v>
      </c>
      <c r="O3419" t="s">
        <v>47</v>
      </c>
      <c r="P3419" t="s">
        <v>47</v>
      </c>
      <c r="Y3419" t="s">
        <v>12415</v>
      </c>
      <c r="AG3419" t="s">
        <v>48</v>
      </c>
    </row>
    <row r="3420" spans="1:33">
      <c r="A3420" t="s">
        <v>12416</v>
      </c>
      <c r="B3420" t="s">
        <v>12417</v>
      </c>
      <c r="D3420" t="s">
        <v>40</v>
      </c>
      <c r="E3420" t="s">
        <v>41</v>
      </c>
      <c r="J3420" t="s">
        <v>129</v>
      </c>
      <c r="K3420" t="s">
        <v>130</v>
      </c>
      <c r="L3420">
        <v>5</v>
      </c>
      <c r="M3420" t="s">
        <v>12418</v>
      </c>
      <c r="N3420" t="s">
        <v>218</v>
      </c>
      <c r="O3420" t="s">
        <v>47</v>
      </c>
      <c r="P3420" t="s">
        <v>47</v>
      </c>
      <c r="Y3420" t="s">
        <v>12419</v>
      </c>
      <c r="AG3420" t="s">
        <v>48</v>
      </c>
    </row>
    <row r="3421" spans="1:33">
      <c r="A3421" t="s">
        <v>12420</v>
      </c>
      <c r="B3421" t="s">
        <v>12421</v>
      </c>
      <c r="D3421" t="s">
        <v>40</v>
      </c>
      <c r="E3421" t="s">
        <v>41</v>
      </c>
      <c r="J3421" t="s">
        <v>114</v>
      </c>
      <c r="K3421" t="s">
        <v>115</v>
      </c>
      <c r="L3421">
        <v>5</v>
      </c>
      <c r="M3421" t="s">
        <v>12422</v>
      </c>
      <c r="N3421" t="s">
        <v>59</v>
      </c>
      <c r="O3421" t="s">
        <v>47</v>
      </c>
      <c r="P3421" t="s">
        <v>47</v>
      </c>
      <c r="Y3421" t="s">
        <v>12423</v>
      </c>
      <c r="AG3421" t="s">
        <v>48</v>
      </c>
    </row>
    <row r="3422" spans="1:33">
      <c r="A3422" t="s">
        <v>12424</v>
      </c>
      <c r="B3422" t="s">
        <v>12425</v>
      </c>
      <c r="D3422" t="s">
        <v>40</v>
      </c>
      <c r="E3422" t="s">
        <v>41</v>
      </c>
      <c r="J3422" t="s">
        <v>129</v>
      </c>
      <c r="K3422" t="s">
        <v>130</v>
      </c>
      <c r="L3422">
        <v>5</v>
      </c>
      <c r="M3422" t="s">
        <v>12422</v>
      </c>
      <c r="N3422" t="s">
        <v>192</v>
      </c>
      <c r="O3422" t="s">
        <v>47</v>
      </c>
      <c r="P3422" t="s">
        <v>47</v>
      </c>
      <c r="Y3422" t="s">
        <v>12426</v>
      </c>
      <c r="AG3422" t="s">
        <v>48</v>
      </c>
    </row>
    <row r="3423" spans="1:33">
      <c r="A3423" t="s">
        <v>12427</v>
      </c>
      <c r="B3423" t="s">
        <v>12428</v>
      </c>
      <c r="D3423" t="s">
        <v>40</v>
      </c>
      <c r="E3423" t="s">
        <v>41</v>
      </c>
      <c r="J3423" t="s">
        <v>290</v>
      </c>
      <c r="K3423" t="s">
        <v>291</v>
      </c>
      <c r="L3423">
        <v>5</v>
      </c>
      <c r="M3423" t="s">
        <v>12429</v>
      </c>
      <c r="N3423" t="s">
        <v>59</v>
      </c>
      <c r="O3423" t="s">
        <v>47</v>
      </c>
      <c r="P3423" t="s">
        <v>47</v>
      </c>
      <c r="Y3423" t="s">
        <v>12430</v>
      </c>
      <c r="AG3423" t="s">
        <v>48</v>
      </c>
    </row>
    <row r="3424" spans="1:33">
      <c r="A3424" t="s">
        <v>12431</v>
      </c>
      <c r="B3424" t="s">
        <v>12432</v>
      </c>
      <c r="D3424" t="s">
        <v>40</v>
      </c>
      <c r="E3424" t="s">
        <v>41</v>
      </c>
      <c r="H3424" t="s">
        <v>12433</v>
      </c>
      <c r="J3424" t="s">
        <v>129</v>
      </c>
      <c r="K3424" t="s">
        <v>130</v>
      </c>
      <c r="L3424">
        <v>5</v>
      </c>
      <c r="M3424" t="s">
        <v>12434</v>
      </c>
      <c r="N3424" t="s">
        <v>218</v>
      </c>
      <c r="O3424" t="s">
        <v>47</v>
      </c>
      <c r="P3424" t="s">
        <v>47</v>
      </c>
      <c r="Y3424" t="s">
        <v>12433</v>
      </c>
      <c r="AG3424" t="s">
        <v>48</v>
      </c>
    </row>
    <row r="3425" spans="1:33">
      <c r="A3425" t="s">
        <v>12435</v>
      </c>
      <c r="B3425" t="s">
        <v>12436</v>
      </c>
      <c r="D3425" t="s">
        <v>40</v>
      </c>
      <c r="E3425" t="s">
        <v>41</v>
      </c>
      <c r="J3425" t="s">
        <v>108</v>
      </c>
      <c r="K3425" t="s">
        <v>109</v>
      </c>
      <c r="L3425">
        <v>5</v>
      </c>
      <c r="M3425" t="s">
        <v>12437</v>
      </c>
      <c r="N3425" t="s">
        <v>59</v>
      </c>
      <c r="O3425" t="s">
        <v>47</v>
      </c>
      <c r="P3425" t="s">
        <v>47</v>
      </c>
      <c r="Y3425" t="s">
        <v>12438</v>
      </c>
      <c r="AG3425" t="s">
        <v>48</v>
      </c>
    </row>
    <row r="3426" spans="1:33">
      <c r="A3426" t="s">
        <v>12439</v>
      </c>
      <c r="B3426" t="s">
        <v>12440</v>
      </c>
      <c r="D3426" t="s">
        <v>40</v>
      </c>
      <c r="E3426" t="s">
        <v>41</v>
      </c>
      <c r="J3426" t="s">
        <v>108</v>
      </c>
      <c r="K3426" t="s">
        <v>109</v>
      </c>
      <c r="L3426">
        <v>5</v>
      </c>
      <c r="M3426" t="s">
        <v>12441</v>
      </c>
      <c r="N3426" t="s">
        <v>59</v>
      </c>
      <c r="O3426" t="s">
        <v>47</v>
      </c>
      <c r="P3426" t="s">
        <v>47</v>
      </c>
      <c r="Y3426" t="s">
        <v>12442</v>
      </c>
      <c r="AG3426" t="s">
        <v>48</v>
      </c>
    </row>
    <row r="3427" spans="1:33">
      <c r="A3427" t="s">
        <v>12443</v>
      </c>
      <c r="B3427" t="s">
        <v>12444</v>
      </c>
      <c r="D3427" t="s">
        <v>40</v>
      </c>
      <c r="E3427" t="s">
        <v>41</v>
      </c>
      <c r="J3427" t="s">
        <v>162</v>
      </c>
      <c r="K3427" t="s">
        <v>163</v>
      </c>
      <c r="L3427">
        <v>5</v>
      </c>
      <c r="M3427" t="s">
        <v>12445</v>
      </c>
      <c r="N3427" t="s">
        <v>59</v>
      </c>
      <c r="O3427" t="s">
        <v>47</v>
      </c>
      <c r="P3427" t="s">
        <v>47</v>
      </c>
      <c r="Y3427" t="s">
        <v>12446</v>
      </c>
      <c r="AG3427" t="s">
        <v>48</v>
      </c>
    </row>
    <row r="3428" spans="1:33">
      <c r="A3428" t="s">
        <v>12447</v>
      </c>
      <c r="B3428" t="s">
        <v>12448</v>
      </c>
      <c r="D3428" t="s">
        <v>40</v>
      </c>
      <c r="E3428" t="s">
        <v>41</v>
      </c>
      <c r="J3428" t="s">
        <v>290</v>
      </c>
      <c r="K3428" t="s">
        <v>291</v>
      </c>
      <c r="L3428">
        <v>5</v>
      </c>
      <c r="M3428" t="s">
        <v>12445</v>
      </c>
      <c r="N3428" t="s">
        <v>59</v>
      </c>
      <c r="O3428" t="s">
        <v>47</v>
      </c>
      <c r="P3428" t="s">
        <v>47</v>
      </c>
      <c r="Y3428" t="s">
        <v>12449</v>
      </c>
      <c r="AG3428" t="s">
        <v>48</v>
      </c>
    </row>
    <row r="3429" spans="1:33">
      <c r="A3429" t="s">
        <v>12450</v>
      </c>
      <c r="B3429" t="s">
        <v>12451</v>
      </c>
      <c r="D3429" t="s">
        <v>40</v>
      </c>
      <c r="E3429" t="s">
        <v>41</v>
      </c>
      <c r="J3429" t="s">
        <v>108</v>
      </c>
      <c r="K3429" t="s">
        <v>109</v>
      </c>
      <c r="L3429">
        <v>5</v>
      </c>
      <c r="M3429" t="s">
        <v>12445</v>
      </c>
      <c r="N3429" t="s">
        <v>59</v>
      </c>
      <c r="O3429" t="s">
        <v>47</v>
      </c>
      <c r="P3429" t="s">
        <v>47</v>
      </c>
      <c r="Y3429" t="s">
        <v>12452</v>
      </c>
      <c r="AG3429" t="s">
        <v>48</v>
      </c>
    </row>
    <row r="3430" spans="1:33">
      <c r="A3430" t="s">
        <v>12453</v>
      </c>
      <c r="B3430" t="s">
        <v>12454</v>
      </c>
      <c r="D3430" t="s">
        <v>40</v>
      </c>
      <c r="E3430" t="s">
        <v>41</v>
      </c>
      <c r="J3430" t="s">
        <v>162</v>
      </c>
      <c r="K3430" t="s">
        <v>163</v>
      </c>
      <c r="L3430">
        <v>5</v>
      </c>
      <c r="M3430" t="s">
        <v>12455</v>
      </c>
      <c r="N3430" t="s">
        <v>59</v>
      </c>
      <c r="O3430" t="s">
        <v>47</v>
      </c>
      <c r="P3430" t="s">
        <v>47</v>
      </c>
      <c r="Y3430" t="s">
        <v>12456</v>
      </c>
      <c r="AG3430" t="s">
        <v>48</v>
      </c>
    </row>
    <row r="3431" spans="1:33">
      <c r="A3431" t="s">
        <v>12457</v>
      </c>
      <c r="B3431" t="s">
        <v>12458</v>
      </c>
      <c r="D3431" t="s">
        <v>40</v>
      </c>
      <c r="E3431" t="s">
        <v>41</v>
      </c>
      <c r="J3431" t="s">
        <v>162</v>
      </c>
      <c r="K3431" t="s">
        <v>163</v>
      </c>
      <c r="L3431">
        <v>5</v>
      </c>
      <c r="M3431" t="s">
        <v>12459</v>
      </c>
      <c r="N3431" t="s">
        <v>59</v>
      </c>
      <c r="O3431" t="s">
        <v>47</v>
      </c>
      <c r="P3431" t="s">
        <v>47</v>
      </c>
      <c r="Y3431" t="s">
        <v>12460</v>
      </c>
      <c r="AG3431" t="s">
        <v>48</v>
      </c>
    </row>
    <row r="3432" spans="1:33">
      <c r="A3432" t="s">
        <v>12461</v>
      </c>
      <c r="B3432" t="s">
        <v>12462</v>
      </c>
      <c r="D3432" t="s">
        <v>40</v>
      </c>
      <c r="E3432" t="s">
        <v>41</v>
      </c>
      <c r="J3432" t="s">
        <v>290</v>
      </c>
      <c r="K3432" t="s">
        <v>291</v>
      </c>
      <c r="L3432">
        <v>5</v>
      </c>
      <c r="M3432" t="s">
        <v>12463</v>
      </c>
      <c r="N3432" t="s">
        <v>59</v>
      </c>
      <c r="O3432" t="s">
        <v>47</v>
      </c>
      <c r="P3432" t="s">
        <v>47</v>
      </c>
      <c r="Y3432" t="s">
        <v>12464</v>
      </c>
      <c r="AG3432" t="s">
        <v>48</v>
      </c>
    </row>
    <row r="3433" spans="1:33">
      <c r="A3433" t="s">
        <v>12465</v>
      </c>
      <c r="B3433" t="s">
        <v>12466</v>
      </c>
      <c r="D3433" t="s">
        <v>40</v>
      </c>
      <c r="E3433" t="s">
        <v>41</v>
      </c>
      <c r="J3433" t="s">
        <v>290</v>
      </c>
      <c r="K3433" t="s">
        <v>291</v>
      </c>
      <c r="L3433">
        <v>5</v>
      </c>
      <c r="M3433" t="s">
        <v>12467</v>
      </c>
      <c r="N3433" t="s">
        <v>59</v>
      </c>
      <c r="O3433" t="s">
        <v>47</v>
      </c>
      <c r="P3433" t="s">
        <v>47</v>
      </c>
      <c r="Y3433" t="s">
        <v>12468</v>
      </c>
      <c r="AG3433" t="s">
        <v>48</v>
      </c>
    </row>
    <row r="3434" spans="1:33">
      <c r="A3434" t="s">
        <v>12469</v>
      </c>
      <c r="B3434" t="s">
        <v>12470</v>
      </c>
      <c r="D3434" t="s">
        <v>40</v>
      </c>
      <c r="E3434" t="s">
        <v>41</v>
      </c>
      <c r="J3434" t="s">
        <v>290</v>
      </c>
      <c r="K3434" t="s">
        <v>291</v>
      </c>
      <c r="L3434">
        <v>5</v>
      </c>
      <c r="M3434" t="s">
        <v>12471</v>
      </c>
      <c r="N3434" t="s">
        <v>59</v>
      </c>
      <c r="O3434" t="s">
        <v>47</v>
      </c>
      <c r="P3434" t="s">
        <v>47</v>
      </c>
      <c r="Y3434" t="s">
        <v>12472</v>
      </c>
      <c r="AG3434" t="s">
        <v>48</v>
      </c>
    </row>
    <row r="3435" spans="1:33">
      <c r="A3435" t="s">
        <v>12473</v>
      </c>
      <c r="B3435" t="s">
        <v>12474</v>
      </c>
      <c r="D3435" t="s">
        <v>40</v>
      </c>
      <c r="E3435" t="s">
        <v>41</v>
      </c>
      <c r="J3435" t="s">
        <v>290</v>
      </c>
      <c r="K3435" t="s">
        <v>291</v>
      </c>
      <c r="L3435">
        <v>5</v>
      </c>
      <c r="M3435" t="s">
        <v>12471</v>
      </c>
      <c r="N3435" t="s">
        <v>59</v>
      </c>
      <c r="O3435" t="s">
        <v>47</v>
      </c>
      <c r="P3435" t="s">
        <v>47</v>
      </c>
      <c r="Y3435" t="s">
        <v>12475</v>
      </c>
      <c r="AG3435" t="s">
        <v>48</v>
      </c>
    </row>
    <row r="3436" spans="1:33">
      <c r="A3436" t="s">
        <v>12476</v>
      </c>
      <c r="B3436" t="s">
        <v>12477</v>
      </c>
      <c r="D3436" t="s">
        <v>40</v>
      </c>
      <c r="E3436" t="s">
        <v>41</v>
      </c>
      <c r="J3436" t="s">
        <v>4737</v>
      </c>
      <c r="K3436" t="s">
        <v>4738</v>
      </c>
      <c r="L3436">
        <v>5</v>
      </c>
      <c r="M3436" t="s">
        <v>12471</v>
      </c>
      <c r="N3436" t="s">
        <v>192</v>
      </c>
      <c r="O3436" t="s">
        <v>47</v>
      </c>
      <c r="P3436" t="s">
        <v>47</v>
      </c>
      <c r="Y3436" t="s">
        <v>12478</v>
      </c>
      <c r="AG3436" t="s">
        <v>48</v>
      </c>
    </row>
    <row r="3437" spans="1:33">
      <c r="A3437" t="s">
        <v>12479</v>
      </c>
      <c r="B3437" t="s">
        <v>12480</v>
      </c>
      <c r="D3437" t="s">
        <v>40</v>
      </c>
      <c r="E3437" t="s">
        <v>41</v>
      </c>
      <c r="J3437" t="s">
        <v>114</v>
      </c>
      <c r="K3437" t="s">
        <v>115</v>
      </c>
      <c r="L3437">
        <v>5</v>
      </c>
      <c r="M3437" t="s">
        <v>12481</v>
      </c>
      <c r="N3437" t="s">
        <v>59</v>
      </c>
      <c r="O3437" t="s">
        <v>47</v>
      </c>
      <c r="P3437" t="s">
        <v>47</v>
      </c>
      <c r="Y3437" t="s">
        <v>12482</v>
      </c>
      <c r="AG3437" t="s">
        <v>48</v>
      </c>
    </row>
    <row r="3438" spans="1:33">
      <c r="A3438" t="s">
        <v>12483</v>
      </c>
      <c r="B3438" t="s">
        <v>12484</v>
      </c>
      <c r="D3438" t="s">
        <v>40</v>
      </c>
      <c r="E3438" t="s">
        <v>41</v>
      </c>
      <c r="J3438" t="s">
        <v>43</v>
      </c>
      <c r="K3438" t="s">
        <v>44</v>
      </c>
      <c r="L3438">
        <v>5</v>
      </c>
      <c r="M3438" t="s">
        <v>12481</v>
      </c>
      <c r="N3438" t="s">
        <v>192</v>
      </c>
      <c r="O3438" t="s">
        <v>47</v>
      </c>
      <c r="P3438" t="s">
        <v>47</v>
      </c>
      <c r="Y3438" t="s">
        <v>12485</v>
      </c>
      <c r="AG3438" t="s">
        <v>48</v>
      </c>
    </row>
    <row r="3439" spans="1:33">
      <c r="A3439" t="s">
        <v>12486</v>
      </c>
      <c r="B3439" t="s">
        <v>12487</v>
      </c>
      <c r="D3439" t="s">
        <v>40</v>
      </c>
      <c r="E3439" t="s">
        <v>41</v>
      </c>
      <c r="J3439" t="s">
        <v>290</v>
      </c>
      <c r="K3439" t="s">
        <v>291</v>
      </c>
      <c r="L3439">
        <v>5</v>
      </c>
      <c r="M3439" t="s">
        <v>12481</v>
      </c>
      <c r="N3439" t="s">
        <v>59</v>
      </c>
      <c r="O3439" t="s">
        <v>47</v>
      </c>
      <c r="P3439" t="s">
        <v>47</v>
      </c>
      <c r="Y3439" t="s">
        <v>12488</v>
      </c>
      <c r="AG3439" t="s">
        <v>48</v>
      </c>
    </row>
    <row r="3440" spans="1:33">
      <c r="A3440" t="s">
        <v>12489</v>
      </c>
      <c r="B3440" t="s">
        <v>12490</v>
      </c>
      <c r="D3440" t="s">
        <v>40</v>
      </c>
      <c r="E3440" t="s">
        <v>41</v>
      </c>
      <c r="J3440" t="s">
        <v>290</v>
      </c>
      <c r="K3440" t="s">
        <v>291</v>
      </c>
      <c r="L3440">
        <v>5</v>
      </c>
      <c r="M3440" t="s">
        <v>12481</v>
      </c>
      <c r="N3440" t="s">
        <v>59</v>
      </c>
      <c r="O3440" t="s">
        <v>47</v>
      </c>
      <c r="P3440" t="s">
        <v>47</v>
      </c>
      <c r="Y3440" t="s">
        <v>12491</v>
      </c>
      <c r="AG3440" t="s">
        <v>48</v>
      </c>
    </row>
    <row r="3441" spans="1:33">
      <c r="A3441" t="s">
        <v>12492</v>
      </c>
      <c r="B3441" t="s">
        <v>12493</v>
      </c>
      <c r="D3441" t="s">
        <v>40</v>
      </c>
      <c r="E3441" t="s">
        <v>41</v>
      </c>
      <c r="J3441" t="s">
        <v>108</v>
      </c>
      <c r="K3441" t="s">
        <v>109</v>
      </c>
      <c r="L3441">
        <v>5</v>
      </c>
      <c r="M3441" t="s">
        <v>12494</v>
      </c>
      <c r="N3441" t="s">
        <v>59</v>
      </c>
      <c r="O3441" t="s">
        <v>47</v>
      </c>
      <c r="P3441" t="s">
        <v>47</v>
      </c>
      <c r="Y3441" t="s">
        <v>12495</v>
      </c>
      <c r="AG3441" t="s">
        <v>48</v>
      </c>
    </row>
    <row r="3442" spans="1:33">
      <c r="A3442" t="s">
        <v>12496</v>
      </c>
      <c r="B3442" t="s">
        <v>12497</v>
      </c>
      <c r="D3442" t="s">
        <v>40</v>
      </c>
      <c r="E3442" t="s">
        <v>41</v>
      </c>
      <c r="J3442" t="s">
        <v>108</v>
      </c>
      <c r="K3442" t="s">
        <v>109</v>
      </c>
      <c r="L3442">
        <v>5</v>
      </c>
      <c r="M3442" t="s">
        <v>12498</v>
      </c>
      <c r="N3442" t="s">
        <v>59</v>
      </c>
      <c r="O3442" t="s">
        <v>47</v>
      </c>
      <c r="P3442" t="s">
        <v>47</v>
      </c>
      <c r="Y3442" t="s">
        <v>12499</v>
      </c>
      <c r="AG3442" t="s">
        <v>48</v>
      </c>
    </row>
    <row r="3443" spans="1:33">
      <c r="A3443" t="s">
        <v>12500</v>
      </c>
      <c r="B3443" t="s">
        <v>12501</v>
      </c>
      <c r="D3443" t="s">
        <v>40</v>
      </c>
      <c r="E3443" t="s">
        <v>41</v>
      </c>
      <c r="J3443" t="s">
        <v>290</v>
      </c>
      <c r="K3443" t="s">
        <v>291</v>
      </c>
      <c r="L3443">
        <v>5</v>
      </c>
      <c r="M3443" t="s">
        <v>12498</v>
      </c>
      <c r="N3443" t="s">
        <v>59</v>
      </c>
      <c r="O3443" t="s">
        <v>47</v>
      </c>
      <c r="P3443" t="s">
        <v>47</v>
      </c>
      <c r="Y3443" t="s">
        <v>12502</v>
      </c>
      <c r="AG3443" t="s">
        <v>48</v>
      </c>
    </row>
    <row r="3444" spans="1:33">
      <c r="A3444" t="s">
        <v>12503</v>
      </c>
      <c r="B3444" t="s">
        <v>12504</v>
      </c>
      <c r="D3444" t="s">
        <v>40</v>
      </c>
      <c r="E3444" t="s">
        <v>41</v>
      </c>
      <c r="J3444" t="s">
        <v>270</v>
      </c>
      <c r="K3444" t="s">
        <v>271</v>
      </c>
      <c r="L3444">
        <v>5</v>
      </c>
      <c r="M3444" t="s">
        <v>12505</v>
      </c>
      <c r="N3444" t="s">
        <v>59</v>
      </c>
      <c r="O3444" t="s">
        <v>47</v>
      </c>
      <c r="P3444" t="s">
        <v>47</v>
      </c>
      <c r="Y3444" t="s">
        <v>12506</v>
      </c>
      <c r="AG3444" t="s">
        <v>48</v>
      </c>
    </row>
    <row r="3445" spans="1:33">
      <c r="A3445" t="s">
        <v>12507</v>
      </c>
      <c r="B3445" t="s">
        <v>12508</v>
      </c>
      <c r="D3445" t="s">
        <v>40</v>
      </c>
      <c r="E3445" t="s">
        <v>41</v>
      </c>
      <c r="J3445" t="s">
        <v>108</v>
      </c>
      <c r="K3445" t="s">
        <v>109</v>
      </c>
      <c r="L3445">
        <v>5</v>
      </c>
      <c r="M3445" t="s">
        <v>12509</v>
      </c>
      <c r="N3445" t="s">
        <v>59</v>
      </c>
      <c r="O3445" t="s">
        <v>47</v>
      </c>
      <c r="P3445" t="s">
        <v>47</v>
      </c>
      <c r="Y3445" t="s">
        <v>12510</v>
      </c>
      <c r="AG3445" t="s">
        <v>48</v>
      </c>
    </row>
    <row r="3446" spans="1:33">
      <c r="A3446" t="s">
        <v>12511</v>
      </c>
      <c r="B3446" t="s">
        <v>12512</v>
      </c>
      <c r="D3446" t="s">
        <v>40</v>
      </c>
      <c r="E3446" t="s">
        <v>41</v>
      </c>
      <c r="H3446" t="s">
        <v>12513</v>
      </c>
      <c r="J3446" t="s">
        <v>129</v>
      </c>
      <c r="K3446" t="s">
        <v>130</v>
      </c>
      <c r="L3446">
        <v>5</v>
      </c>
      <c r="M3446" t="s">
        <v>12514</v>
      </c>
      <c r="N3446" t="s">
        <v>192</v>
      </c>
      <c r="O3446" t="s">
        <v>47</v>
      </c>
      <c r="P3446" t="s">
        <v>47</v>
      </c>
      <c r="Y3446" t="s">
        <v>12513</v>
      </c>
      <c r="AG3446" t="s">
        <v>48</v>
      </c>
    </row>
    <row r="3447" spans="1:33">
      <c r="A3447" t="s">
        <v>12515</v>
      </c>
      <c r="B3447" t="s">
        <v>12516</v>
      </c>
      <c r="D3447" t="s">
        <v>40</v>
      </c>
      <c r="E3447" t="s">
        <v>41</v>
      </c>
      <c r="J3447" t="s">
        <v>290</v>
      </c>
      <c r="K3447" t="s">
        <v>291</v>
      </c>
      <c r="L3447">
        <v>5</v>
      </c>
      <c r="M3447" t="s">
        <v>12514</v>
      </c>
      <c r="N3447" t="s">
        <v>59</v>
      </c>
      <c r="O3447" t="s">
        <v>47</v>
      </c>
      <c r="P3447" t="s">
        <v>47</v>
      </c>
      <c r="Y3447" t="s">
        <v>12517</v>
      </c>
      <c r="AG3447" t="s">
        <v>48</v>
      </c>
    </row>
    <row r="3448" spans="1:33">
      <c r="A3448" t="s">
        <v>12518</v>
      </c>
      <c r="B3448" t="s">
        <v>12519</v>
      </c>
      <c r="D3448" t="s">
        <v>40</v>
      </c>
      <c r="E3448" t="s">
        <v>41</v>
      </c>
      <c r="J3448" t="s">
        <v>114</v>
      </c>
      <c r="K3448" t="s">
        <v>115</v>
      </c>
      <c r="L3448">
        <v>5</v>
      </c>
      <c r="M3448" t="s">
        <v>12514</v>
      </c>
      <c r="N3448" t="s">
        <v>59</v>
      </c>
      <c r="O3448" t="s">
        <v>47</v>
      </c>
      <c r="P3448" t="s">
        <v>47</v>
      </c>
      <c r="Y3448" t="s">
        <v>12520</v>
      </c>
      <c r="AG3448" t="s">
        <v>48</v>
      </c>
    </row>
    <row r="3449" spans="1:33">
      <c r="A3449" t="s">
        <v>12521</v>
      </c>
      <c r="B3449" t="s">
        <v>12522</v>
      </c>
      <c r="D3449" t="s">
        <v>40</v>
      </c>
      <c r="E3449" t="s">
        <v>41</v>
      </c>
      <c r="H3449" t="s">
        <v>12523</v>
      </c>
      <c r="J3449" t="s">
        <v>108</v>
      </c>
      <c r="K3449" t="s">
        <v>109</v>
      </c>
      <c r="L3449">
        <v>5</v>
      </c>
      <c r="M3449" t="s">
        <v>12514</v>
      </c>
      <c r="N3449" t="s">
        <v>59</v>
      </c>
      <c r="O3449" t="s">
        <v>47</v>
      </c>
      <c r="P3449" t="s">
        <v>47</v>
      </c>
      <c r="Y3449" t="s">
        <v>12523</v>
      </c>
      <c r="AG3449" t="s">
        <v>48</v>
      </c>
    </row>
    <row r="3450" spans="1:33">
      <c r="A3450" t="s">
        <v>12524</v>
      </c>
      <c r="B3450" t="s">
        <v>12525</v>
      </c>
      <c r="D3450" t="s">
        <v>40</v>
      </c>
      <c r="E3450" t="s">
        <v>41</v>
      </c>
      <c r="J3450" t="s">
        <v>290</v>
      </c>
      <c r="K3450" t="s">
        <v>291</v>
      </c>
      <c r="L3450">
        <v>5</v>
      </c>
      <c r="M3450" t="s">
        <v>12526</v>
      </c>
      <c r="N3450" t="s">
        <v>59</v>
      </c>
      <c r="O3450" t="s">
        <v>47</v>
      </c>
      <c r="P3450" t="s">
        <v>47</v>
      </c>
      <c r="Y3450" t="s">
        <v>12527</v>
      </c>
      <c r="AG3450" t="s">
        <v>48</v>
      </c>
    </row>
    <row r="3451" spans="1:33">
      <c r="A3451" t="s">
        <v>12528</v>
      </c>
      <c r="B3451" t="s">
        <v>12529</v>
      </c>
      <c r="D3451" t="s">
        <v>40</v>
      </c>
      <c r="E3451" t="s">
        <v>41</v>
      </c>
      <c r="J3451" t="s">
        <v>290</v>
      </c>
      <c r="K3451" t="s">
        <v>291</v>
      </c>
      <c r="L3451">
        <v>5</v>
      </c>
      <c r="M3451" t="s">
        <v>12530</v>
      </c>
      <c r="N3451" t="s">
        <v>59</v>
      </c>
      <c r="O3451" t="s">
        <v>47</v>
      </c>
      <c r="P3451" t="s">
        <v>47</v>
      </c>
      <c r="Y3451" t="s">
        <v>12531</v>
      </c>
      <c r="AG3451" t="s">
        <v>48</v>
      </c>
    </row>
    <row r="3452" spans="1:33">
      <c r="A3452" t="s">
        <v>12532</v>
      </c>
      <c r="B3452" t="s">
        <v>12533</v>
      </c>
      <c r="D3452" t="s">
        <v>40</v>
      </c>
      <c r="E3452" t="s">
        <v>41</v>
      </c>
      <c r="J3452" t="s">
        <v>108</v>
      </c>
      <c r="K3452" t="s">
        <v>109</v>
      </c>
      <c r="L3452">
        <v>5</v>
      </c>
      <c r="M3452" t="s">
        <v>12534</v>
      </c>
      <c r="N3452" t="s">
        <v>59</v>
      </c>
      <c r="O3452" t="s">
        <v>47</v>
      </c>
      <c r="P3452" t="s">
        <v>47</v>
      </c>
      <c r="Y3452" t="s">
        <v>12535</v>
      </c>
      <c r="AG3452" t="s">
        <v>48</v>
      </c>
    </row>
    <row r="3453" spans="1:33">
      <c r="A3453" t="s">
        <v>12536</v>
      </c>
      <c r="B3453" t="s">
        <v>12537</v>
      </c>
      <c r="D3453" t="s">
        <v>40</v>
      </c>
      <c r="E3453" t="s">
        <v>41</v>
      </c>
      <c r="J3453" t="s">
        <v>108</v>
      </c>
      <c r="K3453" t="s">
        <v>109</v>
      </c>
      <c r="L3453">
        <v>5</v>
      </c>
      <c r="M3453" t="s">
        <v>12538</v>
      </c>
      <c r="N3453" t="s">
        <v>59</v>
      </c>
      <c r="O3453" t="s">
        <v>47</v>
      </c>
      <c r="P3453" t="s">
        <v>47</v>
      </c>
      <c r="Y3453" t="s">
        <v>12539</v>
      </c>
      <c r="AG3453" t="s">
        <v>48</v>
      </c>
    </row>
    <row r="3454" spans="1:33">
      <c r="A3454" t="s">
        <v>12540</v>
      </c>
      <c r="B3454" t="s">
        <v>12541</v>
      </c>
      <c r="D3454" t="s">
        <v>40</v>
      </c>
      <c r="E3454" t="s">
        <v>41</v>
      </c>
      <c r="J3454" t="s">
        <v>114</v>
      </c>
      <c r="K3454" t="s">
        <v>115</v>
      </c>
      <c r="L3454">
        <v>5</v>
      </c>
      <c r="M3454" t="s">
        <v>12542</v>
      </c>
      <c r="N3454" t="s">
        <v>59</v>
      </c>
      <c r="O3454" t="s">
        <v>47</v>
      </c>
      <c r="P3454" t="s">
        <v>47</v>
      </c>
      <c r="Y3454" t="s">
        <v>12543</v>
      </c>
      <c r="AG3454" t="s">
        <v>48</v>
      </c>
    </row>
    <row r="3455" spans="1:33">
      <c r="A3455" t="s">
        <v>12544</v>
      </c>
      <c r="B3455" t="s">
        <v>12545</v>
      </c>
      <c r="D3455" t="s">
        <v>40</v>
      </c>
      <c r="E3455" t="s">
        <v>41</v>
      </c>
      <c r="H3455" t="s">
        <v>12546</v>
      </c>
      <c r="J3455" t="s">
        <v>63</v>
      </c>
      <c r="K3455" t="s">
        <v>64</v>
      </c>
      <c r="L3455">
        <v>5</v>
      </c>
      <c r="M3455" t="s">
        <v>12547</v>
      </c>
      <c r="N3455" t="s">
        <v>59</v>
      </c>
      <c r="O3455" t="s">
        <v>47</v>
      </c>
      <c r="P3455" t="s">
        <v>47</v>
      </c>
      <c r="Y3455" t="s">
        <v>12546</v>
      </c>
      <c r="AG3455" t="s">
        <v>48</v>
      </c>
    </row>
    <row r="3456" spans="1:33">
      <c r="A3456" t="s">
        <v>12548</v>
      </c>
      <c r="B3456" t="s">
        <v>12549</v>
      </c>
      <c r="D3456" t="s">
        <v>40</v>
      </c>
      <c r="E3456" t="s">
        <v>41</v>
      </c>
      <c r="J3456" t="s">
        <v>108</v>
      </c>
      <c r="K3456" t="s">
        <v>109</v>
      </c>
      <c r="L3456">
        <v>5</v>
      </c>
      <c r="M3456" t="s">
        <v>12550</v>
      </c>
      <c r="N3456" t="s">
        <v>59</v>
      </c>
      <c r="O3456" t="s">
        <v>47</v>
      </c>
      <c r="P3456" t="s">
        <v>47</v>
      </c>
      <c r="Y3456" t="s">
        <v>12551</v>
      </c>
      <c r="AG3456" t="s">
        <v>48</v>
      </c>
    </row>
    <row r="3457" spans="1:33">
      <c r="A3457" t="s">
        <v>12552</v>
      </c>
      <c r="B3457" t="s">
        <v>12553</v>
      </c>
      <c r="D3457" t="s">
        <v>40</v>
      </c>
      <c r="E3457" t="s">
        <v>41</v>
      </c>
      <c r="J3457" t="s">
        <v>290</v>
      </c>
      <c r="K3457" t="s">
        <v>291</v>
      </c>
      <c r="L3457">
        <v>5</v>
      </c>
      <c r="M3457" t="s">
        <v>12550</v>
      </c>
      <c r="N3457" t="s">
        <v>59</v>
      </c>
      <c r="O3457" t="s">
        <v>47</v>
      </c>
      <c r="P3457" t="s">
        <v>47</v>
      </c>
      <c r="Y3457" t="s">
        <v>12554</v>
      </c>
      <c r="AG3457" t="s">
        <v>48</v>
      </c>
    </row>
    <row r="3458" spans="1:33">
      <c r="A3458" t="s">
        <v>12555</v>
      </c>
      <c r="B3458" t="s">
        <v>12556</v>
      </c>
      <c r="D3458" t="s">
        <v>40</v>
      </c>
      <c r="E3458" t="s">
        <v>41</v>
      </c>
      <c r="J3458" t="s">
        <v>108</v>
      </c>
      <c r="K3458" t="s">
        <v>109</v>
      </c>
      <c r="L3458">
        <v>5</v>
      </c>
      <c r="M3458" t="s">
        <v>12557</v>
      </c>
      <c r="N3458" t="s">
        <v>59</v>
      </c>
      <c r="O3458" t="s">
        <v>47</v>
      </c>
      <c r="P3458" t="s">
        <v>47</v>
      </c>
      <c r="Y3458" t="s">
        <v>12558</v>
      </c>
      <c r="AG3458" t="s">
        <v>48</v>
      </c>
    </row>
    <row r="3459" spans="1:33">
      <c r="A3459" t="s">
        <v>12559</v>
      </c>
      <c r="B3459" t="s">
        <v>12560</v>
      </c>
      <c r="D3459" t="s">
        <v>40</v>
      </c>
      <c r="E3459" t="s">
        <v>41</v>
      </c>
      <c r="J3459" t="s">
        <v>108</v>
      </c>
      <c r="K3459" t="s">
        <v>109</v>
      </c>
      <c r="L3459">
        <v>5</v>
      </c>
      <c r="M3459" t="s">
        <v>12557</v>
      </c>
      <c r="N3459" t="s">
        <v>59</v>
      </c>
      <c r="O3459" t="s">
        <v>47</v>
      </c>
      <c r="P3459" t="s">
        <v>47</v>
      </c>
      <c r="Y3459" t="s">
        <v>12561</v>
      </c>
      <c r="AG3459" t="s">
        <v>48</v>
      </c>
    </row>
    <row r="3460" spans="1:33">
      <c r="A3460" t="s">
        <v>12562</v>
      </c>
      <c r="B3460" t="s">
        <v>12563</v>
      </c>
      <c r="D3460" t="s">
        <v>40</v>
      </c>
      <c r="E3460" t="s">
        <v>41</v>
      </c>
      <c r="H3460" t="s">
        <v>12564</v>
      </c>
      <c r="J3460" t="s">
        <v>63</v>
      </c>
      <c r="K3460" t="s">
        <v>64</v>
      </c>
      <c r="L3460">
        <v>5</v>
      </c>
      <c r="M3460" t="s">
        <v>12565</v>
      </c>
      <c r="N3460" t="s">
        <v>59</v>
      </c>
      <c r="O3460" t="s">
        <v>47</v>
      </c>
      <c r="P3460" t="s">
        <v>47</v>
      </c>
      <c r="Y3460" t="s">
        <v>12564</v>
      </c>
      <c r="AG3460" t="s">
        <v>48</v>
      </c>
    </row>
    <row r="3461" spans="1:33">
      <c r="A3461" t="s">
        <v>12566</v>
      </c>
      <c r="B3461" t="s">
        <v>12567</v>
      </c>
      <c r="D3461" t="s">
        <v>40</v>
      </c>
      <c r="E3461" t="s">
        <v>41</v>
      </c>
      <c r="J3461" t="s">
        <v>270</v>
      </c>
      <c r="K3461" t="s">
        <v>271</v>
      </c>
      <c r="L3461">
        <v>5</v>
      </c>
      <c r="M3461" t="s">
        <v>12568</v>
      </c>
      <c r="N3461" t="s">
        <v>59</v>
      </c>
      <c r="O3461" t="s">
        <v>47</v>
      </c>
      <c r="P3461" t="s">
        <v>47</v>
      </c>
      <c r="Y3461" t="s">
        <v>12569</v>
      </c>
      <c r="AG3461" t="s">
        <v>48</v>
      </c>
    </row>
    <row r="3462" spans="1:33">
      <c r="A3462" t="s">
        <v>12570</v>
      </c>
      <c r="B3462" t="s">
        <v>12571</v>
      </c>
      <c r="D3462" t="s">
        <v>40</v>
      </c>
      <c r="E3462" t="s">
        <v>41</v>
      </c>
      <c r="J3462" t="s">
        <v>290</v>
      </c>
      <c r="K3462" t="s">
        <v>291</v>
      </c>
      <c r="L3462">
        <v>5</v>
      </c>
      <c r="M3462" t="s">
        <v>12568</v>
      </c>
      <c r="N3462" t="s">
        <v>59</v>
      </c>
      <c r="O3462" t="s">
        <v>47</v>
      </c>
      <c r="P3462" t="s">
        <v>47</v>
      </c>
      <c r="Y3462" t="s">
        <v>12572</v>
      </c>
      <c r="AG3462" t="s">
        <v>48</v>
      </c>
    </row>
    <row r="3463" spans="1:33">
      <c r="A3463" t="s">
        <v>12573</v>
      </c>
      <c r="B3463" t="s">
        <v>12574</v>
      </c>
      <c r="D3463" t="s">
        <v>40</v>
      </c>
      <c r="E3463" t="s">
        <v>41</v>
      </c>
      <c r="J3463" t="s">
        <v>290</v>
      </c>
      <c r="K3463" t="s">
        <v>291</v>
      </c>
      <c r="L3463">
        <v>5</v>
      </c>
      <c r="M3463" t="s">
        <v>12568</v>
      </c>
      <c r="N3463" t="s">
        <v>59</v>
      </c>
      <c r="O3463" t="s">
        <v>47</v>
      </c>
      <c r="P3463" t="s">
        <v>47</v>
      </c>
      <c r="Y3463" t="s">
        <v>12575</v>
      </c>
      <c r="AG3463" t="s">
        <v>48</v>
      </c>
    </row>
    <row r="3464" spans="1:33">
      <c r="A3464" t="s">
        <v>12576</v>
      </c>
      <c r="B3464" t="s">
        <v>12577</v>
      </c>
      <c r="D3464" t="s">
        <v>40</v>
      </c>
      <c r="E3464" t="s">
        <v>41</v>
      </c>
      <c r="J3464" t="s">
        <v>270</v>
      </c>
      <c r="K3464" t="s">
        <v>271</v>
      </c>
      <c r="L3464">
        <v>5</v>
      </c>
      <c r="M3464" t="s">
        <v>12578</v>
      </c>
      <c r="N3464" t="s">
        <v>59</v>
      </c>
      <c r="O3464" t="s">
        <v>47</v>
      </c>
      <c r="P3464" t="s">
        <v>47</v>
      </c>
      <c r="Y3464" t="s">
        <v>12579</v>
      </c>
      <c r="AG3464" t="s">
        <v>48</v>
      </c>
    </row>
    <row r="3465" spans="1:33">
      <c r="A3465" t="s">
        <v>12580</v>
      </c>
      <c r="B3465" t="s">
        <v>12581</v>
      </c>
      <c r="D3465" t="s">
        <v>40</v>
      </c>
      <c r="E3465" t="s">
        <v>41</v>
      </c>
      <c r="J3465" t="s">
        <v>270</v>
      </c>
      <c r="K3465" t="s">
        <v>271</v>
      </c>
      <c r="L3465">
        <v>5</v>
      </c>
      <c r="M3465" t="s">
        <v>12582</v>
      </c>
      <c r="N3465" t="s">
        <v>59</v>
      </c>
      <c r="O3465" t="s">
        <v>47</v>
      </c>
      <c r="P3465" t="s">
        <v>47</v>
      </c>
      <c r="Y3465" t="s">
        <v>12583</v>
      </c>
      <c r="AG3465" t="s">
        <v>48</v>
      </c>
    </row>
    <row r="3466" spans="1:33">
      <c r="A3466" t="s">
        <v>12584</v>
      </c>
      <c r="B3466" t="s">
        <v>12585</v>
      </c>
      <c r="D3466" t="s">
        <v>40</v>
      </c>
      <c r="E3466" t="s">
        <v>41</v>
      </c>
      <c r="J3466" t="s">
        <v>3472</v>
      </c>
      <c r="K3466" t="s">
        <v>3473</v>
      </c>
      <c r="L3466">
        <v>5</v>
      </c>
      <c r="M3466" t="s">
        <v>12582</v>
      </c>
      <c r="N3466" t="s">
        <v>192</v>
      </c>
      <c r="O3466" t="s">
        <v>47</v>
      </c>
      <c r="P3466" t="s">
        <v>47</v>
      </c>
      <c r="Y3466" t="s">
        <v>12586</v>
      </c>
      <c r="AG3466" t="s">
        <v>48</v>
      </c>
    </row>
    <row r="3467" spans="1:33">
      <c r="A3467" t="s">
        <v>12587</v>
      </c>
      <c r="B3467" t="s">
        <v>12588</v>
      </c>
      <c r="D3467" t="s">
        <v>40</v>
      </c>
      <c r="E3467" t="s">
        <v>41</v>
      </c>
      <c r="J3467" t="s">
        <v>270</v>
      </c>
      <c r="K3467" t="s">
        <v>271</v>
      </c>
      <c r="L3467">
        <v>5</v>
      </c>
      <c r="M3467" t="s">
        <v>12582</v>
      </c>
      <c r="N3467" t="s">
        <v>59</v>
      </c>
      <c r="O3467" t="s">
        <v>47</v>
      </c>
      <c r="P3467" t="s">
        <v>47</v>
      </c>
      <c r="Y3467" t="s">
        <v>12589</v>
      </c>
      <c r="AG3467" t="s">
        <v>48</v>
      </c>
    </row>
    <row r="3468" spans="1:33">
      <c r="A3468" t="s">
        <v>12590</v>
      </c>
      <c r="B3468" t="s">
        <v>12591</v>
      </c>
      <c r="D3468" t="s">
        <v>40</v>
      </c>
      <c r="E3468" t="s">
        <v>41</v>
      </c>
      <c r="H3468" t="s">
        <v>12592</v>
      </c>
      <c r="J3468" t="s">
        <v>63</v>
      </c>
      <c r="K3468" t="s">
        <v>64</v>
      </c>
      <c r="L3468">
        <v>5</v>
      </c>
      <c r="M3468" t="s">
        <v>12593</v>
      </c>
      <c r="N3468" t="s">
        <v>59</v>
      </c>
      <c r="O3468" t="s">
        <v>47</v>
      </c>
      <c r="P3468" t="s">
        <v>47</v>
      </c>
      <c r="Y3468" t="s">
        <v>12592</v>
      </c>
      <c r="AG3468" t="s">
        <v>48</v>
      </c>
    </row>
    <row r="3469" spans="1:33">
      <c r="A3469" t="s">
        <v>12594</v>
      </c>
      <c r="B3469" t="s">
        <v>12595</v>
      </c>
      <c r="D3469" t="s">
        <v>40</v>
      </c>
      <c r="E3469" t="s">
        <v>41</v>
      </c>
      <c r="J3469" t="s">
        <v>86</v>
      </c>
      <c r="K3469" t="s">
        <v>87</v>
      </c>
      <c r="L3469">
        <v>5</v>
      </c>
      <c r="M3469" t="s">
        <v>12596</v>
      </c>
      <c r="N3469" t="s">
        <v>192</v>
      </c>
      <c r="O3469" t="s">
        <v>47</v>
      </c>
      <c r="P3469" t="s">
        <v>47</v>
      </c>
      <c r="Y3469" t="s">
        <v>12597</v>
      </c>
      <c r="AG3469" t="s">
        <v>48</v>
      </c>
    </row>
    <row r="3470" spans="1:33">
      <c r="A3470" t="s">
        <v>12598</v>
      </c>
      <c r="B3470" t="s">
        <v>12599</v>
      </c>
      <c r="D3470" t="s">
        <v>40</v>
      </c>
      <c r="E3470" t="s">
        <v>41</v>
      </c>
      <c r="J3470" t="s">
        <v>270</v>
      </c>
      <c r="K3470" t="s">
        <v>271</v>
      </c>
      <c r="L3470">
        <v>5</v>
      </c>
      <c r="M3470" t="s">
        <v>12596</v>
      </c>
      <c r="N3470" t="s">
        <v>59</v>
      </c>
      <c r="O3470" t="s">
        <v>47</v>
      </c>
      <c r="P3470" t="s">
        <v>47</v>
      </c>
      <c r="Y3470" t="s">
        <v>12600</v>
      </c>
      <c r="AG3470" t="s">
        <v>48</v>
      </c>
    </row>
    <row r="3471" spans="1:33">
      <c r="A3471" t="s">
        <v>12601</v>
      </c>
      <c r="B3471" t="s">
        <v>12602</v>
      </c>
      <c r="D3471" t="s">
        <v>40</v>
      </c>
      <c r="E3471" t="s">
        <v>41</v>
      </c>
      <c r="J3471" t="s">
        <v>108</v>
      </c>
      <c r="K3471" t="s">
        <v>109</v>
      </c>
      <c r="L3471">
        <v>5</v>
      </c>
      <c r="M3471" t="s">
        <v>12603</v>
      </c>
      <c r="N3471" t="s">
        <v>59</v>
      </c>
      <c r="O3471" t="s">
        <v>47</v>
      </c>
      <c r="P3471" t="s">
        <v>47</v>
      </c>
      <c r="Y3471" t="s">
        <v>12604</v>
      </c>
      <c r="AG3471" t="s">
        <v>48</v>
      </c>
    </row>
    <row r="3472" spans="1:33">
      <c r="A3472" t="s">
        <v>12605</v>
      </c>
      <c r="B3472" t="s">
        <v>12606</v>
      </c>
      <c r="D3472" t="s">
        <v>40</v>
      </c>
      <c r="E3472" t="s">
        <v>41</v>
      </c>
      <c r="J3472" t="s">
        <v>43</v>
      </c>
      <c r="K3472" t="s">
        <v>44</v>
      </c>
      <c r="L3472">
        <v>5</v>
      </c>
      <c r="M3472" t="s">
        <v>12607</v>
      </c>
      <c r="N3472" t="s">
        <v>192</v>
      </c>
      <c r="O3472" t="s">
        <v>47</v>
      </c>
      <c r="P3472" t="s">
        <v>47</v>
      </c>
      <c r="Y3472" t="s">
        <v>12608</v>
      </c>
      <c r="AG3472" t="s">
        <v>48</v>
      </c>
    </row>
    <row r="3473" spans="1:33">
      <c r="A3473" t="s">
        <v>12609</v>
      </c>
      <c r="B3473" t="s">
        <v>12610</v>
      </c>
      <c r="D3473" t="s">
        <v>40</v>
      </c>
      <c r="E3473" t="s">
        <v>41</v>
      </c>
      <c r="J3473" t="s">
        <v>162</v>
      </c>
      <c r="K3473" t="s">
        <v>163</v>
      </c>
      <c r="L3473">
        <v>5</v>
      </c>
      <c r="M3473" t="s">
        <v>12611</v>
      </c>
      <c r="N3473" t="s">
        <v>59</v>
      </c>
      <c r="O3473" t="s">
        <v>47</v>
      </c>
      <c r="P3473" t="s">
        <v>47</v>
      </c>
      <c r="Y3473" t="s">
        <v>12612</v>
      </c>
      <c r="AG3473" t="s">
        <v>48</v>
      </c>
    </row>
    <row r="3474" spans="1:33">
      <c r="A3474" t="s">
        <v>12613</v>
      </c>
      <c r="B3474" t="s">
        <v>12614</v>
      </c>
      <c r="D3474" t="s">
        <v>40</v>
      </c>
      <c r="E3474" t="s">
        <v>41</v>
      </c>
      <c r="J3474" t="s">
        <v>290</v>
      </c>
      <c r="K3474" t="s">
        <v>291</v>
      </c>
      <c r="L3474">
        <v>5</v>
      </c>
      <c r="M3474" t="s">
        <v>12611</v>
      </c>
      <c r="N3474" t="s">
        <v>59</v>
      </c>
      <c r="O3474" t="s">
        <v>47</v>
      </c>
      <c r="P3474" t="s">
        <v>47</v>
      </c>
      <c r="Y3474" t="s">
        <v>12615</v>
      </c>
      <c r="AG3474" t="s">
        <v>48</v>
      </c>
    </row>
    <row r="3475" spans="1:33">
      <c r="A3475" t="s">
        <v>12616</v>
      </c>
      <c r="B3475" t="s">
        <v>12617</v>
      </c>
      <c r="D3475" t="s">
        <v>40</v>
      </c>
      <c r="E3475" t="s">
        <v>41</v>
      </c>
      <c r="J3475" t="s">
        <v>290</v>
      </c>
      <c r="K3475" t="s">
        <v>291</v>
      </c>
      <c r="L3475">
        <v>5</v>
      </c>
      <c r="M3475" t="s">
        <v>12611</v>
      </c>
      <c r="N3475" t="s">
        <v>59</v>
      </c>
      <c r="O3475" t="s">
        <v>47</v>
      </c>
      <c r="P3475" t="s">
        <v>47</v>
      </c>
      <c r="Y3475" t="s">
        <v>12618</v>
      </c>
      <c r="AG3475" t="s">
        <v>48</v>
      </c>
    </row>
    <row r="3476" spans="1:33">
      <c r="A3476" t="s">
        <v>12619</v>
      </c>
      <c r="B3476" t="s">
        <v>12620</v>
      </c>
      <c r="D3476" t="s">
        <v>40</v>
      </c>
      <c r="E3476" t="s">
        <v>41</v>
      </c>
      <c r="H3476" t="s">
        <v>12621</v>
      </c>
      <c r="J3476" t="s">
        <v>123</v>
      </c>
      <c r="K3476" t="s">
        <v>124</v>
      </c>
      <c r="L3476">
        <v>6</v>
      </c>
      <c r="M3476" t="s">
        <v>12622</v>
      </c>
      <c r="N3476" t="s">
        <v>192</v>
      </c>
      <c r="O3476" t="s">
        <v>47</v>
      </c>
      <c r="P3476" t="s">
        <v>47</v>
      </c>
      <c r="Y3476" t="s">
        <v>12621</v>
      </c>
      <c r="AG3476" t="s">
        <v>48</v>
      </c>
    </row>
    <row r="3477" spans="1:33">
      <c r="A3477" t="s">
        <v>12623</v>
      </c>
      <c r="B3477" t="s">
        <v>12624</v>
      </c>
      <c r="D3477" t="s">
        <v>40</v>
      </c>
      <c r="E3477" t="s">
        <v>41</v>
      </c>
      <c r="J3477" t="s">
        <v>114</v>
      </c>
      <c r="K3477" t="s">
        <v>115</v>
      </c>
      <c r="L3477">
        <v>5</v>
      </c>
      <c r="M3477" t="s">
        <v>12625</v>
      </c>
      <c r="N3477" t="s">
        <v>59</v>
      </c>
      <c r="O3477" t="s">
        <v>47</v>
      </c>
      <c r="P3477" t="s">
        <v>47</v>
      </c>
      <c r="Y3477" t="s">
        <v>12626</v>
      </c>
      <c r="AG3477" t="s">
        <v>48</v>
      </c>
    </row>
    <row r="3478" spans="1:33">
      <c r="A3478" t="s">
        <v>12627</v>
      </c>
      <c r="B3478" t="s">
        <v>12628</v>
      </c>
      <c r="D3478" t="s">
        <v>40</v>
      </c>
      <c r="E3478" t="s">
        <v>41</v>
      </c>
      <c r="J3478" t="s">
        <v>108</v>
      </c>
      <c r="K3478" t="s">
        <v>109</v>
      </c>
      <c r="L3478">
        <v>5</v>
      </c>
      <c r="M3478" t="s">
        <v>12629</v>
      </c>
      <c r="N3478" t="s">
        <v>59</v>
      </c>
      <c r="O3478" t="s">
        <v>47</v>
      </c>
      <c r="P3478" t="s">
        <v>47</v>
      </c>
      <c r="Y3478" t="s">
        <v>12630</v>
      </c>
      <c r="AG3478" t="s">
        <v>48</v>
      </c>
    </row>
    <row r="3479" spans="1:33">
      <c r="A3479" t="s">
        <v>12631</v>
      </c>
      <c r="B3479" t="s">
        <v>12632</v>
      </c>
      <c r="D3479" t="s">
        <v>40</v>
      </c>
      <c r="E3479" t="s">
        <v>41</v>
      </c>
      <c r="J3479" t="s">
        <v>270</v>
      </c>
      <c r="K3479" t="s">
        <v>271</v>
      </c>
      <c r="L3479">
        <v>5</v>
      </c>
      <c r="M3479" t="s">
        <v>12629</v>
      </c>
      <c r="N3479" t="s">
        <v>59</v>
      </c>
      <c r="O3479" t="s">
        <v>47</v>
      </c>
      <c r="P3479" t="s">
        <v>47</v>
      </c>
      <c r="Y3479" t="s">
        <v>12633</v>
      </c>
      <c r="AG3479" t="s">
        <v>48</v>
      </c>
    </row>
    <row r="3480" spans="1:33">
      <c r="A3480" t="s">
        <v>12634</v>
      </c>
      <c r="B3480" t="s">
        <v>12635</v>
      </c>
      <c r="D3480" t="s">
        <v>40</v>
      </c>
      <c r="E3480" t="s">
        <v>41</v>
      </c>
      <c r="J3480" t="s">
        <v>108</v>
      </c>
      <c r="K3480" t="s">
        <v>109</v>
      </c>
      <c r="L3480">
        <v>5</v>
      </c>
      <c r="M3480" t="s">
        <v>12629</v>
      </c>
      <c r="N3480" t="s">
        <v>59</v>
      </c>
      <c r="O3480" t="s">
        <v>47</v>
      </c>
      <c r="P3480" t="s">
        <v>47</v>
      </c>
      <c r="Y3480" t="s">
        <v>12636</v>
      </c>
      <c r="AG3480" t="s">
        <v>48</v>
      </c>
    </row>
    <row r="3481" spans="1:33">
      <c r="A3481" t="s">
        <v>12637</v>
      </c>
      <c r="B3481" t="s">
        <v>12638</v>
      </c>
      <c r="D3481" t="s">
        <v>40</v>
      </c>
      <c r="E3481" t="s">
        <v>41</v>
      </c>
      <c r="J3481" t="s">
        <v>108</v>
      </c>
      <c r="K3481" t="s">
        <v>109</v>
      </c>
      <c r="L3481">
        <v>5</v>
      </c>
      <c r="M3481" t="s">
        <v>12629</v>
      </c>
      <c r="N3481" t="s">
        <v>59</v>
      </c>
      <c r="O3481" t="s">
        <v>47</v>
      </c>
      <c r="P3481" t="s">
        <v>47</v>
      </c>
      <c r="Y3481" t="s">
        <v>12639</v>
      </c>
      <c r="AG3481" t="s">
        <v>48</v>
      </c>
    </row>
    <row r="3482" spans="1:33">
      <c r="A3482" t="s">
        <v>12640</v>
      </c>
      <c r="B3482" t="s">
        <v>12641</v>
      </c>
      <c r="D3482" t="s">
        <v>40</v>
      </c>
      <c r="E3482" t="s">
        <v>41</v>
      </c>
      <c r="H3482" t="s">
        <v>12642</v>
      </c>
      <c r="J3482" t="s">
        <v>129</v>
      </c>
      <c r="K3482" t="s">
        <v>130</v>
      </c>
      <c r="L3482">
        <v>5</v>
      </c>
      <c r="M3482" t="s">
        <v>12643</v>
      </c>
      <c r="N3482" t="s">
        <v>218</v>
      </c>
      <c r="O3482" t="s">
        <v>47</v>
      </c>
      <c r="P3482" t="s">
        <v>47</v>
      </c>
      <c r="Y3482" t="s">
        <v>12642</v>
      </c>
      <c r="AG3482" t="s">
        <v>48</v>
      </c>
    </row>
    <row r="3483" spans="1:33">
      <c r="A3483" t="s">
        <v>12644</v>
      </c>
      <c r="B3483" t="s">
        <v>12645</v>
      </c>
      <c r="D3483" t="s">
        <v>40</v>
      </c>
      <c r="E3483" t="s">
        <v>41</v>
      </c>
      <c r="J3483" t="s">
        <v>162</v>
      </c>
      <c r="K3483" t="s">
        <v>163</v>
      </c>
      <c r="L3483">
        <v>5</v>
      </c>
      <c r="M3483" t="s">
        <v>12646</v>
      </c>
      <c r="N3483" t="s">
        <v>59</v>
      </c>
      <c r="O3483" t="s">
        <v>47</v>
      </c>
      <c r="P3483" t="s">
        <v>47</v>
      </c>
      <c r="Y3483" t="s">
        <v>12647</v>
      </c>
      <c r="AG3483" t="s">
        <v>48</v>
      </c>
    </row>
    <row r="3484" spans="1:33">
      <c r="A3484" t="s">
        <v>12648</v>
      </c>
      <c r="B3484" t="s">
        <v>12649</v>
      </c>
      <c r="D3484" t="s">
        <v>40</v>
      </c>
      <c r="E3484" t="s">
        <v>41</v>
      </c>
      <c r="J3484" t="s">
        <v>123</v>
      </c>
      <c r="K3484" t="s">
        <v>124</v>
      </c>
      <c r="L3484">
        <v>5</v>
      </c>
      <c r="M3484" t="s">
        <v>12646</v>
      </c>
      <c r="N3484" t="s">
        <v>192</v>
      </c>
      <c r="O3484" t="s">
        <v>47</v>
      </c>
      <c r="P3484" t="s">
        <v>47</v>
      </c>
      <c r="Y3484" t="s">
        <v>12650</v>
      </c>
      <c r="AG3484" t="s">
        <v>48</v>
      </c>
    </row>
    <row r="3485" spans="1:33">
      <c r="A3485" t="s">
        <v>12651</v>
      </c>
      <c r="B3485" t="s">
        <v>12652</v>
      </c>
      <c r="D3485" t="s">
        <v>40</v>
      </c>
      <c r="E3485" t="s">
        <v>41</v>
      </c>
      <c r="J3485" t="s">
        <v>290</v>
      </c>
      <c r="K3485" t="s">
        <v>291</v>
      </c>
      <c r="L3485">
        <v>5</v>
      </c>
      <c r="M3485" t="s">
        <v>12646</v>
      </c>
      <c r="N3485" t="s">
        <v>59</v>
      </c>
      <c r="O3485" t="s">
        <v>47</v>
      </c>
      <c r="P3485" t="s">
        <v>47</v>
      </c>
      <c r="Y3485" t="s">
        <v>12653</v>
      </c>
      <c r="AG3485" t="s">
        <v>48</v>
      </c>
    </row>
    <row r="3486" spans="1:33">
      <c r="A3486" t="s">
        <v>117</v>
      </c>
      <c r="B3486" t="s">
        <v>12654</v>
      </c>
      <c r="D3486" t="s">
        <v>40</v>
      </c>
      <c r="E3486" t="s">
        <v>41</v>
      </c>
      <c r="J3486" t="s">
        <v>290</v>
      </c>
      <c r="K3486" t="s">
        <v>291</v>
      </c>
      <c r="L3486">
        <v>5</v>
      </c>
      <c r="M3486" t="s">
        <v>12655</v>
      </c>
      <c r="N3486" t="s">
        <v>59</v>
      </c>
      <c r="O3486" t="s">
        <v>47</v>
      </c>
      <c r="P3486" t="s">
        <v>47</v>
      </c>
      <c r="Y3486" t="s">
        <v>12656</v>
      </c>
      <c r="AG3486" t="s">
        <v>48</v>
      </c>
    </row>
    <row r="3487" spans="1:33">
      <c r="A3487" t="s">
        <v>12657</v>
      </c>
      <c r="B3487" t="s">
        <v>12658</v>
      </c>
      <c r="D3487" t="s">
        <v>40</v>
      </c>
      <c r="E3487" t="s">
        <v>41</v>
      </c>
      <c r="J3487" t="s">
        <v>123</v>
      </c>
      <c r="K3487" t="s">
        <v>124</v>
      </c>
      <c r="L3487">
        <v>5</v>
      </c>
      <c r="M3487" t="s">
        <v>12659</v>
      </c>
      <c r="N3487" t="s">
        <v>218</v>
      </c>
      <c r="O3487" t="s">
        <v>47</v>
      </c>
      <c r="P3487" t="s">
        <v>47</v>
      </c>
      <c r="Y3487" t="s">
        <v>12660</v>
      </c>
      <c r="AG3487" t="s">
        <v>48</v>
      </c>
    </row>
    <row r="3488" spans="1:33">
      <c r="A3488" t="s">
        <v>12661</v>
      </c>
      <c r="B3488" t="s">
        <v>12662</v>
      </c>
      <c r="D3488" t="s">
        <v>40</v>
      </c>
      <c r="E3488" t="s">
        <v>41</v>
      </c>
      <c r="J3488" t="s">
        <v>129</v>
      </c>
      <c r="K3488" t="s">
        <v>130</v>
      </c>
      <c r="L3488">
        <v>5</v>
      </c>
      <c r="M3488" t="s">
        <v>12663</v>
      </c>
      <c r="N3488" t="s">
        <v>192</v>
      </c>
      <c r="O3488" t="s">
        <v>47</v>
      </c>
      <c r="P3488" t="s">
        <v>47</v>
      </c>
      <c r="Y3488" t="s">
        <v>12664</v>
      </c>
      <c r="AG3488" t="s">
        <v>48</v>
      </c>
    </row>
    <row r="3489" spans="1:33">
      <c r="A3489" t="s">
        <v>12665</v>
      </c>
      <c r="B3489" t="s">
        <v>12666</v>
      </c>
      <c r="D3489" t="s">
        <v>40</v>
      </c>
      <c r="E3489" t="s">
        <v>41</v>
      </c>
      <c r="J3489" t="s">
        <v>108</v>
      </c>
      <c r="K3489" t="s">
        <v>109</v>
      </c>
      <c r="L3489">
        <v>5</v>
      </c>
      <c r="M3489" t="s">
        <v>12667</v>
      </c>
      <c r="N3489" t="s">
        <v>59</v>
      </c>
      <c r="O3489" t="s">
        <v>47</v>
      </c>
      <c r="P3489" t="s">
        <v>47</v>
      </c>
      <c r="Y3489" t="s">
        <v>12668</v>
      </c>
      <c r="AG3489" t="s">
        <v>48</v>
      </c>
    </row>
    <row r="3490" spans="1:33">
      <c r="A3490" t="s">
        <v>12669</v>
      </c>
      <c r="B3490" t="s">
        <v>12670</v>
      </c>
      <c r="D3490" t="s">
        <v>40</v>
      </c>
      <c r="E3490" t="s">
        <v>41</v>
      </c>
      <c r="J3490" t="s">
        <v>290</v>
      </c>
      <c r="K3490" t="s">
        <v>291</v>
      </c>
      <c r="L3490">
        <v>5</v>
      </c>
      <c r="M3490" t="s">
        <v>12667</v>
      </c>
      <c r="N3490" t="s">
        <v>59</v>
      </c>
      <c r="O3490" t="s">
        <v>47</v>
      </c>
      <c r="P3490" t="s">
        <v>47</v>
      </c>
      <c r="Y3490" t="s">
        <v>12671</v>
      </c>
      <c r="AG3490" t="s">
        <v>48</v>
      </c>
    </row>
    <row r="3491" spans="1:33">
      <c r="A3491" t="s">
        <v>12672</v>
      </c>
      <c r="B3491" t="s">
        <v>12673</v>
      </c>
      <c r="D3491" t="s">
        <v>40</v>
      </c>
      <c r="E3491" t="s">
        <v>41</v>
      </c>
      <c r="H3491" t="s">
        <v>12674</v>
      </c>
      <c r="J3491" t="s">
        <v>129</v>
      </c>
      <c r="K3491" t="s">
        <v>130</v>
      </c>
      <c r="L3491">
        <v>5</v>
      </c>
      <c r="M3491" t="s">
        <v>12675</v>
      </c>
      <c r="N3491" t="s">
        <v>192</v>
      </c>
      <c r="O3491" t="s">
        <v>47</v>
      </c>
      <c r="P3491" t="s">
        <v>47</v>
      </c>
      <c r="Y3491" t="s">
        <v>12674</v>
      </c>
      <c r="AG3491" t="s">
        <v>48</v>
      </c>
    </row>
    <row r="3492" spans="1:33">
      <c r="A3492" t="s">
        <v>12676</v>
      </c>
      <c r="B3492" t="s">
        <v>12677</v>
      </c>
      <c r="D3492" t="s">
        <v>40</v>
      </c>
      <c r="E3492" t="s">
        <v>41</v>
      </c>
      <c r="J3492" t="s">
        <v>290</v>
      </c>
      <c r="K3492" t="s">
        <v>291</v>
      </c>
      <c r="L3492">
        <v>5</v>
      </c>
      <c r="M3492" t="s">
        <v>12675</v>
      </c>
      <c r="N3492" t="s">
        <v>59</v>
      </c>
      <c r="O3492" t="s">
        <v>47</v>
      </c>
      <c r="P3492" t="s">
        <v>47</v>
      </c>
      <c r="Y3492" t="s">
        <v>12678</v>
      </c>
      <c r="AG3492" t="s">
        <v>48</v>
      </c>
    </row>
    <row r="3493" spans="1:33">
      <c r="A3493" t="s">
        <v>12679</v>
      </c>
      <c r="B3493" t="s">
        <v>12680</v>
      </c>
      <c r="D3493" t="s">
        <v>40</v>
      </c>
      <c r="E3493" t="s">
        <v>41</v>
      </c>
      <c r="J3493" t="s">
        <v>290</v>
      </c>
      <c r="K3493" t="s">
        <v>291</v>
      </c>
      <c r="L3493">
        <v>5</v>
      </c>
      <c r="M3493" t="s">
        <v>12681</v>
      </c>
      <c r="N3493" t="s">
        <v>59</v>
      </c>
      <c r="O3493" t="s">
        <v>47</v>
      </c>
      <c r="P3493" t="s">
        <v>47</v>
      </c>
      <c r="Y3493" t="s">
        <v>12682</v>
      </c>
      <c r="AG3493" t="s">
        <v>48</v>
      </c>
    </row>
    <row r="3494" spans="1:33">
      <c r="A3494" t="s">
        <v>12683</v>
      </c>
      <c r="B3494" t="s">
        <v>12684</v>
      </c>
      <c r="D3494" t="s">
        <v>40</v>
      </c>
      <c r="E3494" t="s">
        <v>41</v>
      </c>
      <c r="J3494" t="s">
        <v>129</v>
      </c>
      <c r="K3494" t="s">
        <v>130</v>
      </c>
      <c r="L3494">
        <v>5</v>
      </c>
      <c r="M3494" t="s">
        <v>12685</v>
      </c>
      <c r="N3494" t="s">
        <v>218</v>
      </c>
      <c r="O3494" t="s">
        <v>47</v>
      </c>
      <c r="P3494" t="s">
        <v>47</v>
      </c>
      <c r="Y3494" t="s">
        <v>12686</v>
      </c>
      <c r="AG3494" t="s">
        <v>48</v>
      </c>
    </row>
    <row r="3495" spans="1:33">
      <c r="A3495" t="s">
        <v>12687</v>
      </c>
      <c r="B3495" t="s">
        <v>12688</v>
      </c>
      <c r="D3495" t="s">
        <v>40</v>
      </c>
      <c r="E3495" t="s">
        <v>41</v>
      </c>
      <c r="J3495" t="s">
        <v>290</v>
      </c>
      <c r="K3495" t="s">
        <v>291</v>
      </c>
      <c r="L3495">
        <v>5</v>
      </c>
      <c r="M3495" t="s">
        <v>12685</v>
      </c>
      <c r="N3495" t="s">
        <v>59</v>
      </c>
      <c r="O3495" t="s">
        <v>47</v>
      </c>
      <c r="P3495" t="s">
        <v>47</v>
      </c>
      <c r="Y3495" t="s">
        <v>12689</v>
      </c>
      <c r="AG3495" t="s">
        <v>48</v>
      </c>
    </row>
    <row r="3496" spans="1:33">
      <c r="A3496" t="s">
        <v>12690</v>
      </c>
      <c r="B3496" t="s">
        <v>12691</v>
      </c>
      <c r="D3496" t="s">
        <v>40</v>
      </c>
      <c r="E3496" t="s">
        <v>41</v>
      </c>
      <c r="J3496" t="s">
        <v>290</v>
      </c>
      <c r="K3496" t="s">
        <v>291</v>
      </c>
      <c r="L3496">
        <v>5</v>
      </c>
      <c r="M3496" t="s">
        <v>12685</v>
      </c>
      <c r="N3496" t="s">
        <v>59</v>
      </c>
      <c r="O3496" t="s">
        <v>47</v>
      </c>
      <c r="P3496" t="s">
        <v>47</v>
      </c>
      <c r="Y3496" t="s">
        <v>12692</v>
      </c>
      <c r="AG3496" t="s">
        <v>48</v>
      </c>
    </row>
    <row r="3497" spans="1:33">
      <c r="A3497" t="s">
        <v>12693</v>
      </c>
      <c r="B3497" t="s">
        <v>12694</v>
      </c>
      <c r="D3497" t="s">
        <v>40</v>
      </c>
      <c r="E3497" t="s">
        <v>41</v>
      </c>
      <c r="J3497" t="s">
        <v>290</v>
      </c>
      <c r="K3497" t="s">
        <v>291</v>
      </c>
      <c r="L3497">
        <v>5</v>
      </c>
      <c r="M3497" t="s">
        <v>12695</v>
      </c>
      <c r="N3497" t="s">
        <v>59</v>
      </c>
      <c r="O3497" t="s">
        <v>47</v>
      </c>
      <c r="P3497" t="s">
        <v>47</v>
      </c>
      <c r="Y3497" t="s">
        <v>12696</v>
      </c>
      <c r="AG3497" t="s">
        <v>48</v>
      </c>
    </row>
    <row r="3498" spans="1:33">
      <c r="A3498" t="s">
        <v>12697</v>
      </c>
      <c r="B3498" t="s">
        <v>12698</v>
      </c>
      <c r="D3498" t="s">
        <v>40</v>
      </c>
      <c r="E3498" t="s">
        <v>41</v>
      </c>
      <c r="H3498" t="s">
        <v>12699</v>
      </c>
      <c r="J3498" t="s">
        <v>129</v>
      </c>
      <c r="K3498" t="s">
        <v>130</v>
      </c>
      <c r="L3498">
        <v>5</v>
      </c>
      <c r="M3498" t="s">
        <v>12700</v>
      </c>
      <c r="N3498" t="s">
        <v>218</v>
      </c>
      <c r="O3498" t="s">
        <v>47</v>
      </c>
      <c r="P3498" t="s">
        <v>47</v>
      </c>
      <c r="Y3498" t="s">
        <v>12699</v>
      </c>
      <c r="AG3498" t="s">
        <v>48</v>
      </c>
    </row>
    <row r="3499" spans="1:33">
      <c r="A3499" t="s">
        <v>12701</v>
      </c>
      <c r="B3499" t="s">
        <v>12702</v>
      </c>
      <c r="D3499" t="s">
        <v>40</v>
      </c>
      <c r="E3499" t="s">
        <v>41</v>
      </c>
      <c r="J3499" t="s">
        <v>290</v>
      </c>
      <c r="K3499" t="s">
        <v>291</v>
      </c>
      <c r="L3499">
        <v>5</v>
      </c>
      <c r="M3499" t="s">
        <v>12703</v>
      </c>
      <c r="N3499" t="s">
        <v>59</v>
      </c>
      <c r="O3499" t="s">
        <v>47</v>
      </c>
      <c r="P3499" t="s">
        <v>47</v>
      </c>
      <c r="Y3499" t="s">
        <v>12704</v>
      </c>
      <c r="AG3499" t="s">
        <v>48</v>
      </c>
    </row>
    <row r="3500" spans="1:33">
      <c r="A3500" t="s">
        <v>12705</v>
      </c>
      <c r="B3500" t="s">
        <v>12706</v>
      </c>
      <c r="D3500" t="s">
        <v>40</v>
      </c>
      <c r="E3500" t="s">
        <v>41</v>
      </c>
      <c r="J3500" t="s">
        <v>290</v>
      </c>
      <c r="K3500" t="s">
        <v>291</v>
      </c>
      <c r="L3500">
        <v>5</v>
      </c>
      <c r="M3500" t="s">
        <v>12707</v>
      </c>
      <c r="N3500" t="s">
        <v>59</v>
      </c>
      <c r="O3500" t="s">
        <v>47</v>
      </c>
      <c r="P3500" t="s">
        <v>47</v>
      </c>
      <c r="Y3500" t="s">
        <v>12708</v>
      </c>
      <c r="AG3500" t="s">
        <v>48</v>
      </c>
    </row>
    <row r="3501" spans="1:33">
      <c r="A3501" t="s">
        <v>12709</v>
      </c>
      <c r="B3501" t="s">
        <v>12710</v>
      </c>
      <c r="D3501" t="s">
        <v>40</v>
      </c>
      <c r="E3501" t="s">
        <v>41</v>
      </c>
      <c r="J3501" t="s">
        <v>108</v>
      </c>
      <c r="K3501" t="s">
        <v>109</v>
      </c>
      <c r="L3501">
        <v>5</v>
      </c>
      <c r="M3501" t="s">
        <v>12711</v>
      </c>
      <c r="N3501" t="s">
        <v>59</v>
      </c>
      <c r="O3501" t="s">
        <v>47</v>
      </c>
      <c r="P3501" t="s">
        <v>47</v>
      </c>
      <c r="Y3501" t="s">
        <v>12712</v>
      </c>
      <c r="AG3501" t="s">
        <v>48</v>
      </c>
    </row>
    <row r="3502" spans="1:33">
      <c r="A3502" t="s">
        <v>12713</v>
      </c>
      <c r="B3502" t="s">
        <v>12714</v>
      </c>
      <c r="D3502" t="s">
        <v>40</v>
      </c>
      <c r="E3502" t="s">
        <v>41</v>
      </c>
      <c r="J3502" t="s">
        <v>108</v>
      </c>
      <c r="K3502" t="s">
        <v>109</v>
      </c>
      <c r="L3502">
        <v>5</v>
      </c>
      <c r="M3502" t="s">
        <v>12715</v>
      </c>
      <c r="N3502" t="s">
        <v>59</v>
      </c>
      <c r="O3502" t="s">
        <v>47</v>
      </c>
      <c r="P3502" t="s">
        <v>47</v>
      </c>
      <c r="Y3502" t="s">
        <v>12716</v>
      </c>
      <c r="AG3502" t="s">
        <v>48</v>
      </c>
    </row>
    <row r="3503" spans="1:33">
      <c r="A3503" t="s">
        <v>12717</v>
      </c>
      <c r="B3503" t="s">
        <v>12718</v>
      </c>
      <c r="D3503" t="s">
        <v>40</v>
      </c>
      <c r="E3503" t="s">
        <v>41</v>
      </c>
      <c r="J3503" t="s">
        <v>290</v>
      </c>
      <c r="K3503" t="s">
        <v>291</v>
      </c>
      <c r="L3503">
        <v>5</v>
      </c>
      <c r="M3503" t="s">
        <v>12719</v>
      </c>
      <c r="N3503" t="s">
        <v>59</v>
      </c>
      <c r="O3503" t="s">
        <v>47</v>
      </c>
      <c r="P3503" t="s">
        <v>47</v>
      </c>
      <c r="Y3503" t="s">
        <v>12720</v>
      </c>
      <c r="AG3503" t="s">
        <v>48</v>
      </c>
    </row>
    <row r="3504" spans="1:33">
      <c r="A3504" t="s">
        <v>12721</v>
      </c>
      <c r="B3504" t="s">
        <v>12722</v>
      </c>
      <c r="D3504" t="s">
        <v>40</v>
      </c>
      <c r="E3504" t="s">
        <v>41</v>
      </c>
      <c r="J3504" t="s">
        <v>162</v>
      </c>
      <c r="K3504" t="s">
        <v>163</v>
      </c>
      <c r="L3504">
        <v>5</v>
      </c>
      <c r="M3504" t="s">
        <v>12723</v>
      </c>
      <c r="N3504" t="s">
        <v>59</v>
      </c>
      <c r="O3504" t="s">
        <v>47</v>
      </c>
      <c r="P3504" t="s">
        <v>47</v>
      </c>
      <c r="Y3504" t="s">
        <v>12724</v>
      </c>
      <c r="AG3504" t="s">
        <v>48</v>
      </c>
    </row>
    <row r="3505" spans="1:33">
      <c r="A3505" t="s">
        <v>12725</v>
      </c>
      <c r="B3505" t="s">
        <v>12726</v>
      </c>
      <c r="D3505" t="s">
        <v>40</v>
      </c>
      <c r="E3505" t="s">
        <v>41</v>
      </c>
      <c r="J3505" t="s">
        <v>162</v>
      </c>
      <c r="K3505" t="s">
        <v>163</v>
      </c>
      <c r="L3505">
        <v>5</v>
      </c>
      <c r="M3505" t="s">
        <v>12723</v>
      </c>
      <c r="N3505" t="s">
        <v>59</v>
      </c>
      <c r="O3505" t="s">
        <v>47</v>
      </c>
      <c r="P3505" t="s">
        <v>47</v>
      </c>
      <c r="Y3505" t="s">
        <v>12727</v>
      </c>
      <c r="AG3505" t="s">
        <v>48</v>
      </c>
    </row>
    <row r="3506" spans="1:33">
      <c r="A3506" t="s">
        <v>12728</v>
      </c>
      <c r="B3506" t="s">
        <v>12729</v>
      </c>
      <c r="D3506" t="s">
        <v>40</v>
      </c>
      <c r="E3506" t="s">
        <v>41</v>
      </c>
      <c r="J3506" t="s">
        <v>162</v>
      </c>
      <c r="K3506" t="s">
        <v>163</v>
      </c>
      <c r="L3506">
        <v>5</v>
      </c>
      <c r="M3506" t="s">
        <v>12730</v>
      </c>
      <c r="N3506" t="s">
        <v>59</v>
      </c>
      <c r="O3506" t="s">
        <v>47</v>
      </c>
      <c r="P3506" t="s">
        <v>47</v>
      </c>
      <c r="Y3506" t="s">
        <v>12731</v>
      </c>
      <c r="AG3506" t="s">
        <v>48</v>
      </c>
    </row>
    <row r="3507" spans="1:33">
      <c r="A3507" t="s">
        <v>12732</v>
      </c>
      <c r="B3507" t="s">
        <v>12733</v>
      </c>
      <c r="D3507" t="s">
        <v>40</v>
      </c>
      <c r="E3507" t="s">
        <v>41</v>
      </c>
      <c r="J3507" t="s">
        <v>290</v>
      </c>
      <c r="K3507" t="s">
        <v>291</v>
      </c>
      <c r="L3507">
        <v>5</v>
      </c>
      <c r="M3507" t="s">
        <v>12730</v>
      </c>
      <c r="N3507" t="s">
        <v>59</v>
      </c>
      <c r="O3507" t="s">
        <v>47</v>
      </c>
      <c r="P3507" t="s">
        <v>47</v>
      </c>
      <c r="Y3507" t="s">
        <v>12734</v>
      </c>
      <c r="AG3507" t="s">
        <v>48</v>
      </c>
    </row>
    <row r="3508" spans="1:33">
      <c r="A3508" t="s">
        <v>12735</v>
      </c>
      <c r="B3508" t="s">
        <v>12736</v>
      </c>
      <c r="D3508" t="s">
        <v>40</v>
      </c>
      <c r="E3508" t="s">
        <v>41</v>
      </c>
      <c r="J3508" t="s">
        <v>108</v>
      </c>
      <c r="K3508" t="s">
        <v>109</v>
      </c>
      <c r="L3508">
        <v>5</v>
      </c>
      <c r="M3508" t="s">
        <v>12737</v>
      </c>
      <c r="N3508" t="s">
        <v>59</v>
      </c>
      <c r="O3508" t="s">
        <v>47</v>
      </c>
      <c r="P3508" t="s">
        <v>47</v>
      </c>
      <c r="Y3508" t="s">
        <v>12738</v>
      </c>
      <c r="AG3508" t="s">
        <v>48</v>
      </c>
    </row>
    <row r="3509" spans="1:33">
      <c r="A3509" t="s">
        <v>12739</v>
      </c>
      <c r="B3509" t="s">
        <v>12740</v>
      </c>
      <c r="D3509" t="s">
        <v>40</v>
      </c>
      <c r="E3509" t="s">
        <v>41</v>
      </c>
      <c r="J3509" t="s">
        <v>290</v>
      </c>
      <c r="K3509" t="s">
        <v>291</v>
      </c>
      <c r="L3509">
        <v>5</v>
      </c>
      <c r="M3509" t="s">
        <v>12737</v>
      </c>
      <c r="N3509" t="s">
        <v>59</v>
      </c>
      <c r="O3509" t="s">
        <v>47</v>
      </c>
      <c r="P3509" t="s">
        <v>47</v>
      </c>
      <c r="Y3509" t="s">
        <v>12741</v>
      </c>
      <c r="AG3509" t="s">
        <v>48</v>
      </c>
    </row>
    <row r="3510" spans="1:33">
      <c r="A3510" t="s">
        <v>12742</v>
      </c>
      <c r="B3510" t="s">
        <v>12743</v>
      </c>
      <c r="D3510" t="s">
        <v>40</v>
      </c>
      <c r="E3510" t="s">
        <v>41</v>
      </c>
      <c r="H3510" t="s">
        <v>12744</v>
      </c>
      <c r="J3510" t="s">
        <v>129</v>
      </c>
      <c r="K3510" t="s">
        <v>130</v>
      </c>
      <c r="L3510">
        <v>5</v>
      </c>
      <c r="M3510" t="s">
        <v>12745</v>
      </c>
      <c r="N3510" t="s">
        <v>218</v>
      </c>
      <c r="O3510" t="s">
        <v>47</v>
      </c>
      <c r="P3510" t="s">
        <v>47</v>
      </c>
      <c r="Y3510" t="s">
        <v>12744</v>
      </c>
      <c r="AG3510" t="s">
        <v>48</v>
      </c>
    </row>
    <row r="3511" spans="1:33">
      <c r="A3511" t="s">
        <v>12746</v>
      </c>
      <c r="B3511" t="s">
        <v>12747</v>
      </c>
      <c r="D3511" t="s">
        <v>40</v>
      </c>
      <c r="E3511" t="s">
        <v>41</v>
      </c>
      <c r="J3511" t="s">
        <v>290</v>
      </c>
      <c r="K3511" t="s">
        <v>291</v>
      </c>
      <c r="L3511">
        <v>5</v>
      </c>
      <c r="M3511" t="s">
        <v>12748</v>
      </c>
      <c r="N3511" t="s">
        <v>59</v>
      </c>
      <c r="O3511" t="s">
        <v>47</v>
      </c>
      <c r="P3511" t="s">
        <v>47</v>
      </c>
      <c r="Y3511" t="s">
        <v>12749</v>
      </c>
      <c r="AG3511" t="s">
        <v>48</v>
      </c>
    </row>
    <row r="3512" spans="1:33">
      <c r="A3512" t="s">
        <v>12750</v>
      </c>
      <c r="B3512" t="s">
        <v>12751</v>
      </c>
      <c r="D3512" t="s">
        <v>40</v>
      </c>
      <c r="E3512" t="s">
        <v>41</v>
      </c>
      <c r="J3512" t="s">
        <v>290</v>
      </c>
      <c r="K3512" t="s">
        <v>291</v>
      </c>
      <c r="L3512">
        <v>5</v>
      </c>
      <c r="M3512" t="s">
        <v>12752</v>
      </c>
      <c r="N3512" t="s">
        <v>59</v>
      </c>
      <c r="O3512" t="s">
        <v>47</v>
      </c>
      <c r="P3512" t="s">
        <v>47</v>
      </c>
      <c r="Y3512" t="s">
        <v>12753</v>
      </c>
      <c r="AG3512" t="s">
        <v>48</v>
      </c>
    </row>
    <row r="3513" spans="1:33">
      <c r="A3513" t="s">
        <v>12754</v>
      </c>
      <c r="B3513" t="s">
        <v>12755</v>
      </c>
      <c r="D3513" t="s">
        <v>40</v>
      </c>
      <c r="E3513" t="s">
        <v>41</v>
      </c>
      <c r="J3513" t="s">
        <v>290</v>
      </c>
      <c r="K3513" t="s">
        <v>291</v>
      </c>
      <c r="L3513">
        <v>5</v>
      </c>
      <c r="M3513" t="s">
        <v>12756</v>
      </c>
      <c r="N3513" t="s">
        <v>59</v>
      </c>
      <c r="O3513" t="s">
        <v>47</v>
      </c>
      <c r="P3513" t="s">
        <v>47</v>
      </c>
      <c r="Y3513" t="s">
        <v>12757</v>
      </c>
      <c r="AG3513" t="s">
        <v>48</v>
      </c>
    </row>
    <row r="3514" spans="1:33">
      <c r="A3514" t="s">
        <v>12758</v>
      </c>
      <c r="B3514" t="s">
        <v>12759</v>
      </c>
      <c r="D3514" t="s">
        <v>40</v>
      </c>
      <c r="E3514" t="s">
        <v>41</v>
      </c>
      <c r="J3514" t="s">
        <v>43</v>
      </c>
      <c r="K3514" t="s">
        <v>44</v>
      </c>
      <c r="L3514">
        <v>5</v>
      </c>
      <c r="M3514" t="s">
        <v>12760</v>
      </c>
      <c r="N3514" t="s">
        <v>192</v>
      </c>
      <c r="O3514" t="s">
        <v>47</v>
      </c>
      <c r="P3514" t="s">
        <v>47</v>
      </c>
      <c r="Y3514" t="s">
        <v>12761</v>
      </c>
      <c r="AG3514" t="s">
        <v>48</v>
      </c>
    </row>
    <row r="3515" spans="1:33">
      <c r="A3515" t="s">
        <v>12762</v>
      </c>
      <c r="B3515" t="s">
        <v>12763</v>
      </c>
      <c r="D3515" t="s">
        <v>40</v>
      </c>
      <c r="E3515" t="s">
        <v>41</v>
      </c>
      <c r="J3515" t="s">
        <v>123</v>
      </c>
      <c r="K3515" t="s">
        <v>124</v>
      </c>
      <c r="L3515">
        <v>5</v>
      </c>
      <c r="M3515" t="s">
        <v>12764</v>
      </c>
      <c r="N3515" t="s">
        <v>192</v>
      </c>
      <c r="O3515" t="s">
        <v>47</v>
      </c>
      <c r="P3515" t="s">
        <v>47</v>
      </c>
      <c r="Y3515" t="s">
        <v>12765</v>
      </c>
      <c r="AG3515" t="s">
        <v>48</v>
      </c>
    </row>
    <row r="3516" spans="1:33">
      <c r="A3516" t="s">
        <v>12766</v>
      </c>
      <c r="B3516" t="s">
        <v>12767</v>
      </c>
      <c r="D3516" t="s">
        <v>40</v>
      </c>
      <c r="E3516" t="s">
        <v>41</v>
      </c>
      <c r="J3516" t="s">
        <v>290</v>
      </c>
      <c r="K3516" t="s">
        <v>291</v>
      </c>
      <c r="L3516">
        <v>5</v>
      </c>
      <c r="M3516" t="s">
        <v>12764</v>
      </c>
      <c r="N3516" t="s">
        <v>59</v>
      </c>
      <c r="O3516" t="s">
        <v>47</v>
      </c>
      <c r="P3516" t="s">
        <v>47</v>
      </c>
      <c r="Y3516" t="s">
        <v>12768</v>
      </c>
      <c r="AG3516" t="s">
        <v>48</v>
      </c>
    </row>
    <row r="3517" spans="1:33">
      <c r="A3517" t="s">
        <v>12769</v>
      </c>
      <c r="B3517" t="s">
        <v>12770</v>
      </c>
      <c r="D3517" t="s">
        <v>40</v>
      </c>
      <c r="E3517" t="s">
        <v>41</v>
      </c>
      <c r="J3517" t="s">
        <v>290</v>
      </c>
      <c r="K3517" t="s">
        <v>291</v>
      </c>
      <c r="L3517">
        <v>5</v>
      </c>
      <c r="M3517" t="s">
        <v>12771</v>
      </c>
      <c r="N3517" t="s">
        <v>59</v>
      </c>
      <c r="O3517" t="s">
        <v>47</v>
      </c>
      <c r="P3517" t="s">
        <v>47</v>
      </c>
      <c r="Y3517" t="s">
        <v>12772</v>
      </c>
      <c r="AG3517" t="s">
        <v>48</v>
      </c>
    </row>
    <row r="3518" spans="1:33">
      <c r="A3518" t="s">
        <v>12773</v>
      </c>
      <c r="B3518" t="s">
        <v>12774</v>
      </c>
      <c r="D3518" t="s">
        <v>40</v>
      </c>
      <c r="E3518" t="s">
        <v>41</v>
      </c>
      <c r="J3518" t="s">
        <v>162</v>
      </c>
      <c r="K3518" t="s">
        <v>163</v>
      </c>
      <c r="L3518">
        <v>5</v>
      </c>
      <c r="M3518" t="s">
        <v>12775</v>
      </c>
      <c r="N3518" t="s">
        <v>59</v>
      </c>
      <c r="O3518" t="s">
        <v>47</v>
      </c>
      <c r="P3518" t="s">
        <v>47</v>
      </c>
      <c r="Y3518" t="s">
        <v>12776</v>
      </c>
      <c r="AG3518" t="s">
        <v>48</v>
      </c>
    </row>
    <row r="3519" spans="1:33">
      <c r="A3519" t="s">
        <v>12777</v>
      </c>
      <c r="B3519" t="s">
        <v>12778</v>
      </c>
      <c r="D3519" t="s">
        <v>40</v>
      </c>
      <c r="E3519" t="s">
        <v>41</v>
      </c>
      <c r="J3519" t="s">
        <v>108</v>
      </c>
      <c r="K3519" t="s">
        <v>109</v>
      </c>
      <c r="L3519">
        <v>5</v>
      </c>
      <c r="M3519" t="s">
        <v>12779</v>
      </c>
      <c r="N3519" t="s">
        <v>59</v>
      </c>
      <c r="O3519" t="s">
        <v>47</v>
      </c>
      <c r="P3519" t="s">
        <v>47</v>
      </c>
      <c r="Y3519" t="s">
        <v>12780</v>
      </c>
      <c r="AG3519" t="s">
        <v>48</v>
      </c>
    </row>
    <row r="3520" spans="1:33">
      <c r="A3520" t="s">
        <v>12781</v>
      </c>
      <c r="B3520" t="s">
        <v>12782</v>
      </c>
      <c r="D3520" t="s">
        <v>40</v>
      </c>
      <c r="E3520" t="s">
        <v>41</v>
      </c>
      <c r="J3520" t="s">
        <v>129</v>
      </c>
      <c r="K3520" t="s">
        <v>130</v>
      </c>
      <c r="L3520">
        <v>5</v>
      </c>
      <c r="M3520" t="s">
        <v>12783</v>
      </c>
      <c r="N3520" t="s">
        <v>192</v>
      </c>
      <c r="O3520" t="s">
        <v>47</v>
      </c>
      <c r="P3520" t="s">
        <v>47</v>
      </c>
      <c r="Y3520" t="s">
        <v>12784</v>
      </c>
      <c r="AG3520" t="s">
        <v>48</v>
      </c>
    </row>
    <row r="3521" spans="1:33">
      <c r="A3521" t="s">
        <v>12785</v>
      </c>
      <c r="B3521" t="s">
        <v>12786</v>
      </c>
      <c r="D3521" t="s">
        <v>40</v>
      </c>
      <c r="E3521" t="s">
        <v>41</v>
      </c>
      <c r="J3521" t="s">
        <v>129</v>
      </c>
      <c r="K3521" t="s">
        <v>130</v>
      </c>
      <c r="L3521">
        <v>5</v>
      </c>
      <c r="M3521" t="s">
        <v>12783</v>
      </c>
      <c r="N3521" t="s">
        <v>218</v>
      </c>
      <c r="O3521" t="s">
        <v>47</v>
      </c>
      <c r="P3521" t="s">
        <v>47</v>
      </c>
      <c r="Y3521" t="s">
        <v>12787</v>
      </c>
      <c r="AG3521" t="s">
        <v>48</v>
      </c>
    </row>
    <row r="3522" spans="1:33">
      <c r="A3522" t="s">
        <v>12788</v>
      </c>
      <c r="B3522" t="s">
        <v>12789</v>
      </c>
      <c r="D3522" t="s">
        <v>40</v>
      </c>
      <c r="E3522" t="s">
        <v>41</v>
      </c>
      <c r="J3522" t="s">
        <v>290</v>
      </c>
      <c r="K3522" t="s">
        <v>291</v>
      </c>
      <c r="L3522">
        <v>5</v>
      </c>
      <c r="M3522" t="s">
        <v>12783</v>
      </c>
      <c r="N3522" t="s">
        <v>59</v>
      </c>
      <c r="O3522" t="s">
        <v>47</v>
      </c>
      <c r="P3522" t="s">
        <v>47</v>
      </c>
      <c r="Y3522" t="s">
        <v>12790</v>
      </c>
      <c r="AG3522" t="s">
        <v>48</v>
      </c>
    </row>
    <row r="3523" spans="1:33">
      <c r="A3523" t="s">
        <v>12791</v>
      </c>
      <c r="B3523" t="s">
        <v>12792</v>
      </c>
      <c r="D3523" t="s">
        <v>40</v>
      </c>
      <c r="E3523" t="s">
        <v>41</v>
      </c>
      <c r="H3523" t="s">
        <v>12793</v>
      </c>
      <c r="J3523" t="s">
        <v>129</v>
      </c>
      <c r="K3523" t="s">
        <v>130</v>
      </c>
      <c r="L3523">
        <v>5</v>
      </c>
      <c r="M3523" t="s">
        <v>12794</v>
      </c>
      <c r="N3523" t="s">
        <v>192</v>
      </c>
      <c r="O3523" t="s">
        <v>47</v>
      </c>
      <c r="P3523" t="s">
        <v>47</v>
      </c>
      <c r="Y3523" t="s">
        <v>12793</v>
      </c>
      <c r="AG3523" t="s">
        <v>48</v>
      </c>
    </row>
    <row r="3524" spans="1:33">
      <c r="A3524" t="s">
        <v>12795</v>
      </c>
      <c r="B3524" t="s">
        <v>12796</v>
      </c>
      <c r="D3524" t="s">
        <v>40</v>
      </c>
      <c r="E3524" t="s">
        <v>41</v>
      </c>
      <c r="J3524" t="s">
        <v>290</v>
      </c>
      <c r="K3524" t="s">
        <v>291</v>
      </c>
      <c r="L3524">
        <v>5</v>
      </c>
      <c r="M3524" t="s">
        <v>12797</v>
      </c>
      <c r="N3524" t="s">
        <v>59</v>
      </c>
      <c r="O3524" t="s">
        <v>47</v>
      </c>
      <c r="P3524" t="s">
        <v>47</v>
      </c>
      <c r="Y3524" t="s">
        <v>12798</v>
      </c>
      <c r="AG3524" t="s">
        <v>48</v>
      </c>
    </row>
    <row r="3525" spans="1:33">
      <c r="A3525" t="s">
        <v>12799</v>
      </c>
      <c r="B3525" t="s">
        <v>12800</v>
      </c>
      <c r="D3525" t="s">
        <v>40</v>
      </c>
      <c r="E3525" t="s">
        <v>41</v>
      </c>
      <c r="J3525" t="s">
        <v>108</v>
      </c>
      <c r="K3525" t="s">
        <v>109</v>
      </c>
      <c r="L3525">
        <v>5</v>
      </c>
      <c r="M3525" t="s">
        <v>12797</v>
      </c>
      <c r="N3525" t="s">
        <v>59</v>
      </c>
      <c r="O3525" t="s">
        <v>47</v>
      </c>
      <c r="P3525" t="s">
        <v>47</v>
      </c>
      <c r="Y3525" t="s">
        <v>12801</v>
      </c>
      <c r="AG3525" t="s">
        <v>48</v>
      </c>
    </row>
    <row r="3526" spans="1:33">
      <c r="A3526" t="s">
        <v>12802</v>
      </c>
      <c r="B3526" t="s">
        <v>12803</v>
      </c>
      <c r="D3526" t="s">
        <v>40</v>
      </c>
      <c r="E3526" t="s">
        <v>41</v>
      </c>
      <c r="J3526" t="s">
        <v>270</v>
      </c>
      <c r="K3526" t="s">
        <v>271</v>
      </c>
      <c r="L3526">
        <v>5</v>
      </c>
      <c r="M3526" t="s">
        <v>12804</v>
      </c>
      <c r="N3526" t="s">
        <v>59</v>
      </c>
      <c r="O3526" t="s">
        <v>47</v>
      </c>
      <c r="P3526" t="s">
        <v>47</v>
      </c>
      <c r="Y3526" t="s">
        <v>12805</v>
      </c>
      <c r="AG3526" t="s">
        <v>48</v>
      </c>
    </row>
    <row r="3527" spans="1:33">
      <c r="A3527" t="s">
        <v>12806</v>
      </c>
      <c r="B3527" t="s">
        <v>12807</v>
      </c>
      <c r="D3527" t="s">
        <v>40</v>
      </c>
      <c r="E3527" t="s">
        <v>41</v>
      </c>
      <c r="J3527" t="s">
        <v>270</v>
      </c>
      <c r="K3527" t="s">
        <v>271</v>
      </c>
      <c r="L3527">
        <v>5</v>
      </c>
      <c r="M3527" t="s">
        <v>12808</v>
      </c>
      <c r="N3527" t="s">
        <v>59</v>
      </c>
      <c r="O3527" t="s">
        <v>47</v>
      </c>
      <c r="P3527" t="s">
        <v>47</v>
      </c>
      <c r="Y3527" t="s">
        <v>12809</v>
      </c>
      <c r="AG3527" t="s">
        <v>48</v>
      </c>
    </row>
    <row r="3528" spans="1:33">
      <c r="A3528" t="s">
        <v>12810</v>
      </c>
      <c r="B3528" t="s">
        <v>12811</v>
      </c>
      <c r="D3528" t="s">
        <v>40</v>
      </c>
      <c r="E3528" t="s">
        <v>41</v>
      </c>
      <c r="H3528" t="s">
        <v>12812</v>
      </c>
      <c r="J3528" t="s">
        <v>129</v>
      </c>
      <c r="K3528" t="s">
        <v>130</v>
      </c>
      <c r="L3528">
        <v>5</v>
      </c>
      <c r="M3528" t="s">
        <v>12813</v>
      </c>
      <c r="N3528" t="s">
        <v>192</v>
      </c>
      <c r="O3528" t="s">
        <v>47</v>
      </c>
      <c r="P3528" t="s">
        <v>47</v>
      </c>
      <c r="Y3528" t="s">
        <v>12812</v>
      </c>
      <c r="AG3528" t="s">
        <v>48</v>
      </c>
    </row>
    <row r="3529" spans="1:33">
      <c r="A3529" t="s">
        <v>12814</v>
      </c>
      <c r="B3529" t="s">
        <v>12815</v>
      </c>
      <c r="D3529" t="s">
        <v>40</v>
      </c>
      <c r="E3529" t="s">
        <v>41</v>
      </c>
      <c r="J3529" t="s">
        <v>123</v>
      </c>
      <c r="K3529" t="s">
        <v>124</v>
      </c>
      <c r="L3529">
        <v>5</v>
      </c>
      <c r="M3529" t="s">
        <v>12816</v>
      </c>
      <c r="N3529" t="s">
        <v>192</v>
      </c>
      <c r="O3529" t="s">
        <v>47</v>
      </c>
      <c r="P3529" t="s">
        <v>47</v>
      </c>
      <c r="Y3529" t="s">
        <v>12817</v>
      </c>
      <c r="AG3529" t="s">
        <v>48</v>
      </c>
    </row>
    <row r="3530" spans="1:33">
      <c r="A3530" t="s">
        <v>12818</v>
      </c>
      <c r="B3530" t="s">
        <v>12819</v>
      </c>
      <c r="D3530" t="s">
        <v>40</v>
      </c>
      <c r="E3530" t="s">
        <v>41</v>
      </c>
      <c r="J3530" t="s">
        <v>290</v>
      </c>
      <c r="K3530" t="s">
        <v>291</v>
      </c>
      <c r="L3530">
        <v>5</v>
      </c>
      <c r="M3530" t="s">
        <v>12816</v>
      </c>
      <c r="N3530" t="s">
        <v>59</v>
      </c>
      <c r="O3530" t="s">
        <v>47</v>
      </c>
      <c r="P3530" t="s">
        <v>47</v>
      </c>
      <c r="Y3530" t="s">
        <v>12820</v>
      </c>
      <c r="AG3530" t="s">
        <v>48</v>
      </c>
    </row>
    <row r="3531" spans="1:33">
      <c r="A3531" t="s">
        <v>12821</v>
      </c>
      <c r="B3531" t="s">
        <v>12822</v>
      </c>
      <c r="D3531" t="s">
        <v>40</v>
      </c>
      <c r="E3531" t="s">
        <v>41</v>
      </c>
      <c r="J3531" t="s">
        <v>108</v>
      </c>
      <c r="K3531" t="s">
        <v>109</v>
      </c>
      <c r="L3531">
        <v>5</v>
      </c>
      <c r="M3531" t="s">
        <v>12823</v>
      </c>
      <c r="N3531" t="s">
        <v>59</v>
      </c>
      <c r="O3531" t="s">
        <v>47</v>
      </c>
      <c r="P3531" t="s">
        <v>47</v>
      </c>
      <c r="Y3531" t="s">
        <v>12824</v>
      </c>
      <c r="AG3531" t="s">
        <v>48</v>
      </c>
    </row>
    <row r="3532" spans="1:33">
      <c r="A3532" t="s">
        <v>12825</v>
      </c>
      <c r="B3532" t="s">
        <v>12826</v>
      </c>
      <c r="D3532" t="s">
        <v>40</v>
      </c>
      <c r="E3532" t="s">
        <v>41</v>
      </c>
      <c r="J3532" t="s">
        <v>290</v>
      </c>
      <c r="K3532" t="s">
        <v>291</v>
      </c>
      <c r="L3532">
        <v>5</v>
      </c>
      <c r="M3532" t="s">
        <v>12827</v>
      </c>
      <c r="N3532" t="s">
        <v>59</v>
      </c>
      <c r="O3532" t="s">
        <v>47</v>
      </c>
      <c r="P3532" t="s">
        <v>47</v>
      </c>
      <c r="Y3532" t="s">
        <v>12828</v>
      </c>
      <c r="AG3532" t="s">
        <v>48</v>
      </c>
    </row>
    <row r="3533" spans="1:33">
      <c r="A3533" t="s">
        <v>12829</v>
      </c>
      <c r="B3533" t="s">
        <v>12830</v>
      </c>
      <c r="D3533" t="s">
        <v>40</v>
      </c>
      <c r="E3533" t="s">
        <v>41</v>
      </c>
      <c r="J3533" t="s">
        <v>290</v>
      </c>
      <c r="K3533" t="s">
        <v>291</v>
      </c>
      <c r="L3533">
        <v>5</v>
      </c>
      <c r="M3533" t="s">
        <v>12831</v>
      </c>
      <c r="N3533" t="s">
        <v>59</v>
      </c>
      <c r="O3533" t="s">
        <v>47</v>
      </c>
      <c r="P3533" t="s">
        <v>47</v>
      </c>
      <c r="Y3533" t="s">
        <v>12832</v>
      </c>
      <c r="AG3533" t="s">
        <v>48</v>
      </c>
    </row>
    <row r="3534" spans="1:33">
      <c r="A3534" t="s">
        <v>12833</v>
      </c>
      <c r="B3534" t="s">
        <v>12834</v>
      </c>
      <c r="D3534" t="s">
        <v>40</v>
      </c>
      <c r="E3534" t="s">
        <v>41</v>
      </c>
      <c r="J3534" t="s">
        <v>290</v>
      </c>
      <c r="K3534" t="s">
        <v>291</v>
      </c>
      <c r="L3534">
        <v>5</v>
      </c>
      <c r="M3534" t="s">
        <v>12835</v>
      </c>
      <c r="N3534" t="s">
        <v>59</v>
      </c>
      <c r="O3534" t="s">
        <v>47</v>
      </c>
      <c r="P3534" t="s">
        <v>47</v>
      </c>
      <c r="Y3534" t="s">
        <v>12836</v>
      </c>
      <c r="AG3534" t="s">
        <v>48</v>
      </c>
    </row>
    <row r="3535" spans="1:33">
      <c r="A3535" t="s">
        <v>12837</v>
      </c>
      <c r="B3535" t="s">
        <v>12838</v>
      </c>
      <c r="D3535" t="s">
        <v>40</v>
      </c>
      <c r="E3535" t="s">
        <v>41</v>
      </c>
      <c r="J3535" t="s">
        <v>270</v>
      </c>
      <c r="K3535" t="s">
        <v>271</v>
      </c>
      <c r="L3535">
        <v>5</v>
      </c>
      <c r="M3535" t="s">
        <v>12839</v>
      </c>
      <c r="N3535" t="s">
        <v>59</v>
      </c>
      <c r="O3535" t="s">
        <v>47</v>
      </c>
      <c r="P3535" t="s">
        <v>47</v>
      </c>
      <c r="Y3535" t="s">
        <v>12840</v>
      </c>
      <c r="AG3535" t="s">
        <v>48</v>
      </c>
    </row>
    <row r="3536" spans="1:33">
      <c r="A3536" t="s">
        <v>12841</v>
      </c>
      <c r="B3536" t="s">
        <v>12842</v>
      </c>
      <c r="D3536" t="s">
        <v>40</v>
      </c>
      <c r="E3536" t="s">
        <v>41</v>
      </c>
      <c r="J3536" t="s">
        <v>290</v>
      </c>
      <c r="K3536" t="s">
        <v>291</v>
      </c>
      <c r="L3536">
        <v>5</v>
      </c>
      <c r="M3536" t="s">
        <v>12843</v>
      </c>
      <c r="N3536" t="s">
        <v>59</v>
      </c>
      <c r="O3536" t="s">
        <v>47</v>
      </c>
      <c r="P3536" t="s">
        <v>47</v>
      </c>
      <c r="Y3536" t="s">
        <v>12844</v>
      </c>
      <c r="AG3536" t="s">
        <v>48</v>
      </c>
    </row>
    <row r="3537" spans="1:33">
      <c r="A3537" t="s">
        <v>12845</v>
      </c>
      <c r="B3537" t="s">
        <v>12846</v>
      </c>
      <c r="D3537" t="s">
        <v>40</v>
      </c>
      <c r="E3537" t="s">
        <v>41</v>
      </c>
      <c r="J3537" t="s">
        <v>129</v>
      </c>
      <c r="K3537" t="s">
        <v>130</v>
      </c>
      <c r="L3537">
        <v>5</v>
      </c>
      <c r="M3537" t="s">
        <v>12847</v>
      </c>
      <c r="N3537" t="s">
        <v>192</v>
      </c>
      <c r="O3537" t="s">
        <v>47</v>
      </c>
      <c r="P3537" t="s">
        <v>47</v>
      </c>
      <c r="Y3537" t="s">
        <v>12848</v>
      </c>
      <c r="AG3537" t="s">
        <v>48</v>
      </c>
    </row>
    <row r="3538" spans="1:33">
      <c r="A3538" t="s">
        <v>12849</v>
      </c>
      <c r="B3538" t="s">
        <v>12850</v>
      </c>
      <c r="D3538" t="s">
        <v>40</v>
      </c>
      <c r="E3538" t="s">
        <v>41</v>
      </c>
      <c r="J3538" t="s">
        <v>290</v>
      </c>
      <c r="K3538" t="s">
        <v>291</v>
      </c>
      <c r="L3538">
        <v>5</v>
      </c>
      <c r="M3538" t="s">
        <v>12847</v>
      </c>
      <c r="N3538" t="s">
        <v>59</v>
      </c>
      <c r="O3538" t="s">
        <v>47</v>
      </c>
      <c r="P3538" t="s">
        <v>47</v>
      </c>
      <c r="Y3538" t="s">
        <v>12851</v>
      </c>
      <c r="AG3538" t="s">
        <v>48</v>
      </c>
    </row>
    <row r="3539" spans="1:33">
      <c r="A3539" t="s">
        <v>12852</v>
      </c>
      <c r="B3539" t="s">
        <v>12853</v>
      </c>
      <c r="D3539" t="s">
        <v>40</v>
      </c>
      <c r="E3539" t="s">
        <v>41</v>
      </c>
      <c r="J3539" t="s">
        <v>290</v>
      </c>
      <c r="K3539" t="s">
        <v>291</v>
      </c>
      <c r="L3539">
        <v>5</v>
      </c>
      <c r="M3539" t="s">
        <v>12847</v>
      </c>
      <c r="N3539" t="s">
        <v>59</v>
      </c>
      <c r="O3539" t="s">
        <v>47</v>
      </c>
      <c r="P3539" t="s">
        <v>47</v>
      </c>
      <c r="Y3539" t="s">
        <v>12854</v>
      </c>
      <c r="AG3539" t="s">
        <v>48</v>
      </c>
    </row>
    <row r="3540" spans="1:33">
      <c r="A3540" t="s">
        <v>12855</v>
      </c>
      <c r="B3540" t="s">
        <v>12856</v>
      </c>
      <c r="D3540" t="s">
        <v>40</v>
      </c>
      <c r="E3540" t="s">
        <v>41</v>
      </c>
      <c r="J3540" t="s">
        <v>129</v>
      </c>
      <c r="K3540" t="s">
        <v>130</v>
      </c>
      <c r="L3540">
        <v>5</v>
      </c>
      <c r="M3540" t="s">
        <v>12847</v>
      </c>
      <c r="N3540" t="s">
        <v>218</v>
      </c>
      <c r="O3540" t="s">
        <v>47</v>
      </c>
      <c r="P3540" t="s">
        <v>47</v>
      </c>
      <c r="Y3540" t="s">
        <v>12857</v>
      </c>
      <c r="AG3540" t="s">
        <v>48</v>
      </c>
    </row>
    <row r="3541" spans="1:33">
      <c r="A3541" t="s">
        <v>12858</v>
      </c>
      <c r="B3541" t="s">
        <v>12859</v>
      </c>
      <c r="D3541" t="s">
        <v>40</v>
      </c>
      <c r="E3541" t="s">
        <v>41</v>
      </c>
      <c r="J3541" t="s">
        <v>290</v>
      </c>
      <c r="K3541" t="s">
        <v>291</v>
      </c>
      <c r="L3541">
        <v>5</v>
      </c>
      <c r="M3541" t="s">
        <v>12860</v>
      </c>
      <c r="N3541" t="s">
        <v>59</v>
      </c>
      <c r="O3541" t="s">
        <v>47</v>
      </c>
      <c r="P3541" t="s">
        <v>47</v>
      </c>
      <c r="Y3541" t="s">
        <v>12861</v>
      </c>
      <c r="AG3541" t="s">
        <v>48</v>
      </c>
    </row>
    <row r="3542" spans="1:33">
      <c r="A3542" t="s">
        <v>12862</v>
      </c>
      <c r="B3542" t="s">
        <v>12863</v>
      </c>
      <c r="D3542" t="s">
        <v>40</v>
      </c>
      <c r="E3542" t="s">
        <v>41</v>
      </c>
      <c r="J3542" t="s">
        <v>290</v>
      </c>
      <c r="K3542" t="s">
        <v>291</v>
      </c>
      <c r="L3542">
        <v>5</v>
      </c>
      <c r="M3542" t="s">
        <v>12864</v>
      </c>
      <c r="N3542" t="s">
        <v>59</v>
      </c>
      <c r="O3542" t="s">
        <v>47</v>
      </c>
      <c r="P3542" t="s">
        <v>47</v>
      </c>
      <c r="Y3542" t="s">
        <v>12865</v>
      </c>
      <c r="AG3542" t="s">
        <v>48</v>
      </c>
    </row>
    <row r="3543" spans="1:33">
      <c r="A3543" t="s">
        <v>12866</v>
      </c>
      <c r="B3543" t="s">
        <v>12867</v>
      </c>
      <c r="D3543" t="s">
        <v>40</v>
      </c>
      <c r="E3543" t="s">
        <v>41</v>
      </c>
      <c r="J3543" t="s">
        <v>108</v>
      </c>
      <c r="K3543" t="s">
        <v>109</v>
      </c>
      <c r="L3543">
        <v>5</v>
      </c>
      <c r="M3543" t="s">
        <v>12868</v>
      </c>
      <c r="N3543" t="s">
        <v>59</v>
      </c>
      <c r="O3543" t="s">
        <v>47</v>
      </c>
      <c r="P3543" t="s">
        <v>47</v>
      </c>
      <c r="Y3543" t="s">
        <v>12869</v>
      </c>
      <c r="AG3543" t="s">
        <v>48</v>
      </c>
    </row>
    <row r="3544" spans="1:33">
      <c r="A3544" t="s">
        <v>12870</v>
      </c>
      <c r="B3544" t="s">
        <v>12871</v>
      </c>
      <c r="D3544" t="s">
        <v>40</v>
      </c>
      <c r="E3544" t="s">
        <v>41</v>
      </c>
      <c r="J3544" t="s">
        <v>108</v>
      </c>
      <c r="K3544" t="s">
        <v>109</v>
      </c>
      <c r="L3544">
        <v>5</v>
      </c>
      <c r="M3544" t="s">
        <v>12868</v>
      </c>
      <c r="N3544" t="s">
        <v>59</v>
      </c>
      <c r="O3544" t="s">
        <v>47</v>
      </c>
      <c r="P3544" t="s">
        <v>47</v>
      </c>
      <c r="Y3544" t="s">
        <v>12872</v>
      </c>
      <c r="AG3544" t="s">
        <v>48</v>
      </c>
    </row>
    <row r="3545" spans="1:33">
      <c r="A3545" t="s">
        <v>12873</v>
      </c>
      <c r="B3545" t="s">
        <v>12874</v>
      </c>
      <c r="D3545" t="s">
        <v>40</v>
      </c>
      <c r="E3545" t="s">
        <v>41</v>
      </c>
      <c r="J3545" t="s">
        <v>108</v>
      </c>
      <c r="K3545" t="s">
        <v>109</v>
      </c>
      <c r="L3545">
        <v>5</v>
      </c>
      <c r="M3545" t="s">
        <v>12875</v>
      </c>
      <c r="N3545" t="s">
        <v>59</v>
      </c>
      <c r="O3545" t="s">
        <v>47</v>
      </c>
      <c r="P3545" t="s">
        <v>47</v>
      </c>
      <c r="Y3545" t="s">
        <v>12876</v>
      </c>
      <c r="AG3545" t="s">
        <v>48</v>
      </c>
    </row>
    <row r="3546" spans="1:33">
      <c r="A3546" t="s">
        <v>12877</v>
      </c>
      <c r="B3546" t="s">
        <v>12878</v>
      </c>
      <c r="D3546" t="s">
        <v>40</v>
      </c>
      <c r="E3546" t="s">
        <v>41</v>
      </c>
      <c r="J3546" t="s">
        <v>290</v>
      </c>
      <c r="K3546" t="s">
        <v>291</v>
      </c>
      <c r="L3546">
        <v>5</v>
      </c>
      <c r="M3546" t="s">
        <v>12875</v>
      </c>
      <c r="N3546" t="s">
        <v>59</v>
      </c>
      <c r="O3546" t="s">
        <v>47</v>
      </c>
      <c r="P3546" t="s">
        <v>47</v>
      </c>
      <c r="Y3546" t="s">
        <v>12879</v>
      </c>
      <c r="AG3546" t="s">
        <v>48</v>
      </c>
    </row>
    <row r="3547" spans="1:33">
      <c r="A3547" t="s">
        <v>12880</v>
      </c>
      <c r="B3547" t="s">
        <v>12881</v>
      </c>
      <c r="D3547" t="s">
        <v>40</v>
      </c>
      <c r="E3547" t="s">
        <v>41</v>
      </c>
      <c r="J3547" t="s">
        <v>69</v>
      </c>
      <c r="K3547" t="s">
        <v>70</v>
      </c>
      <c r="L3547">
        <v>5</v>
      </c>
      <c r="M3547" t="s">
        <v>12882</v>
      </c>
      <c r="N3547" t="s">
        <v>192</v>
      </c>
      <c r="O3547" t="s">
        <v>47</v>
      </c>
      <c r="P3547" t="s">
        <v>47</v>
      </c>
      <c r="Y3547" t="s">
        <v>12883</v>
      </c>
      <c r="AG3547" t="s">
        <v>48</v>
      </c>
    </row>
    <row r="3548" spans="1:33">
      <c r="A3548" t="s">
        <v>12884</v>
      </c>
      <c r="B3548" t="s">
        <v>12885</v>
      </c>
      <c r="D3548" t="s">
        <v>40</v>
      </c>
      <c r="E3548" t="s">
        <v>41</v>
      </c>
      <c r="J3548" t="s">
        <v>162</v>
      </c>
      <c r="K3548" t="s">
        <v>163</v>
      </c>
      <c r="L3548">
        <v>5</v>
      </c>
      <c r="M3548" t="s">
        <v>12886</v>
      </c>
      <c r="N3548" t="s">
        <v>59</v>
      </c>
      <c r="O3548" t="s">
        <v>47</v>
      </c>
      <c r="P3548" t="s">
        <v>47</v>
      </c>
      <c r="Y3548" t="s">
        <v>12887</v>
      </c>
      <c r="AG3548" t="s">
        <v>48</v>
      </c>
    </row>
    <row r="3549" spans="1:33">
      <c r="A3549" t="s">
        <v>12888</v>
      </c>
      <c r="B3549" t="s">
        <v>12889</v>
      </c>
      <c r="D3549" t="s">
        <v>40</v>
      </c>
      <c r="E3549" t="s">
        <v>41</v>
      </c>
      <c r="J3549" t="s">
        <v>290</v>
      </c>
      <c r="K3549" t="s">
        <v>291</v>
      </c>
      <c r="L3549">
        <v>5</v>
      </c>
      <c r="M3549" t="s">
        <v>12890</v>
      </c>
      <c r="N3549" t="s">
        <v>59</v>
      </c>
      <c r="O3549" t="s">
        <v>47</v>
      </c>
      <c r="P3549" t="s">
        <v>47</v>
      </c>
      <c r="Y3549" t="s">
        <v>12891</v>
      </c>
      <c r="AG3549" t="s">
        <v>48</v>
      </c>
    </row>
    <row r="3550" spans="1:33">
      <c r="A3550" t="s">
        <v>12892</v>
      </c>
      <c r="B3550" t="s">
        <v>12893</v>
      </c>
      <c r="D3550" t="s">
        <v>40</v>
      </c>
      <c r="E3550" t="s">
        <v>41</v>
      </c>
      <c r="J3550" t="s">
        <v>290</v>
      </c>
      <c r="K3550" t="s">
        <v>291</v>
      </c>
      <c r="L3550">
        <v>5</v>
      </c>
      <c r="M3550" t="s">
        <v>12894</v>
      </c>
      <c r="N3550" t="s">
        <v>59</v>
      </c>
      <c r="O3550" t="s">
        <v>47</v>
      </c>
      <c r="P3550" t="s">
        <v>47</v>
      </c>
      <c r="Y3550" t="s">
        <v>12895</v>
      </c>
      <c r="AG3550" t="s">
        <v>48</v>
      </c>
    </row>
    <row r="3551" spans="1:33">
      <c r="A3551" t="s">
        <v>12896</v>
      </c>
      <c r="B3551" t="s">
        <v>12897</v>
      </c>
      <c r="D3551" t="s">
        <v>40</v>
      </c>
      <c r="E3551" t="s">
        <v>41</v>
      </c>
      <c r="J3551" t="s">
        <v>162</v>
      </c>
      <c r="K3551" t="s">
        <v>163</v>
      </c>
      <c r="L3551">
        <v>5</v>
      </c>
      <c r="M3551" t="s">
        <v>12898</v>
      </c>
      <c r="N3551" t="s">
        <v>59</v>
      </c>
      <c r="O3551" t="s">
        <v>47</v>
      </c>
      <c r="P3551" t="s">
        <v>47</v>
      </c>
      <c r="Y3551" t="s">
        <v>12899</v>
      </c>
      <c r="AG3551" t="s">
        <v>48</v>
      </c>
    </row>
    <row r="3552" spans="1:33">
      <c r="A3552" t="s">
        <v>12900</v>
      </c>
      <c r="B3552" t="s">
        <v>12901</v>
      </c>
      <c r="D3552" t="s">
        <v>40</v>
      </c>
      <c r="E3552" t="s">
        <v>41</v>
      </c>
      <c r="J3552" t="s">
        <v>290</v>
      </c>
      <c r="K3552" t="s">
        <v>291</v>
      </c>
      <c r="L3552">
        <v>5</v>
      </c>
      <c r="M3552" t="s">
        <v>12898</v>
      </c>
      <c r="N3552" t="s">
        <v>59</v>
      </c>
      <c r="O3552" t="s">
        <v>47</v>
      </c>
      <c r="P3552" t="s">
        <v>47</v>
      </c>
      <c r="Y3552" t="s">
        <v>12902</v>
      </c>
      <c r="AG3552" t="s">
        <v>48</v>
      </c>
    </row>
    <row r="3553" spans="1:33">
      <c r="A3553" t="s">
        <v>12903</v>
      </c>
      <c r="B3553" t="s">
        <v>12904</v>
      </c>
      <c r="D3553" t="s">
        <v>40</v>
      </c>
      <c r="E3553" t="s">
        <v>41</v>
      </c>
      <c r="J3553" t="s">
        <v>129</v>
      </c>
      <c r="K3553" t="s">
        <v>130</v>
      </c>
      <c r="L3553">
        <v>5</v>
      </c>
      <c r="M3553" t="s">
        <v>12898</v>
      </c>
      <c r="N3553" t="s">
        <v>218</v>
      </c>
      <c r="O3553" t="s">
        <v>47</v>
      </c>
      <c r="P3553" t="s">
        <v>47</v>
      </c>
      <c r="Y3553" t="s">
        <v>12905</v>
      </c>
      <c r="AG3553" t="s">
        <v>48</v>
      </c>
    </row>
    <row r="3554" spans="1:33">
      <c r="A3554" t="s">
        <v>12906</v>
      </c>
      <c r="B3554" t="s">
        <v>12907</v>
      </c>
      <c r="D3554" t="s">
        <v>40</v>
      </c>
      <c r="E3554" t="s">
        <v>41</v>
      </c>
      <c r="H3554" t="s">
        <v>12908</v>
      </c>
      <c r="J3554" t="s">
        <v>63</v>
      </c>
      <c r="K3554" t="s">
        <v>64</v>
      </c>
      <c r="L3554">
        <v>5</v>
      </c>
      <c r="M3554" t="s">
        <v>12909</v>
      </c>
      <c r="N3554" t="s">
        <v>59</v>
      </c>
      <c r="O3554" t="s">
        <v>47</v>
      </c>
      <c r="P3554" t="s">
        <v>47</v>
      </c>
      <c r="Y3554" t="s">
        <v>12908</v>
      </c>
      <c r="AG3554" t="s">
        <v>48</v>
      </c>
    </row>
    <row r="3555" spans="1:33">
      <c r="A3555" t="s">
        <v>12910</v>
      </c>
      <c r="B3555" t="s">
        <v>12911</v>
      </c>
      <c r="D3555" t="s">
        <v>40</v>
      </c>
      <c r="E3555" t="s">
        <v>41</v>
      </c>
      <c r="H3555" t="s">
        <v>12912</v>
      </c>
      <c r="J3555" t="s">
        <v>63</v>
      </c>
      <c r="K3555" t="s">
        <v>64</v>
      </c>
      <c r="L3555">
        <v>5</v>
      </c>
      <c r="M3555" t="s">
        <v>12913</v>
      </c>
      <c r="N3555" t="s">
        <v>59</v>
      </c>
      <c r="O3555" t="s">
        <v>47</v>
      </c>
      <c r="P3555" t="s">
        <v>47</v>
      </c>
      <c r="Y3555" t="s">
        <v>12912</v>
      </c>
      <c r="AG3555" t="s">
        <v>48</v>
      </c>
    </row>
    <row r="3556" spans="1:33">
      <c r="A3556" t="s">
        <v>12914</v>
      </c>
      <c r="B3556" t="s">
        <v>12915</v>
      </c>
      <c r="D3556" t="s">
        <v>40</v>
      </c>
      <c r="E3556" t="s">
        <v>41</v>
      </c>
      <c r="J3556" t="s">
        <v>290</v>
      </c>
      <c r="K3556" t="s">
        <v>291</v>
      </c>
      <c r="L3556">
        <v>5</v>
      </c>
      <c r="M3556" t="s">
        <v>12916</v>
      </c>
      <c r="N3556" t="s">
        <v>59</v>
      </c>
      <c r="O3556" t="s">
        <v>47</v>
      </c>
      <c r="P3556" t="s">
        <v>47</v>
      </c>
      <c r="Y3556" t="s">
        <v>12917</v>
      </c>
      <c r="AG3556" t="s">
        <v>48</v>
      </c>
    </row>
    <row r="3557" spans="1:33">
      <c r="A3557" t="s">
        <v>12918</v>
      </c>
      <c r="B3557" t="s">
        <v>12919</v>
      </c>
      <c r="D3557" t="s">
        <v>40</v>
      </c>
      <c r="E3557" t="s">
        <v>41</v>
      </c>
      <c r="J3557" t="s">
        <v>290</v>
      </c>
      <c r="K3557" t="s">
        <v>291</v>
      </c>
      <c r="L3557">
        <v>5</v>
      </c>
      <c r="M3557" t="s">
        <v>12916</v>
      </c>
      <c r="N3557" t="s">
        <v>59</v>
      </c>
      <c r="O3557" t="s">
        <v>47</v>
      </c>
      <c r="P3557" t="s">
        <v>47</v>
      </c>
      <c r="Y3557" t="s">
        <v>12920</v>
      </c>
      <c r="AG3557" t="s">
        <v>48</v>
      </c>
    </row>
    <row r="3558" spans="1:33">
      <c r="A3558" t="s">
        <v>12921</v>
      </c>
      <c r="B3558" t="s">
        <v>12922</v>
      </c>
      <c r="D3558" t="s">
        <v>40</v>
      </c>
      <c r="E3558" t="s">
        <v>41</v>
      </c>
      <c r="J3558" t="s">
        <v>129</v>
      </c>
      <c r="K3558" t="s">
        <v>130</v>
      </c>
      <c r="L3558">
        <v>5</v>
      </c>
      <c r="M3558" t="s">
        <v>12916</v>
      </c>
      <c r="N3558" t="s">
        <v>192</v>
      </c>
      <c r="O3558" t="s">
        <v>47</v>
      </c>
      <c r="P3558" t="s">
        <v>47</v>
      </c>
      <c r="Y3558" t="s">
        <v>12923</v>
      </c>
      <c r="AG3558" t="s">
        <v>48</v>
      </c>
    </row>
    <row r="3559" spans="1:33">
      <c r="A3559" t="s">
        <v>12924</v>
      </c>
      <c r="B3559" t="s">
        <v>12925</v>
      </c>
      <c r="D3559" t="s">
        <v>40</v>
      </c>
      <c r="E3559" t="s">
        <v>41</v>
      </c>
      <c r="H3559" t="s">
        <v>12926</v>
      </c>
      <c r="J3559" t="s">
        <v>129</v>
      </c>
      <c r="K3559" t="s">
        <v>130</v>
      </c>
      <c r="L3559">
        <v>5</v>
      </c>
      <c r="M3559" t="s">
        <v>12927</v>
      </c>
      <c r="N3559" t="s">
        <v>192</v>
      </c>
      <c r="O3559" t="s">
        <v>47</v>
      </c>
      <c r="P3559" t="s">
        <v>47</v>
      </c>
      <c r="Y3559" t="s">
        <v>12926</v>
      </c>
      <c r="AG3559" t="s">
        <v>48</v>
      </c>
    </row>
    <row r="3560" spans="1:33">
      <c r="A3560" t="s">
        <v>12928</v>
      </c>
      <c r="B3560" t="s">
        <v>12929</v>
      </c>
      <c r="D3560" t="s">
        <v>40</v>
      </c>
      <c r="E3560" t="s">
        <v>41</v>
      </c>
      <c r="J3560" t="s">
        <v>108</v>
      </c>
      <c r="K3560" t="s">
        <v>109</v>
      </c>
      <c r="L3560">
        <v>5</v>
      </c>
      <c r="M3560" t="s">
        <v>12930</v>
      </c>
      <c r="N3560" t="s">
        <v>59</v>
      </c>
      <c r="O3560" t="s">
        <v>47</v>
      </c>
      <c r="P3560" t="s">
        <v>47</v>
      </c>
      <c r="Y3560" t="s">
        <v>12931</v>
      </c>
      <c r="AG3560" t="s">
        <v>48</v>
      </c>
    </row>
    <row r="3561" spans="1:33">
      <c r="A3561" t="s">
        <v>12932</v>
      </c>
      <c r="B3561" t="s">
        <v>12933</v>
      </c>
      <c r="D3561" t="s">
        <v>40</v>
      </c>
      <c r="E3561" t="s">
        <v>41</v>
      </c>
      <c r="J3561" t="s">
        <v>270</v>
      </c>
      <c r="K3561" t="s">
        <v>271</v>
      </c>
      <c r="L3561">
        <v>5</v>
      </c>
      <c r="M3561" t="s">
        <v>12934</v>
      </c>
      <c r="N3561" t="s">
        <v>59</v>
      </c>
      <c r="O3561" t="s">
        <v>47</v>
      </c>
      <c r="P3561" t="s">
        <v>47</v>
      </c>
      <c r="Y3561" t="s">
        <v>12935</v>
      </c>
      <c r="AG3561" t="s">
        <v>48</v>
      </c>
    </row>
    <row r="3562" spans="1:33">
      <c r="A3562" t="s">
        <v>12936</v>
      </c>
      <c r="B3562" t="s">
        <v>12937</v>
      </c>
      <c r="D3562" t="s">
        <v>40</v>
      </c>
      <c r="E3562" t="s">
        <v>41</v>
      </c>
      <c r="J3562" t="s">
        <v>290</v>
      </c>
      <c r="K3562" t="s">
        <v>291</v>
      </c>
      <c r="L3562">
        <v>5</v>
      </c>
      <c r="M3562" t="s">
        <v>12938</v>
      </c>
      <c r="N3562" t="s">
        <v>59</v>
      </c>
      <c r="O3562" t="s">
        <v>47</v>
      </c>
      <c r="P3562" t="s">
        <v>47</v>
      </c>
      <c r="Y3562" t="s">
        <v>12939</v>
      </c>
      <c r="AG3562" t="s">
        <v>48</v>
      </c>
    </row>
    <row r="3563" spans="1:33">
      <c r="A3563" t="s">
        <v>12940</v>
      </c>
      <c r="B3563" t="s">
        <v>12941</v>
      </c>
      <c r="D3563" t="s">
        <v>40</v>
      </c>
      <c r="E3563" t="s">
        <v>41</v>
      </c>
      <c r="J3563" t="s">
        <v>270</v>
      </c>
      <c r="K3563" t="s">
        <v>271</v>
      </c>
      <c r="L3563">
        <v>5</v>
      </c>
      <c r="M3563" t="s">
        <v>12942</v>
      </c>
      <c r="N3563" t="s">
        <v>59</v>
      </c>
      <c r="O3563" t="s">
        <v>47</v>
      </c>
      <c r="P3563" t="s">
        <v>47</v>
      </c>
      <c r="Y3563" t="s">
        <v>12943</v>
      </c>
      <c r="AG3563" t="s">
        <v>48</v>
      </c>
    </row>
    <row r="3564" spans="1:33">
      <c r="A3564" t="s">
        <v>12944</v>
      </c>
      <c r="B3564" t="s">
        <v>12945</v>
      </c>
      <c r="D3564" t="s">
        <v>40</v>
      </c>
      <c r="E3564" t="s">
        <v>41</v>
      </c>
      <c r="J3564" t="s">
        <v>162</v>
      </c>
      <c r="K3564" t="s">
        <v>163</v>
      </c>
      <c r="L3564">
        <v>5</v>
      </c>
      <c r="M3564" t="s">
        <v>12946</v>
      </c>
      <c r="N3564" t="s">
        <v>59</v>
      </c>
      <c r="O3564" t="s">
        <v>47</v>
      </c>
      <c r="P3564" t="s">
        <v>47</v>
      </c>
      <c r="Y3564" t="s">
        <v>12947</v>
      </c>
      <c r="AG3564" t="s">
        <v>48</v>
      </c>
    </row>
    <row r="3565" spans="1:33">
      <c r="A3565" t="s">
        <v>12948</v>
      </c>
      <c r="B3565" t="s">
        <v>12949</v>
      </c>
      <c r="D3565" t="s">
        <v>40</v>
      </c>
      <c r="E3565" t="s">
        <v>41</v>
      </c>
      <c r="J3565" t="s">
        <v>162</v>
      </c>
      <c r="K3565" t="s">
        <v>163</v>
      </c>
      <c r="L3565">
        <v>5</v>
      </c>
      <c r="M3565" t="s">
        <v>12946</v>
      </c>
      <c r="N3565" t="s">
        <v>59</v>
      </c>
      <c r="O3565" t="s">
        <v>47</v>
      </c>
      <c r="P3565" t="s">
        <v>47</v>
      </c>
      <c r="Y3565" t="s">
        <v>12950</v>
      </c>
      <c r="AG3565" t="s">
        <v>48</v>
      </c>
    </row>
    <row r="3566" spans="1:33">
      <c r="A3566" t="s">
        <v>12951</v>
      </c>
      <c r="B3566" t="s">
        <v>12952</v>
      </c>
      <c r="D3566" t="s">
        <v>40</v>
      </c>
      <c r="E3566" t="s">
        <v>41</v>
      </c>
      <c r="J3566" t="s">
        <v>270</v>
      </c>
      <c r="K3566" t="s">
        <v>271</v>
      </c>
      <c r="L3566">
        <v>5</v>
      </c>
      <c r="M3566" t="s">
        <v>12953</v>
      </c>
      <c r="N3566" t="s">
        <v>59</v>
      </c>
      <c r="O3566" t="s">
        <v>47</v>
      </c>
      <c r="P3566" t="s">
        <v>47</v>
      </c>
      <c r="Y3566" t="s">
        <v>12954</v>
      </c>
      <c r="AG3566" t="s">
        <v>48</v>
      </c>
    </row>
    <row r="3567" spans="1:33">
      <c r="A3567" t="s">
        <v>12955</v>
      </c>
      <c r="B3567" t="s">
        <v>12956</v>
      </c>
      <c r="D3567" t="s">
        <v>40</v>
      </c>
      <c r="E3567" t="s">
        <v>41</v>
      </c>
      <c r="J3567" t="s">
        <v>162</v>
      </c>
      <c r="K3567" t="s">
        <v>163</v>
      </c>
      <c r="L3567">
        <v>5</v>
      </c>
      <c r="M3567" t="s">
        <v>12957</v>
      </c>
      <c r="N3567" t="s">
        <v>59</v>
      </c>
      <c r="O3567" t="s">
        <v>47</v>
      </c>
      <c r="P3567" t="s">
        <v>47</v>
      </c>
      <c r="Y3567" t="s">
        <v>12958</v>
      </c>
      <c r="AG3567" t="s">
        <v>48</v>
      </c>
    </row>
    <row r="3568" spans="1:33">
      <c r="A3568" t="s">
        <v>12959</v>
      </c>
      <c r="B3568" t="s">
        <v>12960</v>
      </c>
      <c r="D3568" t="s">
        <v>40</v>
      </c>
      <c r="E3568" t="s">
        <v>41</v>
      </c>
      <c r="J3568" t="s">
        <v>290</v>
      </c>
      <c r="K3568" t="s">
        <v>291</v>
      </c>
      <c r="L3568">
        <v>5</v>
      </c>
      <c r="M3568" t="s">
        <v>12957</v>
      </c>
      <c r="N3568" t="s">
        <v>59</v>
      </c>
      <c r="O3568" t="s">
        <v>47</v>
      </c>
      <c r="P3568" t="s">
        <v>47</v>
      </c>
      <c r="Y3568" t="s">
        <v>12961</v>
      </c>
      <c r="AG3568" t="s">
        <v>48</v>
      </c>
    </row>
    <row r="3569" spans="1:33">
      <c r="A3569" t="s">
        <v>12962</v>
      </c>
      <c r="B3569" t="s">
        <v>12963</v>
      </c>
      <c r="D3569" t="s">
        <v>40</v>
      </c>
      <c r="E3569" t="s">
        <v>41</v>
      </c>
      <c r="J3569" t="s">
        <v>123</v>
      </c>
      <c r="K3569" t="s">
        <v>124</v>
      </c>
      <c r="L3569">
        <v>5</v>
      </c>
      <c r="M3569" t="s">
        <v>12957</v>
      </c>
      <c r="N3569" t="s">
        <v>192</v>
      </c>
      <c r="O3569" t="s">
        <v>47</v>
      </c>
      <c r="P3569" t="s">
        <v>47</v>
      </c>
      <c r="Y3569" t="s">
        <v>12964</v>
      </c>
      <c r="AG3569" t="s">
        <v>48</v>
      </c>
    </row>
    <row r="3570" spans="1:33">
      <c r="A3570" t="s">
        <v>12965</v>
      </c>
      <c r="B3570" t="s">
        <v>12966</v>
      </c>
      <c r="D3570" t="s">
        <v>40</v>
      </c>
      <c r="E3570" t="s">
        <v>41</v>
      </c>
      <c r="J3570" t="s">
        <v>290</v>
      </c>
      <c r="K3570" t="s">
        <v>291</v>
      </c>
      <c r="L3570">
        <v>5</v>
      </c>
      <c r="M3570" t="s">
        <v>12957</v>
      </c>
      <c r="N3570" t="s">
        <v>59</v>
      </c>
      <c r="O3570" t="s">
        <v>47</v>
      </c>
      <c r="P3570" t="s">
        <v>47</v>
      </c>
      <c r="Y3570" t="s">
        <v>12967</v>
      </c>
      <c r="AG3570" t="s">
        <v>48</v>
      </c>
    </row>
    <row r="3571" spans="1:33">
      <c r="A3571" t="s">
        <v>12968</v>
      </c>
      <c r="B3571" t="s">
        <v>12969</v>
      </c>
      <c r="D3571" t="s">
        <v>40</v>
      </c>
      <c r="E3571" t="s">
        <v>41</v>
      </c>
      <c r="J3571" t="s">
        <v>270</v>
      </c>
      <c r="K3571" t="s">
        <v>271</v>
      </c>
      <c r="L3571">
        <v>5</v>
      </c>
      <c r="M3571" t="s">
        <v>12970</v>
      </c>
      <c r="N3571" t="s">
        <v>59</v>
      </c>
      <c r="O3571" t="s">
        <v>47</v>
      </c>
      <c r="P3571" t="s">
        <v>47</v>
      </c>
      <c r="Y3571" t="s">
        <v>12971</v>
      </c>
      <c r="AG3571" t="s">
        <v>48</v>
      </c>
    </row>
    <row r="3572" spans="1:33">
      <c r="A3572" t="s">
        <v>12972</v>
      </c>
      <c r="B3572" t="s">
        <v>12973</v>
      </c>
      <c r="D3572" t="s">
        <v>40</v>
      </c>
      <c r="E3572" t="s">
        <v>41</v>
      </c>
      <c r="J3572" t="s">
        <v>270</v>
      </c>
      <c r="K3572" t="s">
        <v>271</v>
      </c>
      <c r="L3572">
        <v>5</v>
      </c>
      <c r="M3572" t="s">
        <v>12970</v>
      </c>
      <c r="N3572" t="s">
        <v>59</v>
      </c>
      <c r="O3572" t="s">
        <v>47</v>
      </c>
      <c r="P3572" t="s">
        <v>47</v>
      </c>
      <c r="Y3572" t="s">
        <v>12974</v>
      </c>
      <c r="AG3572" t="s">
        <v>48</v>
      </c>
    </row>
    <row r="3573" spans="1:33">
      <c r="A3573" t="s">
        <v>12975</v>
      </c>
      <c r="B3573" t="s">
        <v>12976</v>
      </c>
      <c r="D3573" t="s">
        <v>40</v>
      </c>
      <c r="E3573" t="s">
        <v>41</v>
      </c>
      <c r="J3573" t="s">
        <v>290</v>
      </c>
      <c r="K3573" t="s">
        <v>291</v>
      </c>
      <c r="L3573">
        <v>5</v>
      </c>
      <c r="M3573" t="s">
        <v>12970</v>
      </c>
      <c r="N3573" t="s">
        <v>59</v>
      </c>
      <c r="O3573" t="s">
        <v>47</v>
      </c>
      <c r="P3573" t="s">
        <v>47</v>
      </c>
      <c r="Y3573" t="s">
        <v>12977</v>
      </c>
      <c r="AG3573" t="s">
        <v>48</v>
      </c>
    </row>
    <row r="3574" spans="1:33">
      <c r="A3574" t="s">
        <v>12978</v>
      </c>
      <c r="B3574" t="s">
        <v>12979</v>
      </c>
      <c r="D3574" t="s">
        <v>40</v>
      </c>
      <c r="E3574" t="s">
        <v>41</v>
      </c>
      <c r="J3574" t="s">
        <v>1052</v>
      </c>
      <c r="K3574" t="s">
        <v>1053</v>
      </c>
      <c r="L3574">
        <v>5</v>
      </c>
      <c r="M3574" t="s">
        <v>12970</v>
      </c>
      <c r="N3574" t="s">
        <v>218</v>
      </c>
      <c r="O3574" t="s">
        <v>47</v>
      </c>
      <c r="P3574" t="s">
        <v>47</v>
      </c>
      <c r="Y3574" t="s">
        <v>12980</v>
      </c>
      <c r="AG3574" t="s">
        <v>48</v>
      </c>
    </row>
    <row r="3575" spans="1:33">
      <c r="A3575" t="s">
        <v>12981</v>
      </c>
      <c r="B3575" t="s">
        <v>12982</v>
      </c>
      <c r="D3575" t="s">
        <v>40</v>
      </c>
      <c r="E3575" t="s">
        <v>41</v>
      </c>
      <c r="J3575" t="s">
        <v>270</v>
      </c>
      <c r="K3575" t="s">
        <v>271</v>
      </c>
      <c r="L3575">
        <v>5</v>
      </c>
      <c r="M3575" t="s">
        <v>12983</v>
      </c>
      <c r="N3575" t="s">
        <v>59</v>
      </c>
      <c r="O3575" t="s">
        <v>47</v>
      </c>
      <c r="P3575" t="s">
        <v>47</v>
      </c>
      <c r="Y3575" t="s">
        <v>12984</v>
      </c>
      <c r="AG3575" t="s">
        <v>48</v>
      </c>
    </row>
    <row r="3576" spans="1:33">
      <c r="A3576" t="s">
        <v>12985</v>
      </c>
      <c r="B3576" t="s">
        <v>12986</v>
      </c>
      <c r="D3576" t="s">
        <v>40</v>
      </c>
      <c r="E3576" t="s">
        <v>41</v>
      </c>
      <c r="J3576" t="s">
        <v>290</v>
      </c>
      <c r="K3576" t="s">
        <v>291</v>
      </c>
      <c r="L3576">
        <v>5</v>
      </c>
      <c r="M3576" t="s">
        <v>12987</v>
      </c>
      <c r="N3576" t="s">
        <v>59</v>
      </c>
      <c r="O3576" t="s">
        <v>47</v>
      </c>
      <c r="P3576" t="s">
        <v>47</v>
      </c>
      <c r="Y3576" t="s">
        <v>12988</v>
      </c>
      <c r="AG3576" t="s">
        <v>48</v>
      </c>
    </row>
    <row r="3577" spans="1:33">
      <c r="A3577" t="s">
        <v>12989</v>
      </c>
      <c r="B3577" t="s">
        <v>12990</v>
      </c>
      <c r="D3577" t="s">
        <v>40</v>
      </c>
      <c r="E3577" t="s">
        <v>41</v>
      </c>
      <c r="J3577" t="s">
        <v>86</v>
      </c>
      <c r="K3577" t="s">
        <v>87</v>
      </c>
      <c r="L3577">
        <v>5</v>
      </c>
      <c r="M3577" t="s">
        <v>12987</v>
      </c>
      <c r="N3577" t="s">
        <v>192</v>
      </c>
      <c r="O3577" t="s">
        <v>47</v>
      </c>
      <c r="P3577" t="s">
        <v>47</v>
      </c>
      <c r="Y3577" t="s">
        <v>12991</v>
      </c>
      <c r="AG3577" t="s">
        <v>48</v>
      </c>
    </row>
    <row r="3578" spans="1:33">
      <c r="A3578" t="s">
        <v>12992</v>
      </c>
      <c r="B3578" t="s">
        <v>12993</v>
      </c>
      <c r="D3578" t="s">
        <v>40</v>
      </c>
      <c r="E3578" t="s">
        <v>41</v>
      </c>
      <c r="J3578" t="s">
        <v>290</v>
      </c>
      <c r="K3578" t="s">
        <v>291</v>
      </c>
      <c r="L3578">
        <v>5</v>
      </c>
      <c r="M3578" t="s">
        <v>12987</v>
      </c>
      <c r="N3578" t="s">
        <v>59</v>
      </c>
      <c r="O3578" t="s">
        <v>47</v>
      </c>
      <c r="P3578" t="s">
        <v>47</v>
      </c>
      <c r="Y3578" t="s">
        <v>12994</v>
      </c>
      <c r="AG3578" t="s">
        <v>48</v>
      </c>
    </row>
    <row r="3579" spans="1:33">
      <c r="A3579" t="s">
        <v>12995</v>
      </c>
      <c r="B3579" t="s">
        <v>12996</v>
      </c>
      <c r="D3579" t="s">
        <v>40</v>
      </c>
      <c r="E3579" t="s">
        <v>41</v>
      </c>
      <c r="J3579" t="s">
        <v>162</v>
      </c>
      <c r="K3579" t="s">
        <v>163</v>
      </c>
      <c r="L3579">
        <v>5</v>
      </c>
      <c r="M3579" t="s">
        <v>12987</v>
      </c>
      <c r="N3579" t="s">
        <v>59</v>
      </c>
      <c r="O3579" t="s">
        <v>47</v>
      </c>
      <c r="P3579" t="s">
        <v>47</v>
      </c>
      <c r="Y3579" t="s">
        <v>12997</v>
      </c>
      <c r="AG3579" t="s">
        <v>48</v>
      </c>
    </row>
    <row r="3580" spans="1:33">
      <c r="A3580" t="s">
        <v>12998</v>
      </c>
      <c r="B3580" t="s">
        <v>12999</v>
      </c>
      <c r="D3580" t="s">
        <v>40</v>
      </c>
      <c r="E3580" t="s">
        <v>41</v>
      </c>
      <c r="J3580" t="s">
        <v>108</v>
      </c>
      <c r="K3580" t="s">
        <v>109</v>
      </c>
      <c r="L3580">
        <v>5</v>
      </c>
      <c r="M3580" t="s">
        <v>13000</v>
      </c>
      <c r="N3580" t="s">
        <v>59</v>
      </c>
      <c r="O3580" t="s">
        <v>47</v>
      </c>
      <c r="P3580" t="s">
        <v>47</v>
      </c>
      <c r="Y3580" t="s">
        <v>13001</v>
      </c>
      <c r="AG3580" t="s">
        <v>48</v>
      </c>
    </row>
    <row r="3581" spans="1:33">
      <c r="A3581" t="s">
        <v>13002</v>
      </c>
      <c r="B3581" t="s">
        <v>13003</v>
      </c>
      <c r="D3581" t="s">
        <v>40</v>
      </c>
      <c r="E3581" t="s">
        <v>41</v>
      </c>
      <c r="J3581" t="s">
        <v>1418</v>
      </c>
      <c r="K3581" t="s">
        <v>1419</v>
      </c>
      <c r="L3581">
        <v>5</v>
      </c>
      <c r="M3581" t="s">
        <v>13000</v>
      </c>
      <c r="N3581" t="s">
        <v>218</v>
      </c>
      <c r="O3581" t="s">
        <v>47</v>
      </c>
      <c r="P3581" t="s">
        <v>47</v>
      </c>
      <c r="Y3581" t="s">
        <v>13004</v>
      </c>
      <c r="AG3581" t="s">
        <v>48</v>
      </c>
    </row>
    <row r="3582" spans="1:33">
      <c r="A3582" t="s">
        <v>13005</v>
      </c>
      <c r="B3582" t="s">
        <v>13006</v>
      </c>
      <c r="D3582" t="s">
        <v>40</v>
      </c>
      <c r="E3582" t="s">
        <v>41</v>
      </c>
      <c r="J3582" t="s">
        <v>290</v>
      </c>
      <c r="K3582" t="s">
        <v>291</v>
      </c>
      <c r="L3582">
        <v>5</v>
      </c>
      <c r="M3582" t="s">
        <v>13000</v>
      </c>
      <c r="N3582" t="s">
        <v>59</v>
      </c>
      <c r="O3582" t="s">
        <v>47</v>
      </c>
      <c r="P3582" t="s">
        <v>47</v>
      </c>
      <c r="Y3582" t="s">
        <v>13007</v>
      </c>
      <c r="AG3582" t="s">
        <v>48</v>
      </c>
    </row>
    <row r="3583" spans="1:33">
      <c r="A3583" t="s">
        <v>13008</v>
      </c>
      <c r="B3583" t="s">
        <v>13009</v>
      </c>
      <c r="D3583" t="s">
        <v>40</v>
      </c>
      <c r="E3583" t="s">
        <v>41</v>
      </c>
      <c r="J3583" t="s">
        <v>290</v>
      </c>
      <c r="K3583" t="s">
        <v>291</v>
      </c>
      <c r="L3583">
        <v>5</v>
      </c>
      <c r="M3583" t="s">
        <v>13000</v>
      </c>
      <c r="N3583" t="s">
        <v>59</v>
      </c>
      <c r="O3583" t="s">
        <v>47</v>
      </c>
      <c r="P3583" t="s">
        <v>47</v>
      </c>
      <c r="Y3583" t="s">
        <v>13010</v>
      </c>
      <c r="AG3583" t="s">
        <v>48</v>
      </c>
    </row>
    <row r="3584" spans="1:33">
      <c r="A3584" t="s">
        <v>13011</v>
      </c>
      <c r="B3584" t="s">
        <v>13012</v>
      </c>
      <c r="D3584" t="s">
        <v>40</v>
      </c>
      <c r="E3584" t="s">
        <v>41</v>
      </c>
      <c r="J3584" t="s">
        <v>114</v>
      </c>
      <c r="K3584" t="s">
        <v>115</v>
      </c>
      <c r="L3584">
        <v>5</v>
      </c>
      <c r="M3584" t="s">
        <v>13013</v>
      </c>
      <c r="N3584" t="s">
        <v>59</v>
      </c>
      <c r="O3584" t="s">
        <v>47</v>
      </c>
      <c r="P3584" t="s">
        <v>47</v>
      </c>
      <c r="Y3584" t="s">
        <v>13014</v>
      </c>
      <c r="AG3584" t="s">
        <v>48</v>
      </c>
    </row>
    <row r="3585" spans="1:33">
      <c r="A3585" t="s">
        <v>13015</v>
      </c>
      <c r="B3585" t="s">
        <v>13016</v>
      </c>
      <c r="D3585" t="s">
        <v>40</v>
      </c>
      <c r="E3585" t="s">
        <v>41</v>
      </c>
      <c r="J3585" t="s">
        <v>162</v>
      </c>
      <c r="K3585" t="s">
        <v>163</v>
      </c>
      <c r="L3585">
        <v>5</v>
      </c>
      <c r="M3585" t="s">
        <v>13017</v>
      </c>
      <c r="N3585" t="s">
        <v>59</v>
      </c>
      <c r="O3585" t="s">
        <v>47</v>
      </c>
      <c r="P3585" t="s">
        <v>47</v>
      </c>
      <c r="Y3585" t="s">
        <v>13018</v>
      </c>
      <c r="AG3585" t="s">
        <v>48</v>
      </c>
    </row>
    <row r="3586" spans="1:33">
      <c r="A3586" t="s">
        <v>13019</v>
      </c>
      <c r="B3586" t="s">
        <v>13020</v>
      </c>
      <c r="D3586" t="s">
        <v>40</v>
      </c>
      <c r="E3586" t="s">
        <v>41</v>
      </c>
      <c r="J3586" t="s">
        <v>162</v>
      </c>
      <c r="K3586" t="s">
        <v>163</v>
      </c>
      <c r="L3586">
        <v>5</v>
      </c>
      <c r="M3586" t="s">
        <v>13021</v>
      </c>
      <c r="N3586" t="s">
        <v>59</v>
      </c>
      <c r="O3586" t="s">
        <v>47</v>
      </c>
      <c r="P3586" t="s">
        <v>47</v>
      </c>
      <c r="Y3586" t="s">
        <v>13022</v>
      </c>
      <c r="AG3586" t="s">
        <v>48</v>
      </c>
    </row>
    <row r="3587" spans="1:33">
      <c r="A3587" t="s">
        <v>13023</v>
      </c>
      <c r="B3587" t="s">
        <v>13024</v>
      </c>
      <c r="D3587" t="s">
        <v>40</v>
      </c>
      <c r="E3587" t="s">
        <v>41</v>
      </c>
      <c r="J3587" t="s">
        <v>129</v>
      </c>
      <c r="K3587" t="s">
        <v>130</v>
      </c>
      <c r="L3587">
        <v>5</v>
      </c>
      <c r="M3587" t="s">
        <v>13021</v>
      </c>
      <c r="N3587" t="s">
        <v>192</v>
      </c>
      <c r="O3587" t="s">
        <v>47</v>
      </c>
      <c r="P3587" t="s">
        <v>47</v>
      </c>
      <c r="Y3587" t="s">
        <v>13025</v>
      </c>
      <c r="AG3587" t="s">
        <v>48</v>
      </c>
    </row>
    <row r="3588" spans="1:33">
      <c r="A3588" t="s">
        <v>13026</v>
      </c>
      <c r="B3588" t="s">
        <v>13027</v>
      </c>
      <c r="D3588" t="s">
        <v>40</v>
      </c>
      <c r="E3588" t="s">
        <v>41</v>
      </c>
      <c r="H3588" t="s">
        <v>13028</v>
      </c>
      <c r="J3588" t="s">
        <v>63</v>
      </c>
      <c r="K3588" t="s">
        <v>64</v>
      </c>
      <c r="L3588">
        <v>5</v>
      </c>
      <c r="M3588" t="s">
        <v>13029</v>
      </c>
      <c r="N3588" t="s">
        <v>59</v>
      </c>
      <c r="O3588" t="s">
        <v>47</v>
      </c>
      <c r="P3588" t="s">
        <v>47</v>
      </c>
      <c r="Y3588" t="s">
        <v>13028</v>
      </c>
      <c r="AG3588" t="s">
        <v>48</v>
      </c>
    </row>
    <row r="3589" spans="1:33">
      <c r="A3589" t="s">
        <v>13030</v>
      </c>
      <c r="B3589" t="s">
        <v>13031</v>
      </c>
      <c r="D3589" t="s">
        <v>40</v>
      </c>
      <c r="E3589" t="s">
        <v>41</v>
      </c>
      <c r="J3589" t="s">
        <v>290</v>
      </c>
      <c r="K3589" t="s">
        <v>291</v>
      </c>
      <c r="L3589">
        <v>5</v>
      </c>
      <c r="M3589" t="s">
        <v>13032</v>
      </c>
      <c r="N3589" t="s">
        <v>59</v>
      </c>
      <c r="O3589" t="s">
        <v>47</v>
      </c>
      <c r="P3589" t="s">
        <v>47</v>
      </c>
      <c r="Y3589" t="s">
        <v>13033</v>
      </c>
      <c r="AG3589" t="s">
        <v>48</v>
      </c>
    </row>
    <row r="3590" spans="1:33">
      <c r="A3590" t="s">
        <v>13034</v>
      </c>
      <c r="B3590" t="s">
        <v>13035</v>
      </c>
      <c r="D3590" t="s">
        <v>40</v>
      </c>
      <c r="E3590" t="s">
        <v>41</v>
      </c>
      <c r="H3590" t="s">
        <v>13036</v>
      </c>
      <c r="J3590" t="s">
        <v>108</v>
      </c>
      <c r="K3590" t="s">
        <v>109</v>
      </c>
      <c r="L3590">
        <v>5</v>
      </c>
      <c r="M3590" t="s">
        <v>13037</v>
      </c>
      <c r="N3590" t="s">
        <v>192</v>
      </c>
      <c r="O3590" t="s">
        <v>47</v>
      </c>
      <c r="P3590" t="s">
        <v>47</v>
      </c>
      <c r="Y3590" t="s">
        <v>13036</v>
      </c>
      <c r="AG3590" t="s">
        <v>48</v>
      </c>
    </row>
    <row r="3591" spans="1:33">
      <c r="A3591" t="s">
        <v>13038</v>
      </c>
      <c r="B3591" t="s">
        <v>13039</v>
      </c>
      <c r="D3591" t="s">
        <v>40</v>
      </c>
      <c r="E3591" t="s">
        <v>41</v>
      </c>
      <c r="J3591" t="s">
        <v>290</v>
      </c>
      <c r="K3591" t="s">
        <v>291</v>
      </c>
      <c r="L3591">
        <v>5</v>
      </c>
      <c r="M3591" t="s">
        <v>13040</v>
      </c>
      <c r="N3591" t="s">
        <v>59</v>
      </c>
      <c r="O3591" t="s">
        <v>47</v>
      </c>
      <c r="P3591" t="s">
        <v>47</v>
      </c>
      <c r="Y3591" t="s">
        <v>13041</v>
      </c>
      <c r="AG3591" t="s">
        <v>48</v>
      </c>
    </row>
    <row r="3592" spans="1:33">
      <c r="A3592" t="s">
        <v>13042</v>
      </c>
      <c r="B3592" t="s">
        <v>13043</v>
      </c>
      <c r="D3592" t="s">
        <v>40</v>
      </c>
      <c r="E3592" t="s">
        <v>41</v>
      </c>
      <c r="J3592" t="s">
        <v>270</v>
      </c>
      <c r="K3592" t="s">
        <v>271</v>
      </c>
      <c r="L3592">
        <v>5</v>
      </c>
      <c r="M3592" t="s">
        <v>13040</v>
      </c>
      <c r="N3592" t="s">
        <v>59</v>
      </c>
      <c r="O3592" t="s">
        <v>47</v>
      </c>
      <c r="P3592" t="s">
        <v>47</v>
      </c>
      <c r="Y3592" t="s">
        <v>13044</v>
      </c>
      <c r="AG3592" t="s">
        <v>48</v>
      </c>
    </row>
    <row r="3593" spans="1:33">
      <c r="A3593" t="s">
        <v>13045</v>
      </c>
      <c r="B3593" t="s">
        <v>13046</v>
      </c>
      <c r="D3593" t="s">
        <v>40</v>
      </c>
      <c r="E3593" t="s">
        <v>41</v>
      </c>
      <c r="J3593" t="s">
        <v>290</v>
      </c>
      <c r="K3593" t="s">
        <v>291</v>
      </c>
      <c r="L3593">
        <v>5</v>
      </c>
      <c r="M3593" t="s">
        <v>13047</v>
      </c>
      <c r="N3593" t="s">
        <v>59</v>
      </c>
      <c r="O3593" t="s">
        <v>47</v>
      </c>
      <c r="P3593" t="s">
        <v>47</v>
      </c>
      <c r="Y3593" t="s">
        <v>13048</v>
      </c>
      <c r="AG3593" t="s">
        <v>48</v>
      </c>
    </row>
    <row r="3594" spans="1:33">
      <c r="A3594" t="s">
        <v>13049</v>
      </c>
      <c r="B3594" t="s">
        <v>13050</v>
      </c>
      <c r="D3594" t="s">
        <v>40</v>
      </c>
      <c r="E3594" t="s">
        <v>41</v>
      </c>
      <c r="J3594" t="s">
        <v>290</v>
      </c>
      <c r="K3594" t="s">
        <v>291</v>
      </c>
      <c r="L3594">
        <v>5</v>
      </c>
      <c r="M3594" t="s">
        <v>13047</v>
      </c>
      <c r="N3594" t="s">
        <v>59</v>
      </c>
      <c r="O3594" t="s">
        <v>47</v>
      </c>
      <c r="P3594" t="s">
        <v>47</v>
      </c>
      <c r="Y3594" t="s">
        <v>13051</v>
      </c>
      <c r="AG3594" t="s">
        <v>48</v>
      </c>
    </row>
    <row r="3595" spans="1:33">
      <c r="A3595" t="s">
        <v>13052</v>
      </c>
      <c r="B3595" t="s">
        <v>13053</v>
      </c>
      <c r="D3595" t="s">
        <v>40</v>
      </c>
      <c r="E3595" t="s">
        <v>41</v>
      </c>
      <c r="J3595" t="s">
        <v>1418</v>
      </c>
      <c r="K3595" t="s">
        <v>1419</v>
      </c>
      <c r="L3595">
        <v>5</v>
      </c>
      <c r="M3595" t="s">
        <v>13054</v>
      </c>
      <c r="N3595" t="s">
        <v>218</v>
      </c>
      <c r="O3595" t="s">
        <v>47</v>
      </c>
      <c r="P3595" t="s">
        <v>47</v>
      </c>
      <c r="Y3595" t="s">
        <v>13055</v>
      </c>
      <c r="AG3595" t="s">
        <v>48</v>
      </c>
    </row>
    <row r="3596" spans="1:33">
      <c r="A3596" t="s">
        <v>13056</v>
      </c>
      <c r="B3596" t="s">
        <v>13057</v>
      </c>
      <c r="D3596" t="s">
        <v>40</v>
      </c>
      <c r="E3596" t="s">
        <v>41</v>
      </c>
      <c r="J3596" t="s">
        <v>290</v>
      </c>
      <c r="K3596" t="s">
        <v>291</v>
      </c>
      <c r="L3596">
        <v>5</v>
      </c>
      <c r="M3596" t="s">
        <v>13058</v>
      </c>
      <c r="N3596" t="s">
        <v>59</v>
      </c>
      <c r="O3596" t="s">
        <v>47</v>
      </c>
      <c r="P3596" t="s">
        <v>47</v>
      </c>
      <c r="Y3596" t="s">
        <v>13059</v>
      </c>
      <c r="AG3596" t="s">
        <v>48</v>
      </c>
    </row>
    <row r="3597" spans="1:33">
      <c r="A3597" t="s">
        <v>13060</v>
      </c>
      <c r="B3597" t="s">
        <v>13061</v>
      </c>
      <c r="D3597" t="s">
        <v>40</v>
      </c>
      <c r="E3597" t="s">
        <v>41</v>
      </c>
      <c r="J3597" t="s">
        <v>129</v>
      </c>
      <c r="K3597" t="s">
        <v>130</v>
      </c>
      <c r="L3597">
        <v>5</v>
      </c>
      <c r="M3597" t="s">
        <v>13058</v>
      </c>
      <c r="N3597" t="s">
        <v>192</v>
      </c>
      <c r="O3597" t="s">
        <v>47</v>
      </c>
      <c r="P3597" t="s">
        <v>47</v>
      </c>
      <c r="Y3597" t="s">
        <v>13062</v>
      </c>
      <c r="AG3597" t="s">
        <v>48</v>
      </c>
    </row>
    <row r="3598" spans="1:33">
      <c r="A3598" t="s">
        <v>13063</v>
      </c>
      <c r="B3598" t="s">
        <v>13064</v>
      </c>
      <c r="D3598" t="s">
        <v>40</v>
      </c>
      <c r="E3598" t="s">
        <v>41</v>
      </c>
      <c r="J3598" t="s">
        <v>270</v>
      </c>
      <c r="K3598" t="s">
        <v>271</v>
      </c>
      <c r="L3598">
        <v>5</v>
      </c>
      <c r="M3598" t="s">
        <v>13065</v>
      </c>
      <c r="N3598" t="s">
        <v>59</v>
      </c>
      <c r="O3598" t="s">
        <v>47</v>
      </c>
      <c r="P3598" t="s">
        <v>47</v>
      </c>
      <c r="Y3598" t="s">
        <v>13066</v>
      </c>
      <c r="AG3598" t="s">
        <v>48</v>
      </c>
    </row>
    <row r="3599" spans="1:33">
      <c r="A3599" t="s">
        <v>13067</v>
      </c>
      <c r="B3599" t="s">
        <v>13068</v>
      </c>
      <c r="D3599" t="s">
        <v>40</v>
      </c>
      <c r="E3599" t="s">
        <v>41</v>
      </c>
      <c r="J3599" t="s">
        <v>290</v>
      </c>
      <c r="K3599" t="s">
        <v>291</v>
      </c>
      <c r="L3599">
        <v>5</v>
      </c>
      <c r="M3599" t="s">
        <v>13069</v>
      </c>
      <c r="N3599" t="s">
        <v>59</v>
      </c>
      <c r="O3599" t="s">
        <v>47</v>
      </c>
      <c r="P3599" t="s">
        <v>47</v>
      </c>
      <c r="Y3599" t="s">
        <v>13070</v>
      </c>
      <c r="AG3599" t="s">
        <v>48</v>
      </c>
    </row>
    <row r="3600" spans="1:33">
      <c r="A3600" t="s">
        <v>13071</v>
      </c>
      <c r="B3600" t="s">
        <v>13072</v>
      </c>
      <c r="D3600" t="s">
        <v>40</v>
      </c>
      <c r="E3600" t="s">
        <v>41</v>
      </c>
      <c r="J3600" t="s">
        <v>1418</v>
      </c>
      <c r="K3600" t="s">
        <v>1419</v>
      </c>
      <c r="L3600">
        <v>5</v>
      </c>
      <c r="M3600" t="s">
        <v>13073</v>
      </c>
      <c r="N3600" t="s">
        <v>218</v>
      </c>
      <c r="O3600" t="s">
        <v>47</v>
      </c>
      <c r="P3600" t="s">
        <v>47</v>
      </c>
      <c r="Y3600" t="s">
        <v>13074</v>
      </c>
      <c r="AG3600" t="s">
        <v>48</v>
      </c>
    </row>
    <row r="3601" spans="1:33">
      <c r="A3601" t="s">
        <v>13075</v>
      </c>
      <c r="B3601" t="s">
        <v>13076</v>
      </c>
      <c r="D3601" t="s">
        <v>40</v>
      </c>
      <c r="E3601" t="s">
        <v>41</v>
      </c>
      <c r="J3601" t="s">
        <v>108</v>
      </c>
      <c r="K3601" t="s">
        <v>109</v>
      </c>
      <c r="L3601">
        <v>5</v>
      </c>
      <c r="M3601" t="s">
        <v>13077</v>
      </c>
      <c r="N3601" t="s">
        <v>59</v>
      </c>
      <c r="O3601" t="s">
        <v>47</v>
      </c>
      <c r="P3601" t="s">
        <v>47</v>
      </c>
      <c r="Y3601" t="s">
        <v>13078</v>
      </c>
      <c r="AG3601" t="s">
        <v>48</v>
      </c>
    </row>
    <row r="3602" spans="1:33">
      <c r="A3602" t="s">
        <v>13079</v>
      </c>
      <c r="B3602" t="s">
        <v>13080</v>
      </c>
      <c r="D3602" t="s">
        <v>40</v>
      </c>
      <c r="E3602" t="s">
        <v>41</v>
      </c>
      <c r="J3602" t="s">
        <v>162</v>
      </c>
      <c r="K3602" t="s">
        <v>163</v>
      </c>
      <c r="L3602">
        <v>5</v>
      </c>
      <c r="M3602" t="s">
        <v>13081</v>
      </c>
      <c r="N3602" t="s">
        <v>59</v>
      </c>
      <c r="O3602" t="s">
        <v>47</v>
      </c>
      <c r="P3602" t="s">
        <v>47</v>
      </c>
      <c r="Y3602" t="s">
        <v>13082</v>
      </c>
      <c r="AG3602" t="s">
        <v>48</v>
      </c>
    </row>
    <row r="3603" spans="1:33">
      <c r="A3603" t="s">
        <v>13083</v>
      </c>
      <c r="B3603" t="s">
        <v>13084</v>
      </c>
      <c r="D3603" t="s">
        <v>40</v>
      </c>
      <c r="E3603" t="s">
        <v>41</v>
      </c>
      <c r="J3603" t="s">
        <v>290</v>
      </c>
      <c r="K3603" t="s">
        <v>291</v>
      </c>
      <c r="L3603">
        <v>5</v>
      </c>
      <c r="M3603" t="s">
        <v>13085</v>
      </c>
      <c r="N3603" t="s">
        <v>59</v>
      </c>
      <c r="O3603" t="s">
        <v>47</v>
      </c>
      <c r="P3603" t="s">
        <v>47</v>
      </c>
      <c r="Y3603" t="s">
        <v>13086</v>
      </c>
      <c r="AG3603" t="s">
        <v>48</v>
      </c>
    </row>
    <row r="3604" spans="1:33">
      <c r="A3604" t="s">
        <v>13087</v>
      </c>
      <c r="B3604" t="s">
        <v>13088</v>
      </c>
      <c r="D3604" t="s">
        <v>40</v>
      </c>
      <c r="E3604" t="s">
        <v>41</v>
      </c>
      <c r="J3604" t="s">
        <v>290</v>
      </c>
      <c r="K3604" t="s">
        <v>291</v>
      </c>
      <c r="L3604">
        <v>5</v>
      </c>
      <c r="M3604" t="s">
        <v>13089</v>
      </c>
      <c r="N3604" t="s">
        <v>59</v>
      </c>
      <c r="O3604" t="s">
        <v>47</v>
      </c>
      <c r="P3604" t="s">
        <v>47</v>
      </c>
      <c r="Y3604" t="s">
        <v>13090</v>
      </c>
      <c r="AG3604" t="s">
        <v>48</v>
      </c>
    </row>
    <row r="3605" spans="1:33">
      <c r="A3605" t="s">
        <v>13091</v>
      </c>
      <c r="B3605" t="s">
        <v>13092</v>
      </c>
      <c r="D3605" t="s">
        <v>40</v>
      </c>
      <c r="E3605" t="s">
        <v>41</v>
      </c>
      <c r="J3605" t="s">
        <v>162</v>
      </c>
      <c r="K3605" t="s">
        <v>163</v>
      </c>
      <c r="L3605">
        <v>5</v>
      </c>
      <c r="M3605" t="s">
        <v>13089</v>
      </c>
      <c r="N3605" t="s">
        <v>59</v>
      </c>
      <c r="O3605" t="s">
        <v>47</v>
      </c>
      <c r="P3605" t="s">
        <v>47</v>
      </c>
      <c r="Y3605" t="s">
        <v>13093</v>
      </c>
      <c r="AG3605" t="s">
        <v>48</v>
      </c>
    </row>
    <row r="3606" spans="1:33">
      <c r="A3606" t="s">
        <v>13094</v>
      </c>
      <c r="B3606" t="s">
        <v>13095</v>
      </c>
      <c r="D3606" t="s">
        <v>40</v>
      </c>
      <c r="E3606" t="s">
        <v>41</v>
      </c>
      <c r="J3606" t="s">
        <v>290</v>
      </c>
      <c r="K3606" t="s">
        <v>291</v>
      </c>
      <c r="L3606">
        <v>5</v>
      </c>
      <c r="M3606" t="s">
        <v>13096</v>
      </c>
      <c r="N3606" t="s">
        <v>59</v>
      </c>
      <c r="O3606" t="s">
        <v>47</v>
      </c>
      <c r="P3606" t="s">
        <v>47</v>
      </c>
      <c r="Y3606" t="s">
        <v>13097</v>
      </c>
      <c r="AG3606" t="s">
        <v>48</v>
      </c>
    </row>
    <row r="3607" spans="1:33">
      <c r="A3607" t="s">
        <v>13098</v>
      </c>
      <c r="B3607" t="s">
        <v>13099</v>
      </c>
      <c r="D3607" t="s">
        <v>40</v>
      </c>
      <c r="E3607" t="s">
        <v>41</v>
      </c>
      <c r="J3607" t="s">
        <v>290</v>
      </c>
      <c r="K3607" t="s">
        <v>291</v>
      </c>
      <c r="L3607">
        <v>5</v>
      </c>
      <c r="M3607" t="s">
        <v>13096</v>
      </c>
      <c r="N3607" t="s">
        <v>59</v>
      </c>
      <c r="O3607" t="s">
        <v>47</v>
      </c>
      <c r="P3607" t="s">
        <v>47</v>
      </c>
      <c r="Y3607" t="s">
        <v>13100</v>
      </c>
      <c r="AG3607" t="s">
        <v>48</v>
      </c>
    </row>
    <row r="3608" spans="1:33">
      <c r="A3608" t="s">
        <v>13101</v>
      </c>
      <c r="B3608" t="s">
        <v>13102</v>
      </c>
      <c r="D3608" t="s">
        <v>40</v>
      </c>
      <c r="E3608" t="s">
        <v>41</v>
      </c>
      <c r="J3608" t="s">
        <v>108</v>
      </c>
      <c r="K3608" t="s">
        <v>109</v>
      </c>
      <c r="L3608">
        <v>5</v>
      </c>
      <c r="M3608" t="s">
        <v>13103</v>
      </c>
      <c r="N3608" t="s">
        <v>59</v>
      </c>
      <c r="O3608" t="s">
        <v>47</v>
      </c>
      <c r="P3608" t="s">
        <v>47</v>
      </c>
      <c r="Y3608" t="s">
        <v>13104</v>
      </c>
      <c r="AG3608" t="s">
        <v>48</v>
      </c>
    </row>
    <row r="3609" spans="1:33">
      <c r="A3609" t="s">
        <v>13105</v>
      </c>
      <c r="B3609" t="s">
        <v>13106</v>
      </c>
      <c r="D3609" t="s">
        <v>40</v>
      </c>
      <c r="E3609" t="s">
        <v>41</v>
      </c>
      <c r="J3609" t="s">
        <v>43</v>
      </c>
      <c r="K3609" t="s">
        <v>44</v>
      </c>
      <c r="L3609">
        <v>5</v>
      </c>
      <c r="M3609" t="s">
        <v>13103</v>
      </c>
      <c r="N3609" t="s">
        <v>192</v>
      </c>
      <c r="O3609" t="s">
        <v>47</v>
      </c>
      <c r="P3609" t="s">
        <v>47</v>
      </c>
      <c r="Y3609" t="s">
        <v>13107</v>
      </c>
      <c r="AG3609" t="s">
        <v>48</v>
      </c>
    </row>
    <row r="3610" spans="1:33">
      <c r="A3610" t="s">
        <v>13108</v>
      </c>
      <c r="B3610" t="s">
        <v>13109</v>
      </c>
      <c r="D3610" t="s">
        <v>40</v>
      </c>
      <c r="E3610" t="s">
        <v>41</v>
      </c>
      <c r="J3610" t="s">
        <v>114</v>
      </c>
      <c r="K3610" t="s">
        <v>115</v>
      </c>
      <c r="L3610">
        <v>5</v>
      </c>
      <c r="M3610" t="s">
        <v>13110</v>
      </c>
      <c r="N3610" t="s">
        <v>59</v>
      </c>
      <c r="O3610" t="s">
        <v>47</v>
      </c>
      <c r="P3610" t="s">
        <v>47</v>
      </c>
      <c r="Y3610" t="s">
        <v>13111</v>
      </c>
      <c r="AG3610" t="s">
        <v>48</v>
      </c>
    </row>
    <row r="3611" spans="1:33">
      <c r="A3611" t="s">
        <v>13112</v>
      </c>
      <c r="B3611" t="s">
        <v>13113</v>
      </c>
      <c r="D3611" t="s">
        <v>40</v>
      </c>
      <c r="E3611" t="s">
        <v>41</v>
      </c>
      <c r="J3611" t="s">
        <v>108</v>
      </c>
      <c r="K3611" t="s">
        <v>109</v>
      </c>
      <c r="L3611">
        <v>5</v>
      </c>
      <c r="M3611" t="s">
        <v>13114</v>
      </c>
      <c r="N3611" t="s">
        <v>59</v>
      </c>
      <c r="O3611" t="s">
        <v>47</v>
      </c>
      <c r="P3611" t="s">
        <v>47</v>
      </c>
      <c r="Y3611" t="s">
        <v>13115</v>
      </c>
      <c r="AG3611" t="s">
        <v>48</v>
      </c>
    </row>
    <row r="3612" spans="1:33">
      <c r="A3612" t="s">
        <v>13116</v>
      </c>
      <c r="B3612" t="s">
        <v>13117</v>
      </c>
      <c r="D3612" t="s">
        <v>40</v>
      </c>
      <c r="E3612" t="s">
        <v>41</v>
      </c>
      <c r="J3612" t="s">
        <v>129</v>
      </c>
      <c r="K3612" t="s">
        <v>130</v>
      </c>
      <c r="L3612">
        <v>5</v>
      </c>
      <c r="M3612" t="s">
        <v>13118</v>
      </c>
      <c r="N3612" t="s">
        <v>218</v>
      </c>
      <c r="O3612" t="s">
        <v>47</v>
      </c>
      <c r="P3612" t="s">
        <v>47</v>
      </c>
      <c r="Y3612" t="s">
        <v>13119</v>
      </c>
      <c r="AG3612" t="s">
        <v>48</v>
      </c>
    </row>
    <row r="3613" spans="1:33">
      <c r="A3613" t="s">
        <v>13120</v>
      </c>
      <c r="B3613" t="s">
        <v>13121</v>
      </c>
      <c r="D3613" t="s">
        <v>40</v>
      </c>
      <c r="E3613" t="s">
        <v>41</v>
      </c>
      <c r="J3613" t="s">
        <v>290</v>
      </c>
      <c r="K3613" t="s">
        <v>291</v>
      </c>
      <c r="L3613">
        <v>5</v>
      </c>
      <c r="M3613" t="s">
        <v>13122</v>
      </c>
      <c r="N3613" t="s">
        <v>59</v>
      </c>
      <c r="O3613" t="s">
        <v>47</v>
      </c>
      <c r="P3613" t="s">
        <v>47</v>
      </c>
      <c r="Y3613" t="s">
        <v>13123</v>
      </c>
      <c r="AG3613" t="s">
        <v>48</v>
      </c>
    </row>
    <row r="3614" spans="1:33">
      <c r="A3614" t="s">
        <v>13124</v>
      </c>
      <c r="B3614" t="s">
        <v>13125</v>
      </c>
      <c r="D3614" t="s">
        <v>40</v>
      </c>
      <c r="E3614" t="s">
        <v>41</v>
      </c>
      <c r="J3614" t="s">
        <v>108</v>
      </c>
      <c r="K3614" t="s">
        <v>109</v>
      </c>
      <c r="L3614">
        <v>5</v>
      </c>
      <c r="M3614" t="s">
        <v>13126</v>
      </c>
      <c r="N3614" t="s">
        <v>59</v>
      </c>
      <c r="O3614" t="s">
        <v>47</v>
      </c>
      <c r="P3614" t="s">
        <v>47</v>
      </c>
      <c r="Y3614" t="s">
        <v>13127</v>
      </c>
      <c r="AG3614" t="s">
        <v>48</v>
      </c>
    </row>
    <row r="3615" spans="1:33">
      <c r="A3615" t="s">
        <v>13128</v>
      </c>
      <c r="B3615" t="s">
        <v>13129</v>
      </c>
      <c r="D3615" t="s">
        <v>40</v>
      </c>
      <c r="E3615" t="s">
        <v>41</v>
      </c>
      <c r="J3615" t="s">
        <v>162</v>
      </c>
      <c r="K3615" t="s">
        <v>163</v>
      </c>
      <c r="L3615">
        <v>5</v>
      </c>
      <c r="M3615" t="s">
        <v>13130</v>
      </c>
      <c r="N3615" t="s">
        <v>59</v>
      </c>
      <c r="O3615" t="s">
        <v>47</v>
      </c>
      <c r="P3615" t="s">
        <v>47</v>
      </c>
      <c r="Y3615" t="s">
        <v>13131</v>
      </c>
      <c r="AG3615" t="s">
        <v>48</v>
      </c>
    </row>
    <row r="3616" spans="1:33">
      <c r="A3616" t="s">
        <v>13132</v>
      </c>
      <c r="B3616" t="s">
        <v>13133</v>
      </c>
      <c r="D3616" t="s">
        <v>40</v>
      </c>
      <c r="E3616" t="s">
        <v>41</v>
      </c>
      <c r="J3616" t="s">
        <v>290</v>
      </c>
      <c r="K3616" t="s">
        <v>291</v>
      </c>
      <c r="L3616">
        <v>5</v>
      </c>
      <c r="M3616" t="s">
        <v>13134</v>
      </c>
      <c r="N3616" t="s">
        <v>59</v>
      </c>
      <c r="O3616" t="s">
        <v>47</v>
      </c>
      <c r="P3616" t="s">
        <v>47</v>
      </c>
      <c r="Y3616" t="s">
        <v>13135</v>
      </c>
      <c r="AG3616" t="s">
        <v>48</v>
      </c>
    </row>
    <row r="3617" spans="1:33">
      <c r="A3617" t="s">
        <v>13136</v>
      </c>
      <c r="B3617" t="s">
        <v>13137</v>
      </c>
      <c r="D3617" t="s">
        <v>40</v>
      </c>
      <c r="E3617" t="s">
        <v>41</v>
      </c>
      <c r="J3617" t="s">
        <v>290</v>
      </c>
      <c r="K3617" t="s">
        <v>291</v>
      </c>
      <c r="L3617">
        <v>5</v>
      </c>
      <c r="M3617" t="s">
        <v>13134</v>
      </c>
      <c r="N3617" t="s">
        <v>59</v>
      </c>
      <c r="O3617" t="s">
        <v>47</v>
      </c>
      <c r="P3617" t="s">
        <v>47</v>
      </c>
      <c r="Y3617" t="s">
        <v>13138</v>
      </c>
      <c r="AG3617" t="s">
        <v>48</v>
      </c>
    </row>
    <row r="3618" spans="1:33">
      <c r="A3618" t="s">
        <v>13139</v>
      </c>
      <c r="B3618" t="s">
        <v>13140</v>
      </c>
      <c r="D3618" t="s">
        <v>40</v>
      </c>
      <c r="E3618" t="s">
        <v>41</v>
      </c>
      <c r="J3618" t="s">
        <v>162</v>
      </c>
      <c r="K3618" t="s">
        <v>163</v>
      </c>
      <c r="L3618">
        <v>5</v>
      </c>
      <c r="M3618" t="s">
        <v>13134</v>
      </c>
      <c r="N3618" t="s">
        <v>59</v>
      </c>
      <c r="O3618" t="s">
        <v>47</v>
      </c>
      <c r="P3618" t="s">
        <v>47</v>
      </c>
      <c r="Y3618" t="s">
        <v>13141</v>
      </c>
      <c r="AG3618" t="s">
        <v>48</v>
      </c>
    </row>
    <row r="3619" spans="1:33">
      <c r="A3619" t="s">
        <v>13142</v>
      </c>
      <c r="B3619" t="s">
        <v>13143</v>
      </c>
      <c r="D3619" t="s">
        <v>40</v>
      </c>
      <c r="E3619" t="s">
        <v>41</v>
      </c>
      <c r="J3619" t="s">
        <v>108</v>
      </c>
      <c r="K3619" t="s">
        <v>109</v>
      </c>
      <c r="L3619">
        <v>5</v>
      </c>
      <c r="M3619" t="s">
        <v>13144</v>
      </c>
      <c r="N3619" t="s">
        <v>59</v>
      </c>
      <c r="O3619" t="s">
        <v>47</v>
      </c>
      <c r="P3619" t="s">
        <v>47</v>
      </c>
      <c r="Y3619" t="s">
        <v>13145</v>
      </c>
      <c r="AG3619" t="s">
        <v>48</v>
      </c>
    </row>
    <row r="3620" spans="1:33">
      <c r="A3620" t="s">
        <v>13146</v>
      </c>
      <c r="B3620" t="s">
        <v>13147</v>
      </c>
      <c r="D3620" t="s">
        <v>40</v>
      </c>
      <c r="E3620" t="s">
        <v>41</v>
      </c>
      <c r="J3620" t="s">
        <v>162</v>
      </c>
      <c r="K3620" t="s">
        <v>163</v>
      </c>
      <c r="L3620">
        <v>5</v>
      </c>
      <c r="M3620" t="s">
        <v>13148</v>
      </c>
      <c r="N3620" t="s">
        <v>59</v>
      </c>
      <c r="O3620" t="s">
        <v>47</v>
      </c>
      <c r="P3620" t="s">
        <v>47</v>
      </c>
      <c r="Y3620" t="s">
        <v>13149</v>
      </c>
      <c r="AG3620" t="s">
        <v>48</v>
      </c>
    </row>
    <row r="3621" spans="1:33">
      <c r="A3621" t="s">
        <v>13150</v>
      </c>
      <c r="B3621" t="s">
        <v>13151</v>
      </c>
      <c r="D3621" t="s">
        <v>40</v>
      </c>
      <c r="E3621" t="s">
        <v>41</v>
      </c>
      <c r="J3621" t="s">
        <v>290</v>
      </c>
      <c r="K3621" t="s">
        <v>291</v>
      </c>
      <c r="L3621">
        <v>5</v>
      </c>
      <c r="M3621" t="s">
        <v>13148</v>
      </c>
      <c r="N3621" t="s">
        <v>59</v>
      </c>
      <c r="O3621" t="s">
        <v>47</v>
      </c>
      <c r="P3621" t="s">
        <v>47</v>
      </c>
      <c r="Y3621" t="s">
        <v>13152</v>
      </c>
      <c r="AG3621" t="s">
        <v>48</v>
      </c>
    </row>
    <row r="3622" spans="1:33">
      <c r="A3622" t="s">
        <v>13153</v>
      </c>
      <c r="B3622" t="s">
        <v>13154</v>
      </c>
      <c r="D3622" t="s">
        <v>40</v>
      </c>
      <c r="E3622" t="s">
        <v>41</v>
      </c>
      <c r="J3622" t="s">
        <v>290</v>
      </c>
      <c r="K3622" t="s">
        <v>291</v>
      </c>
      <c r="L3622">
        <v>5</v>
      </c>
      <c r="M3622" t="s">
        <v>13155</v>
      </c>
      <c r="N3622" t="s">
        <v>59</v>
      </c>
      <c r="O3622" t="s">
        <v>47</v>
      </c>
      <c r="P3622" t="s">
        <v>47</v>
      </c>
      <c r="Y3622" t="s">
        <v>13156</v>
      </c>
      <c r="AG3622" t="s">
        <v>48</v>
      </c>
    </row>
    <row r="3623" spans="1:33">
      <c r="A3623" t="s">
        <v>13157</v>
      </c>
      <c r="B3623" t="s">
        <v>13158</v>
      </c>
      <c r="D3623" t="s">
        <v>40</v>
      </c>
      <c r="E3623" t="s">
        <v>41</v>
      </c>
      <c r="J3623" t="s">
        <v>129</v>
      </c>
      <c r="K3623" t="s">
        <v>130</v>
      </c>
      <c r="L3623">
        <v>5</v>
      </c>
      <c r="M3623" t="s">
        <v>13159</v>
      </c>
      <c r="N3623" t="s">
        <v>192</v>
      </c>
      <c r="O3623" t="s">
        <v>47</v>
      </c>
      <c r="P3623" t="s">
        <v>47</v>
      </c>
      <c r="Y3623" t="s">
        <v>13160</v>
      </c>
      <c r="AG3623" t="s">
        <v>48</v>
      </c>
    </row>
    <row r="3624" spans="1:33">
      <c r="A3624" t="s">
        <v>13161</v>
      </c>
      <c r="B3624" t="s">
        <v>13162</v>
      </c>
      <c r="D3624" t="s">
        <v>40</v>
      </c>
      <c r="E3624" t="s">
        <v>41</v>
      </c>
      <c r="J3624" t="s">
        <v>108</v>
      </c>
      <c r="K3624" t="s">
        <v>109</v>
      </c>
      <c r="L3624">
        <v>5</v>
      </c>
      <c r="M3624" t="s">
        <v>13163</v>
      </c>
      <c r="N3624" t="s">
        <v>59</v>
      </c>
      <c r="O3624" t="s">
        <v>47</v>
      </c>
      <c r="P3624" t="s">
        <v>47</v>
      </c>
      <c r="Y3624" t="s">
        <v>13164</v>
      </c>
      <c r="AG3624" t="s">
        <v>48</v>
      </c>
    </row>
    <row r="3625" spans="1:33">
      <c r="A3625" t="s">
        <v>13165</v>
      </c>
      <c r="B3625" t="s">
        <v>13166</v>
      </c>
      <c r="D3625" t="s">
        <v>40</v>
      </c>
      <c r="E3625" t="s">
        <v>41</v>
      </c>
      <c r="J3625" t="s">
        <v>114</v>
      </c>
      <c r="K3625" t="s">
        <v>115</v>
      </c>
      <c r="L3625">
        <v>5</v>
      </c>
      <c r="M3625" t="s">
        <v>13163</v>
      </c>
      <c r="N3625" t="s">
        <v>59</v>
      </c>
      <c r="O3625" t="s">
        <v>47</v>
      </c>
      <c r="P3625" t="s">
        <v>47</v>
      </c>
      <c r="Y3625" t="s">
        <v>13167</v>
      </c>
      <c r="AG3625" t="s">
        <v>48</v>
      </c>
    </row>
    <row r="3626" spans="1:33">
      <c r="A3626" t="s">
        <v>13168</v>
      </c>
      <c r="B3626" t="s">
        <v>13169</v>
      </c>
      <c r="D3626" t="s">
        <v>40</v>
      </c>
      <c r="E3626" t="s">
        <v>41</v>
      </c>
      <c r="J3626" t="s">
        <v>108</v>
      </c>
      <c r="K3626" t="s">
        <v>109</v>
      </c>
      <c r="L3626">
        <v>5</v>
      </c>
      <c r="M3626" t="s">
        <v>13163</v>
      </c>
      <c r="N3626" t="s">
        <v>59</v>
      </c>
      <c r="O3626" t="s">
        <v>47</v>
      </c>
      <c r="P3626" t="s">
        <v>47</v>
      </c>
      <c r="Y3626" t="s">
        <v>13170</v>
      </c>
      <c r="AG3626" t="s">
        <v>48</v>
      </c>
    </row>
    <row r="3627" spans="1:33">
      <c r="A3627" t="s">
        <v>13171</v>
      </c>
      <c r="B3627" t="s">
        <v>13172</v>
      </c>
      <c r="D3627" t="s">
        <v>40</v>
      </c>
      <c r="E3627" t="s">
        <v>41</v>
      </c>
      <c r="J3627" t="s">
        <v>290</v>
      </c>
      <c r="K3627" t="s">
        <v>291</v>
      </c>
      <c r="L3627">
        <v>5</v>
      </c>
      <c r="M3627" t="s">
        <v>13173</v>
      </c>
      <c r="N3627" t="s">
        <v>59</v>
      </c>
      <c r="O3627" t="s">
        <v>47</v>
      </c>
      <c r="P3627" t="s">
        <v>47</v>
      </c>
      <c r="Y3627" t="s">
        <v>13174</v>
      </c>
      <c r="AG3627" t="s">
        <v>48</v>
      </c>
    </row>
    <row r="3628" spans="1:33">
      <c r="A3628" t="s">
        <v>13175</v>
      </c>
      <c r="B3628" t="s">
        <v>13176</v>
      </c>
      <c r="D3628" t="s">
        <v>40</v>
      </c>
      <c r="E3628" t="s">
        <v>41</v>
      </c>
      <c r="J3628" t="s">
        <v>108</v>
      </c>
      <c r="K3628" t="s">
        <v>109</v>
      </c>
      <c r="L3628">
        <v>5</v>
      </c>
      <c r="M3628" t="s">
        <v>13177</v>
      </c>
      <c r="N3628" t="s">
        <v>59</v>
      </c>
      <c r="O3628" t="s">
        <v>47</v>
      </c>
      <c r="P3628" t="s">
        <v>47</v>
      </c>
      <c r="Y3628" t="s">
        <v>13178</v>
      </c>
      <c r="AG3628" t="s">
        <v>48</v>
      </c>
    </row>
    <row r="3629" spans="1:33">
      <c r="A3629" t="s">
        <v>13179</v>
      </c>
      <c r="B3629" t="s">
        <v>13180</v>
      </c>
      <c r="D3629" t="s">
        <v>40</v>
      </c>
      <c r="E3629" t="s">
        <v>41</v>
      </c>
      <c r="J3629" t="s">
        <v>162</v>
      </c>
      <c r="K3629" t="s">
        <v>163</v>
      </c>
      <c r="L3629">
        <v>5</v>
      </c>
      <c r="M3629" t="s">
        <v>13177</v>
      </c>
      <c r="N3629" t="s">
        <v>59</v>
      </c>
      <c r="O3629" t="s">
        <v>47</v>
      </c>
      <c r="P3629" t="s">
        <v>47</v>
      </c>
      <c r="Y3629" t="s">
        <v>13181</v>
      </c>
      <c r="AG3629" t="s">
        <v>48</v>
      </c>
    </row>
    <row r="3630" spans="1:33">
      <c r="A3630" t="s">
        <v>13182</v>
      </c>
      <c r="B3630" t="s">
        <v>13183</v>
      </c>
      <c r="D3630" t="s">
        <v>40</v>
      </c>
      <c r="E3630" t="s">
        <v>41</v>
      </c>
      <c r="J3630" t="s">
        <v>290</v>
      </c>
      <c r="K3630" t="s">
        <v>291</v>
      </c>
      <c r="L3630">
        <v>5</v>
      </c>
      <c r="M3630" t="s">
        <v>13177</v>
      </c>
      <c r="N3630" t="s">
        <v>59</v>
      </c>
      <c r="O3630" t="s">
        <v>47</v>
      </c>
      <c r="P3630" t="s">
        <v>47</v>
      </c>
      <c r="Y3630" t="s">
        <v>13184</v>
      </c>
      <c r="AG3630" t="s">
        <v>48</v>
      </c>
    </row>
    <row r="3631" spans="1:33">
      <c r="A3631" t="s">
        <v>13185</v>
      </c>
      <c r="B3631" t="s">
        <v>13186</v>
      </c>
      <c r="D3631" t="s">
        <v>40</v>
      </c>
      <c r="E3631" t="s">
        <v>41</v>
      </c>
      <c r="J3631" t="s">
        <v>114</v>
      </c>
      <c r="K3631" t="s">
        <v>115</v>
      </c>
      <c r="L3631">
        <v>5</v>
      </c>
      <c r="M3631" t="s">
        <v>13187</v>
      </c>
      <c r="N3631" t="s">
        <v>59</v>
      </c>
      <c r="O3631" t="s">
        <v>47</v>
      </c>
      <c r="P3631" t="s">
        <v>47</v>
      </c>
      <c r="Y3631" t="s">
        <v>13188</v>
      </c>
      <c r="AG3631" t="s">
        <v>48</v>
      </c>
    </row>
    <row r="3632" spans="1:33">
      <c r="A3632" t="s">
        <v>13189</v>
      </c>
      <c r="B3632" t="s">
        <v>13190</v>
      </c>
      <c r="D3632" t="s">
        <v>40</v>
      </c>
      <c r="E3632" t="s">
        <v>41</v>
      </c>
      <c r="J3632" t="s">
        <v>290</v>
      </c>
      <c r="K3632" t="s">
        <v>291</v>
      </c>
      <c r="L3632">
        <v>5</v>
      </c>
      <c r="M3632" t="s">
        <v>13187</v>
      </c>
      <c r="N3632" t="s">
        <v>59</v>
      </c>
      <c r="O3632" t="s">
        <v>47</v>
      </c>
      <c r="P3632" t="s">
        <v>47</v>
      </c>
      <c r="Y3632" t="s">
        <v>13191</v>
      </c>
      <c r="AG3632" t="s">
        <v>48</v>
      </c>
    </row>
    <row r="3633" spans="1:33">
      <c r="A3633" t="s">
        <v>13192</v>
      </c>
      <c r="B3633" t="s">
        <v>13193</v>
      </c>
      <c r="D3633" t="s">
        <v>40</v>
      </c>
      <c r="E3633" t="s">
        <v>41</v>
      </c>
      <c r="J3633" t="s">
        <v>290</v>
      </c>
      <c r="K3633" t="s">
        <v>291</v>
      </c>
      <c r="L3633">
        <v>5</v>
      </c>
      <c r="M3633" t="s">
        <v>13187</v>
      </c>
      <c r="N3633" t="s">
        <v>59</v>
      </c>
      <c r="O3633" t="s">
        <v>47</v>
      </c>
      <c r="P3633" t="s">
        <v>47</v>
      </c>
      <c r="Y3633" t="s">
        <v>13194</v>
      </c>
      <c r="AG3633" t="s">
        <v>48</v>
      </c>
    </row>
    <row r="3634" spans="1:33">
      <c r="A3634" t="s">
        <v>13195</v>
      </c>
      <c r="B3634" t="s">
        <v>13196</v>
      </c>
      <c r="D3634" t="s">
        <v>40</v>
      </c>
      <c r="E3634" t="s">
        <v>41</v>
      </c>
      <c r="J3634" t="s">
        <v>162</v>
      </c>
      <c r="K3634" t="s">
        <v>163</v>
      </c>
      <c r="L3634">
        <v>5</v>
      </c>
      <c r="M3634" t="s">
        <v>13197</v>
      </c>
      <c r="N3634" t="s">
        <v>59</v>
      </c>
      <c r="O3634" t="s">
        <v>47</v>
      </c>
      <c r="P3634" t="s">
        <v>47</v>
      </c>
      <c r="Y3634" t="s">
        <v>13198</v>
      </c>
      <c r="AG3634" t="s">
        <v>48</v>
      </c>
    </row>
    <row r="3635" spans="1:33">
      <c r="A3635" t="s">
        <v>13199</v>
      </c>
      <c r="B3635" t="s">
        <v>13200</v>
      </c>
      <c r="D3635" t="s">
        <v>40</v>
      </c>
      <c r="E3635" t="s">
        <v>41</v>
      </c>
      <c r="J3635" t="s">
        <v>1418</v>
      </c>
      <c r="K3635" t="s">
        <v>1419</v>
      </c>
      <c r="L3635">
        <v>5</v>
      </c>
      <c r="M3635" t="s">
        <v>13201</v>
      </c>
      <c r="N3635" t="s">
        <v>218</v>
      </c>
      <c r="O3635" t="s">
        <v>47</v>
      </c>
      <c r="P3635" t="s">
        <v>47</v>
      </c>
      <c r="Y3635" t="s">
        <v>13202</v>
      </c>
      <c r="AG3635" t="s">
        <v>48</v>
      </c>
    </row>
    <row r="3636" spans="1:33">
      <c r="A3636" t="s">
        <v>13203</v>
      </c>
      <c r="B3636" t="s">
        <v>13204</v>
      </c>
      <c r="D3636" t="s">
        <v>40</v>
      </c>
      <c r="E3636" t="s">
        <v>41</v>
      </c>
      <c r="J3636" t="s">
        <v>270</v>
      </c>
      <c r="K3636" t="s">
        <v>271</v>
      </c>
      <c r="L3636">
        <v>5</v>
      </c>
      <c r="M3636" t="s">
        <v>13205</v>
      </c>
      <c r="N3636" t="s">
        <v>59</v>
      </c>
      <c r="O3636" t="s">
        <v>47</v>
      </c>
      <c r="P3636" t="s">
        <v>47</v>
      </c>
      <c r="Y3636" t="s">
        <v>13206</v>
      </c>
      <c r="AG3636" t="s">
        <v>48</v>
      </c>
    </row>
    <row r="3637" spans="1:33">
      <c r="A3637" t="s">
        <v>13207</v>
      </c>
      <c r="B3637" t="s">
        <v>13208</v>
      </c>
      <c r="D3637" t="s">
        <v>40</v>
      </c>
      <c r="E3637" t="s">
        <v>41</v>
      </c>
      <c r="J3637" t="s">
        <v>162</v>
      </c>
      <c r="K3637" t="s">
        <v>163</v>
      </c>
      <c r="L3637">
        <v>5</v>
      </c>
      <c r="M3637" t="s">
        <v>13209</v>
      </c>
      <c r="N3637" t="s">
        <v>59</v>
      </c>
      <c r="O3637" t="s">
        <v>47</v>
      </c>
      <c r="P3637" t="s">
        <v>47</v>
      </c>
      <c r="Y3637" t="s">
        <v>13210</v>
      </c>
      <c r="AG3637" t="s">
        <v>48</v>
      </c>
    </row>
    <row r="3638" spans="1:33">
      <c r="A3638" t="s">
        <v>13211</v>
      </c>
      <c r="B3638" t="s">
        <v>13212</v>
      </c>
      <c r="D3638" t="s">
        <v>40</v>
      </c>
      <c r="E3638" t="s">
        <v>41</v>
      </c>
      <c r="J3638" t="s">
        <v>290</v>
      </c>
      <c r="K3638" t="s">
        <v>291</v>
      </c>
      <c r="L3638">
        <v>5</v>
      </c>
      <c r="M3638" t="s">
        <v>13213</v>
      </c>
      <c r="N3638" t="s">
        <v>59</v>
      </c>
      <c r="O3638" t="s">
        <v>47</v>
      </c>
      <c r="P3638" t="s">
        <v>47</v>
      </c>
      <c r="Y3638" t="s">
        <v>13214</v>
      </c>
      <c r="AG3638" t="s">
        <v>48</v>
      </c>
    </row>
    <row r="3639" spans="1:33">
      <c r="A3639" t="s">
        <v>13215</v>
      </c>
      <c r="B3639" t="s">
        <v>13216</v>
      </c>
      <c r="D3639" t="s">
        <v>40</v>
      </c>
      <c r="E3639" t="s">
        <v>41</v>
      </c>
      <c r="J3639" t="s">
        <v>108</v>
      </c>
      <c r="K3639" t="s">
        <v>109</v>
      </c>
      <c r="L3639">
        <v>5</v>
      </c>
      <c r="M3639" t="s">
        <v>13213</v>
      </c>
      <c r="N3639" t="s">
        <v>59</v>
      </c>
      <c r="O3639" t="s">
        <v>47</v>
      </c>
      <c r="P3639" t="s">
        <v>47</v>
      </c>
      <c r="Y3639" t="s">
        <v>13217</v>
      </c>
      <c r="AG3639" t="s">
        <v>48</v>
      </c>
    </row>
    <row r="3640" spans="1:33">
      <c r="A3640" t="s">
        <v>13218</v>
      </c>
      <c r="B3640" t="s">
        <v>13219</v>
      </c>
      <c r="D3640" t="s">
        <v>40</v>
      </c>
      <c r="E3640" t="s">
        <v>41</v>
      </c>
      <c r="J3640" t="s">
        <v>108</v>
      </c>
      <c r="K3640" t="s">
        <v>109</v>
      </c>
      <c r="L3640">
        <v>5</v>
      </c>
      <c r="M3640" t="s">
        <v>13220</v>
      </c>
      <c r="N3640" t="s">
        <v>59</v>
      </c>
      <c r="O3640" t="s">
        <v>47</v>
      </c>
      <c r="P3640" t="s">
        <v>47</v>
      </c>
      <c r="Y3640" t="s">
        <v>13221</v>
      </c>
      <c r="AG3640" t="s">
        <v>48</v>
      </c>
    </row>
    <row r="3641" spans="1:33">
      <c r="A3641" t="s">
        <v>13222</v>
      </c>
      <c r="B3641" t="s">
        <v>13223</v>
      </c>
      <c r="D3641" t="s">
        <v>40</v>
      </c>
      <c r="E3641" t="s">
        <v>41</v>
      </c>
      <c r="J3641" t="s">
        <v>108</v>
      </c>
      <c r="K3641" t="s">
        <v>109</v>
      </c>
      <c r="L3641">
        <v>5</v>
      </c>
      <c r="M3641" t="s">
        <v>13224</v>
      </c>
      <c r="N3641" t="s">
        <v>59</v>
      </c>
      <c r="O3641" t="s">
        <v>47</v>
      </c>
      <c r="P3641" t="s">
        <v>47</v>
      </c>
      <c r="Y3641" t="s">
        <v>13225</v>
      </c>
      <c r="AG3641" t="s">
        <v>48</v>
      </c>
    </row>
    <row r="3642" spans="1:33">
      <c r="A3642" t="s">
        <v>13226</v>
      </c>
      <c r="B3642" t="s">
        <v>13227</v>
      </c>
      <c r="D3642" t="s">
        <v>40</v>
      </c>
      <c r="E3642" t="s">
        <v>41</v>
      </c>
      <c r="J3642" t="s">
        <v>162</v>
      </c>
      <c r="K3642" t="s">
        <v>163</v>
      </c>
      <c r="L3642">
        <v>5</v>
      </c>
      <c r="M3642" t="s">
        <v>13224</v>
      </c>
      <c r="N3642" t="s">
        <v>59</v>
      </c>
      <c r="O3642" t="s">
        <v>47</v>
      </c>
      <c r="P3642" t="s">
        <v>47</v>
      </c>
      <c r="Y3642" t="s">
        <v>13228</v>
      </c>
      <c r="AG3642" t="s">
        <v>48</v>
      </c>
    </row>
    <row r="3643" spans="1:33">
      <c r="A3643" t="s">
        <v>13229</v>
      </c>
      <c r="B3643" t="s">
        <v>13230</v>
      </c>
      <c r="D3643" t="s">
        <v>40</v>
      </c>
      <c r="E3643" t="s">
        <v>41</v>
      </c>
      <c r="J3643" t="s">
        <v>108</v>
      </c>
      <c r="K3643" t="s">
        <v>109</v>
      </c>
      <c r="L3643">
        <v>5</v>
      </c>
      <c r="M3643" t="s">
        <v>13231</v>
      </c>
      <c r="N3643" t="s">
        <v>59</v>
      </c>
      <c r="O3643" t="s">
        <v>47</v>
      </c>
      <c r="P3643" t="s">
        <v>47</v>
      </c>
      <c r="Y3643" t="s">
        <v>13232</v>
      </c>
      <c r="AG3643" t="s">
        <v>48</v>
      </c>
    </row>
    <row r="3644" spans="1:33">
      <c r="A3644" t="s">
        <v>13233</v>
      </c>
      <c r="B3644" t="s">
        <v>13234</v>
      </c>
      <c r="D3644" t="s">
        <v>40</v>
      </c>
      <c r="E3644" t="s">
        <v>41</v>
      </c>
      <c r="J3644" t="s">
        <v>108</v>
      </c>
      <c r="K3644" t="s">
        <v>109</v>
      </c>
      <c r="L3644">
        <v>5</v>
      </c>
      <c r="M3644" t="s">
        <v>13231</v>
      </c>
      <c r="N3644" t="s">
        <v>59</v>
      </c>
      <c r="O3644" t="s">
        <v>47</v>
      </c>
      <c r="P3644" t="s">
        <v>47</v>
      </c>
      <c r="Y3644" t="s">
        <v>13235</v>
      </c>
      <c r="AG3644" t="s">
        <v>48</v>
      </c>
    </row>
    <row r="3645" spans="1:33">
      <c r="A3645" t="s">
        <v>13236</v>
      </c>
      <c r="B3645" t="s">
        <v>13237</v>
      </c>
      <c r="D3645" t="s">
        <v>40</v>
      </c>
      <c r="E3645" t="s">
        <v>41</v>
      </c>
      <c r="H3645" t="s">
        <v>13238</v>
      </c>
      <c r="J3645" t="s">
        <v>63</v>
      </c>
      <c r="K3645" t="s">
        <v>64</v>
      </c>
      <c r="L3645">
        <v>5</v>
      </c>
      <c r="M3645" t="s">
        <v>13239</v>
      </c>
      <c r="N3645" t="s">
        <v>59</v>
      </c>
      <c r="O3645" t="s">
        <v>47</v>
      </c>
      <c r="P3645" t="s">
        <v>47</v>
      </c>
      <c r="Y3645" t="s">
        <v>13238</v>
      </c>
      <c r="AG3645" t="s">
        <v>48</v>
      </c>
    </row>
    <row r="3646" spans="1:33">
      <c r="A3646" t="s">
        <v>13240</v>
      </c>
      <c r="B3646" t="s">
        <v>13241</v>
      </c>
      <c r="D3646" t="s">
        <v>40</v>
      </c>
      <c r="E3646" t="s">
        <v>41</v>
      </c>
      <c r="J3646" t="s">
        <v>108</v>
      </c>
      <c r="K3646" t="s">
        <v>109</v>
      </c>
      <c r="L3646">
        <v>5</v>
      </c>
      <c r="M3646" t="s">
        <v>13242</v>
      </c>
      <c r="N3646" t="s">
        <v>59</v>
      </c>
      <c r="O3646" t="s">
        <v>47</v>
      </c>
      <c r="P3646" t="s">
        <v>47</v>
      </c>
      <c r="Y3646" t="s">
        <v>13243</v>
      </c>
      <c r="AG3646" t="s">
        <v>48</v>
      </c>
    </row>
    <row r="3647" spans="1:33">
      <c r="A3647" t="s">
        <v>13244</v>
      </c>
      <c r="B3647" t="s">
        <v>13245</v>
      </c>
      <c r="D3647" t="s">
        <v>40</v>
      </c>
      <c r="E3647" t="s">
        <v>41</v>
      </c>
      <c r="J3647" t="s">
        <v>290</v>
      </c>
      <c r="K3647" t="s">
        <v>291</v>
      </c>
      <c r="L3647">
        <v>5</v>
      </c>
      <c r="M3647" t="s">
        <v>13242</v>
      </c>
      <c r="N3647" t="s">
        <v>59</v>
      </c>
      <c r="O3647" t="s">
        <v>47</v>
      </c>
      <c r="P3647" t="s">
        <v>47</v>
      </c>
      <c r="Y3647" t="s">
        <v>13246</v>
      </c>
      <c r="AG3647" t="s">
        <v>48</v>
      </c>
    </row>
    <row r="3648" spans="1:33">
      <c r="A3648" t="s">
        <v>13247</v>
      </c>
      <c r="B3648" t="s">
        <v>13248</v>
      </c>
      <c r="D3648" t="s">
        <v>40</v>
      </c>
      <c r="E3648" t="s">
        <v>41</v>
      </c>
      <c r="J3648" t="s">
        <v>162</v>
      </c>
      <c r="K3648" t="s">
        <v>163</v>
      </c>
      <c r="L3648">
        <v>5</v>
      </c>
      <c r="M3648" t="s">
        <v>13242</v>
      </c>
      <c r="N3648" t="s">
        <v>59</v>
      </c>
      <c r="O3648" t="s">
        <v>47</v>
      </c>
      <c r="P3648" t="s">
        <v>47</v>
      </c>
      <c r="Y3648" t="s">
        <v>13249</v>
      </c>
      <c r="AG3648" t="s">
        <v>48</v>
      </c>
    </row>
    <row r="3649" spans="1:33">
      <c r="A3649" t="s">
        <v>13250</v>
      </c>
      <c r="B3649" t="s">
        <v>13251</v>
      </c>
      <c r="D3649" t="s">
        <v>40</v>
      </c>
      <c r="E3649" t="s">
        <v>41</v>
      </c>
      <c r="J3649" t="s">
        <v>108</v>
      </c>
      <c r="K3649" t="s">
        <v>109</v>
      </c>
      <c r="L3649">
        <v>5</v>
      </c>
      <c r="M3649" t="s">
        <v>13242</v>
      </c>
      <c r="N3649" t="s">
        <v>59</v>
      </c>
      <c r="O3649" t="s">
        <v>47</v>
      </c>
      <c r="P3649" t="s">
        <v>47</v>
      </c>
      <c r="Y3649" t="s">
        <v>13252</v>
      </c>
      <c r="AG3649" t="s">
        <v>48</v>
      </c>
    </row>
    <row r="3650" spans="1:33">
      <c r="A3650" t="s">
        <v>13253</v>
      </c>
      <c r="B3650" t="s">
        <v>13254</v>
      </c>
      <c r="D3650" t="s">
        <v>40</v>
      </c>
      <c r="E3650" t="s">
        <v>41</v>
      </c>
      <c r="H3650" t="s">
        <v>13255</v>
      </c>
      <c r="J3650" t="s">
        <v>129</v>
      </c>
      <c r="K3650" t="s">
        <v>130</v>
      </c>
      <c r="L3650">
        <v>5</v>
      </c>
      <c r="M3650" t="s">
        <v>13256</v>
      </c>
      <c r="N3650" t="s">
        <v>192</v>
      </c>
      <c r="O3650" t="s">
        <v>47</v>
      </c>
      <c r="P3650" t="s">
        <v>47</v>
      </c>
      <c r="Y3650" t="s">
        <v>13255</v>
      </c>
      <c r="AG3650" t="s">
        <v>48</v>
      </c>
    </row>
    <row r="3651" spans="1:33">
      <c r="A3651" t="s">
        <v>13257</v>
      </c>
      <c r="B3651" t="s">
        <v>13258</v>
      </c>
      <c r="D3651" t="s">
        <v>40</v>
      </c>
      <c r="E3651" t="s">
        <v>41</v>
      </c>
      <c r="J3651" t="s">
        <v>270</v>
      </c>
      <c r="K3651" t="s">
        <v>271</v>
      </c>
      <c r="L3651">
        <v>5</v>
      </c>
      <c r="M3651" t="s">
        <v>13259</v>
      </c>
      <c r="N3651" t="s">
        <v>59</v>
      </c>
      <c r="O3651" t="s">
        <v>47</v>
      </c>
      <c r="P3651" t="s">
        <v>47</v>
      </c>
      <c r="Y3651" t="s">
        <v>13260</v>
      </c>
      <c r="AG3651" t="s">
        <v>48</v>
      </c>
    </row>
    <row r="3652" spans="1:33">
      <c r="A3652" t="s">
        <v>13261</v>
      </c>
      <c r="B3652" t="s">
        <v>13262</v>
      </c>
      <c r="D3652" t="s">
        <v>40</v>
      </c>
      <c r="E3652" t="s">
        <v>41</v>
      </c>
      <c r="J3652" t="s">
        <v>290</v>
      </c>
      <c r="K3652" t="s">
        <v>291</v>
      </c>
      <c r="L3652">
        <v>5</v>
      </c>
      <c r="M3652" t="s">
        <v>13263</v>
      </c>
      <c r="N3652" t="s">
        <v>59</v>
      </c>
      <c r="O3652" t="s">
        <v>47</v>
      </c>
      <c r="P3652" t="s">
        <v>47</v>
      </c>
      <c r="Y3652" t="s">
        <v>13264</v>
      </c>
      <c r="AG3652" t="s">
        <v>48</v>
      </c>
    </row>
    <row r="3653" spans="1:33">
      <c r="A3653" t="s">
        <v>13265</v>
      </c>
      <c r="B3653" t="s">
        <v>13266</v>
      </c>
      <c r="D3653" t="s">
        <v>40</v>
      </c>
      <c r="E3653" t="s">
        <v>41</v>
      </c>
      <c r="J3653" t="s">
        <v>129</v>
      </c>
      <c r="K3653" t="s">
        <v>130</v>
      </c>
      <c r="L3653">
        <v>5</v>
      </c>
      <c r="M3653" t="s">
        <v>13267</v>
      </c>
      <c r="N3653" t="s">
        <v>218</v>
      </c>
      <c r="O3653" t="s">
        <v>47</v>
      </c>
      <c r="P3653" t="s">
        <v>47</v>
      </c>
      <c r="Y3653" t="s">
        <v>13268</v>
      </c>
      <c r="AG3653" t="s">
        <v>48</v>
      </c>
    </row>
    <row r="3654" spans="1:33">
      <c r="A3654" t="s">
        <v>13269</v>
      </c>
      <c r="B3654" t="s">
        <v>13270</v>
      </c>
      <c r="D3654" t="s">
        <v>40</v>
      </c>
      <c r="E3654" t="s">
        <v>41</v>
      </c>
      <c r="J3654" t="s">
        <v>129</v>
      </c>
      <c r="K3654" t="s">
        <v>130</v>
      </c>
      <c r="L3654">
        <v>5</v>
      </c>
      <c r="M3654" t="s">
        <v>13267</v>
      </c>
      <c r="N3654" t="s">
        <v>192</v>
      </c>
      <c r="O3654" t="s">
        <v>47</v>
      </c>
      <c r="P3654" t="s">
        <v>47</v>
      </c>
      <c r="Y3654" t="s">
        <v>13271</v>
      </c>
      <c r="AG3654" t="s">
        <v>48</v>
      </c>
    </row>
    <row r="3655" spans="1:33">
      <c r="A3655" t="s">
        <v>13272</v>
      </c>
      <c r="B3655" t="s">
        <v>13273</v>
      </c>
      <c r="D3655" t="s">
        <v>40</v>
      </c>
      <c r="E3655" t="s">
        <v>41</v>
      </c>
      <c r="J3655" t="s">
        <v>290</v>
      </c>
      <c r="K3655" t="s">
        <v>291</v>
      </c>
      <c r="L3655">
        <v>5</v>
      </c>
      <c r="M3655" t="s">
        <v>13274</v>
      </c>
      <c r="N3655" t="s">
        <v>59</v>
      </c>
      <c r="O3655" t="s">
        <v>47</v>
      </c>
      <c r="P3655" t="s">
        <v>47</v>
      </c>
      <c r="Y3655" t="s">
        <v>13275</v>
      </c>
      <c r="AG3655" t="s">
        <v>48</v>
      </c>
    </row>
    <row r="3656" spans="1:33">
      <c r="A3656" t="s">
        <v>13276</v>
      </c>
      <c r="B3656" t="s">
        <v>13277</v>
      </c>
      <c r="D3656" t="s">
        <v>40</v>
      </c>
      <c r="E3656" t="s">
        <v>41</v>
      </c>
      <c r="J3656" t="s">
        <v>290</v>
      </c>
      <c r="K3656" t="s">
        <v>291</v>
      </c>
      <c r="L3656">
        <v>5</v>
      </c>
      <c r="M3656" t="s">
        <v>13278</v>
      </c>
      <c r="N3656" t="s">
        <v>59</v>
      </c>
      <c r="O3656" t="s">
        <v>47</v>
      </c>
      <c r="P3656" t="s">
        <v>47</v>
      </c>
      <c r="Y3656" t="s">
        <v>13279</v>
      </c>
      <c r="AG3656" t="s">
        <v>48</v>
      </c>
    </row>
    <row r="3657" spans="1:33">
      <c r="A3657" t="s">
        <v>13280</v>
      </c>
      <c r="B3657" t="s">
        <v>13281</v>
      </c>
      <c r="D3657" t="s">
        <v>40</v>
      </c>
      <c r="E3657" t="s">
        <v>41</v>
      </c>
      <c r="J3657" t="s">
        <v>290</v>
      </c>
      <c r="K3657" t="s">
        <v>291</v>
      </c>
      <c r="L3657">
        <v>5</v>
      </c>
      <c r="M3657" t="s">
        <v>13278</v>
      </c>
      <c r="N3657" t="s">
        <v>59</v>
      </c>
      <c r="O3657" t="s">
        <v>47</v>
      </c>
      <c r="P3657" t="s">
        <v>47</v>
      </c>
      <c r="Y3657" t="s">
        <v>13282</v>
      </c>
      <c r="AG3657" t="s">
        <v>48</v>
      </c>
    </row>
    <row r="3658" spans="1:33">
      <c r="A3658" t="s">
        <v>13283</v>
      </c>
      <c r="B3658" t="s">
        <v>13284</v>
      </c>
      <c r="D3658" t="s">
        <v>40</v>
      </c>
      <c r="E3658" t="s">
        <v>41</v>
      </c>
      <c r="J3658" t="s">
        <v>290</v>
      </c>
      <c r="K3658" t="s">
        <v>291</v>
      </c>
      <c r="L3658">
        <v>5</v>
      </c>
      <c r="M3658" t="s">
        <v>13285</v>
      </c>
      <c r="N3658" t="s">
        <v>59</v>
      </c>
      <c r="O3658" t="s">
        <v>47</v>
      </c>
      <c r="P3658" t="s">
        <v>47</v>
      </c>
      <c r="Y3658" t="s">
        <v>13286</v>
      </c>
      <c r="AG3658" t="s">
        <v>48</v>
      </c>
    </row>
    <row r="3659" spans="1:33">
      <c r="A3659" t="s">
        <v>13287</v>
      </c>
      <c r="B3659" t="s">
        <v>13288</v>
      </c>
      <c r="D3659" t="s">
        <v>40</v>
      </c>
      <c r="E3659" t="s">
        <v>41</v>
      </c>
      <c r="J3659" t="s">
        <v>108</v>
      </c>
      <c r="K3659" t="s">
        <v>109</v>
      </c>
      <c r="L3659">
        <v>5</v>
      </c>
      <c r="M3659" t="s">
        <v>13289</v>
      </c>
      <c r="N3659" t="s">
        <v>59</v>
      </c>
      <c r="O3659" t="s">
        <v>47</v>
      </c>
      <c r="P3659" t="s">
        <v>47</v>
      </c>
      <c r="Y3659" t="s">
        <v>13290</v>
      </c>
      <c r="AG3659" t="s">
        <v>48</v>
      </c>
    </row>
    <row r="3660" spans="1:33">
      <c r="A3660" t="s">
        <v>13291</v>
      </c>
      <c r="B3660" t="s">
        <v>13292</v>
      </c>
      <c r="D3660" t="s">
        <v>40</v>
      </c>
      <c r="E3660" t="s">
        <v>41</v>
      </c>
      <c r="J3660" t="s">
        <v>43</v>
      </c>
      <c r="K3660" t="s">
        <v>44</v>
      </c>
      <c r="L3660">
        <v>5</v>
      </c>
      <c r="M3660" t="s">
        <v>13293</v>
      </c>
      <c r="N3660" t="s">
        <v>192</v>
      </c>
      <c r="O3660" t="s">
        <v>47</v>
      </c>
      <c r="P3660" t="s">
        <v>47</v>
      </c>
      <c r="Y3660" t="s">
        <v>13294</v>
      </c>
      <c r="AG3660" t="s">
        <v>48</v>
      </c>
    </row>
    <row r="3661" spans="1:33">
      <c r="A3661" t="s">
        <v>13295</v>
      </c>
      <c r="B3661" t="s">
        <v>13296</v>
      </c>
      <c r="D3661" t="s">
        <v>40</v>
      </c>
      <c r="E3661" t="s">
        <v>41</v>
      </c>
      <c r="J3661" t="s">
        <v>162</v>
      </c>
      <c r="K3661" t="s">
        <v>163</v>
      </c>
      <c r="L3661">
        <v>5</v>
      </c>
      <c r="M3661" t="s">
        <v>13293</v>
      </c>
      <c r="N3661" t="s">
        <v>59</v>
      </c>
      <c r="O3661" t="s">
        <v>47</v>
      </c>
      <c r="P3661" t="s">
        <v>47</v>
      </c>
      <c r="Y3661" t="s">
        <v>13297</v>
      </c>
      <c r="AG3661" t="s">
        <v>48</v>
      </c>
    </row>
    <row r="3662" spans="1:33">
      <c r="A3662" t="s">
        <v>13298</v>
      </c>
      <c r="B3662" t="s">
        <v>13299</v>
      </c>
      <c r="D3662" t="s">
        <v>40</v>
      </c>
      <c r="E3662" t="s">
        <v>41</v>
      </c>
      <c r="J3662" t="s">
        <v>290</v>
      </c>
      <c r="K3662" t="s">
        <v>291</v>
      </c>
      <c r="L3662">
        <v>5</v>
      </c>
      <c r="M3662" t="s">
        <v>13300</v>
      </c>
      <c r="N3662" t="s">
        <v>59</v>
      </c>
      <c r="O3662" t="s">
        <v>47</v>
      </c>
      <c r="P3662" t="s">
        <v>47</v>
      </c>
      <c r="Y3662" t="s">
        <v>13301</v>
      </c>
      <c r="AG3662" t="s">
        <v>48</v>
      </c>
    </row>
    <row r="3663" spans="1:33">
      <c r="A3663" t="s">
        <v>13302</v>
      </c>
      <c r="B3663" t="s">
        <v>13303</v>
      </c>
      <c r="D3663" t="s">
        <v>40</v>
      </c>
      <c r="E3663" t="s">
        <v>41</v>
      </c>
      <c r="J3663" t="s">
        <v>129</v>
      </c>
      <c r="K3663" t="s">
        <v>130</v>
      </c>
      <c r="L3663">
        <v>5</v>
      </c>
      <c r="M3663" t="s">
        <v>13304</v>
      </c>
      <c r="N3663" t="s">
        <v>218</v>
      </c>
      <c r="O3663" t="s">
        <v>47</v>
      </c>
      <c r="P3663" t="s">
        <v>47</v>
      </c>
      <c r="Y3663" t="s">
        <v>13305</v>
      </c>
      <c r="AG3663" t="s">
        <v>48</v>
      </c>
    </row>
    <row r="3664" spans="1:33">
      <c r="A3664" t="s">
        <v>13306</v>
      </c>
      <c r="B3664" t="s">
        <v>13307</v>
      </c>
      <c r="D3664" t="s">
        <v>40</v>
      </c>
      <c r="E3664" t="s">
        <v>41</v>
      </c>
      <c r="J3664" t="s">
        <v>129</v>
      </c>
      <c r="K3664" t="s">
        <v>130</v>
      </c>
      <c r="L3664">
        <v>5</v>
      </c>
      <c r="M3664" t="s">
        <v>13308</v>
      </c>
      <c r="N3664" t="s">
        <v>192</v>
      </c>
      <c r="O3664" t="s">
        <v>47</v>
      </c>
      <c r="P3664" t="s">
        <v>47</v>
      </c>
      <c r="Y3664" t="s">
        <v>13309</v>
      </c>
      <c r="AG3664" t="s">
        <v>48</v>
      </c>
    </row>
    <row r="3665" spans="1:33">
      <c r="A3665" t="s">
        <v>13310</v>
      </c>
      <c r="B3665" t="s">
        <v>13311</v>
      </c>
      <c r="D3665" t="s">
        <v>40</v>
      </c>
      <c r="E3665" t="s">
        <v>41</v>
      </c>
      <c r="J3665" t="s">
        <v>108</v>
      </c>
      <c r="K3665" t="s">
        <v>109</v>
      </c>
      <c r="L3665">
        <v>5</v>
      </c>
      <c r="M3665" t="s">
        <v>13312</v>
      </c>
      <c r="N3665" t="s">
        <v>59</v>
      </c>
      <c r="O3665" t="s">
        <v>47</v>
      </c>
      <c r="P3665" t="s">
        <v>47</v>
      </c>
      <c r="Y3665" t="s">
        <v>13313</v>
      </c>
      <c r="AG3665" t="s">
        <v>48</v>
      </c>
    </row>
    <row r="3666" spans="1:33">
      <c r="A3666" t="s">
        <v>13314</v>
      </c>
      <c r="B3666" t="s">
        <v>13315</v>
      </c>
      <c r="D3666" t="s">
        <v>40</v>
      </c>
      <c r="E3666" t="s">
        <v>41</v>
      </c>
      <c r="J3666" t="s">
        <v>123</v>
      </c>
      <c r="K3666" t="s">
        <v>124</v>
      </c>
      <c r="L3666">
        <v>5</v>
      </c>
      <c r="M3666" t="s">
        <v>13316</v>
      </c>
      <c r="N3666" t="s">
        <v>192</v>
      </c>
      <c r="O3666" t="s">
        <v>47</v>
      </c>
      <c r="P3666" t="s">
        <v>47</v>
      </c>
      <c r="Y3666" t="s">
        <v>13317</v>
      </c>
      <c r="AG3666" t="s">
        <v>48</v>
      </c>
    </row>
    <row r="3667" spans="1:33">
      <c r="A3667" t="s">
        <v>13318</v>
      </c>
      <c r="B3667" t="s">
        <v>13319</v>
      </c>
      <c r="D3667" t="s">
        <v>40</v>
      </c>
      <c r="E3667" t="s">
        <v>41</v>
      </c>
      <c r="J3667" t="s">
        <v>162</v>
      </c>
      <c r="K3667" t="s">
        <v>163</v>
      </c>
      <c r="L3667">
        <v>5</v>
      </c>
      <c r="M3667" t="s">
        <v>13320</v>
      </c>
      <c r="N3667" t="s">
        <v>59</v>
      </c>
      <c r="O3667" t="s">
        <v>47</v>
      </c>
      <c r="P3667" t="s">
        <v>47</v>
      </c>
      <c r="Y3667" t="s">
        <v>13321</v>
      </c>
      <c r="AG3667" t="s">
        <v>48</v>
      </c>
    </row>
    <row r="3668" spans="1:33">
      <c r="A3668" t="s">
        <v>13322</v>
      </c>
      <c r="B3668" t="s">
        <v>13323</v>
      </c>
      <c r="D3668" t="s">
        <v>40</v>
      </c>
      <c r="E3668" t="s">
        <v>41</v>
      </c>
      <c r="J3668" t="s">
        <v>270</v>
      </c>
      <c r="K3668" t="s">
        <v>271</v>
      </c>
      <c r="L3668">
        <v>5</v>
      </c>
      <c r="M3668" t="s">
        <v>13324</v>
      </c>
      <c r="N3668" t="s">
        <v>59</v>
      </c>
      <c r="O3668" t="s">
        <v>47</v>
      </c>
      <c r="P3668" t="s">
        <v>47</v>
      </c>
      <c r="Y3668" t="s">
        <v>13325</v>
      </c>
      <c r="AG3668" t="s">
        <v>48</v>
      </c>
    </row>
    <row r="3669" spans="1:33">
      <c r="A3669" t="s">
        <v>13326</v>
      </c>
      <c r="B3669" t="s">
        <v>13327</v>
      </c>
      <c r="D3669" t="s">
        <v>40</v>
      </c>
      <c r="E3669" t="s">
        <v>41</v>
      </c>
      <c r="J3669" t="s">
        <v>129</v>
      </c>
      <c r="K3669" t="s">
        <v>130</v>
      </c>
      <c r="L3669">
        <v>5</v>
      </c>
      <c r="M3669" t="s">
        <v>13328</v>
      </c>
      <c r="N3669" t="s">
        <v>192</v>
      </c>
      <c r="O3669" t="s">
        <v>47</v>
      </c>
      <c r="P3669" t="s">
        <v>47</v>
      </c>
      <c r="Y3669" t="s">
        <v>13329</v>
      </c>
      <c r="AG3669" t="s">
        <v>48</v>
      </c>
    </row>
    <row r="3670" spans="1:33">
      <c r="A3670" t="s">
        <v>13330</v>
      </c>
      <c r="B3670" t="s">
        <v>13331</v>
      </c>
      <c r="D3670" t="s">
        <v>40</v>
      </c>
      <c r="E3670" t="s">
        <v>41</v>
      </c>
      <c r="J3670" t="s">
        <v>108</v>
      </c>
      <c r="K3670" t="s">
        <v>109</v>
      </c>
      <c r="L3670">
        <v>5</v>
      </c>
      <c r="M3670" t="s">
        <v>13332</v>
      </c>
      <c r="N3670" t="s">
        <v>59</v>
      </c>
      <c r="O3670" t="s">
        <v>47</v>
      </c>
      <c r="P3670" t="s">
        <v>47</v>
      </c>
      <c r="Y3670" t="s">
        <v>13333</v>
      </c>
      <c r="AG3670" t="s">
        <v>48</v>
      </c>
    </row>
    <row r="3671" spans="1:33">
      <c r="A3671" t="s">
        <v>13334</v>
      </c>
      <c r="B3671" t="s">
        <v>13335</v>
      </c>
      <c r="D3671" t="s">
        <v>40</v>
      </c>
      <c r="E3671" t="s">
        <v>41</v>
      </c>
      <c r="J3671" t="s">
        <v>2439</v>
      </c>
      <c r="K3671" t="s">
        <v>2440</v>
      </c>
      <c r="L3671">
        <v>5</v>
      </c>
      <c r="M3671" t="s">
        <v>13332</v>
      </c>
      <c r="N3671" t="s">
        <v>59</v>
      </c>
      <c r="O3671" t="s">
        <v>47</v>
      </c>
      <c r="P3671" t="s">
        <v>47</v>
      </c>
      <c r="Y3671" t="s">
        <v>13336</v>
      </c>
      <c r="AG3671" t="s">
        <v>48</v>
      </c>
    </row>
    <row r="3672" spans="1:33">
      <c r="A3672" t="s">
        <v>13337</v>
      </c>
      <c r="B3672" t="s">
        <v>13338</v>
      </c>
      <c r="D3672" t="s">
        <v>40</v>
      </c>
      <c r="E3672" t="s">
        <v>41</v>
      </c>
      <c r="J3672" t="s">
        <v>129</v>
      </c>
      <c r="K3672" t="s">
        <v>130</v>
      </c>
      <c r="L3672">
        <v>5</v>
      </c>
      <c r="M3672" t="s">
        <v>13339</v>
      </c>
      <c r="N3672" t="s">
        <v>218</v>
      </c>
      <c r="O3672" t="s">
        <v>47</v>
      </c>
      <c r="P3672" t="s">
        <v>47</v>
      </c>
      <c r="Y3672" t="s">
        <v>13340</v>
      </c>
      <c r="AG3672" t="s">
        <v>48</v>
      </c>
    </row>
    <row r="3673" spans="1:33">
      <c r="A3673" t="s">
        <v>13341</v>
      </c>
      <c r="B3673" t="s">
        <v>13342</v>
      </c>
      <c r="D3673" t="s">
        <v>40</v>
      </c>
      <c r="E3673" t="s">
        <v>41</v>
      </c>
      <c r="J3673" t="s">
        <v>290</v>
      </c>
      <c r="K3673" t="s">
        <v>291</v>
      </c>
      <c r="L3673">
        <v>5</v>
      </c>
      <c r="M3673" t="s">
        <v>13339</v>
      </c>
      <c r="N3673" t="s">
        <v>59</v>
      </c>
      <c r="O3673" t="s">
        <v>47</v>
      </c>
      <c r="P3673" t="s">
        <v>47</v>
      </c>
      <c r="Y3673" t="s">
        <v>13343</v>
      </c>
      <c r="AG3673" t="s">
        <v>48</v>
      </c>
    </row>
    <row r="3674" spans="1:33">
      <c r="A3674" t="s">
        <v>13344</v>
      </c>
      <c r="B3674" t="s">
        <v>13345</v>
      </c>
      <c r="D3674" t="s">
        <v>40</v>
      </c>
      <c r="E3674" t="s">
        <v>41</v>
      </c>
      <c r="J3674" t="s">
        <v>290</v>
      </c>
      <c r="K3674" t="s">
        <v>291</v>
      </c>
      <c r="L3674">
        <v>5</v>
      </c>
      <c r="M3674" t="s">
        <v>13346</v>
      </c>
      <c r="N3674" t="s">
        <v>59</v>
      </c>
      <c r="O3674" t="s">
        <v>47</v>
      </c>
      <c r="P3674" t="s">
        <v>47</v>
      </c>
      <c r="Y3674" t="s">
        <v>13347</v>
      </c>
      <c r="AG3674" t="s">
        <v>48</v>
      </c>
    </row>
    <row r="3675" spans="1:33">
      <c r="A3675" t="s">
        <v>13348</v>
      </c>
      <c r="B3675" t="s">
        <v>13349</v>
      </c>
      <c r="D3675" t="s">
        <v>40</v>
      </c>
      <c r="E3675" t="s">
        <v>41</v>
      </c>
      <c r="J3675" t="s">
        <v>290</v>
      </c>
      <c r="K3675" t="s">
        <v>291</v>
      </c>
      <c r="L3675">
        <v>5</v>
      </c>
      <c r="M3675" t="s">
        <v>13350</v>
      </c>
      <c r="N3675" t="s">
        <v>59</v>
      </c>
      <c r="O3675" t="s">
        <v>47</v>
      </c>
      <c r="P3675" t="s">
        <v>47</v>
      </c>
      <c r="Y3675" t="s">
        <v>13351</v>
      </c>
      <c r="AG3675" t="s">
        <v>48</v>
      </c>
    </row>
    <row r="3676" spans="1:33">
      <c r="A3676" t="s">
        <v>13352</v>
      </c>
      <c r="B3676" t="s">
        <v>13353</v>
      </c>
      <c r="D3676" t="s">
        <v>40</v>
      </c>
      <c r="E3676" t="s">
        <v>41</v>
      </c>
      <c r="J3676" t="s">
        <v>43</v>
      </c>
      <c r="K3676" t="s">
        <v>44</v>
      </c>
      <c r="L3676">
        <v>5</v>
      </c>
      <c r="M3676" t="s">
        <v>13350</v>
      </c>
      <c r="N3676" t="s">
        <v>192</v>
      </c>
      <c r="O3676" t="s">
        <v>47</v>
      </c>
      <c r="P3676" t="s">
        <v>47</v>
      </c>
      <c r="Y3676" t="s">
        <v>13354</v>
      </c>
      <c r="AG3676" t="s">
        <v>48</v>
      </c>
    </row>
    <row r="3677" spans="1:33">
      <c r="A3677" t="s">
        <v>13355</v>
      </c>
      <c r="B3677" t="s">
        <v>13356</v>
      </c>
      <c r="D3677" t="s">
        <v>40</v>
      </c>
      <c r="E3677" t="s">
        <v>41</v>
      </c>
      <c r="J3677" t="s">
        <v>123</v>
      </c>
      <c r="K3677" t="s">
        <v>124</v>
      </c>
      <c r="L3677">
        <v>5</v>
      </c>
      <c r="M3677" t="s">
        <v>13357</v>
      </c>
      <c r="N3677" t="s">
        <v>218</v>
      </c>
      <c r="O3677" t="s">
        <v>47</v>
      </c>
      <c r="P3677" t="s">
        <v>47</v>
      </c>
      <c r="Y3677" t="s">
        <v>13358</v>
      </c>
      <c r="AG3677" t="s">
        <v>48</v>
      </c>
    </row>
    <row r="3678" spans="1:33">
      <c r="A3678" t="s">
        <v>13359</v>
      </c>
      <c r="B3678" t="s">
        <v>13360</v>
      </c>
      <c r="D3678" t="s">
        <v>40</v>
      </c>
      <c r="E3678" t="s">
        <v>41</v>
      </c>
      <c r="J3678" t="s">
        <v>290</v>
      </c>
      <c r="K3678" t="s">
        <v>291</v>
      </c>
      <c r="L3678">
        <v>5</v>
      </c>
      <c r="M3678" t="s">
        <v>13357</v>
      </c>
      <c r="N3678" t="s">
        <v>59</v>
      </c>
      <c r="O3678" t="s">
        <v>47</v>
      </c>
      <c r="P3678" t="s">
        <v>47</v>
      </c>
      <c r="Y3678" t="s">
        <v>13361</v>
      </c>
      <c r="AG3678" t="s">
        <v>48</v>
      </c>
    </row>
    <row r="3679" spans="1:33">
      <c r="A3679" t="s">
        <v>13362</v>
      </c>
      <c r="B3679" t="s">
        <v>13363</v>
      </c>
      <c r="D3679" t="s">
        <v>40</v>
      </c>
      <c r="E3679" t="s">
        <v>41</v>
      </c>
      <c r="J3679" t="s">
        <v>290</v>
      </c>
      <c r="K3679" t="s">
        <v>291</v>
      </c>
      <c r="L3679">
        <v>5</v>
      </c>
      <c r="M3679" t="s">
        <v>13364</v>
      </c>
      <c r="N3679" t="s">
        <v>59</v>
      </c>
      <c r="O3679" t="s">
        <v>47</v>
      </c>
      <c r="P3679" t="s">
        <v>47</v>
      </c>
      <c r="Y3679" t="s">
        <v>13365</v>
      </c>
      <c r="AG3679" t="s">
        <v>48</v>
      </c>
    </row>
    <row r="3680" spans="1:33">
      <c r="A3680" t="s">
        <v>13366</v>
      </c>
      <c r="B3680" t="s">
        <v>13367</v>
      </c>
      <c r="D3680" t="s">
        <v>40</v>
      </c>
      <c r="E3680" t="s">
        <v>41</v>
      </c>
      <c r="J3680" t="s">
        <v>270</v>
      </c>
      <c r="K3680" t="s">
        <v>271</v>
      </c>
      <c r="L3680">
        <v>5</v>
      </c>
      <c r="M3680" t="s">
        <v>13368</v>
      </c>
      <c r="N3680" t="s">
        <v>59</v>
      </c>
      <c r="O3680" t="s">
        <v>47</v>
      </c>
      <c r="P3680" t="s">
        <v>47</v>
      </c>
      <c r="Y3680" t="s">
        <v>13369</v>
      </c>
      <c r="AG3680" t="s">
        <v>48</v>
      </c>
    </row>
    <row r="3681" spans="1:33">
      <c r="A3681" t="s">
        <v>13370</v>
      </c>
      <c r="B3681" t="s">
        <v>13371</v>
      </c>
      <c r="D3681" t="s">
        <v>40</v>
      </c>
      <c r="E3681" t="s">
        <v>41</v>
      </c>
      <c r="J3681" t="s">
        <v>270</v>
      </c>
      <c r="K3681" t="s">
        <v>271</v>
      </c>
      <c r="L3681">
        <v>5</v>
      </c>
      <c r="M3681" t="s">
        <v>13368</v>
      </c>
      <c r="N3681" t="s">
        <v>59</v>
      </c>
      <c r="O3681" t="s">
        <v>47</v>
      </c>
      <c r="P3681" t="s">
        <v>47</v>
      </c>
      <c r="Y3681" t="s">
        <v>13372</v>
      </c>
      <c r="AG3681" t="s">
        <v>48</v>
      </c>
    </row>
    <row r="3682" spans="1:33">
      <c r="A3682" t="s">
        <v>13373</v>
      </c>
      <c r="B3682" t="s">
        <v>13374</v>
      </c>
      <c r="D3682" t="s">
        <v>40</v>
      </c>
      <c r="E3682" t="s">
        <v>41</v>
      </c>
      <c r="J3682" t="s">
        <v>123</v>
      </c>
      <c r="K3682" t="s">
        <v>124</v>
      </c>
      <c r="L3682">
        <v>5</v>
      </c>
      <c r="M3682" t="s">
        <v>13375</v>
      </c>
      <c r="N3682" t="s">
        <v>218</v>
      </c>
      <c r="O3682" t="s">
        <v>47</v>
      </c>
      <c r="P3682" t="s">
        <v>47</v>
      </c>
      <c r="Y3682" t="s">
        <v>13376</v>
      </c>
      <c r="AG3682" t="s">
        <v>48</v>
      </c>
    </row>
    <row r="3683" spans="1:33">
      <c r="A3683" t="s">
        <v>13377</v>
      </c>
      <c r="B3683" t="s">
        <v>13378</v>
      </c>
      <c r="D3683" t="s">
        <v>40</v>
      </c>
      <c r="E3683" t="s">
        <v>41</v>
      </c>
      <c r="J3683" t="s">
        <v>43</v>
      </c>
      <c r="K3683" t="s">
        <v>44</v>
      </c>
      <c r="L3683">
        <v>5</v>
      </c>
      <c r="M3683" t="s">
        <v>13379</v>
      </c>
      <c r="N3683" t="s">
        <v>192</v>
      </c>
      <c r="O3683" t="s">
        <v>47</v>
      </c>
      <c r="P3683" t="s">
        <v>47</v>
      </c>
      <c r="Y3683" t="s">
        <v>13380</v>
      </c>
      <c r="AG3683" t="s">
        <v>48</v>
      </c>
    </row>
    <row r="3684" spans="1:33">
      <c r="A3684" t="s">
        <v>13381</v>
      </c>
      <c r="B3684" t="s">
        <v>13382</v>
      </c>
      <c r="D3684" t="s">
        <v>40</v>
      </c>
      <c r="E3684" t="s">
        <v>41</v>
      </c>
      <c r="J3684" t="s">
        <v>162</v>
      </c>
      <c r="K3684" t="s">
        <v>163</v>
      </c>
      <c r="L3684">
        <v>5</v>
      </c>
      <c r="M3684" t="s">
        <v>13383</v>
      </c>
      <c r="N3684" t="s">
        <v>59</v>
      </c>
      <c r="O3684" t="s">
        <v>47</v>
      </c>
      <c r="P3684" t="s">
        <v>47</v>
      </c>
      <c r="Y3684" t="s">
        <v>13384</v>
      </c>
      <c r="AG3684" t="s">
        <v>48</v>
      </c>
    </row>
    <row r="3685" spans="1:33">
      <c r="A3685" t="s">
        <v>13385</v>
      </c>
      <c r="B3685" t="s">
        <v>13386</v>
      </c>
      <c r="D3685" t="s">
        <v>40</v>
      </c>
      <c r="E3685" t="s">
        <v>41</v>
      </c>
      <c r="J3685" t="s">
        <v>290</v>
      </c>
      <c r="K3685" t="s">
        <v>291</v>
      </c>
      <c r="L3685">
        <v>5</v>
      </c>
      <c r="M3685" t="s">
        <v>13383</v>
      </c>
      <c r="N3685" t="s">
        <v>59</v>
      </c>
      <c r="O3685" t="s">
        <v>47</v>
      </c>
      <c r="P3685" t="s">
        <v>47</v>
      </c>
      <c r="Y3685" t="s">
        <v>13387</v>
      </c>
      <c r="AG3685" t="s">
        <v>48</v>
      </c>
    </row>
    <row r="3686" spans="1:33">
      <c r="A3686" t="s">
        <v>13388</v>
      </c>
      <c r="B3686" t="s">
        <v>13389</v>
      </c>
      <c r="D3686" t="s">
        <v>40</v>
      </c>
      <c r="E3686" t="s">
        <v>41</v>
      </c>
      <c r="J3686" t="s">
        <v>290</v>
      </c>
      <c r="K3686" t="s">
        <v>291</v>
      </c>
      <c r="L3686">
        <v>5</v>
      </c>
      <c r="M3686" t="s">
        <v>13383</v>
      </c>
      <c r="N3686" t="s">
        <v>59</v>
      </c>
      <c r="O3686" t="s">
        <v>47</v>
      </c>
      <c r="P3686" t="s">
        <v>47</v>
      </c>
      <c r="Y3686" t="s">
        <v>13390</v>
      </c>
      <c r="AG3686" t="s">
        <v>48</v>
      </c>
    </row>
    <row r="3687" spans="1:33">
      <c r="A3687" t="s">
        <v>13391</v>
      </c>
      <c r="B3687" t="s">
        <v>13392</v>
      </c>
      <c r="D3687" t="s">
        <v>40</v>
      </c>
      <c r="E3687" t="s">
        <v>41</v>
      </c>
      <c r="J3687" t="s">
        <v>162</v>
      </c>
      <c r="K3687" t="s">
        <v>163</v>
      </c>
      <c r="L3687">
        <v>5</v>
      </c>
      <c r="M3687" t="s">
        <v>13383</v>
      </c>
      <c r="N3687" t="s">
        <v>59</v>
      </c>
      <c r="O3687" t="s">
        <v>47</v>
      </c>
      <c r="P3687" t="s">
        <v>47</v>
      </c>
      <c r="Y3687" t="s">
        <v>13393</v>
      </c>
      <c r="AG3687" t="s">
        <v>48</v>
      </c>
    </row>
    <row r="3688" spans="1:33">
      <c r="A3688" t="s">
        <v>13394</v>
      </c>
      <c r="B3688" t="s">
        <v>13395</v>
      </c>
      <c r="D3688" t="s">
        <v>40</v>
      </c>
      <c r="E3688" t="s">
        <v>41</v>
      </c>
      <c r="J3688" t="s">
        <v>290</v>
      </c>
      <c r="K3688" t="s">
        <v>291</v>
      </c>
      <c r="L3688">
        <v>5</v>
      </c>
      <c r="M3688" t="s">
        <v>13396</v>
      </c>
      <c r="N3688" t="s">
        <v>59</v>
      </c>
      <c r="O3688" t="s">
        <v>47</v>
      </c>
      <c r="P3688" t="s">
        <v>47</v>
      </c>
      <c r="Y3688" t="s">
        <v>13397</v>
      </c>
      <c r="AG3688" t="s">
        <v>48</v>
      </c>
    </row>
    <row r="3689" spans="1:33">
      <c r="A3689" t="s">
        <v>13398</v>
      </c>
      <c r="B3689" t="s">
        <v>13399</v>
      </c>
      <c r="D3689" t="s">
        <v>40</v>
      </c>
      <c r="E3689" t="s">
        <v>41</v>
      </c>
      <c r="J3689" t="s">
        <v>290</v>
      </c>
      <c r="K3689" t="s">
        <v>291</v>
      </c>
      <c r="L3689">
        <v>5</v>
      </c>
      <c r="M3689" t="s">
        <v>13400</v>
      </c>
      <c r="N3689" t="s">
        <v>59</v>
      </c>
      <c r="O3689" t="s">
        <v>47</v>
      </c>
      <c r="P3689" t="s">
        <v>47</v>
      </c>
      <c r="Y3689" t="s">
        <v>13401</v>
      </c>
      <c r="AG3689" t="s">
        <v>48</v>
      </c>
    </row>
    <row r="3690" spans="1:33">
      <c r="A3690" t="s">
        <v>13402</v>
      </c>
      <c r="B3690" t="s">
        <v>13403</v>
      </c>
      <c r="D3690" t="s">
        <v>40</v>
      </c>
      <c r="E3690" t="s">
        <v>41</v>
      </c>
      <c r="J3690" t="s">
        <v>108</v>
      </c>
      <c r="K3690" t="s">
        <v>109</v>
      </c>
      <c r="L3690">
        <v>5</v>
      </c>
      <c r="M3690" t="s">
        <v>13400</v>
      </c>
      <c r="N3690" t="s">
        <v>59</v>
      </c>
      <c r="O3690" t="s">
        <v>47</v>
      </c>
      <c r="P3690" t="s">
        <v>47</v>
      </c>
      <c r="Y3690" t="s">
        <v>13404</v>
      </c>
      <c r="AG3690" t="s">
        <v>48</v>
      </c>
    </row>
    <row r="3691" spans="1:33">
      <c r="A3691" t="s">
        <v>13405</v>
      </c>
      <c r="B3691" t="s">
        <v>13406</v>
      </c>
      <c r="D3691" t="s">
        <v>40</v>
      </c>
      <c r="E3691" t="s">
        <v>41</v>
      </c>
      <c r="H3691" t="s">
        <v>13407</v>
      </c>
      <c r="J3691" t="s">
        <v>43</v>
      </c>
      <c r="K3691" t="s">
        <v>44</v>
      </c>
      <c r="L3691">
        <v>5</v>
      </c>
      <c r="M3691" t="s">
        <v>13408</v>
      </c>
      <c r="N3691" t="s">
        <v>192</v>
      </c>
      <c r="O3691" t="s">
        <v>47</v>
      </c>
      <c r="P3691" t="s">
        <v>47</v>
      </c>
      <c r="Y3691" t="s">
        <v>13407</v>
      </c>
      <c r="AG3691" t="s">
        <v>48</v>
      </c>
    </row>
    <row r="3692" spans="1:33">
      <c r="A3692" t="s">
        <v>13409</v>
      </c>
      <c r="B3692" t="s">
        <v>13410</v>
      </c>
      <c r="D3692" t="s">
        <v>40</v>
      </c>
      <c r="E3692" t="s">
        <v>41</v>
      </c>
      <c r="J3692" t="s">
        <v>108</v>
      </c>
      <c r="K3692" t="s">
        <v>109</v>
      </c>
      <c r="L3692">
        <v>5</v>
      </c>
      <c r="M3692" t="s">
        <v>13411</v>
      </c>
      <c r="N3692" t="s">
        <v>59</v>
      </c>
      <c r="O3692" t="s">
        <v>47</v>
      </c>
      <c r="P3692" t="s">
        <v>47</v>
      </c>
      <c r="Y3692" t="s">
        <v>13412</v>
      </c>
      <c r="AG3692" t="s">
        <v>48</v>
      </c>
    </row>
    <row r="3693" spans="1:33">
      <c r="A3693" t="s">
        <v>13413</v>
      </c>
      <c r="B3693" t="s">
        <v>13414</v>
      </c>
      <c r="D3693" t="s">
        <v>40</v>
      </c>
      <c r="E3693" t="s">
        <v>41</v>
      </c>
      <c r="H3693" t="s">
        <v>13415</v>
      </c>
      <c r="J3693" t="s">
        <v>63</v>
      </c>
      <c r="K3693" t="s">
        <v>64</v>
      </c>
      <c r="L3693">
        <v>5</v>
      </c>
      <c r="M3693" t="s">
        <v>13416</v>
      </c>
      <c r="N3693" t="s">
        <v>59</v>
      </c>
      <c r="O3693" t="s">
        <v>47</v>
      </c>
      <c r="P3693" t="s">
        <v>47</v>
      </c>
      <c r="Y3693" t="s">
        <v>13415</v>
      </c>
      <c r="AG3693" t="s">
        <v>48</v>
      </c>
    </row>
    <row r="3694" spans="1:33">
      <c r="A3694" t="s">
        <v>13417</v>
      </c>
      <c r="B3694" t="s">
        <v>13418</v>
      </c>
      <c r="D3694" t="s">
        <v>40</v>
      </c>
      <c r="E3694" t="s">
        <v>41</v>
      </c>
      <c r="H3694" t="s">
        <v>13419</v>
      </c>
      <c r="J3694" t="s">
        <v>63</v>
      </c>
      <c r="K3694" t="s">
        <v>64</v>
      </c>
      <c r="L3694">
        <v>5</v>
      </c>
      <c r="M3694" t="s">
        <v>13420</v>
      </c>
      <c r="N3694" t="s">
        <v>59</v>
      </c>
      <c r="O3694" t="s">
        <v>47</v>
      </c>
      <c r="P3694" t="s">
        <v>47</v>
      </c>
      <c r="Y3694" t="s">
        <v>13419</v>
      </c>
      <c r="AG3694" t="s">
        <v>48</v>
      </c>
    </row>
    <row r="3695" spans="1:33">
      <c r="A3695" t="s">
        <v>13421</v>
      </c>
      <c r="B3695" t="s">
        <v>13422</v>
      </c>
      <c r="D3695" t="s">
        <v>40</v>
      </c>
      <c r="E3695" t="s">
        <v>41</v>
      </c>
      <c r="J3695" t="s">
        <v>123</v>
      </c>
      <c r="K3695" t="s">
        <v>124</v>
      </c>
      <c r="L3695">
        <v>5</v>
      </c>
      <c r="M3695" t="s">
        <v>13423</v>
      </c>
      <c r="N3695" t="s">
        <v>218</v>
      </c>
      <c r="O3695" t="s">
        <v>47</v>
      </c>
      <c r="P3695" t="s">
        <v>47</v>
      </c>
      <c r="Y3695" t="s">
        <v>13424</v>
      </c>
      <c r="AG3695" t="s">
        <v>48</v>
      </c>
    </row>
    <row r="3696" spans="1:33">
      <c r="A3696" t="s">
        <v>117</v>
      </c>
      <c r="B3696" t="s">
        <v>13425</v>
      </c>
      <c r="D3696" t="s">
        <v>40</v>
      </c>
      <c r="E3696" t="s">
        <v>41</v>
      </c>
      <c r="J3696" t="s">
        <v>123</v>
      </c>
      <c r="K3696" t="s">
        <v>124</v>
      </c>
      <c r="L3696">
        <v>5</v>
      </c>
      <c r="M3696" t="s">
        <v>13426</v>
      </c>
      <c r="N3696" t="s">
        <v>218</v>
      </c>
      <c r="O3696" t="s">
        <v>47</v>
      </c>
      <c r="P3696" t="s">
        <v>47</v>
      </c>
      <c r="Y3696" t="s">
        <v>13427</v>
      </c>
      <c r="AG3696" t="s">
        <v>48</v>
      </c>
    </row>
    <row r="3697" spans="1:33">
      <c r="A3697" t="s">
        <v>13428</v>
      </c>
      <c r="B3697" t="s">
        <v>13429</v>
      </c>
      <c r="D3697" t="s">
        <v>40</v>
      </c>
      <c r="E3697" t="s">
        <v>41</v>
      </c>
      <c r="H3697" t="s">
        <v>13430</v>
      </c>
      <c r="J3697" t="s">
        <v>129</v>
      </c>
      <c r="K3697" t="s">
        <v>130</v>
      </c>
      <c r="L3697">
        <v>6</v>
      </c>
      <c r="M3697" t="s">
        <v>13431</v>
      </c>
      <c r="N3697" t="s">
        <v>218</v>
      </c>
      <c r="O3697" t="s">
        <v>47</v>
      </c>
      <c r="P3697" t="s">
        <v>47</v>
      </c>
      <c r="Y3697" t="s">
        <v>13430</v>
      </c>
      <c r="AG3697" t="s">
        <v>48</v>
      </c>
    </row>
    <row r="3698" spans="1:33">
      <c r="A3698" t="s">
        <v>13432</v>
      </c>
      <c r="B3698" t="s">
        <v>13433</v>
      </c>
      <c r="D3698" t="s">
        <v>40</v>
      </c>
      <c r="E3698" t="s">
        <v>41</v>
      </c>
      <c r="H3698" t="s">
        <v>13434</v>
      </c>
      <c r="J3698" t="s">
        <v>215</v>
      </c>
      <c r="K3698" t="s">
        <v>216</v>
      </c>
      <c r="L3698">
        <v>9</v>
      </c>
      <c r="M3698" t="s">
        <v>13435</v>
      </c>
      <c r="N3698" t="s">
        <v>218</v>
      </c>
      <c r="O3698" t="s">
        <v>47</v>
      </c>
      <c r="P3698" t="s">
        <v>47</v>
      </c>
      <c r="Y3698" t="s">
        <v>13434</v>
      </c>
      <c r="AG3698" t="s">
        <v>48</v>
      </c>
    </row>
    <row r="3699" spans="1:33">
      <c r="A3699" t="s">
        <v>13436</v>
      </c>
      <c r="B3699" t="s">
        <v>13437</v>
      </c>
      <c r="D3699" t="s">
        <v>40</v>
      </c>
      <c r="E3699" t="s">
        <v>41</v>
      </c>
      <c r="J3699" t="s">
        <v>43</v>
      </c>
      <c r="K3699" t="s">
        <v>44</v>
      </c>
      <c r="L3699">
        <v>6</v>
      </c>
      <c r="M3699" t="s">
        <v>13438</v>
      </c>
      <c r="N3699" t="s">
        <v>192</v>
      </c>
      <c r="O3699" t="s">
        <v>47</v>
      </c>
      <c r="P3699" t="s">
        <v>47</v>
      </c>
      <c r="Y3699" t="s">
        <v>13439</v>
      </c>
      <c r="AG3699" t="s">
        <v>48</v>
      </c>
    </row>
    <row r="3700" spans="1:33">
      <c r="A3700" t="s">
        <v>13440</v>
      </c>
      <c r="B3700" t="s">
        <v>13441</v>
      </c>
      <c r="D3700" t="s">
        <v>40</v>
      </c>
      <c r="E3700" t="s">
        <v>41</v>
      </c>
      <c r="J3700" t="s">
        <v>86</v>
      </c>
      <c r="K3700" t="s">
        <v>87</v>
      </c>
      <c r="L3700">
        <v>5</v>
      </c>
      <c r="M3700" t="s">
        <v>13442</v>
      </c>
      <c r="N3700" t="s">
        <v>46</v>
      </c>
      <c r="O3700" t="s">
        <v>47</v>
      </c>
      <c r="P3700" t="s">
        <v>47</v>
      </c>
      <c r="Y3700" t="s">
        <v>13443</v>
      </c>
      <c r="AG3700" t="s">
        <v>48</v>
      </c>
    </row>
    <row r="3701" spans="1:33">
      <c r="A3701" t="s">
        <v>13444</v>
      </c>
      <c r="B3701" t="s">
        <v>13445</v>
      </c>
      <c r="D3701" t="s">
        <v>40</v>
      </c>
      <c r="E3701" t="s">
        <v>41</v>
      </c>
      <c r="J3701" t="s">
        <v>129</v>
      </c>
      <c r="K3701" t="s">
        <v>130</v>
      </c>
      <c r="L3701">
        <v>8</v>
      </c>
      <c r="M3701" t="s">
        <v>13446</v>
      </c>
      <c r="N3701" t="s">
        <v>46</v>
      </c>
      <c r="O3701" t="s">
        <v>47</v>
      </c>
      <c r="P3701" t="s">
        <v>47</v>
      </c>
      <c r="Y3701" t="s">
        <v>13447</v>
      </c>
      <c r="AG3701" t="s">
        <v>48</v>
      </c>
    </row>
    <row r="3702" spans="1:33">
      <c r="A3702" t="s">
        <v>13448</v>
      </c>
      <c r="B3702" t="s">
        <v>13449</v>
      </c>
      <c r="D3702" t="s">
        <v>40</v>
      </c>
      <c r="E3702" t="s">
        <v>41</v>
      </c>
      <c r="H3702" t="s">
        <v>13450</v>
      </c>
      <c r="J3702" t="s">
        <v>147</v>
      </c>
      <c r="K3702" t="s">
        <v>148</v>
      </c>
      <c r="L3702">
        <v>6</v>
      </c>
      <c r="M3702" t="s">
        <v>13451</v>
      </c>
      <c r="N3702" t="s">
        <v>46</v>
      </c>
      <c r="O3702" t="s">
        <v>47</v>
      </c>
      <c r="P3702" t="s">
        <v>47</v>
      </c>
      <c r="Y3702" t="s">
        <v>13450</v>
      </c>
      <c r="AG3702" t="s">
        <v>48</v>
      </c>
    </row>
    <row r="3703" spans="1:33">
      <c r="A3703" t="s">
        <v>13452</v>
      </c>
      <c r="B3703" t="s">
        <v>13453</v>
      </c>
      <c r="D3703" t="s">
        <v>40</v>
      </c>
      <c r="E3703" t="s">
        <v>41</v>
      </c>
      <c r="J3703" t="s">
        <v>147</v>
      </c>
      <c r="K3703" t="s">
        <v>148</v>
      </c>
      <c r="L3703">
        <v>7</v>
      </c>
      <c r="M3703" t="s">
        <v>13454</v>
      </c>
      <c r="N3703" t="s">
        <v>192</v>
      </c>
      <c r="O3703" t="s">
        <v>47</v>
      </c>
      <c r="P3703" t="s">
        <v>47</v>
      </c>
      <c r="Y3703" t="s">
        <v>13455</v>
      </c>
      <c r="AG3703" t="s">
        <v>48</v>
      </c>
    </row>
    <row r="3704" spans="1:33">
      <c r="A3704" t="s">
        <v>13456</v>
      </c>
      <c r="B3704" t="s">
        <v>13457</v>
      </c>
      <c r="D3704" t="s">
        <v>40</v>
      </c>
      <c r="E3704" t="s">
        <v>41</v>
      </c>
      <c r="J3704" t="s">
        <v>129</v>
      </c>
      <c r="K3704" t="s">
        <v>130</v>
      </c>
      <c r="L3704">
        <v>8</v>
      </c>
      <c r="M3704" t="s">
        <v>13458</v>
      </c>
      <c r="N3704" t="s">
        <v>46</v>
      </c>
      <c r="O3704" t="s">
        <v>47</v>
      </c>
      <c r="P3704" t="s">
        <v>47</v>
      </c>
      <c r="Y3704" t="s">
        <v>13459</v>
      </c>
      <c r="AG3704" t="s">
        <v>48</v>
      </c>
    </row>
    <row r="3705" spans="1:33">
      <c r="A3705" t="s">
        <v>13460</v>
      </c>
      <c r="B3705" t="s">
        <v>13461</v>
      </c>
      <c r="D3705" t="s">
        <v>40</v>
      </c>
      <c r="E3705" t="s">
        <v>41</v>
      </c>
      <c r="J3705" t="s">
        <v>43</v>
      </c>
      <c r="K3705" t="s">
        <v>44</v>
      </c>
      <c r="L3705">
        <v>5</v>
      </c>
      <c r="M3705" t="s">
        <v>13462</v>
      </c>
      <c r="N3705" t="s">
        <v>192</v>
      </c>
      <c r="O3705" t="s">
        <v>47</v>
      </c>
      <c r="P3705" t="s">
        <v>47</v>
      </c>
      <c r="Y3705" t="s">
        <v>13463</v>
      </c>
      <c r="AG3705" t="s">
        <v>48</v>
      </c>
    </row>
    <row r="3706" spans="1:33">
      <c r="A3706" t="s">
        <v>13464</v>
      </c>
      <c r="B3706" t="s">
        <v>13465</v>
      </c>
      <c r="D3706" t="s">
        <v>40</v>
      </c>
      <c r="E3706" t="s">
        <v>41</v>
      </c>
      <c r="H3706" t="s">
        <v>13466</v>
      </c>
      <c r="J3706" t="s">
        <v>63</v>
      </c>
      <c r="K3706" t="s">
        <v>64</v>
      </c>
      <c r="L3706">
        <v>5</v>
      </c>
      <c r="M3706" t="s">
        <v>13467</v>
      </c>
      <c r="N3706" t="s">
        <v>59</v>
      </c>
      <c r="O3706" t="s">
        <v>47</v>
      </c>
      <c r="P3706" t="s">
        <v>47</v>
      </c>
      <c r="Y3706" t="s">
        <v>13466</v>
      </c>
      <c r="AG3706" t="s">
        <v>48</v>
      </c>
    </row>
    <row r="3707" spans="1:33">
      <c r="A3707" t="s">
        <v>13468</v>
      </c>
      <c r="B3707" t="s">
        <v>13469</v>
      </c>
      <c r="D3707" t="s">
        <v>40</v>
      </c>
      <c r="E3707" t="s">
        <v>41</v>
      </c>
      <c r="H3707" t="s">
        <v>13470</v>
      </c>
      <c r="J3707" t="s">
        <v>123</v>
      </c>
      <c r="K3707" t="s">
        <v>124</v>
      </c>
      <c r="L3707">
        <v>5</v>
      </c>
      <c r="M3707" t="s">
        <v>13471</v>
      </c>
      <c r="N3707" t="s">
        <v>218</v>
      </c>
      <c r="O3707" t="s">
        <v>47</v>
      </c>
      <c r="P3707" t="s">
        <v>47</v>
      </c>
      <c r="Y3707" t="s">
        <v>13470</v>
      </c>
      <c r="AG3707" t="s">
        <v>48</v>
      </c>
    </row>
    <row r="3708" spans="1:33">
      <c r="A3708" t="s">
        <v>13472</v>
      </c>
      <c r="B3708" t="s">
        <v>13473</v>
      </c>
      <c r="D3708" t="s">
        <v>40</v>
      </c>
      <c r="E3708" t="s">
        <v>41</v>
      </c>
      <c r="J3708" t="s">
        <v>86</v>
      </c>
      <c r="K3708" t="s">
        <v>87</v>
      </c>
      <c r="L3708">
        <v>5</v>
      </c>
      <c r="M3708" t="s">
        <v>13474</v>
      </c>
      <c r="N3708" t="s">
        <v>192</v>
      </c>
      <c r="O3708" t="s">
        <v>47</v>
      </c>
      <c r="P3708" t="s">
        <v>47</v>
      </c>
      <c r="Y3708" t="s">
        <v>13475</v>
      </c>
      <c r="AG3708" t="s">
        <v>48</v>
      </c>
    </row>
    <row r="3709" spans="1:33">
      <c r="A3709" t="s">
        <v>13476</v>
      </c>
      <c r="B3709" t="s">
        <v>13477</v>
      </c>
      <c r="D3709" t="s">
        <v>40</v>
      </c>
      <c r="E3709" t="s">
        <v>41</v>
      </c>
      <c r="H3709" t="s">
        <v>13478</v>
      </c>
      <c r="J3709" t="s">
        <v>215</v>
      </c>
      <c r="K3709" t="s">
        <v>216</v>
      </c>
      <c r="L3709">
        <v>5</v>
      </c>
      <c r="M3709" t="s">
        <v>13479</v>
      </c>
      <c r="N3709" t="s">
        <v>192</v>
      </c>
      <c r="O3709" t="s">
        <v>47</v>
      </c>
      <c r="P3709" t="s">
        <v>47</v>
      </c>
      <c r="Y3709" t="s">
        <v>13478</v>
      </c>
      <c r="AG3709" t="s">
        <v>48</v>
      </c>
    </row>
    <row r="3710" spans="1:33">
      <c r="A3710" t="s">
        <v>13480</v>
      </c>
      <c r="B3710" t="s">
        <v>13481</v>
      </c>
      <c r="D3710" t="s">
        <v>40</v>
      </c>
      <c r="E3710" t="s">
        <v>41</v>
      </c>
      <c r="J3710" t="s">
        <v>86</v>
      </c>
      <c r="K3710" t="s">
        <v>87</v>
      </c>
      <c r="L3710">
        <v>4</v>
      </c>
      <c r="M3710" t="s">
        <v>13482</v>
      </c>
      <c r="N3710" t="s">
        <v>192</v>
      </c>
      <c r="O3710" t="s">
        <v>47</v>
      </c>
      <c r="P3710" t="s">
        <v>47</v>
      </c>
      <c r="Y3710" t="s">
        <v>13483</v>
      </c>
      <c r="AG3710" t="s">
        <v>48</v>
      </c>
    </row>
    <row r="3711" spans="1:33">
      <c r="A3711" t="s">
        <v>13484</v>
      </c>
      <c r="B3711" t="s">
        <v>13485</v>
      </c>
      <c r="D3711" t="s">
        <v>40</v>
      </c>
      <c r="E3711" t="s">
        <v>41</v>
      </c>
      <c r="J3711" t="s">
        <v>129</v>
      </c>
      <c r="K3711" t="s">
        <v>130</v>
      </c>
      <c r="L3711">
        <v>5</v>
      </c>
      <c r="M3711" t="s">
        <v>13486</v>
      </c>
      <c r="N3711" t="s">
        <v>46</v>
      </c>
      <c r="O3711" t="s">
        <v>47</v>
      </c>
      <c r="P3711" t="s">
        <v>47</v>
      </c>
      <c r="Y3711" t="s">
        <v>13487</v>
      </c>
      <c r="AG3711" t="s">
        <v>48</v>
      </c>
    </row>
    <row r="3712" spans="1:33">
      <c r="A3712" t="s">
        <v>13488</v>
      </c>
      <c r="B3712" t="s">
        <v>13489</v>
      </c>
      <c r="D3712" t="s">
        <v>40</v>
      </c>
      <c r="E3712" t="s">
        <v>41</v>
      </c>
      <c r="H3712" t="s">
        <v>13490</v>
      </c>
      <c r="J3712" t="s">
        <v>129</v>
      </c>
      <c r="K3712" t="s">
        <v>130</v>
      </c>
      <c r="L3712">
        <v>5</v>
      </c>
      <c r="M3712" t="s">
        <v>13491</v>
      </c>
      <c r="N3712" t="s">
        <v>46</v>
      </c>
      <c r="O3712" t="s">
        <v>47</v>
      </c>
      <c r="P3712" t="s">
        <v>47</v>
      </c>
      <c r="Y3712" t="s">
        <v>13490</v>
      </c>
      <c r="AG3712" t="s">
        <v>48</v>
      </c>
    </row>
    <row r="3713" spans="1:33">
      <c r="A3713" t="s">
        <v>13492</v>
      </c>
      <c r="B3713" t="s">
        <v>13493</v>
      </c>
      <c r="D3713" t="s">
        <v>40</v>
      </c>
      <c r="E3713" t="s">
        <v>41</v>
      </c>
      <c r="J3713" t="s">
        <v>129</v>
      </c>
      <c r="K3713" t="s">
        <v>130</v>
      </c>
      <c r="L3713">
        <v>5</v>
      </c>
      <c r="M3713" t="s">
        <v>13494</v>
      </c>
      <c r="N3713" t="s">
        <v>218</v>
      </c>
      <c r="O3713" t="s">
        <v>47</v>
      </c>
      <c r="P3713" t="s">
        <v>47</v>
      </c>
      <c r="Y3713" t="s">
        <v>13495</v>
      </c>
      <c r="AG3713" t="s">
        <v>48</v>
      </c>
    </row>
    <row r="3714" spans="1:33">
      <c r="A3714" t="s">
        <v>13496</v>
      </c>
      <c r="B3714" t="s">
        <v>13497</v>
      </c>
      <c r="D3714" t="s">
        <v>40</v>
      </c>
      <c r="E3714" t="s">
        <v>41</v>
      </c>
      <c r="J3714" t="s">
        <v>1052</v>
      </c>
      <c r="K3714" t="s">
        <v>1053</v>
      </c>
      <c r="L3714">
        <v>4</v>
      </c>
      <c r="M3714" t="s">
        <v>13498</v>
      </c>
      <c r="N3714" t="s">
        <v>46</v>
      </c>
      <c r="O3714" t="s">
        <v>47</v>
      </c>
      <c r="P3714" t="s">
        <v>47</v>
      </c>
      <c r="Y3714" t="s">
        <v>13499</v>
      </c>
      <c r="AG3714" t="s">
        <v>48</v>
      </c>
    </row>
    <row r="3715" spans="1:33">
      <c r="A3715" t="s">
        <v>13500</v>
      </c>
      <c r="B3715" t="s">
        <v>13501</v>
      </c>
      <c r="D3715" t="s">
        <v>40</v>
      </c>
      <c r="E3715" t="s">
        <v>41</v>
      </c>
      <c r="J3715" t="s">
        <v>86</v>
      </c>
      <c r="K3715" t="s">
        <v>87</v>
      </c>
      <c r="L3715">
        <v>4</v>
      </c>
      <c r="M3715" t="s">
        <v>13502</v>
      </c>
      <c r="N3715" t="s">
        <v>46</v>
      </c>
      <c r="O3715" t="s">
        <v>47</v>
      </c>
      <c r="P3715" t="s">
        <v>47</v>
      </c>
      <c r="Y3715" t="s">
        <v>13503</v>
      </c>
      <c r="AG3715" t="s">
        <v>48</v>
      </c>
    </row>
    <row r="3716" spans="1:33">
      <c r="A3716" t="s">
        <v>13504</v>
      </c>
      <c r="B3716" t="s">
        <v>13505</v>
      </c>
      <c r="D3716" t="s">
        <v>40</v>
      </c>
      <c r="E3716" t="s">
        <v>41</v>
      </c>
      <c r="J3716" t="s">
        <v>215</v>
      </c>
      <c r="K3716" t="s">
        <v>216</v>
      </c>
      <c r="L3716">
        <v>5</v>
      </c>
      <c r="M3716" t="s">
        <v>13506</v>
      </c>
      <c r="N3716" t="s">
        <v>46</v>
      </c>
      <c r="O3716" t="s">
        <v>47</v>
      </c>
      <c r="P3716" t="s">
        <v>47</v>
      </c>
      <c r="Y3716" t="s">
        <v>13507</v>
      </c>
      <c r="AG3716" t="s">
        <v>48</v>
      </c>
    </row>
    <row r="3717" spans="1:33">
      <c r="A3717" t="s">
        <v>13508</v>
      </c>
      <c r="B3717" t="s">
        <v>13509</v>
      </c>
      <c r="D3717" t="s">
        <v>40</v>
      </c>
      <c r="E3717" t="s">
        <v>41</v>
      </c>
      <c r="J3717" t="s">
        <v>43</v>
      </c>
      <c r="K3717" t="s">
        <v>44</v>
      </c>
      <c r="L3717">
        <v>4</v>
      </c>
      <c r="M3717" t="s">
        <v>13510</v>
      </c>
      <c r="N3717" t="s">
        <v>218</v>
      </c>
      <c r="O3717" t="s">
        <v>47</v>
      </c>
      <c r="P3717" t="s">
        <v>47</v>
      </c>
      <c r="Y3717" t="s">
        <v>13511</v>
      </c>
      <c r="AG3717" t="s">
        <v>48</v>
      </c>
    </row>
    <row r="3718" spans="1:33">
      <c r="A3718" t="s">
        <v>13512</v>
      </c>
      <c r="B3718" t="s">
        <v>13513</v>
      </c>
      <c r="D3718" t="s">
        <v>40</v>
      </c>
      <c r="E3718" t="s">
        <v>41</v>
      </c>
      <c r="J3718" t="s">
        <v>13514</v>
      </c>
      <c r="K3718" t="s">
        <v>13515</v>
      </c>
      <c r="L3718">
        <v>5</v>
      </c>
      <c r="M3718" t="s">
        <v>13516</v>
      </c>
      <c r="N3718" t="s">
        <v>218</v>
      </c>
      <c r="O3718" t="s">
        <v>47</v>
      </c>
      <c r="P3718" t="s">
        <v>47</v>
      </c>
      <c r="Y3718" t="s">
        <v>13517</v>
      </c>
      <c r="AG3718" t="s">
        <v>48</v>
      </c>
    </row>
    <row r="3719" spans="1:33">
      <c r="A3719" t="s">
        <v>13518</v>
      </c>
      <c r="B3719" t="s">
        <v>13519</v>
      </c>
      <c r="D3719" t="s">
        <v>40</v>
      </c>
      <c r="E3719" t="s">
        <v>41</v>
      </c>
      <c r="J3719" t="s">
        <v>86</v>
      </c>
      <c r="K3719" t="s">
        <v>87</v>
      </c>
      <c r="L3719">
        <v>4</v>
      </c>
      <c r="M3719" t="s">
        <v>13520</v>
      </c>
      <c r="N3719" t="s">
        <v>46</v>
      </c>
      <c r="O3719" t="s">
        <v>47</v>
      </c>
      <c r="P3719" t="s">
        <v>47</v>
      </c>
      <c r="Y3719" t="s">
        <v>13521</v>
      </c>
      <c r="AG3719" t="s">
        <v>48</v>
      </c>
    </row>
    <row r="3720" spans="1:33">
      <c r="A3720" t="s">
        <v>13522</v>
      </c>
      <c r="B3720" t="s">
        <v>13523</v>
      </c>
      <c r="D3720" t="s">
        <v>40</v>
      </c>
      <c r="E3720" t="s">
        <v>41</v>
      </c>
      <c r="J3720" t="s">
        <v>4737</v>
      </c>
      <c r="K3720" t="s">
        <v>4738</v>
      </c>
      <c r="L3720">
        <v>4</v>
      </c>
      <c r="M3720" t="s">
        <v>13524</v>
      </c>
      <c r="N3720" t="s">
        <v>218</v>
      </c>
      <c r="O3720" t="s">
        <v>47</v>
      </c>
      <c r="P3720" t="s">
        <v>47</v>
      </c>
      <c r="Y3720" t="s">
        <v>13525</v>
      </c>
      <c r="AG3720" t="s">
        <v>48</v>
      </c>
    </row>
    <row r="3721" spans="1:33">
      <c r="A3721" t="s">
        <v>13526</v>
      </c>
      <c r="B3721" t="s">
        <v>13527</v>
      </c>
      <c r="D3721" t="s">
        <v>40</v>
      </c>
      <c r="E3721" t="s">
        <v>41</v>
      </c>
      <c r="H3721" t="s">
        <v>13528</v>
      </c>
      <c r="J3721" t="s">
        <v>86</v>
      </c>
      <c r="K3721" t="s">
        <v>87</v>
      </c>
      <c r="L3721">
        <v>5</v>
      </c>
      <c r="M3721" t="s">
        <v>13529</v>
      </c>
      <c r="N3721" t="s">
        <v>46</v>
      </c>
      <c r="O3721" t="s">
        <v>47</v>
      </c>
      <c r="P3721" t="s">
        <v>47</v>
      </c>
      <c r="Y3721" t="s">
        <v>13528</v>
      </c>
      <c r="AG3721" t="s">
        <v>48</v>
      </c>
    </row>
    <row r="3722" spans="1:33">
      <c r="A3722" t="s">
        <v>13530</v>
      </c>
      <c r="B3722" t="s">
        <v>13531</v>
      </c>
      <c r="D3722" t="s">
        <v>40</v>
      </c>
      <c r="E3722" t="s">
        <v>41</v>
      </c>
      <c r="J3722" t="s">
        <v>13514</v>
      </c>
      <c r="K3722" t="s">
        <v>13515</v>
      </c>
      <c r="L3722">
        <v>5</v>
      </c>
      <c r="M3722" t="s">
        <v>13532</v>
      </c>
      <c r="N3722" t="s">
        <v>59</v>
      </c>
      <c r="O3722" t="s">
        <v>47</v>
      </c>
      <c r="P3722" t="s">
        <v>47</v>
      </c>
      <c r="Y3722" t="s">
        <v>13533</v>
      </c>
      <c r="AG3722" t="s">
        <v>48</v>
      </c>
    </row>
    <row r="3723" spans="1:33">
      <c r="A3723" t="s">
        <v>13534</v>
      </c>
      <c r="B3723" t="s">
        <v>13535</v>
      </c>
      <c r="D3723" t="s">
        <v>40</v>
      </c>
      <c r="E3723" t="s">
        <v>41</v>
      </c>
      <c r="J3723" t="s">
        <v>43</v>
      </c>
      <c r="K3723" t="s">
        <v>44</v>
      </c>
      <c r="L3723">
        <v>4</v>
      </c>
      <c r="M3723" t="s">
        <v>13536</v>
      </c>
      <c r="N3723" t="s">
        <v>192</v>
      </c>
      <c r="O3723" t="s">
        <v>47</v>
      </c>
      <c r="P3723" t="s">
        <v>47</v>
      </c>
      <c r="Y3723" t="s">
        <v>13537</v>
      </c>
      <c r="AG3723" t="s">
        <v>48</v>
      </c>
    </row>
    <row r="3724" spans="1:33">
      <c r="A3724" t="s">
        <v>13538</v>
      </c>
      <c r="B3724" t="s">
        <v>13539</v>
      </c>
      <c r="D3724" t="s">
        <v>40</v>
      </c>
      <c r="E3724" t="s">
        <v>41</v>
      </c>
      <c r="J3724" t="s">
        <v>1418</v>
      </c>
      <c r="K3724" t="s">
        <v>1419</v>
      </c>
      <c r="L3724">
        <v>5</v>
      </c>
      <c r="M3724" t="s">
        <v>13540</v>
      </c>
      <c r="N3724" t="s">
        <v>192</v>
      </c>
      <c r="O3724" t="s">
        <v>47</v>
      </c>
      <c r="P3724" t="s">
        <v>47</v>
      </c>
      <c r="Y3724" t="s">
        <v>13541</v>
      </c>
      <c r="AG3724" t="s">
        <v>48</v>
      </c>
    </row>
    <row r="3725" spans="1:33">
      <c r="A3725" t="s">
        <v>13542</v>
      </c>
      <c r="B3725" t="s">
        <v>13543</v>
      </c>
      <c r="D3725" t="s">
        <v>40</v>
      </c>
      <c r="E3725" t="s">
        <v>41</v>
      </c>
      <c r="J3725" t="s">
        <v>215</v>
      </c>
      <c r="K3725" t="s">
        <v>216</v>
      </c>
      <c r="L3725">
        <v>5</v>
      </c>
      <c r="M3725" t="s">
        <v>13544</v>
      </c>
      <c r="N3725" t="s">
        <v>192</v>
      </c>
      <c r="O3725" t="s">
        <v>47</v>
      </c>
      <c r="P3725" t="s">
        <v>47</v>
      </c>
      <c r="Y3725" t="s">
        <v>13545</v>
      </c>
      <c r="AG3725" t="s">
        <v>48</v>
      </c>
    </row>
    <row r="3726" spans="1:33">
      <c r="A3726" t="s">
        <v>13546</v>
      </c>
      <c r="B3726" t="s">
        <v>13547</v>
      </c>
      <c r="D3726" t="s">
        <v>40</v>
      </c>
      <c r="E3726" t="s">
        <v>41</v>
      </c>
      <c r="J3726" t="s">
        <v>86</v>
      </c>
      <c r="K3726" t="s">
        <v>87</v>
      </c>
      <c r="L3726">
        <v>4</v>
      </c>
      <c r="M3726" t="s">
        <v>13548</v>
      </c>
      <c r="N3726" t="s">
        <v>46</v>
      </c>
      <c r="O3726" t="s">
        <v>47</v>
      </c>
      <c r="P3726" t="s">
        <v>47</v>
      </c>
      <c r="Y3726" t="s">
        <v>13549</v>
      </c>
      <c r="AG3726" t="s">
        <v>48</v>
      </c>
    </row>
    <row r="3727" spans="1:33">
      <c r="A3727" t="s">
        <v>13550</v>
      </c>
      <c r="B3727" t="s">
        <v>13551</v>
      </c>
      <c r="D3727" t="s">
        <v>40</v>
      </c>
      <c r="E3727" t="s">
        <v>41</v>
      </c>
      <c r="J3727" t="s">
        <v>43</v>
      </c>
      <c r="K3727" t="s">
        <v>44</v>
      </c>
      <c r="L3727">
        <v>4</v>
      </c>
      <c r="M3727" t="s">
        <v>13552</v>
      </c>
      <c r="N3727" t="s">
        <v>192</v>
      </c>
      <c r="O3727" t="s">
        <v>47</v>
      </c>
      <c r="P3727" t="s">
        <v>47</v>
      </c>
      <c r="Y3727" t="s">
        <v>13553</v>
      </c>
      <c r="AG3727" t="s">
        <v>48</v>
      </c>
    </row>
    <row r="3728" spans="1:33">
      <c r="A3728" t="s">
        <v>13554</v>
      </c>
      <c r="B3728" t="s">
        <v>13555</v>
      </c>
      <c r="D3728" t="s">
        <v>40</v>
      </c>
      <c r="E3728" t="s">
        <v>41</v>
      </c>
      <c r="J3728" t="s">
        <v>43</v>
      </c>
      <c r="K3728" t="s">
        <v>44</v>
      </c>
      <c r="L3728">
        <v>5</v>
      </c>
      <c r="M3728" t="s">
        <v>13556</v>
      </c>
      <c r="N3728" t="s">
        <v>192</v>
      </c>
      <c r="O3728" t="s">
        <v>47</v>
      </c>
      <c r="P3728" t="s">
        <v>47</v>
      </c>
      <c r="Y3728" t="s">
        <v>13557</v>
      </c>
      <c r="AG3728" t="s">
        <v>48</v>
      </c>
    </row>
    <row r="3729" spans="1:33">
      <c r="A3729" t="s">
        <v>13558</v>
      </c>
      <c r="B3729" t="s">
        <v>13559</v>
      </c>
      <c r="D3729" t="s">
        <v>40</v>
      </c>
      <c r="E3729" t="s">
        <v>41</v>
      </c>
      <c r="J3729" t="s">
        <v>1418</v>
      </c>
      <c r="K3729" t="s">
        <v>1419</v>
      </c>
      <c r="L3729">
        <v>4</v>
      </c>
      <c r="M3729" t="s">
        <v>13560</v>
      </c>
      <c r="N3729" t="s">
        <v>218</v>
      </c>
      <c r="O3729" t="s">
        <v>47</v>
      </c>
      <c r="P3729" t="s">
        <v>47</v>
      </c>
      <c r="Y3729" t="s">
        <v>13561</v>
      </c>
      <c r="AG3729" t="s">
        <v>48</v>
      </c>
    </row>
    <row r="3730" spans="1:33">
      <c r="A3730" t="s">
        <v>13562</v>
      </c>
      <c r="B3730" t="s">
        <v>13563</v>
      </c>
      <c r="D3730" t="s">
        <v>40</v>
      </c>
      <c r="E3730" t="s">
        <v>41</v>
      </c>
      <c r="H3730" t="s">
        <v>13564</v>
      </c>
      <c r="J3730" t="s">
        <v>129</v>
      </c>
      <c r="K3730" t="s">
        <v>130</v>
      </c>
      <c r="L3730">
        <v>5</v>
      </c>
      <c r="M3730" t="s">
        <v>13565</v>
      </c>
      <c r="N3730" t="s">
        <v>59</v>
      </c>
      <c r="O3730" t="s">
        <v>47</v>
      </c>
      <c r="P3730" t="s">
        <v>47</v>
      </c>
      <c r="Y3730" t="s">
        <v>13564</v>
      </c>
      <c r="AG3730" t="s">
        <v>48</v>
      </c>
    </row>
    <row r="3731" spans="1:33">
      <c r="A3731" t="s">
        <v>13566</v>
      </c>
      <c r="B3731" t="s">
        <v>13567</v>
      </c>
      <c r="D3731" t="s">
        <v>40</v>
      </c>
      <c r="E3731" t="s">
        <v>41</v>
      </c>
      <c r="J3731" t="s">
        <v>86</v>
      </c>
      <c r="K3731" t="s">
        <v>87</v>
      </c>
      <c r="L3731">
        <v>4</v>
      </c>
      <c r="M3731" t="s">
        <v>13568</v>
      </c>
      <c r="N3731" t="s">
        <v>192</v>
      </c>
      <c r="O3731" t="s">
        <v>47</v>
      </c>
      <c r="P3731" t="s">
        <v>47</v>
      </c>
      <c r="Y3731" t="s">
        <v>13569</v>
      </c>
      <c r="AG3731" t="s">
        <v>48</v>
      </c>
    </row>
    <row r="3732" spans="1:33">
      <c r="A3732" t="s">
        <v>13570</v>
      </c>
      <c r="B3732" t="s">
        <v>13571</v>
      </c>
      <c r="D3732" t="s">
        <v>40</v>
      </c>
      <c r="E3732" t="s">
        <v>41</v>
      </c>
      <c r="J3732" t="s">
        <v>1418</v>
      </c>
      <c r="K3732" t="s">
        <v>1419</v>
      </c>
      <c r="L3732">
        <v>4</v>
      </c>
      <c r="M3732" t="s">
        <v>13572</v>
      </c>
      <c r="N3732" t="s">
        <v>218</v>
      </c>
      <c r="O3732" t="s">
        <v>47</v>
      </c>
      <c r="P3732" t="s">
        <v>47</v>
      </c>
      <c r="Y3732" t="s">
        <v>13573</v>
      </c>
      <c r="AG3732" t="s">
        <v>48</v>
      </c>
    </row>
    <row r="3733" spans="1:33">
      <c r="A3733" t="s">
        <v>13574</v>
      </c>
      <c r="B3733" t="s">
        <v>13575</v>
      </c>
      <c r="D3733" t="s">
        <v>40</v>
      </c>
      <c r="E3733" t="s">
        <v>41</v>
      </c>
      <c r="J3733" t="s">
        <v>43</v>
      </c>
      <c r="K3733" t="s">
        <v>44</v>
      </c>
      <c r="L3733">
        <v>4</v>
      </c>
      <c r="M3733" t="s">
        <v>13576</v>
      </c>
      <c r="N3733" t="s">
        <v>192</v>
      </c>
      <c r="O3733" t="s">
        <v>47</v>
      </c>
      <c r="P3733" t="s">
        <v>47</v>
      </c>
      <c r="Y3733" t="s">
        <v>13577</v>
      </c>
      <c r="AG3733" t="s">
        <v>48</v>
      </c>
    </row>
    <row r="3734" spans="1:33">
      <c r="A3734" t="s">
        <v>13578</v>
      </c>
      <c r="B3734" t="s">
        <v>13579</v>
      </c>
      <c r="D3734" t="s">
        <v>40</v>
      </c>
      <c r="E3734" t="s">
        <v>41</v>
      </c>
      <c r="J3734" t="s">
        <v>215</v>
      </c>
      <c r="K3734" t="s">
        <v>216</v>
      </c>
      <c r="L3734">
        <v>6</v>
      </c>
      <c r="M3734" t="s">
        <v>13580</v>
      </c>
      <c r="N3734" t="s">
        <v>192</v>
      </c>
      <c r="O3734" t="s">
        <v>47</v>
      </c>
      <c r="P3734" t="s">
        <v>47</v>
      </c>
      <c r="Y3734" t="s">
        <v>13581</v>
      </c>
      <c r="AG3734" t="s">
        <v>48</v>
      </c>
    </row>
    <row r="3735" spans="1:33">
      <c r="A3735" t="s">
        <v>13582</v>
      </c>
      <c r="B3735" t="s">
        <v>13583</v>
      </c>
      <c r="D3735" t="s">
        <v>40</v>
      </c>
      <c r="E3735" t="s">
        <v>41</v>
      </c>
      <c r="J3735" t="s">
        <v>43</v>
      </c>
      <c r="K3735" t="s">
        <v>44</v>
      </c>
      <c r="L3735">
        <v>4</v>
      </c>
      <c r="M3735" t="s">
        <v>13584</v>
      </c>
      <c r="N3735" t="s">
        <v>192</v>
      </c>
      <c r="O3735" t="s">
        <v>47</v>
      </c>
      <c r="P3735" t="s">
        <v>47</v>
      </c>
      <c r="Y3735" t="s">
        <v>13585</v>
      </c>
      <c r="AG3735" t="s">
        <v>48</v>
      </c>
    </row>
    <row r="3736" spans="1:33">
      <c r="A3736" t="s">
        <v>13586</v>
      </c>
      <c r="B3736" t="s">
        <v>13587</v>
      </c>
      <c r="D3736" t="s">
        <v>40</v>
      </c>
      <c r="E3736" t="s">
        <v>41</v>
      </c>
      <c r="J3736" t="s">
        <v>43</v>
      </c>
      <c r="K3736" t="s">
        <v>44</v>
      </c>
      <c r="L3736">
        <v>4</v>
      </c>
      <c r="M3736" t="s">
        <v>13588</v>
      </c>
      <c r="N3736" t="s">
        <v>192</v>
      </c>
      <c r="O3736" t="s">
        <v>47</v>
      </c>
      <c r="P3736" t="s">
        <v>47</v>
      </c>
      <c r="Y3736" t="s">
        <v>13589</v>
      </c>
      <c r="AG3736" t="s">
        <v>48</v>
      </c>
    </row>
    <row r="3737" spans="1:33">
      <c r="A3737" t="s">
        <v>13590</v>
      </c>
      <c r="B3737" t="s">
        <v>13591</v>
      </c>
      <c r="D3737" t="s">
        <v>40</v>
      </c>
      <c r="E3737" t="s">
        <v>41</v>
      </c>
      <c r="J3737" t="s">
        <v>43</v>
      </c>
      <c r="K3737" t="s">
        <v>44</v>
      </c>
      <c r="L3737">
        <v>4</v>
      </c>
      <c r="M3737" t="s">
        <v>13592</v>
      </c>
      <c r="N3737" t="s">
        <v>192</v>
      </c>
      <c r="O3737" t="s">
        <v>47</v>
      </c>
      <c r="P3737" t="s">
        <v>47</v>
      </c>
      <c r="Y3737" t="s">
        <v>13593</v>
      </c>
      <c r="AG3737" t="s">
        <v>48</v>
      </c>
    </row>
    <row r="3738" spans="1:33">
      <c r="A3738" t="s">
        <v>13594</v>
      </c>
      <c r="B3738" t="s">
        <v>13595</v>
      </c>
      <c r="D3738" t="s">
        <v>40</v>
      </c>
      <c r="E3738" t="s">
        <v>41</v>
      </c>
      <c r="J3738" t="s">
        <v>43</v>
      </c>
      <c r="K3738" t="s">
        <v>44</v>
      </c>
      <c r="L3738">
        <v>5</v>
      </c>
      <c r="M3738" t="s">
        <v>13596</v>
      </c>
      <c r="N3738" t="s">
        <v>192</v>
      </c>
      <c r="O3738" t="s">
        <v>47</v>
      </c>
      <c r="P3738" t="s">
        <v>47</v>
      </c>
      <c r="Y3738" t="s">
        <v>13597</v>
      </c>
      <c r="AG3738" t="s">
        <v>48</v>
      </c>
    </row>
    <row r="3739" spans="1:33">
      <c r="A3739" t="s">
        <v>13598</v>
      </c>
      <c r="B3739" t="s">
        <v>13599</v>
      </c>
      <c r="D3739" t="s">
        <v>40</v>
      </c>
      <c r="E3739" t="s">
        <v>41</v>
      </c>
      <c r="H3739" t="s">
        <v>13600</v>
      </c>
      <c r="J3739" t="s">
        <v>129</v>
      </c>
      <c r="K3739" t="s">
        <v>130</v>
      </c>
      <c r="L3739">
        <v>5</v>
      </c>
      <c r="M3739" t="s">
        <v>13601</v>
      </c>
      <c r="N3739" t="s">
        <v>218</v>
      </c>
      <c r="O3739" t="s">
        <v>47</v>
      </c>
      <c r="P3739" t="s">
        <v>47</v>
      </c>
      <c r="Y3739" t="s">
        <v>13600</v>
      </c>
      <c r="AG3739" t="s">
        <v>48</v>
      </c>
    </row>
    <row r="3740" spans="1:33">
      <c r="A3740" t="s">
        <v>13602</v>
      </c>
      <c r="B3740" t="s">
        <v>13603</v>
      </c>
      <c r="D3740" t="s">
        <v>40</v>
      </c>
      <c r="E3740" t="s">
        <v>41</v>
      </c>
      <c r="H3740" t="s">
        <v>13604</v>
      </c>
      <c r="J3740" t="s">
        <v>123</v>
      </c>
      <c r="K3740" t="s">
        <v>124</v>
      </c>
      <c r="L3740">
        <v>6</v>
      </c>
      <c r="M3740" t="s">
        <v>13605</v>
      </c>
      <c r="N3740" t="s">
        <v>218</v>
      </c>
      <c r="O3740" t="s">
        <v>47</v>
      </c>
      <c r="P3740" t="s">
        <v>47</v>
      </c>
      <c r="Y3740" t="s">
        <v>13604</v>
      </c>
      <c r="AG3740" t="s">
        <v>48</v>
      </c>
    </row>
    <row r="3741" spans="1:33">
      <c r="A3741" t="s">
        <v>13606</v>
      </c>
      <c r="B3741" t="s">
        <v>13607</v>
      </c>
      <c r="D3741" t="s">
        <v>40</v>
      </c>
      <c r="E3741" t="s">
        <v>41</v>
      </c>
      <c r="J3741" t="s">
        <v>13514</v>
      </c>
      <c r="K3741" t="s">
        <v>13515</v>
      </c>
      <c r="L3741">
        <v>5</v>
      </c>
      <c r="M3741" t="s">
        <v>13608</v>
      </c>
      <c r="N3741" t="s">
        <v>59</v>
      </c>
      <c r="O3741" t="s">
        <v>47</v>
      </c>
      <c r="P3741" t="s">
        <v>47</v>
      </c>
      <c r="Y3741" t="s">
        <v>13609</v>
      </c>
      <c r="AG3741" t="s">
        <v>48</v>
      </c>
    </row>
    <row r="3742" spans="1:33">
      <c r="A3742" t="s">
        <v>13610</v>
      </c>
      <c r="B3742" t="s">
        <v>13611</v>
      </c>
      <c r="D3742" t="s">
        <v>40</v>
      </c>
      <c r="E3742" t="s">
        <v>41</v>
      </c>
      <c r="J3742" t="s">
        <v>10950</v>
      </c>
      <c r="K3742" t="s">
        <v>10950</v>
      </c>
      <c r="L3742">
        <v>4</v>
      </c>
      <c r="M3742" t="s">
        <v>13612</v>
      </c>
      <c r="N3742" t="s">
        <v>192</v>
      </c>
      <c r="O3742" t="s">
        <v>47</v>
      </c>
      <c r="P3742" t="s">
        <v>47</v>
      </c>
      <c r="Y3742" t="s">
        <v>13613</v>
      </c>
      <c r="AG3742" t="s">
        <v>48</v>
      </c>
    </row>
    <row r="3743" spans="1:33">
      <c r="A3743" t="s">
        <v>13614</v>
      </c>
      <c r="B3743" t="s">
        <v>13615</v>
      </c>
      <c r="D3743" t="s">
        <v>40</v>
      </c>
      <c r="E3743" t="s">
        <v>41</v>
      </c>
      <c r="J3743" t="s">
        <v>1052</v>
      </c>
      <c r="K3743" t="s">
        <v>1053</v>
      </c>
      <c r="L3743">
        <v>4</v>
      </c>
      <c r="M3743" t="s">
        <v>13616</v>
      </c>
      <c r="N3743" t="s">
        <v>192</v>
      </c>
      <c r="O3743" t="s">
        <v>47</v>
      </c>
      <c r="P3743" t="s">
        <v>47</v>
      </c>
      <c r="Y3743" t="s">
        <v>13617</v>
      </c>
      <c r="AG3743" t="s">
        <v>48</v>
      </c>
    </row>
    <row r="3744" spans="1:33">
      <c r="A3744" t="s">
        <v>13618</v>
      </c>
      <c r="B3744" t="s">
        <v>13619</v>
      </c>
      <c r="D3744" t="s">
        <v>40</v>
      </c>
      <c r="E3744" t="s">
        <v>41</v>
      </c>
      <c r="J3744" t="s">
        <v>86</v>
      </c>
      <c r="K3744" t="s">
        <v>87</v>
      </c>
      <c r="L3744">
        <v>4</v>
      </c>
      <c r="M3744" t="s">
        <v>13620</v>
      </c>
      <c r="N3744" t="s">
        <v>46</v>
      </c>
      <c r="O3744" t="s">
        <v>47</v>
      </c>
      <c r="P3744" t="s">
        <v>47</v>
      </c>
      <c r="Y3744" t="s">
        <v>13621</v>
      </c>
      <c r="AG3744" t="s">
        <v>48</v>
      </c>
    </row>
    <row r="3745" spans="1:33">
      <c r="A3745" t="s">
        <v>13622</v>
      </c>
      <c r="B3745" t="s">
        <v>13623</v>
      </c>
      <c r="D3745" t="s">
        <v>40</v>
      </c>
      <c r="E3745" t="s">
        <v>41</v>
      </c>
      <c r="J3745" t="s">
        <v>1418</v>
      </c>
      <c r="K3745" t="s">
        <v>1419</v>
      </c>
      <c r="L3745">
        <v>4</v>
      </c>
      <c r="M3745" t="s">
        <v>13624</v>
      </c>
      <c r="N3745" t="s">
        <v>46</v>
      </c>
      <c r="O3745" t="s">
        <v>47</v>
      </c>
      <c r="P3745" t="s">
        <v>47</v>
      </c>
      <c r="Y3745" t="s">
        <v>13625</v>
      </c>
      <c r="AG3745" t="s">
        <v>48</v>
      </c>
    </row>
    <row r="3746" spans="1:33">
      <c r="A3746" t="s">
        <v>13626</v>
      </c>
      <c r="B3746" t="s">
        <v>13627</v>
      </c>
      <c r="D3746" t="s">
        <v>40</v>
      </c>
      <c r="E3746" t="s">
        <v>41</v>
      </c>
      <c r="J3746" t="s">
        <v>215</v>
      </c>
      <c r="K3746" t="s">
        <v>216</v>
      </c>
      <c r="L3746">
        <v>6</v>
      </c>
      <c r="M3746" t="s">
        <v>13628</v>
      </c>
      <c r="N3746" t="s">
        <v>46</v>
      </c>
      <c r="O3746" t="s">
        <v>47</v>
      </c>
      <c r="P3746" t="s">
        <v>47</v>
      </c>
      <c r="Y3746" t="s">
        <v>13629</v>
      </c>
      <c r="AG3746" t="s">
        <v>48</v>
      </c>
    </row>
    <row r="3747" spans="1:33">
      <c r="A3747" t="s">
        <v>13630</v>
      </c>
      <c r="B3747" t="s">
        <v>13631</v>
      </c>
      <c r="D3747" t="s">
        <v>40</v>
      </c>
      <c r="E3747" t="s">
        <v>41</v>
      </c>
      <c r="J3747" t="s">
        <v>1418</v>
      </c>
      <c r="K3747" t="s">
        <v>1419</v>
      </c>
      <c r="L3747">
        <v>4</v>
      </c>
      <c r="M3747" t="s">
        <v>13632</v>
      </c>
      <c r="N3747" t="s">
        <v>218</v>
      </c>
      <c r="O3747" t="s">
        <v>47</v>
      </c>
      <c r="P3747" t="s">
        <v>47</v>
      </c>
      <c r="Y3747" t="s">
        <v>13633</v>
      </c>
      <c r="AG3747" t="s">
        <v>48</v>
      </c>
    </row>
    <row r="3748" spans="1:33">
      <c r="A3748" t="s">
        <v>13634</v>
      </c>
      <c r="B3748" t="s">
        <v>13635</v>
      </c>
      <c r="D3748" t="s">
        <v>40</v>
      </c>
      <c r="E3748" t="s">
        <v>41</v>
      </c>
      <c r="J3748" t="s">
        <v>4737</v>
      </c>
      <c r="K3748" t="s">
        <v>4738</v>
      </c>
      <c r="L3748">
        <v>4</v>
      </c>
      <c r="M3748" t="s">
        <v>13636</v>
      </c>
      <c r="N3748" t="s">
        <v>192</v>
      </c>
      <c r="O3748" t="s">
        <v>47</v>
      </c>
      <c r="P3748" t="s">
        <v>47</v>
      </c>
      <c r="Y3748" t="s">
        <v>13637</v>
      </c>
      <c r="AG3748" t="s">
        <v>48</v>
      </c>
    </row>
    <row r="3749" spans="1:33">
      <c r="A3749" t="s">
        <v>13638</v>
      </c>
      <c r="B3749" t="s">
        <v>13639</v>
      </c>
      <c r="D3749" t="s">
        <v>40</v>
      </c>
      <c r="E3749" t="s">
        <v>41</v>
      </c>
      <c r="J3749" t="s">
        <v>215</v>
      </c>
      <c r="K3749" t="s">
        <v>216</v>
      </c>
      <c r="L3749">
        <v>5</v>
      </c>
      <c r="M3749" t="s">
        <v>13640</v>
      </c>
      <c r="N3749" t="s">
        <v>192</v>
      </c>
      <c r="O3749" t="s">
        <v>47</v>
      </c>
      <c r="P3749" t="s">
        <v>47</v>
      </c>
      <c r="Y3749" t="s">
        <v>13641</v>
      </c>
      <c r="AG3749" t="s">
        <v>48</v>
      </c>
    </row>
    <row r="3750" spans="1:33">
      <c r="A3750" t="s">
        <v>13642</v>
      </c>
      <c r="B3750" t="s">
        <v>13643</v>
      </c>
      <c r="D3750" t="s">
        <v>40</v>
      </c>
      <c r="E3750" t="s">
        <v>41</v>
      </c>
      <c r="J3750" t="s">
        <v>43</v>
      </c>
      <c r="K3750" t="s">
        <v>44</v>
      </c>
      <c r="L3750">
        <v>4</v>
      </c>
      <c r="M3750" t="s">
        <v>13644</v>
      </c>
      <c r="N3750" t="s">
        <v>46</v>
      </c>
      <c r="O3750" t="s">
        <v>47</v>
      </c>
      <c r="P3750" t="s">
        <v>47</v>
      </c>
      <c r="Y3750" t="s">
        <v>13645</v>
      </c>
      <c r="AG3750" t="s">
        <v>48</v>
      </c>
    </row>
    <row r="3751" spans="1:33">
      <c r="A3751" t="s">
        <v>13646</v>
      </c>
      <c r="B3751" t="s">
        <v>13647</v>
      </c>
      <c r="D3751" t="s">
        <v>40</v>
      </c>
      <c r="E3751" t="s">
        <v>41</v>
      </c>
      <c r="J3751" t="s">
        <v>43</v>
      </c>
      <c r="K3751" t="s">
        <v>44</v>
      </c>
      <c r="L3751">
        <v>4</v>
      </c>
      <c r="M3751" t="s">
        <v>13648</v>
      </c>
      <c r="N3751" t="s">
        <v>46</v>
      </c>
      <c r="O3751" t="s">
        <v>47</v>
      </c>
      <c r="P3751" t="s">
        <v>47</v>
      </c>
      <c r="Y3751" t="s">
        <v>13649</v>
      </c>
      <c r="AG3751" t="s">
        <v>48</v>
      </c>
    </row>
    <row r="3752" spans="1:33">
      <c r="A3752" t="s">
        <v>13650</v>
      </c>
      <c r="B3752" t="s">
        <v>13651</v>
      </c>
      <c r="D3752" t="s">
        <v>40</v>
      </c>
      <c r="E3752" t="s">
        <v>41</v>
      </c>
      <c r="J3752" t="s">
        <v>43</v>
      </c>
      <c r="K3752" t="s">
        <v>44</v>
      </c>
      <c r="L3752">
        <v>4</v>
      </c>
      <c r="M3752" t="s">
        <v>13652</v>
      </c>
      <c r="N3752" t="s">
        <v>192</v>
      </c>
      <c r="O3752" t="s">
        <v>47</v>
      </c>
      <c r="P3752" t="s">
        <v>47</v>
      </c>
      <c r="Y3752" t="s">
        <v>13653</v>
      </c>
      <c r="AG3752" t="s">
        <v>48</v>
      </c>
    </row>
    <row r="3753" spans="1:33">
      <c r="A3753" t="s">
        <v>13654</v>
      </c>
      <c r="B3753" t="s">
        <v>13655</v>
      </c>
      <c r="D3753" t="s">
        <v>40</v>
      </c>
      <c r="E3753" t="s">
        <v>41</v>
      </c>
      <c r="H3753" t="s">
        <v>13656</v>
      </c>
      <c r="J3753" t="s">
        <v>129</v>
      </c>
      <c r="K3753" t="s">
        <v>130</v>
      </c>
      <c r="L3753">
        <v>6</v>
      </c>
      <c r="M3753" t="s">
        <v>13657</v>
      </c>
      <c r="N3753" t="s">
        <v>218</v>
      </c>
      <c r="O3753" t="s">
        <v>47</v>
      </c>
      <c r="P3753" t="s">
        <v>47</v>
      </c>
      <c r="Y3753" t="s">
        <v>13656</v>
      </c>
      <c r="AG3753" t="s">
        <v>48</v>
      </c>
    </row>
    <row r="3754" spans="1:33">
      <c r="A3754" t="s">
        <v>13658</v>
      </c>
      <c r="B3754" t="s">
        <v>13659</v>
      </c>
      <c r="D3754" t="s">
        <v>40</v>
      </c>
      <c r="E3754" t="s">
        <v>41</v>
      </c>
      <c r="J3754" t="s">
        <v>6163</v>
      </c>
      <c r="K3754" t="s">
        <v>6164</v>
      </c>
      <c r="L3754">
        <v>4</v>
      </c>
      <c r="M3754" t="s">
        <v>13660</v>
      </c>
      <c r="N3754" t="s">
        <v>46</v>
      </c>
      <c r="O3754" t="s">
        <v>47</v>
      </c>
      <c r="P3754" t="s">
        <v>47</v>
      </c>
      <c r="Y3754" t="s">
        <v>13661</v>
      </c>
      <c r="AG3754" t="s">
        <v>48</v>
      </c>
    </row>
    <row r="3755" spans="1:33">
      <c r="A3755" t="s">
        <v>13662</v>
      </c>
      <c r="B3755" t="s">
        <v>13663</v>
      </c>
      <c r="D3755" t="s">
        <v>40</v>
      </c>
      <c r="E3755" t="s">
        <v>41</v>
      </c>
      <c r="J3755" t="s">
        <v>43</v>
      </c>
      <c r="K3755" t="s">
        <v>44</v>
      </c>
      <c r="L3755">
        <v>4</v>
      </c>
      <c r="M3755" t="s">
        <v>13664</v>
      </c>
      <c r="N3755" t="s">
        <v>218</v>
      </c>
      <c r="O3755" t="s">
        <v>47</v>
      </c>
      <c r="P3755" t="s">
        <v>47</v>
      </c>
      <c r="Y3755" t="s">
        <v>13665</v>
      </c>
      <c r="AG3755" t="s">
        <v>48</v>
      </c>
    </row>
    <row r="3756" spans="1:33">
      <c r="A3756" t="s">
        <v>13666</v>
      </c>
      <c r="B3756" t="s">
        <v>13667</v>
      </c>
      <c r="D3756" t="s">
        <v>40</v>
      </c>
      <c r="E3756" t="s">
        <v>41</v>
      </c>
      <c r="J3756" t="s">
        <v>1418</v>
      </c>
      <c r="K3756" t="s">
        <v>1419</v>
      </c>
      <c r="L3756">
        <v>4</v>
      </c>
      <c r="M3756" t="s">
        <v>13668</v>
      </c>
      <c r="N3756" t="s">
        <v>46</v>
      </c>
      <c r="O3756" t="s">
        <v>47</v>
      </c>
      <c r="P3756" t="s">
        <v>47</v>
      </c>
      <c r="Y3756" t="s">
        <v>13669</v>
      </c>
      <c r="AG3756" t="s">
        <v>48</v>
      </c>
    </row>
    <row r="3757" spans="1:33">
      <c r="A3757" t="s">
        <v>117</v>
      </c>
      <c r="B3757" t="s">
        <v>13670</v>
      </c>
      <c r="D3757" t="s">
        <v>40</v>
      </c>
      <c r="E3757" t="s">
        <v>41</v>
      </c>
      <c r="J3757" t="s">
        <v>1418</v>
      </c>
      <c r="K3757" t="s">
        <v>1419</v>
      </c>
      <c r="L3757">
        <v>4</v>
      </c>
      <c r="M3757" t="s">
        <v>13671</v>
      </c>
      <c r="N3757" t="s">
        <v>46</v>
      </c>
      <c r="O3757" t="s">
        <v>47</v>
      </c>
      <c r="P3757" t="s">
        <v>47</v>
      </c>
      <c r="Y3757" t="s">
        <v>13672</v>
      </c>
      <c r="AG3757" t="s">
        <v>48</v>
      </c>
    </row>
    <row r="3758" spans="1:33">
      <c r="A3758" t="s">
        <v>13673</v>
      </c>
      <c r="B3758" t="s">
        <v>13674</v>
      </c>
      <c r="D3758" t="s">
        <v>40</v>
      </c>
      <c r="E3758" t="s">
        <v>41</v>
      </c>
      <c r="J3758" t="s">
        <v>129</v>
      </c>
      <c r="K3758" t="s">
        <v>130</v>
      </c>
      <c r="L3758">
        <v>5</v>
      </c>
      <c r="M3758" t="s">
        <v>13675</v>
      </c>
      <c r="N3758" t="s">
        <v>46</v>
      </c>
      <c r="O3758" t="s">
        <v>47</v>
      </c>
      <c r="P3758" t="s">
        <v>47</v>
      </c>
      <c r="Y3758" t="s">
        <v>13676</v>
      </c>
      <c r="AG3758" t="s">
        <v>48</v>
      </c>
    </row>
    <row r="3759" spans="1:33">
      <c r="A3759" t="s">
        <v>13677</v>
      </c>
      <c r="B3759" t="s">
        <v>13678</v>
      </c>
      <c r="D3759" t="s">
        <v>40</v>
      </c>
      <c r="E3759" t="s">
        <v>41</v>
      </c>
      <c r="J3759" t="s">
        <v>3472</v>
      </c>
      <c r="K3759" t="s">
        <v>3473</v>
      </c>
      <c r="L3759">
        <v>4</v>
      </c>
      <c r="M3759" t="s">
        <v>13679</v>
      </c>
      <c r="N3759" t="s">
        <v>192</v>
      </c>
      <c r="O3759" t="s">
        <v>47</v>
      </c>
      <c r="P3759" t="s">
        <v>47</v>
      </c>
      <c r="Y3759" t="s">
        <v>13680</v>
      </c>
      <c r="AG3759" t="s">
        <v>48</v>
      </c>
    </row>
    <row r="3760" spans="1:33">
      <c r="A3760" t="s">
        <v>13681</v>
      </c>
      <c r="B3760" t="s">
        <v>13682</v>
      </c>
      <c r="D3760" t="s">
        <v>40</v>
      </c>
      <c r="E3760" t="s">
        <v>41</v>
      </c>
      <c r="J3760" t="s">
        <v>86</v>
      </c>
      <c r="K3760" t="s">
        <v>87</v>
      </c>
      <c r="L3760">
        <v>4</v>
      </c>
      <c r="M3760" t="s">
        <v>13683</v>
      </c>
      <c r="N3760" t="s">
        <v>192</v>
      </c>
      <c r="O3760" t="s">
        <v>47</v>
      </c>
      <c r="P3760" t="s">
        <v>47</v>
      </c>
      <c r="Y3760" t="s">
        <v>13684</v>
      </c>
      <c r="AG3760" t="s">
        <v>48</v>
      </c>
    </row>
    <row r="3761" spans="1:33">
      <c r="A3761" t="s">
        <v>13685</v>
      </c>
      <c r="B3761" t="s">
        <v>13686</v>
      </c>
      <c r="D3761" t="s">
        <v>40</v>
      </c>
      <c r="E3761" t="s">
        <v>41</v>
      </c>
      <c r="J3761" t="s">
        <v>215</v>
      </c>
      <c r="K3761" t="s">
        <v>216</v>
      </c>
      <c r="L3761">
        <v>5</v>
      </c>
      <c r="M3761" t="s">
        <v>13687</v>
      </c>
      <c r="N3761" t="s">
        <v>192</v>
      </c>
      <c r="O3761" t="s">
        <v>47</v>
      </c>
      <c r="P3761" t="s">
        <v>47</v>
      </c>
      <c r="Y3761" t="s">
        <v>13688</v>
      </c>
      <c r="AG3761" t="s">
        <v>48</v>
      </c>
    </row>
    <row r="3762" spans="1:33">
      <c r="A3762" t="s">
        <v>13689</v>
      </c>
      <c r="B3762" t="s">
        <v>13690</v>
      </c>
      <c r="D3762" t="s">
        <v>40</v>
      </c>
      <c r="E3762" t="s">
        <v>41</v>
      </c>
      <c r="H3762" t="s">
        <v>13691</v>
      </c>
      <c r="J3762" t="s">
        <v>4737</v>
      </c>
      <c r="K3762" t="s">
        <v>4738</v>
      </c>
      <c r="L3762">
        <v>5</v>
      </c>
      <c r="M3762" t="s">
        <v>13692</v>
      </c>
      <c r="N3762" t="s">
        <v>192</v>
      </c>
      <c r="O3762" t="s">
        <v>47</v>
      </c>
      <c r="P3762" t="s">
        <v>47</v>
      </c>
      <c r="Y3762" t="s">
        <v>13691</v>
      </c>
      <c r="AG3762" t="s">
        <v>48</v>
      </c>
    </row>
    <row r="3763" spans="1:33">
      <c r="A3763" t="s">
        <v>117</v>
      </c>
      <c r="B3763" t="s">
        <v>13693</v>
      </c>
      <c r="D3763" t="s">
        <v>40</v>
      </c>
      <c r="E3763" t="s">
        <v>41</v>
      </c>
      <c r="J3763" t="s">
        <v>215</v>
      </c>
      <c r="K3763" t="s">
        <v>216</v>
      </c>
      <c r="L3763">
        <v>6</v>
      </c>
      <c r="M3763" t="s">
        <v>13694</v>
      </c>
      <c r="N3763" t="s">
        <v>46</v>
      </c>
      <c r="O3763" t="s">
        <v>47</v>
      </c>
      <c r="P3763" t="s">
        <v>47</v>
      </c>
      <c r="Y3763" t="s">
        <v>13695</v>
      </c>
      <c r="AG3763" t="s">
        <v>48</v>
      </c>
    </row>
    <row r="3764" spans="1:33">
      <c r="A3764" t="s">
        <v>13696</v>
      </c>
      <c r="B3764" t="s">
        <v>13697</v>
      </c>
      <c r="D3764" t="s">
        <v>40</v>
      </c>
      <c r="E3764" t="s">
        <v>41</v>
      </c>
      <c r="J3764" t="s">
        <v>86</v>
      </c>
      <c r="K3764" t="s">
        <v>87</v>
      </c>
      <c r="L3764">
        <v>4</v>
      </c>
      <c r="M3764" t="s">
        <v>13698</v>
      </c>
      <c r="N3764" t="s">
        <v>192</v>
      </c>
      <c r="O3764" t="s">
        <v>47</v>
      </c>
      <c r="P3764" t="s">
        <v>47</v>
      </c>
      <c r="Y3764" t="s">
        <v>13699</v>
      </c>
      <c r="AG3764" t="s">
        <v>48</v>
      </c>
    </row>
    <row r="3765" spans="1:33">
      <c r="A3765" t="s">
        <v>13700</v>
      </c>
      <c r="B3765" t="s">
        <v>13701</v>
      </c>
      <c r="D3765" t="s">
        <v>40</v>
      </c>
      <c r="E3765" t="s">
        <v>41</v>
      </c>
      <c r="J3765" t="s">
        <v>129</v>
      </c>
      <c r="K3765" t="s">
        <v>130</v>
      </c>
      <c r="L3765">
        <v>6</v>
      </c>
      <c r="M3765" t="s">
        <v>13702</v>
      </c>
      <c r="N3765" t="s">
        <v>46</v>
      </c>
      <c r="O3765" t="s">
        <v>47</v>
      </c>
      <c r="P3765" t="s">
        <v>47</v>
      </c>
      <c r="Y3765" t="s">
        <v>13703</v>
      </c>
      <c r="AG3765" t="s">
        <v>48</v>
      </c>
    </row>
    <row r="3766" spans="1:33">
      <c r="A3766" t="s">
        <v>13704</v>
      </c>
      <c r="B3766" t="s">
        <v>13705</v>
      </c>
      <c r="D3766" t="s">
        <v>40</v>
      </c>
      <c r="E3766" t="s">
        <v>41</v>
      </c>
      <c r="J3766" t="s">
        <v>13514</v>
      </c>
      <c r="K3766" t="s">
        <v>13515</v>
      </c>
      <c r="L3766">
        <v>5</v>
      </c>
      <c r="M3766" t="s">
        <v>13706</v>
      </c>
      <c r="N3766" t="s">
        <v>59</v>
      </c>
      <c r="O3766" t="s">
        <v>47</v>
      </c>
      <c r="P3766" t="s">
        <v>47</v>
      </c>
      <c r="Y3766" t="s">
        <v>13707</v>
      </c>
      <c r="AG3766" t="s">
        <v>48</v>
      </c>
    </row>
    <row r="3767" spans="1:33">
      <c r="A3767" t="s">
        <v>13708</v>
      </c>
      <c r="B3767" t="s">
        <v>13709</v>
      </c>
      <c r="D3767" t="s">
        <v>40</v>
      </c>
      <c r="E3767" t="s">
        <v>41</v>
      </c>
      <c r="J3767" t="s">
        <v>86</v>
      </c>
      <c r="K3767" t="s">
        <v>87</v>
      </c>
      <c r="L3767">
        <v>4</v>
      </c>
      <c r="M3767" t="s">
        <v>13710</v>
      </c>
      <c r="N3767" t="s">
        <v>192</v>
      </c>
      <c r="O3767" t="s">
        <v>47</v>
      </c>
      <c r="P3767" t="s">
        <v>47</v>
      </c>
      <c r="Y3767" t="s">
        <v>13711</v>
      </c>
      <c r="AG3767" t="s">
        <v>48</v>
      </c>
    </row>
    <row r="3768" spans="1:33">
      <c r="A3768" t="s">
        <v>13712</v>
      </c>
      <c r="B3768" t="s">
        <v>13713</v>
      </c>
      <c r="D3768" t="s">
        <v>40</v>
      </c>
      <c r="E3768" t="s">
        <v>41</v>
      </c>
      <c r="J3768" t="s">
        <v>43</v>
      </c>
      <c r="K3768" t="s">
        <v>44</v>
      </c>
      <c r="L3768">
        <v>4</v>
      </c>
      <c r="M3768" t="s">
        <v>13714</v>
      </c>
      <c r="N3768" t="s">
        <v>192</v>
      </c>
      <c r="O3768" t="s">
        <v>47</v>
      </c>
      <c r="P3768" t="s">
        <v>47</v>
      </c>
      <c r="Y3768" t="s">
        <v>13715</v>
      </c>
      <c r="AG3768" t="s">
        <v>48</v>
      </c>
    </row>
    <row r="3769" spans="1:33">
      <c r="A3769" t="s">
        <v>13716</v>
      </c>
      <c r="B3769" t="s">
        <v>13717</v>
      </c>
      <c r="D3769" t="s">
        <v>40</v>
      </c>
      <c r="E3769" t="s">
        <v>41</v>
      </c>
      <c r="J3769" t="s">
        <v>13514</v>
      </c>
      <c r="K3769" t="s">
        <v>13515</v>
      </c>
      <c r="L3769">
        <v>5</v>
      </c>
      <c r="M3769" t="s">
        <v>13718</v>
      </c>
      <c r="N3769" t="s">
        <v>59</v>
      </c>
      <c r="O3769" t="s">
        <v>47</v>
      </c>
      <c r="P3769" t="s">
        <v>47</v>
      </c>
      <c r="Y3769" t="s">
        <v>13719</v>
      </c>
      <c r="AG3769" t="s">
        <v>48</v>
      </c>
    </row>
    <row r="3770" spans="1:33">
      <c r="A3770" t="s">
        <v>13720</v>
      </c>
      <c r="B3770" t="s">
        <v>13721</v>
      </c>
      <c r="D3770" t="s">
        <v>40</v>
      </c>
      <c r="E3770" t="s">
        <v>41</v>
      </c>
      <c r="J3770" t="s">
        <v>1566</v>
      </c>
      <c r="K3770" t="s">
        <v>1567</v>
      </c>
      <c r="L3770">
        <v>4</v>
      </c>
      <c r="M3770" t="s">
        <v>13722</v>
      </c>
      <c r="N3770" t="s">
        <v>46</v>
      </c>
      <c r="O3770" t="s">
        <v>47</v>
      </c>
      <c r="P3770" t="s">
        <v>47</v>
      </c>
      <c r="Y3770" t="s">
        <v>13723</v>
      </c>
      <c r="AG3770" t="s">
        <v>48</v>
      </c>
    </row>
    <row r="3771" spans="1:33">
      <c r="A3771" t="s">
        <v>13724</v>
      </c>
      <c r="B3771" t="s">
        <v>13725</v>
      </c>
      <c r="D3771" t="s">
        <v>40</v>
      </c>
      <c r="E3771" t="s">
        <v>41</v>
      </c>
      <c r="J3771" t="s">
        <v>215</v>
      </c>
      <c r="K3771" t="s">
        <v>216</v>
      </c>
      <c r="L3771">
        <v>5</v>
      </c>
      <c r="M3771" t="s">
        <v>13726</v>
      </c>
      <c r="N3771" t="s">
        <v>192</v>
      </c>
      <c r="O3771" t="s">
        <v>47</v>
      </c>
      <c r="P3771" t="s">
        <v>47</v>
      </c>
      <c r="Y3771" t="s">
        <v>13727</v>
      </c>
      <c r="AG3771" t="s">
        <v>48</v>
      </c>
    </row>
    <row r="3772" spans="1:33">
      <c r="A3772" t="s">
        <v>117</v>
      </c>
      <c r="B3772" t="s">
        <v>13728</v>
      </c>
      <c r="D3772" t="s">
        <v>40</v>
      </c>
      <c r="E3772" t="s">
        <v>41</v>
      </c>
      <c r="H3772" t="s">
        <v>13729</v>
      </c>
      <c r="J3772" t="s">
        <v>63</v>
      </c>
      <c r="K3772" t="s">
        <v>64</v>
      </c>
      <c r="L3772">
        <v>5</v>
      </c>
      <c r="M3772" t="s">
        <v>13730</v>
      </c>
      <c r="N3772" t="s">
        <v>59</v>
      </c>
      <c r="O3772" t="s">
        <v>47</v>
      </c>
      <c r="P3772" t="s">
        <v>47</v>
      </c>
      <c r="Y3772" t="s">
        <v>13729</v>
      </c>
      <c r="AG3772" t="s">
        <v>48</v>
      </c>
    </row>
    <row r="3773" spans="1:33">
      <c r="A3773" t="s">
        <v>13731</v>
      </c>
      <c r="B3773" t="s">
        <v>13732</v>
      </c>
      <c r="D3773" t="s">
        <v>40</v>
      </c>
      <c r="E3773" t="s">
        <v>41</v>
      </c>
      <c r="J3773" t="s">
        <v>215</v>
      </c>
      <c r="K3773" t="s">
        <v>216</v>
      </c>
      <c r="L3773">
        <v>6</v>
      </c>
      <c r="M3773" t="s">
        <v>13733</v>
      </c>
      <c r="N3773" t="s">
        <v>46</v>
      </c>
      <c r="O3773" t="s">
        <v>47</v>
      </c>
      <c r="P3773" t="s">
        <v>47</v>
      </c>
      <c r="Y3773" t="s">
        <v>13734</v>
      </c>
      <c r="AG3773" t="s">
        <v>48</v>
      </c>
    </row>
    <row r="3774" spans="1:33">
      <c r="A3774" t="s">
        <v>13735</v>
      </c>
      <c r="B3774" t="s">
        <v>13736</v>
      </c>
      <c r="D3774" t="s">
        <v>40</v>
      </c>
      <c r="E3774" t="s">
        <v>41</v>
      </c>
      <c r="J3774" t="s">
        <v>43</v>
      </c>
      <c r="K3774" t="s">
        <v>44</v>
      </c>
      <c r="L3774">
        <v>4</v>
      </c>
      <c r="M3774" t="s">
        <v>13737</v>
      </c>
      <c r="N3774" t="s">
        <v>46</v>
      </c>
      <c r="O3774" t="s">
        <v>47</v>
      </c>
      <c r="P3774" t="s">
        <v>47</v>
      </c>
      <c r="Y3774" t="s">
        <v>13738</v>
      </c>
      <c r="AG3774" t="s">
        <v>48</v>
      </c>
    </row>
    <row r="3775" spans="1:33">
      <c r="A3775" t="s">
        <v>13739</v>
      </c>
      <c r="B3775" t="s">
        <v>13740</v>
      </c>
      <c r="D3775" t="s">
        <v>40</v>
      </c>
      <c r="E3775" t="s">
        <v>41</v>
      </c>
      <c r="J3775" t="s">
        <v>43</v>
      </c>
      <c r="K3775" t="s">
        <v>44</v>
      </c>
      <c r="L3775">
        <v>4</v>
      </c>
      <c r="M3775" t="s">
        <v>13741</v>
      </c>
      <c r="N3775" t="s">
        <v>192</v>
      </c>
      <c r="O3775" t="s">
        <v>47</v>
      </c>
      <c r="P3775" t="s">
        <v>47</v>
      </c>
      <c r="Y3775" t="s">
        <v>13742</v>
      </c>
      <c r="AG3775" t="s">
        <v>48</v>
      </c>
    </row>
    <row r="3776" spans="1:33">
      <c r="A3776" t="s">
        <v>13743</v>
      </c>
      <c r="B3776" t="s">
        <v>13744</v>
      </c>
      <c r="D3776" t="s">
        <v>40</v>
      </c>
      <c r="E3776" t="s">
        <v>41</v>
      </c>
      <c r="H3776" t="s">
        <v>13745</v>
      </c>
      <c r="J3776" t="s">
        <v>129</v>
      </c>
      <c r="K3776" t="s">
        <v>130</v>
      </c>
      <c r="L3776">
        <v>6</v>
      </c>
      <c r="M3776" t="s">
        <v>13746</v>
      </c>
      <c r="N3776" t="s">
        <v>218</v>
      </c>
      <c r="O3776" t="s">
        <v>47</v>
      </c>
      <c r="P3776" t="s">
        <v>47</v>
      </c>
      <c r="Y3776" t="s">
        <v>13745</v>
      </c>
      <c r="AG3776" t="s">
        <v>48</v>
      </c>
    </row>
    <row r="3777" spans="1:33">
      <c r="A3777" t="s">
        <v>13747</v>
      </c>
      <c r="B3777" t="s">
        <v>13748</v>
      </c>
      <c r="D3777" t="s">
        <v>40</v>
      </c>
      <c r="E3777" t="s">
        <v>41</v>
      </c>
      <c r="J3777" t="s">
        <v>129</v>
      </c>
      <c r="K3777" t="s">
        <v>130</v>
      </c>
      <c r="L3777">
        <v>6</v>
      </c>
      <c r="M3777" t="s">
        <v>13749</v>
      </c>
      <c r="N3777" t="s">
        <v>192</v>
      </c>
      <c r="O3777" t="s">
        <v>47</v>
      </c>
      <c r="P3777" t="s">
        <v>47</v>
      </c>
      <c r="Y3777" t="s">
        <v>13750</v>
      </c>
      <c r="AG3777" t="s">
        <v>48</v>
      </c>
    </row>
    <row r="3778" spans="1:33">
      <c r="A3778" t="s">
        <v>13751</v>
      </c>
      <c r="B3778" t="s">
        <v>13752</v>
      </c>
      <c r="D3778" t="s">
        <v>40</v>
      </c>
      <c r="E3778" t="s">
        <v>41</v>
      </c>
      <c r="J3778" t="s">
        <v>1418</v>
      </c>
      <c r="K3778" t="s">
        <v>1419</v>
      </c>
      <c r="L3778">
        <v>4</v>
      </c>
      <c r="M3778" t="s">
        <v>13753</v>
      </c>
      <c r="N3778" t="s">
        <v>46</v>
      </c>
      <c r="O3778" t="s">
        <v>47</v>
      </c>
      <c r="P3778" t="s">
        <v>47</v>
      </c>
      <c r="Y3778" t="s">
        <v>13754</v>
      </c>
      <c r="AG3778" t="s">
        <v>48</v>
      </c>
    </row>
    <row r="3779" spans="1:33">
      <c r="A3779" t="s">
        <v>13755</v>
      </c>
      <c r="B3779" t="s">
        <v>13756</v>
      </c>
      <c r="D3779" t="s">
        <v>40</v>
      </c>
      <c r="E3779" t="s">
        <v>41</v>
      </c>
      <c r="J3779" t="s">
        <v>13514</v>
      </c>
      <c r="K3779" t="s">
        <v>13515</v>
      </c>
      <c r="L3779">
        <v>5</v>
      </c>
      <c r="M3779" t="s">
        <v>13757</v>
      </c>
      <c r="N3779" t="s">
        <v>59</v>
      </c>
      <c r="O3779" t="s">
        <v>47</v>
      </c>
      <c r="P3779" t="s">
        <v>47</v>
      </c>
      <c r="Y3779" t="s">
        <v>13758</v>
      </c>
      <c r="AG3779" t="s">
        <v>48</v>
      </c>
    </row>
    <row r="3780" spans="1:33">
      <c r="A3780" t="s">
        <v>13759</v>
      </c>
      <c r="B3780" t="s">
        <v>13760</v>
      </c>
      <c r="D3780" t="s">
        <v>40</v>
      </c>
      <c r="E3780" t="s">
        <v>41</v>
      </c>
      <c r="J3780" t="s">
        <v>1046</v>
      </c>
      <c r="K3780" t="s">
        <v>1047</v>
      </c>
      <c r="L3780">
        <v>5</v>
      </c>
      <c r="M3780" t="s">
        <v>13761</v>
      </c>
      <c r="N3780" t="s">
        <v>218</v>
      </c>
      <c r="O3780" t="s">
        <v>47</v>
      </c>
      <c r="P3780" t="s">
        <v>47</v>
      </c>
      <c r="Y3780" t="s">
        <v>13762</v>
      </c>
      <c r="AG3780" t="s">
        <v>48</v>
      </c>
    </row>
    <row r="3781" spans="1:33">
      <c r="A3781" t="s">
        <v>13763</v>
      </c>
      <c r="B3781" t="s">
        <v>13764</v>
      </c>
      <c r="D3781" t="s">
        <v>40</v>
      </c>
      <c r="E3781" t="s">
        <v>41</v>
      </c>
      <c r="J3781" t="s">
        <v>129</v>
      </c>
      <c r="K3781" t="s">
        <v>130</v>
      </c>
      <c r="L3781">
        <v>6</v>
      </c>
      <c r="M3781" t="s">
        <v>13765</v>
      </c>
      <c r="N3781" t="s">
        <v>218</v>
      </c>
      <c r="O3781" t="s">
        <v>47</v>
      </c>
      <c r="P3781" t="s">
        <v>47</v>
      </c>
      <c r="Y3781" t="s">
        <v>13766</v>
      </c>
      <c r="AG3781" t="s">
        <v>48</v>
      </c>
    </row>
    <row r="3782" spans="1:33">
      <c r="A3782" t="s">
        <v>13767</v>
      </c>
      <c r="B3782" t="s">
        <v>13768</v>
      </c>
      <c r="D3782" t="s">
        <v>40</v>
      </c>
      <c r="E3782" t="s">
        <v>41</v>
      </c>
      <c r="J3782" t="s">
        <v>129</v>
      </c>
      <c r="K3782" t="s">
        <v>130</v>
      </c>
      <c r="L3782">
        <v>5</v>
      </c>
      <c r="M3782" t="s">
        <v>13769</v>
      </c>
      <c r="N3782" t="s">
        <v>218</v>
      </c>
      <c r="O3782" t="s">
        <v>47</v>
      </c>
      <c r="P3782" t="s">
        <v>47</v>
      </c>
      <c r="Y3782" t="s">
        <v>13770</v>
      </c>
      <c r="AG3782" t="s">
        <v>48</v>
      </c>
    </row>
    <row r="3783" spans="1:33">
      <c r="A3783" t="s">
        <v>13771</v>
      </c>
      <c r="B3783" t="s">
        <v>13772</v>
      </c>
      <c r="D3783" t="s">
        <v>40</v>
      </c>
      <c r="E3783" t="s">
        <v>41</v>
      </c>
      <c r="J3783" t="s">
        <v>1566</v>
      </c>
      <c r="K3783" t="s">
        <v>1567</v>
      </c>
      <c r="L3783">
        <v>4</v>
      </c>
      <c r="M3783" t="s">
        <v>13773</v>
      </c>
      <c r="N3783" t="s">
        <v>46</v>
      </c>
      <c r="O3783" t="s">
        <v>47</v>
      </c>
      <c r="P3783" t="s">
        <v>47</v>
      </c>
      <c r="Y3783" t="s">
        <v>13774</v>
      </c>
      <c r="AG3783" t="s">
        <v>48</v>
      </c>
    </row>
    <row r="3784" spans="1:33">
      <c r="A3784" t="s">
        <v>13775</v>
      </c>
      <c r="B3784" t="s">
        <v>13776</v>
      </c>
      <c r="D3784" t="s">
        <v>40</v>
      </c>
      <c r="E3784" t="s">
        <v>41</v>
      </c>
      <c r="J3784" t="s">
        <v>13777</v>
      </c>
      <c r="K3784" t="s">
        <v>13778</v>
      </c>
      <c r="L3784">
        <v>5</v>
      </c>
      <c r="M3784" t="s">
        <v>13779</v>
      </c>
      <c r="N3784" t="s">
        <v>192</v>
      </c>
      <c r="O3784" t="s">
        <v>47</v>
      </c>
      <c r="P3784" t="s">
        <v>47</v>
      </c>
      <c r="Y3784" t="s">
        <v>13780</v>
      </c>
      <c r="AG3784" t="s">
        <v>48</v>
      </c>
    </row>
    <row r="3785" spans="1:33">
      <c r="A3785" t="s">
        <v>13781</v>
      </c>
      <c r="B3785" t="s">
        <v>13782</v>
      </c>
      <c r="D3785" t="s">
        <v>40</v>
      </c>
      <c r="E3785" t="s">
        <v>41</v>
      </c>
      <c r="J3785" t="s">
        <v>86</v>
      </c>
      <c r="K3785" t="s">
        <v>87</v>
      </c>
      <c r="L3785">
        <v>4</v>
      </c>
      <c r="M3785" t="s">
        <v>13783</v>
      </c>
      <c r="N3785" t="s">
        <v>192</v>
      </c>
      <c r="O3785" t="s">
        <v>47</v>
      </c>
      <c r="P3785" t="s">
        <v>47</v>
      </c>
      <c r="Y3785" t="s">
        <v>13784</v>
      </c>
      <c r="AG3785" t="s">
        <v>48</v>
      </c>
    </row>
    <row r="3786" spans="1:33">
      <c r="A3786" t="s">
        <v>13785</v>
      </c>
      <c r="B3786" t="s">
        <v>13786</v>
      </c>
      <c r="D3786" t="s">
        <v>40</v>
      </c>
      <c r="E3786" t="s">
        <v>41</v>
      </c>
      <c r="J3786" t="s">
        <v>43</v>
      </c>
      <c r="K3786" t="s">
        <v>44</v>
      </c>
      <c r="L3786">
        <v>4</v>
      </c>
      <c r="M3786" t="s">
        <v>13787</v>
      </c>
      <c r="N3786" t="s">
        <v>192</v>
      </c>
      <c r="O3786" t="s">
        <v>47</v>
      </c>
      <c r="P3786" t="s">
        <v>47</v>
      </c>
      <c r="Y3786" t="s">
        <v>13788</v>
      </c>
      <c r="AG3786" t="s">
        <v>48</v>
      </c>
    </row>
    <row r="3787" spans="1:33">
      <c r="A3787" t="s">
        <v>13789</v>
      </c>
      <c r="B3787" t="s">
        <v>13790</v>
      </c>
      <c r="D3787" t="s">
        <v>40</v>
      </c>
      <c r="E3787" t="s">
        <v>41</v>
      </c>
      <c r="J3787" t="s">
        <v>86</v>
      </c>
      <c r="K3787" t="s">
        <v>87</v>
      </c>
      <c r="L3787">
        <v>4</v>
      </c>
      <c r="M3787" t="s">
        <v>13791</v>
      </c>
      <c r="N3787" t="s">
        <v>192</v>
      </c>
      <c r="O3787" t="s">
        <v>47</v>
      </c>
      <c r="P3787" t="s">
        <v>47</v>
      </c>
      <c r="Y3787" t="s">
        <v>13792</v>
      </c>
      <c r="AG3787" t="s">
        <v>48</v>
      </c>
    </row>
    <row r="3788" spans="1:33">
      <c r="A3788" t="s">
        <v>13793</v>
      </c>
      <c r="B3788" t="s">
        <v>13794</v>
      </c>
      <c r="D3788" t="s">
        <v>40</v>
      </c>
      <c r="E3788" t="s">
        <v>41</v>
      </c>
      <c r="J3788" t="s">
        <v>43</v>
      </c>
      <c r="K3788" t="s">
        <v>44</v>
      </c>
      <c r="L3788">
        <v>4</v>
      </c>
      <c r="M3788" t="s">
        <v>13795</v>
      </c>
      <c r="N3788" t="s">
        <v>218</v>
      </c>
      <c r="O3788" t="s">
        <v>47</v>
      </c>
      <c r="P3788" t="s">
        <v>47</v>
      </c>
      <c r="Y3788" t="s">
        <v>13796</v>
      </c>
      <c r="AG3788" t="s">
        <v>48</v>
      </c>
    </row>
    <row r="3789" spans="1:33">
      <c r="A3789" t="s">
        <v>117</v>
      </c>
      <c r="B3789" t="s">
        <v>13797</v>
      </c>
      <c r="D3789" t="s">
        <v>40</v>
      </c>
      <c r="E3789" t="s">
        <v>41</v>
      </c>
      <c r="H3789" t="s">
        <v>13798</v>
      </c>
      <c r="J3789" t="s">
        <v>1052</v>
      </c>
      <c r="K3789" t="s">
        <v>1053</v>
      </c>
      <c r="L3789">
        <v>5</v>
      </c>
      <c r="M3789" t="s">
        <v>13799</v>
      </c>
      <c r="N3789" t="s">
        <v>192</v>
      </c>
      <c r="O3789" t="s">
        <v>47</v>
      </c>
      <c r="P3789" t="s">
        <v>47</v>
      </c>
      <c r="Y3789" t="s">
        <v>13798</v>
      </c>
      <c r="AG3789" t="s">
        <v>48</v>
      </c>
    </row>
    <row r="3790" spans="1:33">
      <c r="A3790" t="s">
        <v>13800</v>
      </c>
      <c r="B3790" t="s">
        <v>13801</v>
      </c>
      <c r="D3790" t="s">
        <v>40</v>
      </c>
      <c r="E3790" t="s">
        <v>41</v>
      </c>
      <c r="J3790" t="s">
        <v>215</v>
      </c>
      <c r="K3790" t="s">
        <v>216</v>
      </c>
      <c r="L3790">
        <v>6</v>
      </c>
      <c r="M3790" t="s">
        <v>13802</v>
      </c>
      <c r="N3790" t="s">
        <v>218</v>
      </c>
      <c r="O3790" t="s">
        <v>47</v>
      </c>
      <c r="P3790" t="s">
        <v>47</v>
      </c>
      <c r="Y3790" t="s">
        <v>13803</v>
      </c>
      <c r="AG3790" t="s">
        <v>48</v>
      </c>
    </row>
    <row r="3791" spans="1:33">
      <c r="A3791" t="s">
        <v>13804</v>
      </c>
      <c r="B3791" t="s">
        <v>13805</v>
      </c>
      <c r="D3791" t="s">
        <v>40</v>
      </c>
      <c r="E3791" t="s">
        <v>41</v>
      </c>
      <c r="J3791" t="s">
        <v>1052</v>
      </c>
      <c r="K3791" t="s">
        <v>1053</v>
      </c>
      <c r="L3791">
        <v>4</v>
      </c>
      <c r="M3791" t="s">
        <v>13806</v>
      </c>
      <c r="N3791" t="s">
        <v>192</v>
      </c>
      <c r="O3791" t="s">
        <v>47</v>
      </c>
      <c r="P3791" t="s">
        <v>47</v>
      </c>
      <c r="Y3791" t="s">
        <v>13807</v>
      </c>
      <c r="AG3791" t="s">
        <v>48</v>
      </c>
    </row>
    <row r="3792" spans="1:33">
      <c r="A3792" t="s">
        <v>13808</v>
      </c>
      <c r="B3792" t="s">
        <v>13809</v>
      </c>
      <c r="D3792" t="s">
        <v>40</v>
      </c>
      <c r="E3792" t="s">
        <v>41</v>
      </c>
      <c r="J3792" t="s">
        <v>43</v>
      </c>
      <c r="K3792" t="s">
        <v>44</v>
      </c>
      <c r="L3792">
        <v>4</v>
      </c>
      <c r="M3792" t="s">
        <v>13810</v>
      </c>
      <c r="N3792" t="s">
        <v>192</v>
      </c>
      <c r="O3792" t="s">
        <v>47</v>
      </c>
      <c r="P3792" t="s">
        <v>47</v>
      </c>
      <c r="Y3792" t="s">
        <v>13811</v>
      </c>
      <c r="AG3792" t="s">
        <v>48</v>
      </c>
    </row>
    <row r="3793" spans="1:33">
      <c r="A3793" t="s">
        <v>13812</v>
      </c>
      <c r="B3793" t="s">
        <v>13813</v>
      </c>
      <c r="D3793" t="s">
        <v>40</v>
      </c>
      <c r="E3793" t="s">
        <v>41</v>
      </c>
      <c r="H3793" t="s">
        <v>13814</v>
      </c>
      <c r="J3793" t="s">
        <v>129</v>
      </c>
      <c r="K3793" t="s">
        <v>130</v>
      </c>
      <c r="L3793">
        <v>5</v>
      </c>
      <c r="M3793" t="s">
        <v>13815</v>
      </c>
      <c r="N3793" t="s">
        <v>218</v>
      </c>
      <c r="O3793" t="s">
        <v>47</v>
      </c>
      <c r="P3793" t="s">
        <v>47</v>
      </c>
      <c r="Y3793" t="s">
        <v>13814</v>
      </c>
      <c r="AG3793" t="s">
        <v>48</v>
      </c>
    </row>
    <row r="3794" spans="1:33">
      <c r="A3794" t="s">
        <v>13816</v>
      </c>
      <c r="B3794" t="s">
        <v>13817</v>
      </c>
      <c r="D3794" t="s">
        <v>40</v>
      </c>
      <c r="E3794" t="s">
        <v>41</v>
      </c>
      <c r="J3794" t="s">
        <v>43</v>
      </c>
      <c r="K3794" t="s">
        <v>44</v>
      </c>
      <c r="L3794">
        <v>4</v>
      </c>
      <c r="M3794" t="s">
        <v>13818</v>
      </c>
      <c r="N3794" t="s">
        <v>192</v>
      </c>
      <c r="O3794" t="s">
        <v>47</v>
      </c>
      <c r="P3794" t="s">
        <v>47</v>
      </c>
      <c r="Y3794" t="s">
        <v>13819</v>
      </c>
      <c r="AG3794" t="s">
        <v>48</v>
      </c>
    </row>
    <row r="3795" spans="1:33">
      <c r="A3795" t="s">
        <v>13820</v>
      </c>
      <c r="B3795" t="s">
        <v>13821</v>
      </c>
      <c r="D3795" t="s">
        <v>40</v>
      </c>
      <c r="E3795" t="s">
        <v>41</v>
      </c>
      <c r="J3795" t="s">
        <v>86</v>
      </c>
      <c r="K3795" t="s">
        <v>87</v>
      </c>
      <c r="L3795">
        <v>4</v>
      </c>
      <c r="M3795" t="s">
        <v>13822</v>
      </c>
      <c r="N3795" t="s">
        <v>192</v>
      </c>
      <c r="O3795" t="s">
        <v>47</v>
      </c>
      <c r="P3795" t="s">
        <v>47</v>
      </c>
      <c r="Y3795" t="s">
        <v>13823</v>
      </c>
      <c r="AG3795" t="s">
        <v>48</v>
      </c>
    </row>
    <row r="3796" spans="1:33">
      <c r="A3796" t="s">
        <v>13824</v>
      </c>
      <c r="B3796" t="s">
        <v>13825</v>
      </c>
      <c r="D3796" t="s">
        <v>40</v>
      </c>
      <c r="E3796" t="s">
        <v>41</v>
      </c>
      <c r="J3796" t="s">
        <v>129</v>
      </c>
      <c r="K3796" t="s">
        <v>130</v>
      </c>
      <c r="L3796">
        <v>6</v>
      </c>
      <c r="M3796" t="s">
        <v>13826</v>
      </c>
      <c r="N3796" t="s">
        <v>46</v>
      </c>
      <c r="O3796" t="s">
        <v>47</v>
      </c>
      <c r="P3796" t="s">
        <v>47</v>
      </c>
      <c r="Y3796" t="s">
        <v>13827</v>
      </c>
      <c r="AG3796" t="s">
        <v>48</v>
      </c>
    </row>
    <row r="3797" spans="1:33">
      <c r="A3797" t="s">
        <v>13828</v>
      </c>
      <c r="B3797" t="s">
        <v>13829</v>
      </c>
      <c r="D3797" t="s">
        <v>40</v>
      </c>
      <c r="E3797" t="s">
        <v>41</v>
      </c>
      <c r="J3797" t="s">
        <v>43</v>
      </c>
      <c r="K3797" t="s">
        <v>44</v>
      </c>
      <c r="L3797">
        <v>4</v>
      </c>
      <c r="M3797" t="s">
        <v>13830</v>
      </c>
      <c r="N3797" t="s">
        <v>192</v>
      </c>
      <c r="O3797" t="s">
        <v>47</v>
      </c>
      <c r="P3797" t="s">
        <v>47</v>
      </c>
      <c r="Y3797" t="s">
        <v>13831</v>
      </c>
      <c r="AG3797" t="s">
        <v>48</v>
      </c>
    </row>
    <row r="3798" spans="1:33">
      <c r="A3798" t="s">
        <v>13832</v>
      </c>
      <c r="B3798" t="s">
        <v>13833</v>
      </c>
      <c r="D3798" t="s">
        <v>40</v>
      </c>
      <c r="E3798" t="s">
        <v>41</v>
      </c>
      <c r="J3798" t="s">
        <v>43</v>
      </c>
      <c r="K3798" t="s">
        <v>44</v>
      </c>
      <c r="L3798">
        <v>4</v>
      </c>
      <c r="M3798" t="s">
        <v>13834</v>
      </c>
      <c r="N3798" t="s">
        <v>192</v>
      </c>
      <c r="O3798" t="s">
        <v>47</v>
      </c>
      <c r="P3798" t="s">
        <v>47</v>
      </c>
      <c r="Y3798" t="s">
        <v>13835</v>
      </c>
      <c r="AG3798" t="s">
        <v>48</v>
      </c>
    </row>
    <row r="3799" spans="1:33">
      <c r="A3799" t="s">
        <v>13836</v>
      </c>
      <c r="B3799" t="s">
        <v>13837</v>
      </c>
      <c r="D3799" t="s">
        <v>40</v>
      </c>
      <c r="E3799" t="s">
        <v>41</v>
      </c>
      <c r="J3799" t="s">
        <v>43</v>
      </c>
      <c r="K3799" t="s">
        <v>44</v>
      </c>
      <c r="L3799">
        <v>4</v>
      </c>
      <c r="M3799" t="s">
        <v>13838</v>
      </c>
      <c r="N3799" t="s">
        <v>192</v>
      </c>
      <c r="O3799" t="s">
        <v>47</v>
      </c>
      <c r="P3799" t="s">
        <v>47</v>
      </c>
      <c r="Y3799" t="s">
        <v>13839</v>
      </c>
      <c r="AG3799" t="s">
        <v>48</v>
      </c>
    </row>
    <row r="3800" spans="1:33">
      <c r="A3800" t="s">
        <v>13840</v>
      </c>
      <c r="B3800" t="s">
        <v>13841</v>
      </c>
      <c r="D3800" t="s">
        <v>40</v>
      </c>
      <c r="E3800" t="s">
        <v>41</v>
      </c>
      <c r="J3800" t="s">
        <v>43</v>
      </c>
      <c r="K3800" t="s">
        <v>44</v>
      </c>
      <c r="L3800">
        <v>4</v>
      </c>
      <c r="M3800" t="s">
        <v>13842</v>
      </c>
      <c r="N3800" t="s">
        <v>192</v>
      </c>
      <c r="O3800" t="s">
        <v>47</v>
      </c>
      <c r="P3800" t="s">
        <v>47</v>
      </c>
      <c r="Y3800" t="s">
        <v>13843</v>
      </c>
      <c r="AG3800" t="s">
        <v>48</v>
      </c>
    </row>
    <row r="3801" spans="1:33">
      <c r="A3801" t="s">
        <v>13844</v>
      </c>
      <c r="B3801" t="s">
        <v>13845</v>
      </c>
      <c r="D3801" t="s">
        <v>40</v>
      </c>
      <c r="E3801" t="s">
        <v>41</v>
      </c>
      <c r="J3801" t="s">
        <v>129</v>
      </c>
      <c r="K3801" t="s">
        <v>130</v>
      </c>
      <c r="L3801">
        <v>5</v>
      </c>
      <c r="M3801" t="s">
        <v>13846</v>
      </c>
      <c r="N3801" t="s">
        <v>218</v>
      </c>
      <c r="O3801" t="s">
        <v>47</v>
      </c>
      <c r="P3801" t="s">
        <v>47</v>
      </c>
      <c r="Y3801" t="s">
        <v>13847</v>
      </c>
      <c r="AG3801" t="s">
        <v>48</v>
      </c>
    </row>
    <row r="3802" spans="1:33">
      <c r="A3802" t="s">
        <v>13848</v>
      </c>
      <c r="B3802" t="s">
        <v>13849</v>
      </c>
      <c r="D3802" t="s">
        <v>40</v>
      </c>
      <c r="E3802" t="s">
        <v>41</v>
      </c>
      <c r="J3802" t="s">
        <v>147</v>
      </c>
      <c r="K3802" t="s">
        <v>148</v>
      </c>
      <c r="L3802">
        <v>5</v>
      </c>
      <c r="M3802" t="s">
        <v>13850</v>
      </c>
      <c r="N3802" t="s">
        <v>46</v>
      </c>
      <c r="O3802" t="s">
        <v>47</v>
      </c>
      <c r="P3802" t="s">
        <v>47</v>
      </c>
      <c r="Y3802" t="s">
        <v>13851</v>
      </c>
      <c r="AG3802" t="s">
        <v>48</v>
      </c>
    </row>
    <row r="3803" spans="1:33">
      <c r="A3803" t="s">
        <v>13852</v>
      </c>
      <c r="B3803" t="s">
        <v>13853</v>
      </c>
      <c r="D3803" t="s">
        <v>40</v>
      </c>
      <c r="E3803" t="s">
        <v>41</v>
      </c>
      <c r="J3803" t="s">
        <v>1418</v>
      </c>
      <c r="K3803" t="s">
        <v>1419</v>
      </c>
      <c r="L3803">
        <v>4</v>
      </c>
      <c r="M3803" t="s">
        <v>13854</v>
      </c>
      <c r="N3803" t="s">
        <v>46</v>
      </c>
      <c r="O3803" t="s">
        <v>47</v>
      </c>
      <c r="P3803" t="s">
        <v>47</v>
      </c>
      <c r="Y3803" t="s">
        <v>13855</v>
      </c>
      <c r="AG3803" t="s">
        <v>48</v>
      </c>
    </row>
    <row r="3804" spans="1:33">
      <c r="A3804" t="s">
        <v>13856</v>
      </c>
      <c r="B3804" t="s">
        <v>13857</v>
      </c>
      <c r="D3804" t="s">
        <v>40</v>
      </c>
      <c r="E3804" t="s">
        <v>41</v>
      </c>
      <c r="J3804" t="s">
        <v>86</v>
      </c>
      <c r="K3804" t="s">
        <v>87</v>
      </c>
      <c r="L3804">
        <v>4</v>
      </c>
      <c r="M3804" t="s">
        <v>13858</v>
      </c>
      <c r="N3804" t="s">
        <v>192</v>
      </c>
      <c r="O3804" t="s">
        <v>47</v>
      </c>
      <c r="P3804" t="s">
        <v>47</v>
      </c>
      <c r="Y3804" t="s">
        <v>13859</v>
      </c>
      <c r="AG3804" t="s">
        <v>48</v>
      </c>
    </row>
    <row r="3805" spans="1:33">
      <c r="A3805" t="s">
        <v>13860</v>
      </c>
      <c r="B3805" t="s">
        <v>13861</v>
      </c>
      <c r="D3805" t="s">
        <v>40</v>
      </c>
      <c r="E3805" t="s">
        <v>41</v>
      </c>
      <c r="J3805" t="s">
        <v>123</v>
      </c>
      <c r="K3805" t="s">
        <v>124</v>
      </c>
      <c r="L3805">
        <v>5</v>
      </c>
      <c r="M3805" t="s">
        <v>13862</v>
      </c>
      <c r="N3805" t="s">
        <v>46</v>
      </c>
      <c r="O3805" t="s">
        <v>47</v>
      </c>
      <c r="P3805" t="s">
        <v>47</v>
      </c>
      <c r="Y3805" t="s">
        <v>13863</v>
      </c>
      <c r="AG3805" t="s">
        <v>48</v>
      </c>
    </row>
    <row r="3806" spans="1:33">
      <c r="A3806" t="s">
        <v>13864</v>
      </c>
      <c r="B3806" t="s">
        <v>13865</v>
      </c>
      <c r="D3806" t="s">
        <v>40</v>
      </c>
      <c r="E3806" t="s">
        <v>41</v>
      </c>
      <c r="J3806" t="s">
        <v>86</v>
      </c>
      <c r="K3806" t="s">
        <v>87</v>
      </c>
      <c r="L3806">
        <v>4</v>
      </c>
      <c r="M3806" t="s">
        <v>13866</v>
      </c>
      <c r="N3806" t="s">
        <v>192</v>
      </c>
      <c r="O3806" t="s">
        <v>47</v>
      </c>
      <c r="P3806" t="s">
        <v>47</v>
      </c>
      <c r="Y3806" t="s">
        <v>13867</v>
      </c>
      <c r="AG3806" t="s">
        <v>48</v>
      </c>
    </row>
    <row r="3807" spans="1:33">
      <c r="A3807" t="s">
        <v>13868</v>
      </c>
      <c r="B3807" t="s">
        <v>13869</v>
      </c>
      <c r="D3807" t="s">
        <v>40</v>
      </c>
      <c r="E3807" t="s">
        <v>41</v>
      </c>
      <c r="J3807" t="s">
        <v>86</v>
      </c>
      <c r="K3807" t="s">
        <v>87</v>
      </c>
      <c r="L3807">
        <v>4</v>
      </c>
      <c r="M3807" t="s">
        <v>13870</v>
      </c>
      <c r="N3807" t="s">
        <v>192</v>
      </c>
      <c r="O3807" t="s">
        <v>47</v>
      </c>
      <c r="P3807" t="s">
        <v>47</v>
      </c>
      <c r="Y3807" t="s">
        <v>13871</v>
      </c>
      <c r="AG3807" t="s">
        <v>48</v>
      </c>
    </row>
    <row r="3808" spans="1:33">
      <c r="A3808" t="s">
        <v>13872</v>
      </c>
      <c r="B3808" t="s">
        <v>13873</v>
      </c>
      <c r="D3808" t="s">
        <v>40</v>
      </c>
      <c r="E3808" t="s">
        <v>41</v>
      </c>
      <c r="H3808" t="s">
        <v>13874</v>
      </c>
      <c r="J3808" t="s">
        <v>43</v>
      </c>
      <c r="K3808" t="s">
        <v>44</v>
      </c>
      <c r="L3808">
        <v>4</v>
      </c>
      <c r="M3808" t="s">
        <v>13875</v>
      </c>
      <c r="N3808" t="s">
        <v>192</v>
      </c>
      <c r="O3808" t="s">
        <v>47</v>
      </c>
      <c r="P3808" t="s">
        <v>47</v>
      </c>
      <c r="Y3808" t="s">
        <v>13874</v>
      </c>
      <c r="AG3808" t="s">
        <v>48</v>
      </c>
    </row>
    <row r="3809" spans="1:33">
      <c r="A3809" t="s">
        <v>13876</v>
      </c>
      <c r="B3809" t="s">
        <v>13877</v>
      </c>
      <c r="D3809" t="s">
        <v>40</v>
      </c>
      <c r="E3809" t="s">
        <v>41</v>
      </c>
      <c r="J3809" t="s">
        <v>1052</v>
      </c>
      <c r="K3809" t="s">
        <v>1053</v>
      </c>
      <c r="L3809">
        <v>4</v>
      </c>
      <c r="M3809" t="s">
        <v>13878</v>
      </c>
      <c r="N3809" t="s">
        <v>192</v>
      </c>
      <c r="O3809" t="s">
        <v>47</v>
      </c>
      <c r="P3809" t="s">
        <v>47</v>
      </c>
      <c r="Y3809" t="s">
        <v>13879</v>
      </c>
      <c r="AG3809" t="s">
        <v>48</v>
      </c>
    </row>
    <row r="3810" spans="1:33">
      <c r="A3810" t="s">
        <v>13880</v>
      </c>
      <c r="B3810" t="s">
        <v>13881</v>
      </c>
      <c r="D3810" t="s">
        <v>40</v>
      </c>
      <c r="E3810" t="s">
        <v>41</v>
      </c>
      <c r="J3810" t="s">
        <v>1052</v>
      </c>
      <c r="K3810" t="s">
        <v>1053</v>
      </c>
      <c r="L3810">
        <v>4</v>
      </c>
      <c r="M3810" t="s">
        <v>13882</v>
      </c>
      <c r="N3810" t="s">
        <v>192</v>
      </c>
      <c r="O3810" t="s">
        <v>47</v>
      </c>
      <c r="P3810" t="s">
        <v>47</v>
      </c>
      <c r="Y3810" t="s">
        <v>13883</v>
      </c>
      <c r="AG3810" t="s">
        <v>48</v>
      </c>
    </row>
    <row r="3811" spans="1:33">
      <c r="A3811" t="s">
        <v>13884</v>
      </c>
      <c r="B3811" t="s">
        <v>13885</v>
      </c>
      <c r="D3811" t="s">
        <v>40</v>
      </c>
      <c r="E3811" t="s">
        <v>41</v>
      </c>
      <c r="J3811" t="s">
        <v>4737</v>
      </c>
      <c r="K3811" t="s">
        <v>4738</v>
      </c>
      <c r="L3811">
        <v>4</v>
      </c>
      <c r="M3811" t="s">
        <v>13886</v>
      </c>
      <c r="N3811" t="s">
        <v>192</v>
      </c>
      <c r="O3811" t="s">
        <v>47</v>
      </c>
      <c r="P3811" t="s">
        <v>47</v>
      </c>
      <c r="Y3811" t="s">
        <v>13887</v>
      </c>
      <c r="AG3811" t="s">
        <v>48</v>
      </c>
    </row>
    <row r="3812" spans="1:33">
      <c r="A3812" t="s">
        <v>13888</v>
      </c>
      <c r="B3812" t="s">
        <v>13889</v>
      </c>
      <c r="D3812" t="s">
        <v>40</v>
      </c>
      <c r="E3812" t="s">
        <v>41</v>
      </c>
      <c r="J3812" t="s">
        <v>43</v>
      </c>
      <c r="K3812" t="s">
        <v>44</v>
      </c>
      <c r="L3812">
        <v>4</v>
      </c>
      <c r="M3812" t="s">
        <v>13890</v>
      </c>
      <c r="N3812" t="s">
        <v>192</v>
      </c>
      <c r="O3812" t="s">
        <v>47</v>
      </c>
      <c r="P3812" t="s">
        <v>47</v>
      </c>
      <c r="Y3812" t="s">
        <v>13891</v>
      </c>
      <c r="AG3812" t="s">
        <v>48</v>
      </c>
    </row>
    <row r="3813" spans="1:33">
      <c r="A3813" t="s">
        <v>13892</v>
      </c>
      <c r="B3813" t="s">
        <v>13893</v>
      </c>
      <c r="D3813" t="s">
        <v>40</v>
      </c>
      <c r="E3813" t="s">
        <v>41</v>
      </c>
      <c r="J3813" t="s">
        <v>43</v>
      </c>
      <c r="K3813" t="s">
        <v>44</v>
      </c>
      <c r="L3813">
        <v>4</v>
      </c>
      <c r="M3813" t="s">
        <v>13894</v>
      </c>
      <c r="N3813" t="s">
        <v>192</v>
      </c>
      <c r="O3813" t="s">
        <v>47</v>
      </c>
      <c r="P3813" t="s">
        <v>47</v>
      </c>
      <c r="Y3813" t="s">
        <v>13895</v>
      </c>
      <c r="AG3813" t="s">
        <v>48</v>
      </c>
    </row>
    <row r="3814" spans="1:33">
      <c r="A3814" t="s">
        <v>13896</v>
      </c>
      <c r="B3814" t="s">
        <v>13897</v>
      </c>
      <c r="D3814" t="s">
        <v>40</v>
      </c>
      <c r="E3814" t="s">
        <v>41</v>
      </c>
      <c r="H3814" t="s">
        <v>13898</v>
      </c>
      <c r="J3814" t="s">
        <v>129</v>
      </c>
      <c r="K3814" t="s">
        <v>130</v>
      </c>
      <c r="L3814">
        <v>5</v>
      </c>
      <c r="M3814" t="s">
        <v>13899</v>
      </c>
      <c r="N3814" t="s">
        <v>218</v>
      </c>
      <c r="O3814" t="s">
        <v>47</v>
      </c>
      <c r="P3814" t="s">
        <v>47</v>
      </c>
      <c r="Y3814" t="s">
        <v>13898</v>
      </c>
      <c r="AG3814" t="s">
        <v>48</v>
      </c>
    </row>
    <row r="3815" spans="1:33">
      <c r="A3815" t="s">
        <v>13900</v>
      </c>
      <c r="B3815" t="s">
        <v>13901</v>
      </c>
      <c r="D3815" t="s">
        <v>40</v>
      </c>
      <c r="E3815" t="s">
        <v>41</v>
      </c>
      <c r="J3815" t="s">
        <v>43</v>
      </c>
      <c r="K3815" t="s">
        <v>44</v>
      </c>
      <c r="L3815">
        <v>4</v>
      </c>
      <c r="M3815" t="s">
        <v>13902</v>
      </c>
      <c r="N3815" t="s">
        <v>192</v>
      </c>
      <c r="O3815" t="s">
        <v>47</v>
      </c>
      <c r="P3815" t="s">
        <v>47</v>
      </c>
      <c r="Y3815" t="s">
        <v>13903</v>
      </c>
      <c r="AG3815" t="s">
        <v>48</v>
      </c>
    </row>
    <row r="3816" spans="1:33">
      <c r="A3816" t="s">
        <v>13904</v>
      </c>
      <c r="B3816" t="s">
        <v>13905</v>
      </c>
      <c r="D3816" t="s">
        <v>40</v>
      </c>
      <c r="E3816" t="s">
        <v>41</v>
      </c>
      <c r="H3816" t="s">
        <v>13906</v>
      </c>
      <c r="J3816" t="s">
        <v>43</v>
      </c>
      <c r="K3816" t="s">
        <v>44</v>
      </c>
      <c r="L3816">
        <v>4</v>
      </c>
      <c r="M3816" t="s">
        <v>13907</v>
      </c>
      <c r="N3816" t="s">
        <v>192</v>
      </c>
      <c r="O3816" t="s">
        <v>47</v>
      </c>
      <c r="P3816" t="s">
        <v>47</v>
      </c>
      <c r="Y3816" t="s">
        <v>13906</v>
      </c>
      <c r="AG3816" t="s">
        <v>48</v>
      </c>
    </row>
    <row r="3817" spans="1:33">
      <c r="A3817" t="s">
        <v>13908</v>
      </c>
      <c r="B3817" t="s">
        <v>13909</v>
      </c>
      <c r="D3817" t="s">
        <v>40</v>
      </c>
      <c r="E3817" t="s">
        <v>41</v>
      </c>
      <c r="H3817" t="s">
        <v>13910</v>
      </c>
      <c r="J3817" t="s">
        <v>129</v>
      </c>
      <c r="K3817" t="s">
        <v>130</v>
      </c>
      <c r="L3817">
        <v>5</v>
      </c>
      <c r="M3817" t="s">
        <v>13911</v>
      </c>
      <c r="N3817" t="s">
        <v>192</v>
      </c>
      <c r="O3817" t="s">
        <v>47</v>
      </c>
      <c r="P3817" t="s">
        <v>47</v>
      </c>
      <c r="Y3817" t="s">
        <v>13910</v>
      </c>
      <c r="AG3817" t="s">
        <v>48</v>
      </c>
    </row>
    <row r="3818" spans="1:33">
      <c r="A3818" t="s">
        <v>13912</v>
      </c>
      <c r="B3818" t="s">
        <v>13913</v>
      </c>
      <c r="D3818" t="s">
        <v>40</v>
      </c>
      <c r="E3818" t="s">
        <v>41</v>
      </c>
      <c r="J3818" t="s">
        <v>1418</v>
      </c>
      <c r="K3818" t="s">
        <v>1419</v>
      </c>
      <c r="L3818">
        <v>4</v>
      </c>
      <c r="M3818" t="s">
        <v>13914</v>
      </c>
      <c r="N3818" t="s">
        <v>218</v>
      </c>
      <c r="O3818" t="s">
        <v>47</v>
      </c>
      <c r="P3818" t="s">
        <v>47</v>
      </c>
      <c r="Y3818" t="s">
        <v>13915</v>
      </c>
      <c r="AG3818" t="s">
        <v>48</v>
      </c>
    </row>
    <row r="3819" spans="1:33">
      <c r="A3819" t="s">
        <v>13916</v>
      </c>
      <c r="B3819" t="s">
        <v>13917</v>
      </c>
      <c r="D3819" t="s">
        <v>40</v>
      </c>
      <c r="E3819" t="s">
        <v>41</v>
      </c>
      <c r="H3819" t="s">
        <v>13918</v>
      </c>
      <c r="J3819" t="s">
        <v>129</v>
      </c>
      <c r="K3819" t="s">
        <v>130</v>
      </c>
      <c r="L3819">
        <v>6</v>
      </c>
      <c r="M3819" t="s">
        <v>13919</v>
      </c>
      <c r="N3819" t="s">
        <v>218</v>
      </c>
      <c r="O3819" t="s">
        <v>47</v>
      </c>
      <c r="P3819" t="s">
        <v>47</v>
      </c>
      <c r="Y3819" t="s">
        <v>13918</v>
      </c>
      <c r="AG3819" t="s">
        <v>48</v>
      </c>
    </row>
    <row r="3820" spans="1:33">
      <c r="A3820" t="s">
        <v>13920</v>
      </c>
      <c r="B3820" t="s">
        <v>13921</v>
      </c>
      <c r="D3820" t="s">
        <v>40</v>
      </c>
      <c r="E3820" t="s">
        <v>41</v>
      </c>
      <c r="J3820" t="s">
        <v>3472</v>
      </c>
      <c r="K3820" t="s">
        <v>3473</v>
      </c>
      <c r="L3820">
        <v>4</v>
      </c>
      <c r="M3820" t="s">
        <v>13922</v>
      </c>
      <c r="N3820" t="s">
        <v>46</v>
      </c>
      <c r="O3820" t="s">
        <v>47</v>
      </c>
      <c r="P3820" t="s">
        <v>47</v>
      </c>
      <c r="Y3820" t="s">
        <v>13923</v>
      </c>
      <c r="AG3820" t="s">
        <v>48</v>
      </c>
    </row>
    <row r="3821" spans="1:33">
      <c r="A3821" t="s">
        <v>13924</v>
      </c>
      <c r="B3821" t="s">
        <v>13925</v>
      </c>
      <c r="D3821" t="s">
        <v>40</v>
      </c>
      <c r="E3821" t="s">
        <v>41</v>
      </c>
      <c r="H3821" t="s">
        <v>13926</v>
      </c>
      <c r="J3821" t="s">
        <v>43</v>
      </c>
      <c r="K3821" t="s">
        <v>44</v>
      </c>
      <c r="L3821">
        <v>4</v>
      </c>
      <c r="M3821" t="s">
        <v>13927</v>
      </c>
      <c r="N3821" t="s">
        <v>46</v>
      </c>
      <c r="O3821" t="s">
        <v>47</v>
      </c>
      <c r="P3821" t="s">
        <v>47</v>
      </c>
      <c r="Y3821" t="s">
        <v>13926</v>
      </c>
      <c r="AG3821" t="s">
        <v>48</v>
      </c>
    </row>
    <row r="3822" spans="1:33">
      <c r="A3822" t="s">
        <v>13928</v>
      </c>
      <c r="B3822" t="s">
        <v>13929</v>
      </c>
      <c r="D3822" t="s">
        <v>40</v>
      </c>
      <c r="E3822" t="s">
        <v>41</v>
      </c>
      <c r="J3822" t="s">
        <v>123</v>
      </c>
      <c r="K3822" t="s">
        <v>124</v>
      </c>
      <c r="L3822">
        <v>8</v>
      </c>
      <c r="M3822" t="s">
        <v>13930</v>
      </c>
      <c r="N3822" t="s">
        <v>46</v>
      </c>
      <c r="O3822" t="s">
        <v>47</v>
      </c>
      <c r="P3822" t="s">
        <v>47</v>
      </c>
      <c r="Y3822" t="s">
        <v>13931</v>
      </c>
      <c r="AG3822" t="s">
        <v>48</v>
      </c>
    </row>
    <row r="3823" spans="1:33">
      <c r="A3823" t="s">
        <v>13932</v>
      </c>
      <c r="B3823" t="s">
        <v>13933</v>
      </c>
      <c r="D3823" t="s">
        <v>40</v>
      </c>
      <c r="E3823" t="s">
        <v>41</v>
      </c>
      <c r="J3823" t="s">
        <v>86</v>
      </c>
      <c r="K3823" t="s">
        <v>87</v>
      </c>
      <c r="L3823">
        <v>4</v>
      </c>
      <c r="M3823" t="s">
        <v>13934</v>
      </c>
      <c r="N3823" t="s">
        <v>192</v>
      </c>
      <c r="O3823" t="s">
        <v>47</v>
      </c>
      <c r="P3823" t="s">
        <v>47</v>
      </c>
      <c r="Y3823" t="s">
        <v>13935</v>
      </c>
      <c r="AG3823" t="s">
        <v>48</v>
      </c>
    </row>
    <row r="3824" spans="1:33">
      <c r="A3824" t="s">
        <v>13936</v>
      </c>
      <c r="B3824" t="s">
        <v>13937</v>
      </c>
      <c r="D3824" t="s">
        <v>40</v>
      </c>
      <c r="E3824" t="s">
        <v>41</v>
      </c>
      <c r="J3824" t="s">
        <v>86</v>
      </c>
      <c r="K3824" t="s">
        <v>87</v>
      </c>
      <c r="L3824">
        <v>4</v>
      </c>
      <c r="M3824" t="s">
        <v>13938</v>
      </c>
      <c r="N3824" t="s">
        <v>192</v>
      </c>
      <c r="O3824" t="s">
        <v>47</v>
      </c>
      <c r="P3824" t="s">
        <v>47</v>
      </c>
      <c r="Y3824" t="s">
        <v>13939</v>
      </c>
      <c r="AG3824" t="s">
        <v>48</v>
      </c>
    </row>
    <row r="3825" spans="1:33">
      <c r="A3825" t="s">
        <v>13940</v>
      </c>
      <c r="B3825" t="s">
        <v>13941</v>
      </c>
      <c r="D3825" t="s">
        <v>40</v>
      </c>
      <c r="E3825" t="s">
        <v>41</v>
      </c>
      <c r="H3825" t="s">
        <v>13942</v>
      </c>
      <c r="J3825" t="s">
        <v>129</v>
      </c>
      <c r="K3825" t="s">
        <v>130</v>
      </c>
      <c r="L3825">
        <v>5</v>
      </c>
      <c r="M3825" t="s">
        <v>13943</v>
      </c>
      <c r="N3825" t="s">
        <v>218</v>
      </c>
      <c r="O3825" t="s">
        <v>47</v>
      </c>
      <c r="P3825" t="s">
        <v>47</v>
      </c>
      <c r="Y3825" t="s">
        <v>13942</v>
      </c>
      <c r="AG3825" t="s">
        <v>48</v>
      </c>
    </row>
    <row r="3826" spans="1:33">
      <c r="A3826" t="s">
        <v>117</v>
      </c>
      <c r="B3826" t="s">
        <v>13944</v>
      </c>
      <c r="D3826" t="s">
        <v>40</v>
      </c>
      <c r="E3826" t="s">
        <v>41</v>
      </c>
      <c r="J3826" t="s">
        <v>43</v>
      </c>
      <c r="K3826" t="s">
        <v>44</v>
      </c>
      <c r="L3826">
        <v>4</v>
      </c>
      <c r="M3826" t="s">
        <v>13945</v>
      </c>
      <c r="N3826" t="s">
        <v>192</v>
      </c>
      <c r="O3826" t="s">
        <v>47</v>
      </c>
      <c r="P3826" t="s">
        <v>47</v>
      </c>
      <c r="Y3826" t="s">
        <v>13946</v>
      </c>
      <c r="AG3826" t="s">
        <v>48</v>
      </c>
    </row>
    <row r="3827" spans="1:33">
      <c r="A3827" t="s">
        <v>13947</v>
      </c>
      <c r="B3827" t="s">
        <v>13948</v>
      </c>
      <c r="D3827" t="s">
        <v>40</v>
      </c>
      <c r="E3827" t="s">
        <v>41</v>
      </c>
      <c r="J3827" t="s">
        <v>86</v>
      </c>
      <c r="K3827" t="s">
        <v>87</v>
      </c>
      <c r="L3827">
        <v>4</v>
      </c>
      <c r="M3827" t="s">
        <v>13949</v>
      </c>
      <c r="N3827" t="s">
        <v>192</v>
      </c>
      <c r="O3827" t="s">
        <v>47</v>
      </c>
      <c r="P3827" t="s">
        <v>47</v>
      </c>
      <c r="Y3827" t="s">
        <v>13950</v>
      </c>
      <c r="AG3827" t="s">
        <v>48</v>
      </c>
    </row>
    <row r="3828" spans="1:33">
      <c r="A3828" t="s">
        <v>13951</v>
      </c>
      <c r="B3828" t="s">
        <v>13952</v>
      </c>
      <c r="D3828" t="s">
        <v>40</v>
      </c>
      <c r="E3828" t="s">
        <v>41</v>
      </c>
      <c r="J3828" t="s">
        <v>43</v>
      </c>
      <c r="K3828" t="s">
        <v>44</v>
      </c>
      <c r="L3828">
        <v>4</v>
      </c>
      <c r="M3828" t="s">
        <v>13953</v>
      </c>
      <c r="N3828" t="s">
        <v>192</v>
      </c>
      <c r="O3828" t="s">
        <v>47</v>
      </c>
      <c r="P3828" t="s">
        <v>47</v>
      </c>
      <c r="Y3828" t="s">
        <v>13954</v>
      </c>
      <c r="AG3828" t="s">
        <v>48</v>
      </c>
    </row>
    <row r="3829" spans="1:33">
      <c r="A3829" t="s">
        <v>13955</v>
      </c>
      <c r="B3829" t="s">
        <v>13956</v>
      </c>
      <c r="D3829" t="s">
        <v>40</v>
      </c>
      <c r="E3829" t="s">
        <v>41</v>
      </c>
      <c r="J3829" t="s">
        <v>4737</v>
      </c>
      <c r="K3829" t="s">
        <v>4738</v>
      </c>
      <c r="L3829">
        <v>4</v>
      </c>
      <c r="M3829" t="s">
        <v>13957</v>
      </c>
      <c r="N3829" t="s">
        <v>218</v>
      </c>
      <c r="O3829" t="s">
        <v>47</v>
      </c>
      <c r="P3829" t="s">
        <v>47</v>
      </c>
      <c r="Y3829" t="s">
        <v>13958</v>
      </c>
      <c r="AG3829" t="s">
        <v>48</v>
      </c>
    </row>
    <row r="3830" spans="1:33">
      <c r="A3830" t="s">
        <v>13959</v>
      </c>
      <c r="B3830" t="s">
        <v>13960</v>
      </c>
      <c r="D3830" t="s">
        <v>40</v>
      </c>
      <c r="E3830" t="s">
        <v>41</v>
      </c>
      <c r="J3830" t="s">
        <v>43</v>
      </c>
      <c r="K3830" t="s">
        <v>44</v>
      </c>
      <c r="L3830">
        <v>4</v>
      </c>
      <c r="M3830" t="s">
        <v>13961</v>
      </c>
      <c r="N3830" t="s">
        <v>46</v>
      </c>
      <c r="O3830" t="s">
        <v>47</v>
      </c>
      <c r="P3830" t="s">
        <v>47</v>
      </c>
      <c r="Y3830" t="s">
        <v>13962</v>
      </c>
      <c r="AG3830" t="s">
        <v>48</v>
      </c>
    </row>
    <row r="3831" spans="1:33">
      <c r="A3831" t="s">
        <v>13963</v>
      </c>
      <c r="B3831" t="s">
        <v>13964</v>
      </c>
      <c r="D3831" t="s">
        <v>40</v>
      </c>
      <c r="E3831" t="s">
        <v>41</v>
      </c>
      <c r="J3831" t="s">
        <v>13514</v>
      </c>
      <c r="K3831" t="s">
        <v>13515</v>
      </c>
      <c r="L3831">
        <v>5</v>
      </c>
      <c r="M3831" t="s">
        <v>13965</v>
      </c>
      <c r="N3831" t="s">
        <v>46</v>
      </c>
      <c r="O3831" t="s">
        <v>47</v>
      </c>
      <c r="P3831" t="s">
        <v>47</v>
      </c>
      <c r="Y3831" t="s">
        <v>13966</v>
      </c>
      <c r="AG3831" t="s">
        <v>48</v>
      </c>
    </row>
    <row r="3832" spans="1:33">
      <c r="A3832" t="s">
        <v>13967</v>
      </c>
      <c r="B3832" t="s">
        <v>13968</v>
      </c>
      <c r="D3832" t="s">
        <v>40</v>
      </c>
      <c r="E3832" t="s">
        <v>41</v>
      </c>
      <c r="H3832" t="s">
        <v>13969</v>
      </c>
      <c r="J3832" t="s">
        <v>63</v>
      </c>
      <c r="K3832" t="s">
        <v>64</v>
      </c>
      <c r="L3832">
        <v>5</v>
      </c>
      <c r="M3832" t="s">
        <v>13970</v>
      </c>
      <c r="N3832" t="s">
        <v>59</v>
      </c>
      <c r="O3832" t="s">
        <v>47</v>
      </c>
      <c r="P3832" t="s">
        <v>47</v>
      </c>
      <c r="Y3832" t="s">
        <v>13969</v>
      </c>
      <c r="AG3832" t="s">
        <v>48</v>
      </c>
    </row>
    <row r="3833" spans="1:33">
      <c r="A3833" t="s">
        <v>13971</v>
      </c>
      <c r="B3833" t="s">
        <v>13972</v>
      </c>
      <c r="D3833" t="s">
        <v>40</v>
      </c>
      <c r="E3833" t="s">
        <v>41</v>
      </c>
      <c r="J3833" t="s">
        <v>215</v>
      </c>
      <c r="K3833" t="s">
        <v>216</v>
      </c>
      <c r="L3833">
        <v>8</v>
      </c>
      <c r="M3833" t="s">
        <v>13973</v>
      </c>
      <c r="N3833" t="s">
        <v>192</v>
      </c>
      <c r="O3833" t="s">
        <v>47</v>
      </c>
      <c r="P3833" t="s">
        <v>47</v>
      </c>
      <c r="Y3833" t="s">
        <v>13974</v>
      </c>
      <c r="AG3833" t="s">
        <v>48</v>
      </c>
    </row>
    <row r="3834" spans="1:33">
      <c r="A3834" t="s">
        <v>13975</v>
      </c>
      <c r="B3834" t="s">
        <v>13976</v>
      </c>
      <c r="D3834" t="s">
        <v>40</v>
      </c>
      <c r="E3834" t="s">
        <v>41</v>
      </c>
      <c r="J3834" t="s">
        <v>8931</v>
      </c>
      <c r="K3834" t="s">
        <v>8932</v>
      </c>
      <c r="L3834">
        <v>5</v>
      </c>
      <c r="M3834" t="s">
        <v>13977</v>
      </c>
      <c r="N3834" t="s">
        <v>13978</v>
      </c>
      <c r="O3834" t="s">
        <v>47</v>
      </c>
      <c r="P3834" t="s">
        <v>47</v>
      </c>
      <c r="Y3834" t="s">
        <v>13979</v>
      </c>
      <c r="AG3834" t="s">
        <v>48</v>
      </c>
    </row>
    <row r="3835" spans="1:33">
      <c r="A3835" t="s">
        <v>13980</v>
      </c>
      <c r="B3835" t="s">
        <v>13981</v>
      </c>
      <c r="D3835" t="s">
        <v>40</v>
      </c>
      <c r="E3835" t="s">
        <v>41</v>
      </c>
      <c r="J3835" t="s">
        <v>86</v>
      </c>
      <c r="K3835" t="s">
        <v>87</v>
      </c>
      <c r="L3835">
        <v>4</v>
      </c>
      <c r="M3835" t="s">
        <v>13982</v>
      </c>
      <c r="N3835" t="s">
        <v>13978</v>
      </c>
      <c r="O3835" t="s">
        <v>47</v>
      </c>
      <c r="P3835" t="s">
        <v>47</v>
      </c>
      <c r="Y3835" t="s">
        <v>13983</v>
      </c>
      <c r="AG3835" t="s">
        <v>48</v>
      </c>
    </row>
    <row r="3836" spans="1:33">
      <c r="A3836" t="s">
        <v>13984</v>
      </c>
      <c r="B3836" t="s">
        <v>13985</v>
      </c>
      <c r="D3836" t="s">
        <v>40</v>
      </c>
      <c r="E3836" t="s">
        <v>41</v>
      </c>
      <c r="J3836" t="s">
        <v>123</v>
      </c>
      <c r="K3836" t="s">
        <v>124</v>
      </c>
      <c r="L3836">
        <v>7</v>
      </c>
      <c r="M3836" t="s">
        <v>13986</v>
      </c>
      <c r="N3836" t="s">
        <v>218</v>
      </c>
      <c r="O3836" t="s">
        <v>47</v>
      </c>
      <c r="P3836" t="s">
        <v>47</v>
      </c>
      <c r="Y3836" t="s">
        <v>13987</v>
      </c>
      <c r="AG3836" t="s">
        <v>48</v>
      </c>
    </row>
    <row r="3837" spans="1:33">
      <c r="A3837" t="s">
        <v>13988</v>
      </c>
      <c r="B3837" t="s">
        <v>13989</v>
      </c>
      <c r="D3837" t="s">
        <v>40</v>
      </c>
      <c r="E3837" t="s">
        <v>41</v>
      </c>
      <c r="J3837" t="s">
        <v>123</v>
      </c>
      <c r="K3837" t="s">
        <v>124</v>
      </c>
      <c r="L3837">
        <v>6</v>
      </c>
      <c r="M3837" t="s">
        <v>13990</v>
      </c>
      <c r="N3837" t="s">
        <v>46</v>
      </c>
      <c r="O3837" t="s">
        <v>47</v>
      </c>
      <c r="P3837" t="s">
        <v>47</v>
      </c>
      <c r="Y3837" t="s">
        <v>13991</v>
      </c>
      <c r="AG3837" t="s">
        <v>48</v>
      </c>
    </row>
    <row r="3838" spans="1:33">
      <c r="A3838" t="s">
        <v>13992</v>
      </c>
      <c r="B3838" t="s">
        <v>13993</v>
      </c>
      <c r="D3838" t="s">
        <v>40</v>
      </c>
      <c r="E3838" t="s">
        <v>41</v>
      </c>
      <c r="J3838" t="s">
        <v>43</v>
      </c>
      <c r="K3838" t="s">
        <v>44</v>
      </c>
      <c r="L3838">
        <v>5</v>
      </c>
      <c r="M3838" t="s">
        <v>13994</v>
      </c>
      <c r="N3838" t="s">
        <v>13995</v>
      </c>
      <c r="O3838" t="s">
        <v>47</v>
      </c>
      <c r="P3838" t="s">
        <v>47</v>
      </c>
      <c r="Y3838" t="s">
        <v>13996</v>
      </c>
      <c r="AG3838" t="s">
        <v>48</v>
      </c>
    </row>
    <row r="3839" spans="1:33">
      <c r="A3839" t="s">
        <v>117</v>
      </c>
      <c r="B3839" t="s">
        <v>13997</v>
      </c>
      <c r="D3839" t="s">
        <v>40</v>
      </c>
      <c r="E3839" t="s">
        <v>41</v>
      </c>
      <c r="J3839" t="s">
        <v>123</v>
      </c>
      <c r="K3839" t="s">
        <v>124</v>
      </c>
      <c r="L3839">
        <v>6</v>
      </c>
      <c r="M3839" t="s">
        <v>13998</v>
      </c>
      <c r="N3839" t="s">
        <v>46</v>
      </c>
      <c r="O3839" t="s">
        <v>47</v>
      </c>
      <c r="P3839" t="s">
        <v>47</v>
      </c>
      <c r="Y3839" t="s">
        <v>13999</v>
      </c>
      <c r="AG3839" t="s">
        <v>48</v>
      </c>
    </row>
    <row r="3840" spans="1:33">
      <c r="A3840" t="s">
        <v>14000</v>
      </c>
      <c r="B3840" t="s">
        <v>14001</v>
      </c>
      <c r="D3840" t="s">
        <v>40</v>
      </c>
      <c r="E3840" t="s">
        <v>41</v>
      </c>
      <c r="J3840" t="s">
        <v>43</v>
      </c>
      <c r="K3840" t="s">
        <v>44</v>
      </c>
      <c r="L3840">
        <v>5</v>
      </c>
      <c r="M3840" t="s">
        <v>14002</v>
      </c>
      <c r="N3840" t="s">
        <v>192</v>
      </c>
      <c r="O3840" t="s">
        <v>47</v>
      </c>
      <c r="P3840" t="s">
        <v>47</v>
      </c>
      <c r="Y3840" t="s">
        <v>14003</v>
      </c>
      <c r="AG3840" t="s">
        <v>48</v>
      </c>
    </row>
    <row r="3841" spans="1:33">
      <c r="A3841" t="s">
        <v>14004</v>
      </c>
      <c r="B3841" t="s">
        <v>14005</v>
      </c>
      <c r="D3841" t="s">
        <v>40</v>
      </c>
      <c r="E3841" t="s">
        <v>41</v>
      </c>
      <c r="H3841" t="s">
        <v>14006</v>
      </c>
      <c r="J3841" t="s">
        <v>63</v>
      </c>
      <c r="K3841" t="s">
        <v>64</v>
      </c>
      <c r="L3841">
        <v>5</v>
      </c>
      <c r="M3841" t="s">
        <v>14007</v>
      </c>
      <c r="N3841" t="s">
        <v>59</v>
      </c>
      <c r="O3841" t="s">
        <v>47</v>
      </c>
      <c r="P3841" t="s">
        <v>47</v>
      </c>
      <c r="Y3841" t="s">
        <v>14006</v>
      </c>
      <c r="AG3841" t="s">
        <v>48</v>
      </c>
    </row>
    <row r="3842" spans="1:33">
      <c r="A3842" t="s">
        <v>14008</v>
      </c>
      <c r="B3842" t="s">
        <v>14009</v>
      </c>
      <c r="D3842" t="s">
        <v>40</v>
      </c>
      <c r="E3842" t="s">
        <v>41</v>
      </c>
      <c r="J3842" t="s">
        <v>215</v>
      </c>
      <c r="K3842" t="s">
        <v>216</v>
      </c>
      <c r="L3842">
        <v>5</v>
      </c>
      <c r="M3842" t="s">
        <v>14010</v>
      </c>
      <c r="N3842" t="s">
        <v>14011</v>
      </c>
      <c r="O3842" t="s">
        <v>47</v>
      </c>
      <c r="P3842" t="s">
        <v>47</v>
      </c>
      <c r="Y3842" t="s">
        <v>14012</v>
      </c>
      <c r="AG3842" t="s">
        <v>48</v>
      </c>
    </row>
    <row r="3843" spans="1:33">
      <c r="A3843" t="s">
        <v>14013</v>
      </c>
      <c r="B3843" t="s">
        <v>14014</v>
      </c>
      <c r="D3843" t="s">
        <v>40</v>
      </c>
      <c r="E3843" t="s">
        <v>41</v>
      </c>
      <c r="J3843" t="s">
        <v>8931</v>
      </c>
      <c r="K3843" t="s">
        <v>8932</v>
      </c>
      <c r="L3843">
        <v>6</v>
      </c>
      <c r="M3843" t="s">
        <v>14015</v>
      </c>
      <c r="N3843" t="s">
        <v>46</v>
      </c>
      <c r="O3843" t="s">
        <v>47</v>
      </c>
      <c r="P3843" t="s">
        <v>47</v>
      </c>
      <c r="Y3843" t="s">
        <v>14016</v>
      </c>
      <c r="AG3843" t="s">
        <v>48</v>
      </c>
    </row>
    <row r="3844" spans="1:33">
      <c r="A3844" t="s">
        <v>14017</v>
      </c>
      <c r="B3844" t="s">
        <v>14018</v>
      </c>
      <c r="D3844" t="s">
        <v>40</v>
      </c>
      <c r="E3844" t="s">
        <v>41</v>
      </c>
      <c r="J3844" t="s">
        <v>123</v>
      </c>
      <c r="K3844" t="s">
        <v>124</v>
      </c>
      <c r="L3844">
        <v>5</v>
      </c>
      <c r="M3844" t="s">
        <v>14019</v>
      </c>
      <c r="N3844" t="s">
        <v>46</v>
      </c>
      <c r="O3844" t="s">
        <v>47</v>
      </c>
      <c r="P3844" t="s">
        <v>47</v>
      </c>
      <c r="Y3844" t="s">
        <v>14020</v>
      </c>
      <c r="AG3844" t="s">
        <v>48</v>
      </c>
    </row>
    <row r="3845" spans="1:33">
      <c r="A3845" t="s">
        <v>14021</v>
      </c>
      <c r="B3845" t="s">
        <v>14022</v>
      </c>
      <c r="D3845" t="s">
        <v>40</v>
      </c>
      <c r="E3845" t="s">
        <v>41</v>
      </c>
      <c r="J3845" t="s">
        <v>69</v>
      </c>
      <c r="K3845" t="s">
        <v>70</v>
      </c>
      <c r="L3845">
        <v>6</v>
      </c>
      <c r="M3845" t="s">
        <v>14023</v>
      </c>
      <c r="N3845" t="s">
        <v>14024</v>
      </c>
      <c r="O3845" t="s">
        <v>47</v>
      </c>
      <c r="P3845" t="s">
        <v>47</v>
      </c>
      <c r="Y3845" t="s">
        <v>14025</v>
      </c>
      <c r="AG3845" t="s">
        <v>48</v>
      </c>
    </row>
    <row r="3846" spans="1:33">
      <c r="A3846" t="s">
        <v>14026</v>
      </c>
      <c r="B3846" t="s">
        <v>14027</v>
      </c>
      <c r="D3846" t="s">
        <v>40</v>
      </c>
      <c r="E3846" t="s">
        <v>41</v>
      </c>
      <c r="H3846" t="s">
        <v>14028</v>
      </c>
      <c r="J3846" t="s">
        <v>63</v>
      </c>
      <c r="K3846" t="s">
        <v>64</v>
      </c>
      <c r="L3846">
        <v>5</v>
      </c>
      <c r="M3846" t="s">
        <v>14029</v>
      </c>
      <c r="N3846" t="s">
        <v>59</v>
      </c>
      <c r="O3846" t="s">
        <v>47</v>
      </c>
      <c r="P3846" t="s">
        <v>47</v>
      </c>
      <c r="Y3846" t="s">
        <v>14028</v>
      </c>
      <c r="AG3846" t="s">
        <v>48</v>
      </c>
    </row>
    <row r="3847" spans="1:33">
      <c r="A3847" t="s">
        <v>14030</v>
      </c>
      <c r="B3847" t="s">
        <v>14031</v>
      </c>
      <c r="D3847" t="s">
        <v>40</v>
      </c>
      <c r="E3847" t="s">
        <v>41</v>
      </c>
      <c r="J3847" t="s">
        <v>129</v>
      </c>
      <c r="K3847" t="s">
        <v>130</v>
      </c>
      <c r="L3847">
        <v>5</v>
      </c>
      <c r="M3847" t="s">
        <v>14032</v>
      </c>
      <c r="N3847" t="s">
        <v>14024</v>
      </c>
      <c r="O3847" t="s">
        <v>47</v>
      </c>
      <c r="P3847" t="s">
        <v>47</v>
      </c>
      <c r="Y3847" t="s">
        <v>14033</v>
      </c>
      <c r="AG3847" t="s">
        <v>48</v>
      </c>
    </row>
    <row r="3848" spans="1:33">
      <c r="A3848" t="s">
        <v>14034</v>
      </c>
      <c r="B3848" t="s">
        <v>14035</v>
      </c>
      <c r="D3848" t="s">
        <v>40</v>
      </c>
      <c r="E3848" t="s">
        <v>41</v>
      </c>
      <c r="J3848" t="s">
        <v>69</v>
      </c>
      <c r="K3848" t="s">
        <v>70</v>
      </c>
      <c r="L3848">
        <v>5</v>
      </c>
      <c r="M3848" t="s">
        <v>14036</v>
      </c>
      <c r="N3848" t="s">
        <v>14024</v>
      </c>
      <c r="O3848" t="s">
        <v>47</v>
      </c>
      <c r="P3848" t="s">
        <v>47</v>
      </c>
      <c r="Y3848" t="s">
        <v>14037</v>
      </c>
      <c r="AG3848" t="s">
        <v>48</v>
      </c>
    </row>
    <row r="3849" spans="1:33">
      <c r="A3849" t="s">
        <v>14038</v>
      </c>
      <c r="B3849" t="s">
        <v>14039</v>
      </c>
      <c r="D3849" t="s">
        <v>40</v>
      </c>
      <c r="E3849" t="s">
        <v>41</v>
      </c>
      <c r="J3849" t="s">
        <v>215</v>
      </c>
      <c r="K3849" t="s">
        <v>216</v>
      </c>
      <c r="L3849">
        <v>5</v>
      </c>
      <c r="M3849" t="s">
        <v>14040</v>
      </c>
      <c r="N3849" t="s">
        <v>14024</v>
      </c>
      <c r="O3849" t="s">
        <v>47</v>
      </c>
      <c r="P3849" t="s">
        <v>47</v>
      </c>
      <c r="Y3849" t="s">
        <v>14041</v>
      </c>
      <c r="AG3849" t="s">
        <v>48</v>
      </c>
    </row>
    <row r="3850" spans="1:33">
      <c r="A3850" t="s">
        <v>14042</v>
      </c>
      <c r="B3850" t="s">
        <v>14043</v>
      </c>
      <c r="D3850" t="s">
        <v>40</v>
      </c>
      <c r="E3850" t="s">
        <v>41</v>
      </c>
      <c r="J3850" t="s">
        <v>270</v>
      </c>
      <c r="K3850" t="s">
        <v>271</v>
      </c>
      <c r="L3850">
        <v>5</v>
      </c>
      <c r="M3850" t="s">
        <v>14044</v>
      </c>
      <c r="N3850" t="s">
        <v>59</v>
      </c>
      <c r="O3850" t="s">
        <v>47</v>
      </c>
      <c r="P3850" t="s">
        <v>47</v>
      </c>
      <c r="Y3850" t="s">
        <v>14045</v>
      </c>
      <c r="AG3850" t="s">
        <v>48</v>
      </c>
    </row>
    <row r="3851" spans="1:33">
      <c r="A3851" t="s">
        <v>14046</v>
      </c>
      <c r="B3851" t="s">
        <v>14047</v>
      </c>
      <c r="D3851" t="s">
        <v>40</v>
      </c>
      <c r="E3851" t="s">
        <v>41</v>
      </c>
      <c r="J3851" t="s">
        <v>43</v>
      </c>
      <c r="K3851" t="s">
        <v>44</v>
      </c>
      <c r="L3851">
        <v>5</v>
      </c>
      <c r="M3851" t="s">
        <v>14044</v>
      </c>
      <c r="N3851" t="s">
        <v>13978</v>
      </c>
      <c r="O3851" t="s">
        <v>47</v>
      </c>
      <c r="P3851" t="s">
        <v>47</v>
      </c>
      <c r="Y3851" t="s">
        <v>14048</v>
      </c>
      <c r="AG3851" t="s">
        <v>48</v>
      </c>
    </row>
    <row r="3852" spans="1:33">
      <c r="A3852" t="s">
        <v>14049</v>
      </c>
      <c r="B3852" t="s">
        <v>14050</v>
      </c>
      <c r="D3852" t="s">
        <v>40</v>
      </c>
      <c r="E3852" t="s">
        <v>41</v>
      </c>
      <c r="J3852" t="s">
        <v>290</v>
      </c>
      <c r="K3852" t="s">
        <v>291</v>
      </c>
      <c r="L3852">
        <v>5</v>
      </c>
      <c r="M3852" t="s">
        <v>14044</v>
      </c>
      <c r="N3852" t="s">
        <v>59</v>
      </c>
      <c r="O3852" t="s">
        <v>47</v>
      </c>
      <c r="P3852" t="s">
        <v>47</v>
      </c>
      <c r="Y3852" t="s">
        <v>14051</v>
      </c>
      <c r="AG3852" t="s">
        <v>48</v>
      </c>
    </row>
    <row r="3853" spans="1:33">
      <c r="A3853" t="s">
        <v>14052</v>
      </c>
      <c r="B3853" t="s">
        <v>14053</v>
      </c>
      <c r="D3853" t="s">
        <v>40</v>
      </c>
      <c r="E3853" t="s">
        <v>41</v>
      </c>
      <c r="J3853" t="s">
        <v>290</v>
      </c>
      <c r="K3853" t="s">
        <v>291</v>
      </c>
      <c r="L3853">
        <v>5</v>
      </c>
      <c r="M3853" t="s">
        <v>14054</v>
      </c>
      <c r="N3853" t="s">
        <v>59</v>
      </c>
      <c r="O3853" t="s">
        <v>47</v>
      </c>
      <c r="P3853" t="s">
        <v>47</v>
      </c>
      <c r="Y3853" t="s">
        <v>14055</v>
      </c>
      <c r="AG3853" t="s">
        <v>48</v>
      </c>
    </row>
    <row r="3854" spans="1:33">
      <c r="A3854" t="s">
        <v>14056</v>
      </c>
      <c r="B3854" t="s">
        <v>14057</v>
      </c>
      <c r="D3854" t="s">
        <v>40</v>
      </c>
      <c r="E3854" t="s">
        <v>41</v>
      </c>
      <c r="J3854" t="s">
        <v>86</v>
      </c>
      <c r="K3854" t="s">
        <v>87</v>
      </c>
      <c r="L3854">
        <v>4</v>
      </c>
      <c r="M3854" t="s">
        <v>14058</v>
      </c>
      <c r="N3854" t="s">
        <v>14059</v>
      </c>
      <c r="O3854" t="s">
        <v>47</v>
      </c>
      <c r="P3854" t="s">
        <v>47</v>
      </c>
      <c r="Y3854" t="s">
        <v>14060</v>
      </c>
      <c r="AG3854" t="s">
        <v>48</v>
      </c>
    </row>
    <row r="3855" spans="1:33">
      <c r="A3855" t="s">
        <v>14061</v>
      </c>
      <c r="B3855" t="s">
        <v>14062</v>
      </c>
      <c r="D3855" t="s">
        <v>40</v>
      </c>
      <c r="E3855" t="s">
        <v>41</v>
      </c>
      <c r="H3855" t="s">
        <v>14063</v>
      </c>
      <c r="J3855" t="s">
        <v>290</v>
      </c>
      <c r="K3855" t="s">
        <v>291</v>
      </c>
      <c r="L3855">
        <v>5</v>
      </c>
      <c r="M3855" t="s">
        <v>14064</v>
      </c>
      <c r="N3855" t="s">
        <v>59</v>
      </c>
      <c r="O3855" t="s">
        <v>47</v>
      </c>
      <c r="P3855" t="s">
        <v>47</v>
      </c>
      <c r="Y3855" t="s">
        <v>14063</v>
      </c>
      <c r="AG3855" t="s">
        <v>48</v>
      </c>
    </row>
    <row r="3856" spans="1:33">
      <c r="A3856" t="s">
        <v>14065</v>
      </c>
      <c r="B3856" t="s">
        <v>14066</v>
      </c>
      <c r="D3856" t="s">
        <v>40</v>
      </c>
      <c r="E3856" t="s">
        <v>41</v>
      </c>
      <c r="J3856" t="s">
        <v>86</v>
      </c>
      <c r="K3856" t="s">
        <v>87</v>
      </c>
      <c r="L3856">
        <v>4</v>
      </c>
      <c r="M3856" t="s">
        <v>14067</v>
      </c>
      <c r="N3856" t="s">
        <v>14059</v>
      </c>
      <c r="O3856" t="s">
        <v>47</v>
      </c>
      <c r="P3856" t="s">
        <v>47</v>
      </c>
      <c r="Y3856" t="s">
        <v>14068</v>
      </c>
      <c r="AG3856" t="s">
        <v>48</v>
      </c>
    </row>
    <row r="3857" spans="1:33">
      <c r="A3857" t="s">
        <v>14069</v>
      </c>
      <c r="B3857" t="s">
        <v>14070</v>
      </c>
      <c r="D3857" t="s">
        <v>40</v>
      </c>
      <c r="E3857" t="s">
        <v>41</v>
      </c>
      <c r="J3857" t="s">
        <v>4737</v>
      </c>
      <c r="K3857" t="s">
        <v>4738</v>
      </c>
      <c r="L3857">
        <v>4</v>
      </c>
      <c r="M3857" t="s">
        <v>14071</v>
      </c>
      <c r="N3857" t="s">
        <v>46</v>
      </c>
      <c r="O3857" t="s">
        <v>47</v>
      </c>
      <c r="P3857" t="s">
        <v>47</v>
      </c>
      <c r="Y3857" t="s">
        <v>14072</v>
      </c>
      <c r="AG3857" t="s">
        <v>48</v>
      </c>
    </row>
    <row r="3858" spans="1:33">
      <c r="A3858" t="s">
        <v>14073</v>
      </c>
      <c r="B3858" t="s">
        <v>14074</v>
      </c>
      <c r="D3858" t="s">
        <v>40</v>
      </c>
      <c r="E3858" t="s">
        <v>41</v>
      </c>
      <c r="J3858" t="s">
        <v>43</v>
      </c>
      <c r="K3858" t="s">
        <v>44</v>
      </c>
      <c r="L3858">
        <v>4</v>
      </c>
      <c r="M3858" t="s">
        <v>14075</v>
      </c>
      <c r="N3858" t="s">
        <v>14059</v>
      </c>
      <c r="O3858" t="s">
        <v>47</v>
      </c>
      <c r="P3858" t="s">
        <v>47</v>
      </c>
      <c r="Y3858" t="s">
        <v>14076</v>
      </c>
      <c r="AG3858" t="s">
        <v>48</v>
      </c>
    </row>
    <row r="3859" spans="1:33">
      <c r="A3859" t="s">
        <v>14077</v>
      </c>
      <c r="B3859" t="s">
        <v>14078</v>
      </c>
      <c r="D3859" t="s">
        <v>40</v>
      </c>
      <c r="E3859" t="s">
        <v>41</v>
      </c>
      <c r="J3859" t="s">
        <v>129</v>
      </c>
      <c r="K3859" t="s">
        <v>130</v>
      </c>
      <c r="L3859">
        <v>5</v>
      </c>
      <c r="M3859" t="s">
        <v>14079</v>
      </c>
      <c r="N3859" t="s">
        <v>46</v>
      </c>
      <c r="O3859" t="s">
        <v>47</v>
      </c>
      <c r="P3859" t="s">
        <v>47</v>
      </c>
      <c r="Y3859" t="s">
        <v>14080</v>
      </c>
      <c r="AG3859" t="s">
        <v>48</v>
      </c>
    </row>
    <row r="3860" spans="1:33">
      <c r="A3860" t="s">
        <v>14081</v>
      </c>
      <c r="B3860" t="s">
        <v>14082</v>
      </c>
      <c r="D3860" t="s">
        <v>40</v>
      </c>
      <c r="E3860" t="s">
        <v>41</v>
      </c>
      <c r="J3860" t="s">
        <v>215</v>
      </c>
      <c r="K3860" t="s">
        <v>216</v>
      </c>
      <c r="L3860">
        <v>5</v>
      </c>
      <c r="M3860" t="s">
        <v>14083</v>
      </c>
      <c r="N3860" t="s">
        <v>46</v>
      </c>
      <c r="O3860" t="s">
        <v>47</v>
      </c>
      <c r="P3860" t="s">
        <v>47</v>
      </c>
      <c r="Y3860" t="s">
        <v>14084</v>
      </c>
      <c r="AG3860" t="s">
        <v>48</v>
      </c>
    </row>
    <row r="3861" spans="1:33">
      <c r="A3861" t="s">
        <v>14085</v>
      </c>
      <c r="B3861" t="s">
        <v>14086</v>
      </c>
      <c r="D3861" t="s">
        <v>40</v>
      </c>
      <c r="E3861" t="s">
        <v>41</v>
      </c>
      <c r="H3861" t="s">
        <v>14087</v>
      </c>
      <c r="J3861" t="s">
        <v>6025</v>
      </c>
      <c r="K3861" t="s">
        <v>6026</v>
      </c>
      <c r="L3861">
        <v>4</v>
      </c>
      <c r="M3861" t="s">
        <v>14088</v>
      </c>
      <c r="N3861" t="s">
        <v>14059</v>
      </c>
      <c r="O3861" t="s">
        <v>47</v>
      </c>
      <c r="P3861" t="s">
        <v>47</v>
      </c>
      <c r="Y3861" t="s">
        <v>14087</v>
      </c>
      <c r="AG3861" t="s">
        <v>48</v>
      </c>
    </row>
    <row r="3862" spans="1:33">
      <c r="A3862" t="s">
        <v>14089</v>
      </c>
      <c r="B3862" t="s">
        <v>14090</v>
      </c>
      <c r="D3862" t="s">
        <v>40</v>
      </c>
      <c r="E3862" t="s">
        <v>41</v>
      </c>
      <c r="J3862" t="s">
        <v>43</v>
      </c>
      <c r="K3862" t="s">
        <v>44</v>
      </c>
      <c r="L3862">
        <v>4</v>
      </c>
      <c r="M3862" t="s">
        <v>14091</v>
      </c>
      <c r="N3862" t="s">
        <v>192</v>
      </c>
      <c r="O3862" t="s">
        <v>47</v>
      </c>
      <c r="P3862" t="s">
        <v>47</v>
      </c>
      <c r="Y3862" t="s">
        <v>14092</v>
      </c>
      <c r="AG3862" t="s">
        <v>48</v>
      </c>
    </row>
    <row r="3863" spans="1:33">
      <c r="A3863" t="s">
        <v>14093</v>
      </c>
      <c r="B3863" t="s">
        <v>14094</v>
      </c>
      <c r="D3863" t="s">
        <v>40</v>
      </c>
      <c r="E3863" t="s">
        <v>41</v>
      </c>
      <c r="H3863" t="s">
        <v>14095</v>
      </c>
      <c r="J3863" t="s">
        <v>43</v>
      </c>
      <c r="K3863" t="s">
        <v>44</v>
      </c>
      <c r="L3863">
        <v>4</v>
      </c>
      <c r="M3863" t="s">
        <v>14096</v>
      </c>
      <c r="N3863" t="s">
        <v>218</v>
      </c>
      <c r="O3863" t="s">
        <v>47</v>
      </c>
      <c r="P3863" t="s">
        <v>47</v>
      </c>
      <c r="Y3863" t="s">
        <v>14095</v>
      </c>
      <c r="AG3863" t="s">
        <v>48</v>
      </c>
    </row>
    <row r="3864" spans="1:33">
      <c r="A3864" t="s">
        <v>14097</v>
      </c>
      <c r="B3864" t="s">
        <v>14098</v>
      </c>
      <c r="D3864" t="s">
        <v>40</v>
      </c>
      <c r="E3864" t="s">
        <v>41</v>
      </c>
      <c r="J3864" t="s">
        <v>86</v>
      </c>
      <c r="K3864" t="s">
        <v>87</v>
      </c>
      <c r="L3864">
        <v>4</v>
      </c>
      <c r="M3864" t="s">
        <v>14099</v>
      </c>
      <c r="N3864" t="s">
        <v>14059</v>
      </c>
      <c r="O3864" t="s">
        <v>47</v>
      </c>
      <c r="P3864" t="s">
        <v>47</v>
      </c>
      <c r="Y3864" t="s">
        <v>14100</v>
      </c>
      <c r="AG3864" t="s">
        <v>48</v>
      </c>
    </row>
    <row r="3865" spans="1:33">
      <c r="A3865" t="s">
        <v>14101</v>
      </c>
      <c r="B3865" t="s">
        <v>14102</v>
      </c>
      <c r="D3865" t="s">
        <v>40</v>
      </c>
      <c r="E3865" t="s">
        <v>41</v>
      </c>
      <c r="J3865" t="s">
        <v>86</v>
      </c>
      <c r="K3865" t="s">
        <v>87</v>
      </c>
      <c r="L3865">
        <v>4</v>
      </c>
      <c r="M3865" t="s">
        <v>14103</v>
      </c>
      <c r="N3865" t="s">
        <v>14024</v>
      </c>
      <c r="O3865" t="s">
        <v>47</v>
      </c>
      <c r="P3865" t="s">
        <v>47</v>
      </c>
      <c r="Y3865" t="s">
        <v>14104</v>
      </c>
      <c r="AG3865" t="s">
        <v>48</v>
      </c>
    </row>
    <row r="3866" spans="1:33">
      <c r="A3866" t="s">
        <v>14105</v>
      </c>
      <c r="B3866" t="s">
        <v>14106</v>
      </c>
      <c r="D3866" t="s">
        <v>40</v>
      </c>
      <c r="E3866" t="s">
        <v>41</v>
      </c>
      <c r="J3866" t="s">
        <v>129</v>
      </c>
      <c r="K3866" t="s">
        <v>130</v>
      </c>
      <c r="L3866">
        <v>5</v>
      </c>
      <c r="M3866" t="s">
        <v>14107</v>
      </c>
      <c r="N3866" t="s">
        <v>14024</v>
      </c>
      <c r="O3866" t="s">
        <v>47</v>
      </c>
      <c r="P3866" t="s">
        <v>47</v>
      </c>
      <c r="Y3866" t="s">
        <v>14108</v>
      </c>
      <c r="AG3866" t="s">
        <v>48</v>
      </c>
    </row>
    <row r="3867" spans="1:33">
      <c r="A3867" t="s">
        <v>14109</v>
      </c>
      <c r="B3867" t="s">
        <v>14110</v>
      </c>
      <c r="D3867" t="s">
        <v>40</v>
      </c>
      <c r="E3867" t="s">
        <v>41</v>
      </c>
      <c r="J3867" t="s">
        <v>215</v>
      </c>
      <c r="K3867" t="s">
        <v>216</v>
      </c>
      <c r="L3867">
        <v>5</v>
      </c>
      <c r="M3867" t="s">
        <v>14111</v>
      </c>
      <c r="N3867" t="s">
        <v>14011</v>
      </c>
      <c r="O3867" t="s">
        <v>47</v>
      </c>
      <c r="P3867" t="s">
        <v>47</v>
      </c>
      <c r="Y3867" t="s">
        <v>14112</v>
      </c>
      <c r="AG3867" t="s">
        <v>48</v>
      </c>
    </row>
    <row r="3868" spans="1:33">
      <c r="A3868" t="s">
        <v>14113</v>
      </c>
      <c r="B3868" t="s">
        <v>14114</v>
      </c>
      <c r="D3868" t="s">
        <v>40</v>
      </c>
      <c r="E3868" t="s">
        <v>41</v>
      </c>
      <c r="J3868" t="s">
        <v>43</v>
      </c>
      <c r="K3868" t="s">
        <v>44</v>
      </c>
      <c r="L3868">
        <v>4</v>
      </c>
      <c r="M3868" t="s">
        <v>14115</v>
      </c>
      <c r="N3868" t="s">
        <v>14059</v>
      </c>
      <c r="O3868" t="s">
        <v>47</v>
      </c>
      <c r="P3868" t="s">
        <v>47</v>
      </c>
      <c r="Y3868" t="s">
        <v>14116</v>
      </c>
      <c r="AG3868" t="s">
        <v>48</v>
      </c>
    </row>
    <row r="3869" spans="1:33">
      <c r="A3869" t="s">
        <v>14117</v>
      </c>
      <c r="B3869" t="s">
        <v>14118</v>
      </c>
      <c r="D3869" t="s">
        <v>40</v>
      </c>
      <c r="E3869" t="s">
        <v>41</v>
      </c>
      <c r="J3869" t="s">
        <v>43</v>
      </c>
      <c r="K3869" t="s">
        <v>44</v>
      </c>
      <c r="L3869">
        <v>4</v>
      </c>
      <c r="M3869" t="s">
        <v>14119</v>
      </c>
      <c r="N3869" t="s">
        <v>13995</v>
      </c>
      <c r="O3869" t="s">
        <v>47</v>
      </c>
      <c r="P3869" t="s">
        <v>47</v>
      </c>
      <c r="Y3869" t="s">
        <v>14120</v>
      </c>
      <c r="AG3869" t="s">
        <v>48</v>
      </c>
    </row>
    <row r="3870" spans="1:33">
      <c r="A3870" t="s">
        <v>14121</v>
      </c>
      <c r="B3870" t="s">
        <v>14122</v>
      </c>
      <c r="D3870" t="s">
        <v>40</v>
      </c>
      <c r="E3870" t="s">
        <v>41</v>
      </c>
      <c r="J3870" t="s">
        <v>13514</v>
      </c>
      <c r="K3870" t="s">
        <v>13515</v>
      </c>
      <c r="L3870">
        <v>5</v>
      </c>
      <c r="M3870" t="s">
        <v>14123</v>
      </c>
      <c r="N3870" t="s">
        <v>59</v>
      </c>
      <c r="O3870" t="s">
        <v>47</v>
      </c>
      <c r="P3870" t="s">
        <v>47</v>
      </c>
      <c r="Y3870" t="s">
        <v>14124</v>
      </c>
      <c r="AG3870" t="s">
        <v>48</v>
      </c>
    </row>
    <row r="3871" spans="1:33">
      <c r="A3871" t="s">
        <v>14125</v>
      </c>
      <c r="B3871" t="s">
        <v>14126</v>
      </c>
      <c r="D3871" t="s">
        <v>40</v>
      </c>
      <c r="E3871" t="s">
        <v>41</v>
      </c>
      <c r="J3871" t="s">
        <v>43</v>
      </c>
      <c r="K3871" t="s">
        <v>44</v>
      </c>
      <c r="L3871">
        <v>4</v>
      </c>
      <c r="M3871" t="s">
        <v>14127</v>
      </c>
      <c r="N3871" t="s">
        <v>13995</v>
      </c>
      <c r="O3871" t="s">
        <v>47</v>
      </c>
      <c r="P3871" t="s">
        <v>47</v>
      </c>
      <c r="Y3871" t="s">
        <v>14128</v>
      </c>
      <c r="AG3871" t="s">
        <v>48</v>
      </c>
    </row>
    <row r="3872" spans="1:33">
      <c r="A3872" t="s">
        <v>14129</v>
      </c>
      <c r="B3872" t="s">
        <v>14130</v>
      </c>
      <c r="D3872" t="s">
        <v>40</v>
      </c>
      <c r="E3872" t="s">
        <v>41</v>
      </c>
      <c r="H3872" t="s">
        <v>14131</v>
      </c>
      <c r="J3872" t="s">
        <v>86</v>
      </c>
      <c r="K3872" t="s">
        <v>87</v>
      </c>
      <c r="L3872">
        <v>4</v>
      </c>
      <c r="M3872" t="s">
        <v>14132</v>
      </c>
      <c r="N3872" t="s">
        <v>192</v>
      </c>
      <c r="O3872" t="s">
        <v>47</v>
      </c>
      <c r="P3872" t="s">
        <v>47</v>
      </c>
      <c r="Y3872" t="s">
        <v>14131</v>
      </c>
      <c r="AG3872" t="s">
        <v>48</v>
      </c>
    </row>
    <row r="3873" spans="1:33">
      <c r="A3873" t="s">
        <v>14133</v>
      </c>
      <c r="B3873" t="s">
        <v>14134</v>
      </c>
      <c r="D3873" t="s">
        <v>40</v>
      </c>
      <c r="E3873" t="s">
        <v>41</v>
      </c>
      <c r="J3873" t="s">
        <v>1418</v>
      </c>
      <c r="K3873" t="s">
        <v>1419</v>
      </c>
      <c r="L3873">
        <v>4</v>
      </c>
      <c r="M3873" t="s">
        <v>14135</v>
      </c>
      <c r="N3873" t="s">
        <v>218</v>
      </c>
      <c r="O3873" t="s">
        <v>47</v>
      </c>
      <c r="P3873" t="s">
        <v>47</v>
      </c>
      <c r="Y3873" t="s">
        <v>14136</v>
      </c>
      <c r="AG3873" t="s">
        <v>48</v>
      </c>
    </row>
    <row r="3874" spans="1:33">
      <c r="A3874" t="s">
        <v>14137</v>
      </c>
      <c r="B3874" t="s">
        <v>14138</v>
      </c>
      <c r="D3874" t="s">
        <v>40</v>
      </c>
      <c r="E3874" t="s">
        <v>41</v>
      </c>
      <c r="H3874" t="s">
        <v>14139</v>
      </c>
      <c r="J3874" t="s">
        <v>129</v>
      </c>
      <c r="K3874" t="s">
        <v>130</v>
      </c>
      <c r="L3874">
        <v>5</v>
      </c>
      <c r="M3874" t="s">
        <v>14140</v>
      </c>
      <c r="N3874" t="s">
        <v>192</v>
      </c>
      <c r="O3874" t="s">
        <v>47</v>
      </c>
      <c r="P3874" t="s">
        <v>47</v>
      </c>
      <c r="Y3874" t="s">
        <v>14139</v>
      </c>
      <c r="AG3874" t="s">
        <v>48</v>
      </c>
    </row>
    <row r="3875" spans="1:33">
      <c r="A3875" t="s">
        <v>14141</v>
      </c>
      <c r="B3875" t="s">
        <v>14142</v>
      </c>
      <c r="D3875" t="s">
        <v>40</v>
      </c>
      <c r="E3875" t="s">
        <v>41</v>
      </c>
      <c r="J3875" t="s">
        <v>13514</v>
      </c>
      <c r="K3875" t="s">
        <v>13515</v>
      </c>
      <c r="L3875">
        <v>5</v>
      </c>
      <c r="M3875" t="s">
        <v>14143</v>
      </c>
      <c r="N3875" t="s">
        <v>59</v>
      </c>
      <c r="O3875" t="s">
        <v>47</v>
      </c>
      <c r="P3875" t="s">
        <v>47</v>
      </c>
      <c r="Y3875" t="s">
        <v>14144</v>
      </c>
      <c r="AG3875" t="s">
        <v>48</v>
      </c>
    </row>
    <row r="3876" spans="1:33">
      <c r="A3876" t="s">
        <v>14145</v>
      </c>
      <c r="B3876" t="s">
        <v>14146</v>
      </c>
      <c r="D3876" t="s">
        <v>40</v>
      </c>
      <c r="E3876" t="s">
        <v>41</v>
      </c>
      <c r="J3876" t="s">
        <v>1418</v>
      </c>
      <c r="K3876" t="s">
        <v>1419</v>
      </c>
      <c r="L3876">
        <v>4</v>
      </c>
      <c r="M3876" t="s">
        <v>14147</v>
      </c>
      <c r="N3876" t="s">
        <v>14024</v>
      </c>
      <c r="O3876" t="s">
        <v>47</v>
      </c>
      <c r="P3876" t="s">
        <v>47</v>
      </c>
      <c r="Y3876" t="s">
        <v>14148</v>
      </c>
      <c r="AG3876" t="s">
        <v>48</v>
      </c>
    </row>
    <row r="3877" spans="1:33">
      <c r="A3877" t="s">
        <v>14149</v>
      </c>
      <c r="B3877" t="s">
        <v>14150</v>
      </c>
      <c r="D3877" t="s">
        <v>40</v>
      </c>
      <c r="E3877" t="s">
        <v>41</v>
      </c>
      <c r="H3877" t="s">
        <v>14151</v>
      </c>
      <c r="J3877" t="s">
        <v>43</v>
      </c>
      <c r="K3877" t="s">
        <v>44</v>
      </c>
      <c r="L3877">
        <v>4</v>
      </c>
      <c r="M3877" t="s">
        <v>14152</v>
      </c>
      <c r="N3877" t="s">
        <v>192</v>
      </c>
      <c r="O3877" t="s">
        <v>47</v>
      </c>
      <c r="P3877" t="s">
        <v>47</v>
      </c>
      <c r="Y3877" t="s">
        <v>14151</v>
      </c>
      <c r="AG3877" t="s">
        <v>48</v>
      </c>
    </row>
    <row r="3878" spans="1:33">
      <c r="A3878" t="s">
        <v>117</v>
      </c>
      <c r="B3878" t="s">
        <v>14153</v>
      </c>
      <c r="D3878" t="s">
        <v>40</v>
      </c>
      <c r="E3878" t="s">
        <v>41</v>
      </c>
      <c r="H3878" t="s">
        <v>14154</v>
      </c>
      <c r="J3878" t="s">
        <v>123</v>
      </c>
      <c r="K3878" t="s">
        <v>124</v>
      </c>
      <c r="L3878">
        <v>5</v>
      </c>
      <c r="M3878" t="s">
        <v>14155</v>
      </c>
      <c r="N3878" t="s">
        <v>218</v>
      </c>
      <c r="O3878" t="s">
        <v>47</v>
      </c>
      <c r="P3878" t="s">
        <v>47</v>
      </c>
      <c r="Y3878" t="s">
        <v>14154</v>
      </c>
      <c r="AG3878" t="s">
        <v>48</v>
      </c>
    </row>
    <row r="3879" spans="1:33">
      <c r="A3879" t="s">
        <v>14156</v>
      </c>
      <c r="B3879" t="s">
        <v>14157</v>
      </c>
      <c r="D3879" t="s">
        <v>40</v>
      </c>
      <c r="E3879" t="s">
        <v>41</v>
      </c>
      <c r="J3879" t="s">
        <v>86</v>
      </c>
      <c r="K3879" t="s">
        <v>87</v>
      </c>
      <c r="L3879">
        <v>4</v>
      </c>
      <c r="M3879" t="s">
        <v>14158</v>
      </c>
      <c r="N3879" t="s">
        <v>14024</v>
      </c>
      <c r="O3879" t="s">
        <v>47</v>
      </c>
      <c r="P3879" t="s">
        <v>47</v>
      </c>
      <c r="Y3879" t="s">
        <v>14159</v>
      </c>
      <c r="AG3879" t="s">
        <v>48</v>
      </c>
    </row>
    <row r="3880" spans="1:33">
      <c r="A3880" t="s">
        <v>14160</v>
      </c>
      <c r="B3880" t="s">
        <v>14161</v>
      </c>
      <c r="D3880" t="s">
        <v>40</v>
      </c>
      <c r="E3880" t="s">
        <v>41</v>
      </c>
      <c r="J3880" t="s">
        <v>86</v>
      </c>
      <c r="K3880" t="s">
        <v>87</v>
      </c>
      <c r="L3880">
        <v>4</v>
      </c>
      <c r="M3880" t="s">
        <v>14162</v>
      </c>
      <c r="N3880" t="s">
        <v>46</v>
      </c>
      <c r="O3880" t="s">
        <v>47</v>
      </c>
      <c r="P3880" t="s">
        <v>47</v>
      </c>
      <c r="Y3880" t="s">
        <v>14163</v>
      </c>
      <c r="AG3880" t="s">
        <v>48</v>
      </c>
    </row>
    <row r="3881" spans="1:33">
      <c r="A3881" t="s">
        <v>14164</v>
      </c>
      <c r="B3881" t="s">
        <v>14165</v>
      </c>
      <c r="D3881" t="s">
        <v>40</v>
      </c>
      <c r="E3881" t="s">
        <v>41</v>
      </c>
      <c r="J3881" t="s">
        <v>86</v>
      </c>
      <c r="K3881" t="s">
        <v>87</v>
      </c>
      <c r="L3881">
        <v>4</v>
      </c>
      <c r="M3881" t="s">
        <v>14166</v>
      </c>
      <c r="N3881" t="s">
        <v>192</v>
      </c>
      <c r="O3881" t="s">
        <v>47</v>
      </c>
      <c r="P3881" t="s">
        <v>47</v>
      </c>
      <c r="Y3881" t="s">
        <v>14167</v>
      </c>
      <c r="AG3881" t="s">
        <v>48</v>
      </c>
    </row>
    <row r="3882" spans="1:33">
      <c r="A3882" t="s">
        <v>14168</v>
      </c>
      <c r="B3882" t="s">
        <v>14169</v>
      </c>
      <c r="D3882" t="s">
        <v>40</v>
      </c>
      <c r="E3882" t="s">
        <v>41</v>
      </c>
      <c r="J3882" t="s">
        <v>86</v>
      </c>
      <c r="K3882" t="s">
        <v>87</v>
      </c>
      <c r="L3882">
        <v>4</v>
      </c>
      <c r="M3882" t="s">
        <v>14170</v>
      </c>
      <c r="N3882" t="s">
        <v>13995</v>
      </c>
      <c r="O3882" t="s">
        <v>47</v>
      </c>
      <c r="P3882" t="s">
        <v>47</v>
      </c>
      <c r="Y3882" t="s">
        <v>14171</v>
      </c>
      <c r="AG3882" t="s">
        <v>48</v>
      </c>
    </row>
    <row r="3883" spans="1:33">
      <c r="A3883" t="s">
        <v>14172</v>
      </c>
      <c r="B3883" t="s">
        <v>14173</v>
      </c>
      <c r="D3883" t="s">
        <v>40</v>
      </c>
      <c r="E3883" t="s">
        <v>41</v>
      </c>
      <c r="H3883" t="s">
        <v>14174</v>
      </c>
      <c r="J3883" t="s">
        <v>215</v>
      </c>
      <c r="K3883" t="s">
        <v>216</v>
      </c>
      <c r="L3883">
        <v>5</v>
      </c>
      <c r="M3883" t="s">
        <v>14175</v>
      </c>
      <c r="N3883" t="s">
        <v>192</v>
      </c>
      <c r="O3883" t="s">
        <v>47</v>
      </c>
      <c r="P3883" t="s">
        <v>47</v>
      </c>
      <c r="Y3883" t="s">
        <v>14174</v>
      </c>
      <c r="AG3883" t="s">
        <v>48</v>
      </c>
    </row>
    <row r="3884" spans="1:33">
      <c r="A3884" t="s">
        <v>14176</v>
      </c>
      <c r="B3884" t="s">
        <v>14177</v>
      </c>
      <c r="D3884" t="s">
        <v>40</v>
      </c>
      <c r="E3884" t="s">
        <v>41</v>
      </c>
      <c r="J3884" t="s">
        <v>43</v>
      </c>
      <c r="K3884" t="s">
        <v>44</v>
      </c>
      <c r="L3884">
        <v>4</v>
      </c>
      <c r="M3884" t="s">
        <v>14178</v>
      </c>
      <c r="N3884" t="s">
        <v>14059</v>
      </c>
      <c r="O3884" t="s">
        <v>47</v>
      </c>
      <c r="P3884" t="s">
        <v>47</v>
      </c>
      <c r="Y3884" t="s">
        <v>14179</v>
      </c>
      <c r="AG3884" t="s">
        <v>48</v>
      </c>
    </row>
    <row r="3885" spans="1:33">
      <c r="A3885" t="s">
        <v>14180</v>
      </c>
      <c r="B3885" t="s">
        <v>14181</v>
      </c>
      <c r="D3885" t="s">
        <v>40</v>
      </c>
      <c r="E3885" t="s">
        <v>41</v>
      </c>
      <c r="H3885" t="s">
        <v>14182</v>
      </c>
      <c r="J3885" t="s">
        <v>6025</v>
      </c>
      <c r="K3885" t="s">
        <v>6026</v>
      </c>
      <c r="L3885">
        <v>4</v>
      </c>
      <c r="M3885" t="s">
        <v>14183</v>
      </c>
      <c r="N3885" t="s">
        <v>14059</v>
      </c>
      <c r="O3885" t="s">
        <v>47</v>
      </c>
      <c r="P3885" t="s">
        <v>47</v>
      </c>
      <c r="Y3885" t="s">
        <v>14182</v>
      </c>
      <c r="AG3885" t="s">
        <v>48</v>
      </c>
    </row>
    <row r="3886" spans="1:33">
      <c r="A3886" t="s">
        <v>14184</v>
      </c>
      <c r="B3886" t="s">
        <v>14185</v>
      </c>
      <c r="D3886" t="s">
        <v>40</v>
      </c>
      <c r="E3886" t="s">
        <v>41</v>
      </c>
      <c r="J3886" t="s">
        <v>86</v>
      </c>
      <c r="K3886" t="s">
        <v>87</v>
      </c>
      <c r="L3886">
        <v>4</v>
      </c>
      <c r="M3886" t="s">
        <v>14186</v>
      </c>
      <c r="N3886" t="s">
        <v>13995</v>
      </c>
      <c r="O3886" t="s">
        <v>47</v>
      </c>
      <c r="P3886" t="s">
        <v>47</v>
      </c>
      <c r="Y3886" t="s">
        <v>14187</v>
      </c>
      <c r="AG3886" t="s">
        <v>48</v>
      </c>
    </row>
    <row r="3887" spans="1:33">
      <c r="A3887" t="s">
        <v>14188</v>
      </c>
      <c r="B3887" t="s">
        <v>14189</v>
      </c>
      <c r="D3887" t="s">
        <v>40</v>
      </c>
      <c r="E3887" t="s">
        <v>41</v>
      </c>
      <c r="J3887" t="s">
        <v>14190</v>
      </c>
      <c r="K3887" t="s">
        <v>14191</v>
      </c>
      <c r="L3887">
        <v>4</v>
      </c>
      <c r="M3887" t="s">
        <v>14192</v>
      </c>
      <c r="N3887" t="s">
        <v>13995</v>
      </c>
      <c r="O3887" t="s">
        <v>47</v>
      </c>
      <c r="P3887" t="s">
        <v>47</v>
      </c>
      <c r="Y3887" t="s">
        <v>14193</v>
      </c>
      <c r="AG3887" t="s">
        <v>48</v>
      </c>
    </row>
    <row r="3888" spans="1:33">
      <c r="A3888" t="s">
        <v>14194</v>
      </c>
      <c r="B3888" t="s">
        <v>14195</v>
      </c>
      <c r="D3888" t="s">
        <v>40</v>
      </c>
      <c r="E3888" t="s">
        <v>41</v>
      </c>
      <c r="J3888" t="s">
        <v>43</v>
      </c>
      <c r="K3888" t="s">
        <v>44</v>
      </c>
      <c r="L3888">
        <v>4</v>
      </c>
      <c r="M3888" t="s">
        <v>14196</v>
      </c>
      <c r="N3888" t="s">
        <v>192</v>
      </c>
      <c r="O3888" t="s">
        <v>47</v>
      </c>
      <c r="P3888" t="s">
        <v>47</v>
      </c>
      <c r="Y3888" t="s">
        <v>14197</v>
      </c>
      <c r="AG3888" t="s">
        <v>48</v>
      </c>
    </row>
    <row r="3889" spans="1:33">
      <c r="A3889" t="s">
        <v>14198</v>
      </c>
      <c r="B3889" t="s">
        <v>14199</v>
      </c>
      <c r="D3889" t="s">
        <v>40</v>
      </c>
      <c r="E3889" t="s">
        <v>41</v>
      </c>
      <c r="J3889" t="s">
        <v>10950</v>
      </c>
      <c r="K3889" t="s">
        <v>10950</v>
      </c>
      <c r="L3889">
        <v>4</v>
      </c>
      <c r="M3889" t="s">
        <v>14200</v>
      </c>
      <c r="N3889" t="s">
        <v>14059</v>
      </c>
      <c r="O3889" t="s">
        <v>47</v>
      </c>
      <c r="P3889" t="s">
        <v>47</v>
      </c>
      <c r="Y3889" t="s">
        <v>14201</v>
      </c>
      <c r="AG3889" t="s">
        <v>48</v>
      </c>
    </row>
    <row r="3890" spans="1:33">
      <c r="A3890" t="s">
        <v>14202</v>
      </c>
      <c r="B3890" t="s">
        <v>14203</v>
      </c>
      <c r="D3890" t="s">
        <v>40</v>
      </c>
      <c r="E3890" t="s">
        <v>41</v>
      </c>
      <c r="J3890" t="s">
        <v>14204</v>
      </c>
      <c r="K3890" t="s">
        <v>14205</v>
      </c>
      <c r="L3890">
        <v>4</v>
      </c>
      <c r="M3890" t="s">
        <v>14206</v>
      </c>
      <c r="N3890" t="s">
        <v>14011</v>
      </c>
      <c r="O3890" t="s">
        <v>47</v>
      </c>
      <c r="P3890" t="s">
        <v>47</v>
      </c>
      <c r="Y3890" t="s">
        <v>14207</v>
      </c>
      <c r="AG3890" t="s">
        <v>48</v>
      </c>
    </row>
    <row r="3891" spans="1:33">
      <c r="A3891" t="s">
        <v>14208</v>
      </c>
      <c r="B3891" t="s">
        <v>14209</v>
      </c>
      <c r="D3891" t="s">
        <v>40</v>
      </c>
      <c r="E3891" t="s">
        <v>41</v>
      </c>
      <c r="H3891" t="s">
        <v>14210</v>
      </c>
      <c r="J3891" t="s">
        <v>86</v>
      </c>
      <c r="K3891" t="s">
        <v>87</v>
      </c>
      <c r="L3891">
        <v>4</v>
      </c>
      <c r="M3891" t="s">
        <v>14211</v>
      </c>
      <c r="N3891" t="s">
        <v>192</v>
      </c>
      <c r="O3891" t="s">
        <v>47</v>
      </c>
      <c r="P3891" t="s">
        <v>47</v>
      </c>
      <c r="Y3891" t="s">
        <v>14210</v>
      </c>
      <c r="AG3891" t="s">
        <v>48</v>
      </c>
    </row>
    <row r="3892" spans="1:33">
      <c r="A3892" t="s">
        <v>14212</v>
      </c>
      <c r="B3892" t="s">
        <v>14213</v>
      </c>
      <c r="D3892" t="s">
        <v>40</v>
      </c>
      <c r="E3892" t="s">
        <v>41</v>
      </c>
      <c r="J3892" t="s">
        <v>86</v>
      </c>
      <c r="K3892" t="s">
        <v>87</v>
      </c>
      <c r="L3892">
        <v>4</v>
      </c>
      <c r="M3892" t="s">
        <v>14214</v>
      </c>
      <c r="N3892" t="s">
        <v>46</v>
      </c>
      <c r="O3892" t="s">
        <v>47</v>
      </c>
      <c r="P3892" t="s">
        <v>47</v>
      </c>
      <c r="Y3892" t="s">
        <v>14215</v>
      </c>
      <c r="AG3892" t="s">
        <v>48</v>
      </c>
    </row>
    <row r="3893" spans="1:33">
      <c r="A3893" t="s">
        <v>14216</v>
      </c>
      <c r="B3893" t="s">
        <v>14217</v>
      </c>
      <c r="D3893" t="s">
        <v>40</v>
      </c>
      <c r="E3893" t="s">
        <v>41</v>
      </c>
      <c r="J3893" t="s">
        <v>1418</v>
      </c>
      <c r="K3893" t="s">
        <v>1419</v>
      </c>
      <c r="L3893">
        <v>4</v>
      </c>
      <c r="M3893" t="s">
        <v>14218</v>
      </c>
      <c r="N3893" t="s">
        <v>13995</v>
      </c>
      <c r="O3893" t="s">
        <v>47</v>
      </c>
      <c r="P3893" t="s">
        <v>47</v>
      </c>
      <c r="Y3893" t="s">
        <v>14219</v>
      </c>
      <c r="AG3893" t="s">
        <v>48</v>
      </c>
    </row>
    <row r="3894" spans="1:33">
      <c r="A3894" t="s">
        <v>14220</v>
      </c>
      <c r="B3894" t="s">
        <v>14221</v>
      </c>
      <c r="D3894" t="s">
        <v>40</v>
      </c>
      <c r="E3894" t="s">
        <v>41</v>
      </c>
      <c r="J3894" t="s">
        <v>14204</v>
      </c>
      <c r="K3894" t="s">
        <v>14205</v>
      </c>
      <c r="L3894">
        <v>4</v>
      </c>
      <c r="M3894" t="s">
        <v>14222</v>
      </c>
      <c r="N3894" t="s">
        <v>14011</v>
      </c>
      <c r="O3894" t="s">
        <v>47</v>
      </c>
      <c r="P3894" t="s">
        <v>47</v>
      </c>
      <c r="Y3894" t="s">
        <v>14223</v>
      </c>
      <c r="AG3894" t="s">
        <v>48</v>
      </c>
    </row>
    <row r="3895" spans="1:33">
      <c r="A3895" t="s">
        <v>14224</v>
      </c>
      <c r="B3895" t="s">
        <v>14225</v>
      </c>
      <c r="D3895" t="s">
        <v>40</v>
      </c>
      <c r="E3895" t="s">
        <v>41</v>
      </c>
      <c r="H3895" t="s">
        <v>14226</v>
      </c>
      <c r="J3895" t="s">
        <v>86</v>
      </c>
      <c r="K3895" t="s">
        <v>87</v>
      </c>
      <c r="L3895">
        <v>4</v>
      </c>
      <c r="M3895" t="s">
        <v>14227</v>
      </c>
      <c r="N3895" t="s">
        <v>14059</v>
      </c>
      <c r="O3895" t="s">
        <v>47</v>
      </c>
      <c r="P3895" t="s">
        <v>47</v>
      </c>
      <c r="Y3895" t="s">
        <v>14226</v>
      </c>
      <c r="AG3895" t="s">
        <v>48</v>
      </c>
    </row>
    <row r="3896" spans="1:33">
      <c r="A3896" t="s">
        <v>14228</v>
      </c>
      <c r="B3896" t="s">
        <v>14229</v>
      </c>
      <c r="D3896" t="s">
        <v>40</v>
      </c>
      <c r="E3896" t="s">
        <v>41</v>
      </c>
      <c r="H3896" t="s">
        <v>14230</v>
      </c>
      <c r="J3896" t="s">
        <v>129</v>
      </c>
      <c r="K3896" t="s">
        <v>130</v>
      </c>
      <c r="L3896">
        <v>5</v>
      </c>
      <c r="M3896" t="s">
        <v>14231</v>
      </c>
      <c r="N3896" t="s">
        <v>14011</v>
      </c>
      <c r="O3896" t="s">
        <v>47</v>
      </c>
      <c r="P3896" t="s">
        <v>47</v>
      </c>
      <c r="Y3896" t="s">
        <v>14230</v>
      </c>
      <c r="AG3896" t="s">
        <v>48</v>
      </c>
    </row>
    <row r="3897" spans="1:33">
      <c r="A3897" t="s">
        <v>14232</v>
      </c>
      <c r="B3897" t="s">
        <v>14233</v>
      </c>
      <c r="D3897" t="s">
        <v>40</v>
      </c>
      <c r="E3897" t="s">
        <v>41</v>
      </c>
      <c r="H3897" t="s">
        <v>14234</v>
      </c>
      <c r="J3897" t="s">
        <v>86</v>
      </c>
      <c r="K3897" t="s">
        <v>87</v>
      </c>
      <c r="L3897">
        <v>5</v>
      </c>
      <c r="M3897" t="s">
        <v>14235</v>
      </c>
      <c r="N3897" t="s">
        <v>218</v>
      </c>
      <c r="O3897" t="s">
        <v>47</v>
      </c>
      <c r="P3897" t="s">
        <v>47</v>
      </c>
      <c r="Y3897" t="s">
        <v>14234</v>
      </c>
      <c r="AG3897" t="s">
        <v>48</v>
      </c>
    </row>
    <row r="3898" spans="1:33">
      <c r="A3898" t="s">
        <v>14236</v>
      </c>
      <c r="B3898" t="s">
        <v>14237</v>
      </c>
      <c r="D3898" t="s">
        <v>40</v>
      </c>
      <c r="E3898" t="s">
        <v>41</v>
      </c>
      <c r="J3898" t="s">
        <v>3472</v>
      </c>
      <c r="K3898" t="s">
        <v>3473</v>
      </c>
      <c r="L3898">
        <v>4</v>
      </c>
      <c r="M3898" t="s">
        <v>14238</v>
      </c>
      <c r="N3898" t="s">
        <v>192</v>
      </c>
      <c r="O3898" t="s">
        <v>47</v>
      </c>
      <c r="P3898" t="s">
        <v>47</v>
      </c>
      <c r="Y3898" t="s">
        <v>14239</v>
      </c>
      <c r="AG3898" t="s">
        <v>48</v>
      </c>
    </row>
    <row r="3899" spans="1:33">
      <c r="A3899" t="s">
        <v>14240</v>
      </c>
      <c r="B3899" t="s">
        <v>14241</v>
      </c>
      <c r="D3899" t="s">
        <v>40</v>
      </c>
      <c r="E3899" t="s">
        <v>41</v>
      </c>
      <c r="J3899" t="s">
        <v>86</v>
      </c>
      <c r="K3899" t="s">
        <v>87</v>
      </c>
      <c r="L3899">
        <v>4</v>
      </c>
      <c r="M3899" t="s">
        <v>14242</v>
      </c>
      <c r="N3899" t="s">
        <v>14059</v>
      </c>
      <c r="O3899" t="s">
        <v>47</v>
      </c>
      <c r="P3899" t="s">
        <v>47</v>
      </c>
      <c r="Y3899" t="s">
        <v>14243</v>
      </c>
      <c r="AG3899" t="s">
        <v>48</v>
      </c>
    </row>
    <row r="3900" spans="1:33">
      <c r="A3900" t="s">
        <v>14244</v>
      </c>
      <c r="B3900" t="s">
        <v>14245</v>
      </c>
      <c r="D3900" t="s">
        <v>40</v>
      </c>
      <c r="E3900" t="s">
        <v>41</v>
      </c>
      <c r="J3900" t="s">
        <v>1418</v>
      </c>
      <c r="K3900" t="s">
        <v>1419</v>
      </c>
      <c r="L3900">
        <v>4</v>
      </c>
      <c r="M3900" t="s">
        <v>14246</v>
      </c>
      <c r="N3900" t="s">
        <v>13995</v>
      </c>
      <c r="O3900" t="s">
        <v>47</v>
      </c>
      <c r="P3900" t="s">
        <v>47</v>
      </c>
      <c r="Y3900" t="s">
        <v>14247</v>
      </c>
      <c r="AG3900" t="s">
        <v>48</v>
      </c>
    </row>
    <row r="3901" spans="1:33">
      <c r="A3901" t="s">
        <v>14248</v>
      </c>
      <c r="B3901" t="s">
        <v>14249</v>
      </c>
      <c r="D3901" t="s">
        <v>40</v>
      </c>
      <c r="E3901" t="s">
        <v>41</v>
      </c>
      <c r="J3901" t="s">
        <v>14204</v>
      </c>
      <c r="K3901" t="s">
        <v>14205</v>
      </c>
      <c r="L3901">
        <v>4</v>
      </c>
      <c r="M3901" t="s">
        <v>14250</v>
      </c>
      <c r="N3901" t="s">
        <v>14011</v>
      </c>
      <c r="O3901" t="s">
        <v>47</v>
      </c>
      <c r="P3901" t="s">
        <v>47</v>
      </c>
      <c r="Y3901" t="s">
        <v>14251</v>
      </c>
      <c r="AG3901" t="s">
        <v>48</v>
      </c>
    </row>
    <row r="3902" spans="1:33">
      <c r="A3902" t="s">
        <v>14252</v>
      </c>
      <c r="B3902" t="s">
        <v>14253</v>
      </c>
      <c r="D3902" t="s">
        <v>40</v>
      </c>
      <c r="E3902" t="s">
        <v>41</v>
      </c>
      <c r="J3902" t="s">
        <v>86</v>
      </c>
      <c r="K3902" t="s">
        <v>87</v>
      </c>
      <c r="L3902">
        <v>4</v>
      </c>
      <c r="M3902" t="s">
        <v>14254</v>
      </c>
      <c r="N3902" t="s">
        <v>13995</v>
      </c>
      <c r="O3902" t="s">
        <v>47</v>
      </c>
      <c r="P3902" t="s">
        <v>47</v>
      </c>
      <c r="Y3902" t="s">
        <v>14255</v>
      </c>
      <c r="AG3902" t="s">
        <v>48</v>
      </c>
    </row>
    <row r="3903" spans="1:33">
      <c r="A3903" t="s">
        <v>14256</v>
      </c>
      <c r="B3903" t="s">
        <v>14257</v>
      </c>
      <c r="D3903" t="s">
        <v>40</v>
      </c>
      <c r="E3903" t="s">
        <v>41</v>
      </c>
      <c r="H3903" t="s">
        <v>14258</v>
      </c>
      <c r="J3903" t="s">
        <v>123</v>
      </c>
      <c r="K3903" t="s">
        <v>124</v>
      </c>
      <c r="L3903">
        <v>5</v>
      </c>
      <c r="M3903" t="s">
        <v>14259</v>
      </c>
      <c r="N3903" t="s">
        <v>14059</v>
      </c>
      <c r="O3903" t="s">
        <v>47</v>
      </c>
      <c r="P3903" t="s">
        <v>47</v>
      </c>
      <c r="Y3903" t="s">
        <v>14258</v>
      </c>
      <c r="AG3903" t="s">
        <v>48</v>
      </c>
    </row>
    <row r="3904" spans="1:33">
      <c r="A3904" t="s">
        <v>14260</v>
      </c>
      <c r="B3904" t="s">
        <v>14261</v>
      </c>
      <c r="D3904" t="s">
        <v>40</v>
      </c>
      <c r="E3904" t="s">
        <v>41</v>
      </c>
      <c r="J3904" t="s">
        <v>1418</v>
      </c>
      <c r="K3904" t="s">
        <v>1419</v>
      </c>
      <c r="L3904">
        <v>4</v>
      </c>
      <c r="M3904" t="s">
        <v>14262</v>
      </c>
      <c r="N3904" t="s">
        <v>218</v>
      </c>
      <c r="O3904" t="s">
        <v>47</v>
      </c>
      <c r="P3904" t="s">
        <v>47</v>
      </c>
      <c r="Y3904" t="s">
        <v>14263</v>
      </c>
      <c r="AG3904" t="s">
        <v>48</v>
      </c>
    </row>
    <row r="3905" spans="1:33">
      <c r="A3905" t="s">
        <v>14264</v>
      </c>
      <c r="B3905" t="s">
        <v>14265</v>
      </c>
      <c r="D3905" t="s">
        <v>40</v>
      </c>
      <c r="E3905" t="s">
        <v>41</v>
      </c>
      <c r="J3905" t="s">
        <v>86</v>
      </c>
      <c r="K3905" t="s">
        <v>87</v>
      </c>
      <c r="L3905">
        <v>4</v>
      </c>
      <c r="M3905" t="s">
        <v>14266</v>
      </c>
      <c r="N3905" t="s">
        <v>14024</v>
      </c>
      <c r="O3905" t="s">
        <v>47</v>
      </c>
      <c r="P3905" t="s">
        <v>47</v>
      </c>
      <c r="Y3905" t="s">
        <v>14267</v>
      </c>
      <c r="AG3905" t="s">
        <v>48</v>
      </c>
    </row>
    <row r="3906" spans="1:33">
      <c r="A3906" t="s">
        <v>14268</v>
      </c>
      <c r="B3906" t="s">
        <v>14269</v>
      </c>
      <c r="D3906" t="s">
        <v>40</v>
      </c>
      <c r="E3906" t="s">
        <v>41</v>
      </c>
      <c r="J3906" t="s">
        <v>1418</v>
      </c>
      <c r="K3906" t="s">
        <v>1419</v>
      </c>
      <c r="L3906">
        <v>4</v>
      </c>
      <c r="M3906" t="s">
        <v>14270</v>
      </c>
      <c r="N3906" t="s">
        <v>46</v>
      </c>
      <c r="O3906" t="s">
        <v>47</v>
      </c>
      <c r="P3906" t="s">
        <v>47</v>
      </c>
      <c r="Y3906" t="s">
        <v>14271</v>
      </c>
      <c r="AG3906" t="s">
        <v>48</v>
      </c>
    </row>
    <row r="3907" spans="1:33">
      <c r="A3907" t="s">
        <v>14272</v>
      </c>
      <c r="B3907" t="s">
        <v>14273</v>
      </c>
      <c r="D3907" t="s">
        <v>40</v>
      </c>
      <c r="E3907" t="s">
        <v>41</v>
      </c>
      <c r="J3907" t="s">
        <v>14204</v>
      </c>
      <c r="K3907" t="s">
        <v>14205</v>
      </c>
      <c r="L3907">
        <v>4</v>
      </c>
      <c r="M3907" t="s">
        <v>14274</v>
      </c>
      <c r="N3907" t="s">
        <v>218</v>
      </c>
      <c r="O3907" t="s">
        <v>47</v>
      </c>
      <c r="P3907" t="s">
        <v>47</v>
      </c>
      <c r="Y3907" t="s">
        <v>14275</v>
      </c>
      <c r="AG3907" t="s">
        <v>48</v>
      </c>
    </row>
    <row r="3908" spans="1:33">
      <c r="A3908" t="s">
        <v>14276</v>
      </c>
      <c r="B3908" t="s">
        <v>14277</v>
      </c>
      <c r="D3908" t="s">
        <v>40</v>
      </c>
      <c r="E3908" t="s">
        <v>41</v>
      </c>
      <c r="H3908" t="s">
        <v>14278</v>
      </c>
      <c r="J3908" t="s">
        <v>86</v>
      </c>
      <c r="K3908" t="s">
        <v>87</v>
      </c>
      <c r="L3908">
        <v>4</v>
      </c>
      <c r="M3908" t="s">
        <v>14279</v>
      </c>
      <c r="N3908" t="s">
        <v>46</v>
      </c>
      <c r="O3908" t="s">
        <v>47</v>
      </c>
      <c r="P3908" t="s">
        <v>47</v>
      </c>
      <c r="Y3908" t="s">
        <v>14278</v>
      </c>
      <c r="AG3908" t="s">
        <v>48</v>
      </c>
    </row>
    <row r="3909" spans="1:33">
      <c r="A3909" t="s">
        <v>14280</v>
      </c>
      <c r="B3909" t="s">
        <v>14281</v>
      </c>
      <c r="D3909" t="s">
        <v>40</v>
      </c>
      <c r="E3909" t="s">
        <v>41</v>
      </c>
      <c r="J3909" t="s">
        <v>86</v>
      </c>
      <c r="K3909" t="s">
        <v>87</v>
      </c>
      <c r="L3909">
        <v>4</v>
      </c>
      <c r="M3909" t="s">
        <v>14282</v>
      </c>
      <c r="N3909" t="s">
        <v>192</v>
      </c>
      <c r="O3909" t="s">
        <v>47</v>
      </c>
      <c r="P3909" t="s">
        <v>47</v>
      </c>
      <c r="Y3909" t="s">
        <v>14283</v>
      </c>
      <c r="AG3909" t="s">
        <v>48</v>
      </c>
    </row>
    <row r="3910" spans="1:33">
      <c r="A3910" t="s">
        <v>117</v>
      </c>
      <c r="B3910" t="s">
        <v>14284</v>
      </c>
      <c r="D3910" t="s">
        <v>40</v>
      </c>
      <c r="E3910" t="s">
        <v>41</v>
      </c>
      <c r="H3910" t="s">
        <v>14285</v>
      </c>
      <c r="J3910" t="s">
        <v>43</v>
      </c>
      <c r="K3910" t="s">
        <v>44</v>
      </c>
      <c r="L3910">
        <v>4</v>
      </c>
      <c r="M3910" t="s">
        <v>14286</v>
      </c>
      <c r="N3910" t="s">
        <v>192</v>
      </c>
      <c r="O3910" t="s">
        <v>47</v>
      </c>
      <c r="P3910" t="s">
        <v>47</v>
      </c>
      <c r="Y3910" t="s">
        <v>14285</v>
      </c>
      <c r="AG3910" t="s">
        <v>48</v>
      </c>
    </row>
    <row r="3911" spans="1:33">
      <c r="A3911" t="s">
        <v>14287</v>
      </c>
      <c r="B3911" t="s">
        <v>14288</v>
      </c>
      <c r="D3911" t="s">
        <v>40</v>
      </c>
      <c r="E3911" t="s">
        <v>41</v>
      </c>
      <c r="J3911" t="s">
        <v>1418</v>
      </c>
      <c r="K3911" t="s">
        <v>1419</v>
      </c>
      <c r="L3911">
        <v>4</v>
      </c>
      <c r="M3911" t="s">
        <v>14289</v>
      </c>
      <c r="N3911" t="s">
        <v>14011</v>
      </c>
      <c r="O3911" t="s">
        <v>47</v>
      </c>
      <c r="P3911" t="s">
        <v>47</v>
      </c>
      <c r="Y3911" t="s">
        <v>14290</v>
      </c>
      <c r="AG3911" t="s">
        <v>48</v>
      </c>
    </row>
    <row r="3912" spans="1:33">
      <c r="A3912" t="s">
        <v>14291</v>
      </c>
      <c r="B3912" t="s">
        <v>14292</v>
      </c>
      <c r="D3912" t="s">
        <v>40</v>
      </c>
      <c r="E3912" t="s">
        <v>41</v>
      </c>
      <c r="J3912" t="s">
        <v>86</v>
      </c>
      <c r="K3912" t="s">
        <v>87</v>
      </c>
      <c r="L3912">
        <v>4</v>
      </c>
      <c r="M3912" t="s">
        <v>14293</v>
      </c>
      <c r="N3912" t="s">
        <v>14024</v>
      </c>
      <c r="O3912" t="s">
        <v>47</v>
      </c>
      <c r="P3912" t="s">
        <v>47</v>
      </c>
      <c r="Y3912" t="s">
        <v>14294</v>
      </c>
      <c r="AG3912" t="s">
        <v>48</v>
      </c>
    </row>
    <row r="3913" spans="1:33">
      <c r="A3913" t="s">
        <v>14295</v>
      </c>
      <c r="B3913" t="s">
        <v>14296</v>
      </c>
      <c r="D3913" t="s">
        <v>40</v>
      </c>
      <c r="E3913" t="s">
        <v>41</v>
      </c>
      <c r="J3913" t="s">
        <v>86</v>
      </c>
      <c r="K3913" t="s">
        <v>87</v>
      </c>
      <c r="L3913">
        <v>4</v>
      </c>
      <c r="M3913" t="s">
        <v>14297</v>
      </c>
      <c r="N3913" t="s">
        <v>14024</v>
      </c>
      <c r="O3913" t="s">
        <v>47</v>
      </c>
      <c r="P3913" t="s">
        <v>47</v>
      </c>
      <c r="Y3913" t="s">
        <v>14298</v>
      </c>
      <c r="AG3913" t="s">
        <v>48</v>
      </c>
    </row>
    <row r="3914" spans="1:33">
      <c r="A3914" t="s">
        <v>14299</v>
      </c>
      <c r="B3914" t="s">
        <v>14300</v>
      </c>
      <c r="D3914" t="s">
        <v>40</v>
      </c>
      <c r="E3914" t="s">
        <v>41</v>
      </c>
      <c r="H3914" t="s">
        <v>14301</v>
      </c>
      <c r="J3914" t="s">
        <v>86</v>
      </c>
      <c r="K3914" t="s">
        <v>87</v>
      </c>
      <c r="L3914">
        <v>5</v>
      </c>
      <c r="M3914" t="s">
        <v>14302</v>
      </c>
      <c r="N3914" t="s">
        <v>46</v>
      </c>
      <c r="O3914" t="s">
        <v>47</v>
      </c>
      <c r="P3914" t="s">
        <v>47</v>
      </c>
      <c r="Y3914" t="s">
        <v>14301</v>
      </c>
      <c r="AG3914" t="s">
        <v>48</v>
      </c>
    </row>
    <row r="3915" spans="1:33">
      <c r="A3915" t="s">
        <v>14303</v>
      </c>
      <c r="B3915" t="s">
        <v>14304</v>
      </c>
      <c r="D3915" t="s">
        <v>40</v>
      </c>
      <c r="E3915" t="s">
        <v>41</v>
      </c>
      <c r="J3915" t="s">
        <v>1418</v>
      </c>
      <c r="K3915" t="s">
        <v>1419</v>
      </c>
      <c r="L3915">
        <v>4</v>
      </c>
      <c r="M3915" t="s">
        <v>14305</v>
      </c>
      <c r="N3915" t="s">
        <v>14024</v>
      </c>
      <c r="O3915" t="s">
        <v>47</v>
      </c>
      <c r="P3915" t="s">
        <v>47</v>
      </c>
      <c r="Y3915" t="s">
        <v>14306</v>
      </c>
      <c r="AG3915" t="s">
        <v>48</v>
      </c>
    </row>
    <row r="3916" spans="1:33">
      <c r="A3916" t="s">
        <v>14307</v>
      </c>
      <c r="B3916" t="s">
        <v>14308</v>
      </c>
      <c r="D3916" t="s">
        <v>40</v>
      </c>
      <c r="E3916" t="s">
        <v>41</v>
      </c>
      <c r="J3916" t="s">
        <v>3472</v>
      </c>
      <c r="K3916" t="s">
        <v>3473</v>
      </c>
      <c r="L3916">
        <v>4</v>
      </c>
      <c r="M3916" t="s">
        <v>14309</v>
      </c>
      <c r="N3916" t="s">
        <v>14024</v>
      </c>
      <c r="O3916" t="s">
        <v>47</v>
      </c>
      <c r="P3916" t="s">
        <v>47</v>
      </c>
      <c r="Y3916" t="s">
        <v>14310</v>
      </c>
      <c r="AG3916" t="s">
        <v>48</v>
      </c>
    </row>
    <row r="3917" spans="1:33">
      <c r="A3917" t="s">
        <v>14311</v>
      </c>
      <c r="B3917" t="s">
        <v>14312</v>
      </c>
      <c r="D3917" t="s">
        <v>40</v>
      </c>
      <c r="E3917" t="s">
        <v>41</v>
      </c>
      <c r="J3917" t="s">
        <v>14204</v>
      </c>
      <c r="K3917" t="s">
        <v>14205</v>
      </c>
      <c r="L3917">
        <v>4</v>
      </c>
      <c r="M3917" t="s">
        <v>14313</v>
      </c>
      <c r="N3917" t="s">
        <v>192</v>
      </c>
      <c r="O3917" t="s">
        <v>47</v>
      </c>
      <c r="P3917" t="s">
        <v>47</v>
      </c>
      <c r="Y3917" t="s">
        <v>14314</v>
      </c>
      <c r="AG3917" t="s">
        <v>48</v>
      </c>
    </row>
    <row r="3918" spans="1:33">
      <c r="A3918" t="s">
        <v>14315</v>
      </c>
      <c r="B3918" t="s">
        <v>14316</v>
      </c>
      <c r="D3918" t="s">
        <v>40</v>
      </c>
      <c r="E3918" t="s">
        <v>41</v>
      </c>
      <c r="H3918" t="s">
        <v>14317</v>
      </c>
      <c r="J3918" t="s">
        <v>86</v>
      </c>
      <c r="K3918" t="s">
        <v>87</v>
      </c>
      <c r="L3918">
        <v>5</v>
      </c>
      <c r="M3918" t="s">
        <v>14318</v>
      </c>
      <c r="N3918" t="s">
        <v>14024</v>
      </c>
      <c r="O3918" t="s">
        <v>47</v>
      </c>
      <c r="P3918" t="s">
        <v>47</v>
      </c>
      <c r="Y3918" t="s">
        <v>14317</v>
      </c>
      <c r="AG3918" t="s">
        <v>48</v>
      </c>
    </row>
    <row r="3919" spans="1:33">
      <c r="A3919" t="s">
        <v>14319</v>
      </c>
      <c r="B3919" t="s">
        <v>14320</v>
      </c>
      <c r="D3919" t="s">
        <v>40</v>
      </c>
      <c r="E3919" t="s">
        <v>41</v>
      </c>
      <c r="J3919" t="s">
        <v>43</v>
      </c>
      <c r="K3919" t="s">
        <v>44</v>
      </c>
      <c r="L3919">
        <v>4</v>
      </c>
      <c r="M3919" t="s">
        <v>14321</v>
      </c>
      <c r="N3919" t="s">
        <v>192</v>
      </c>
      <c r="O3919" t="s">
        <v>47</v>
      </c>
      <c r="P3919" t="s">
        <v>47</v>
      </c>
      <c r="Y3919" t="s">
        <v>14322</v>
      </c>
      <c r="AG3919" t="s">
        <v>48</v>
      </c>
    </row>
    <row r="3920" spans="1:33">
      <c r="A3920" t="s">
        <v>14323</v>
      </c>
      <c r="B3920" t="s">
        <v>14324</v>
      </c>
      <c r="D3920" t="s">
        <v>40</v>
      </c>
      <c r="E3920" t="s">
        <v>41</v>
      </c>
      <c r="J3920" t="s">
        <v>4737</v>
      </c>
      <c r="K3920" t="s">
        <v>4738</v>
      </c>
      <c r="L3920">
        <v>4</v>
      </c>
      <c r="M3920" t="s">
        <v>14325</v>
      </c>
      <c r="N3920" t="s">
        <v>14011</v>
      </c>
      <c r="O3920" t="s">
        <v>47</v>
      </c>
      <c r="P3920" t="s">
        <v>47</v>
      </c>
      <c r="Y3920" t="s">
        <v>14326</v>
      </c>
      <c r="AG3920" t="s">
        <v>48</v>
      </c>
    </row>
    <row r="3921" spans="1:33">
      <c r="A3921" t="s">
        <v>14327</v>
      </c>
      <c r="B3921" t="s">
        <v>14328</v>
      </c>
      <c r="D3921" t="s">
        <v>40</v>
      </c>
      <c r="E3921" t="s">
        <v>41</v>
      </c>
      <c r="H3921" t="s">
        <v>14329</v>
      </c>
      <c r="J3921" t="s">
        <v>129</v>
      </c>
      <c r="K3921" t="s">
        <v>130</v>
      </c>
      <c r="L3921">
        <v>5</v>
      </c>
      <c r="M3921" t="s">
        <v>14330</v>
      </c>
      <c r="N3921" t="s">
        <v>14024</v>
      </c>
      <c r="O3921" t="s">
        <v>47</v>
      </c>
      <c r="P3921" t="s">
        <v>47</v>
      </c>
      <c r="Y3921" t="s">
        <v>14329</v>
      </c>
      <c r="AG3921" t="s">
        <v>48</v>
      </c>
    </row>
    <row r="3922" spans="1:33">
      <c r="A3922" t="s">
        <v>14331</v>
      </c>
      <c r="B3922" t="s">
        <v>14332</v>
      </c>
      <c r="D3922" t="s">
        <v>40</v>
      </c>
      <c r="E3922" t="s">
        <v>41</v>
      </c>
      <c r="J3922" t="s">
        <v>86</v>
      </c>
      <c r="K3922" t="s">
        <v>87</v>
      </c>
      <c r="L3922">
        <v>4</v>
      </c>
      <c r="M3922" t="s">
        <v>14333</v>
      </c>
      <c r="N3922" t="s">
        <v>14024</v>
      </c>
      <c r="O3922" t="s">
        <v>47</v>
      </c>
      <c r="P3922" t="s">
        <v>47</v>
      </c>
      <c r="Y3922" t="s">
        <v>14334</v>
      </c>
      <c r="AG3922" t="s">
        <v>48</v>
      </c>
    </row>
    <row r="3923" spans="1:33">
      <c r="A3923" t="s">
        <v>14335</v>
      </c>
      <c r="B3923" t="s">
        <v>14336</v>
      </c>
      <c r="D3923" t="s">
        <v>40</v>
      </c>
      <c r="E3923" t="s">
        <v>41</v>
      </c>
      <c r="J3923" t="s">
        <v>14337</v>
      </c>
      <c r="K3923" t="s">
        <v>14338</v>
      </c>
      <c r="L3923">
        <v>4</v>
      </c>
      <c r="M3923" t="s">
        <v>14339</v>
      </c>
      <c r="N3923" t="s">
        <v>14340</v>
      </c>
      <c r="O3923" t="s">
        <v>47</v>
      </c>
      <c r="P3923" t="s">
        <v>47</v>
      </c>
      <c r="Y3923" t="s">
        <v>14341</v>
      </c>
      <c r="AG3923" t="s">
        <v>48</v>
      </c>
    </row>
    <row r="3924" spans="1:33">
      <c r="A3924" t="s">
        <v>14342</v>
      </c>
      <c r="B3924" t="s">
        <v>14343</v>
      </c>
      <c r="D3924" t="s">
        <v>40</v>
      </c>
      <c r="E3924" t="s">
        <v>41</v>
      </c>
      <c r="H3924" t="s">
        <v>14344</v>
      </c>
      <c r="J3924" t="s">
        <v>215</v>
      </c>
      <c r="K3924" t="s">
        <v>216</v>
      </c>
      <c r="L3924">
        <v>6</v>
      </c>
      <c r="M3924" t="s">
        <v>14345</v>
      </c>
      <c r="N3924" t="s">
        <v>14340</v>
      </c>
      <c r="O3924" t="s">
        <v>47</v>
      </c>
      <c r="P3924" t="s">
        <v>47</v>
      </c>
      <c r="Y3924" t="s">
        <v>14344</v>
      </c>
      <c r="AG3924" t="s">
        <v>48</v>
      </c>
    </row>
    <row r="3925" spans="1:33">
      <c r="A3925" t="s">
        <v>14346</v>
      </c>
      <c r="B3925" t="s">
        <v>14347</v>
      </c>
      <c r="D3925" t="s">
        <v>40</v>
      </c>
      <c r="E3925" t="s">
        <v>41</v>
      </c>
      <c r="J3925" t="s">
        <v>215</v>
      </c>
      <c r="K3925" t="s">
        <v>216</v>
      </c>
      <c r="L3925">
        <v>5</v>
      </c>
      <c r="M3925" t="s">
        <v>14348</v>
      </c>
      <c r="N3925" t="s">
        <v>14340</v>
      </c>
      <c r="O3925" t="s">
        <v>47</v>
      </c>
      <c r="P3925" t="s">
        <v>47</v>
      </c>
      <c r="Y3925" t="s">
        <v>14349</v>
      </c>
      <c r="AG3925" t="s">
        <v>48</v>
      </c>
    </row>
    <row r="3926" spans="1:33">
      <c r="A3926" t="s">
        <v>14350</v>
      </c>
      <c r="B3926" t="s">
        <v>14351</v>
      </c>
      <c r="D3926" t="s">
        <v>40</v>
      </c>
      <c r="E3926" t="s">
        <v>41</v>
      </c>
      <c r="J3926" t="s">
        <v>86</v>
      </c>
      <c r="K3926" t="s">
        <v>87</v>
      </c>
      <c r="L3926">
        <v>4</v>
      </c>
      <c r="M3926" t="s">
        <v>14352</v>
      </c>
      <c r="N3926" t="s">
        <v>13995</v>
      </c>
      <c r="O3926" t="s">
        <v>47</v>
      </c>
      <c r="P3926" t="s">
        <v>47</v>
      </c>
      <c r="Y3926" t="s">
        <v>14353</v>
      </c>
      <c r="AG3926" t="s">
        <v>48</v>
      </c>
    </row>
    <row r="3927" spans="1:33">
      <c r="A3927" t="s">
        <v>14354</v>
      </c>
      <c r="B3927" t="s">
        <v>14355</v>
      </c>
      <c r="D3927" t="s">
        <v>40</v>
      </c>
      <c r="E3927" t="s">
        <v>41</v>
      </c>
      <c r="J3927" t="s">
        <v>13514</v>
      </c>
      <c r="K3927" t="s">
        <v>13515</v>
      </c>
      <c r="L3927">
        <v>5</v>
      </c>
      <c r="M3927" t="s">
        <v>14356</v>
      </c>
      <c r="N3927" t="s">
        <v>59</v>
      </c>
      <c r="O3927" t="s">
        <v>47</v>
      </c>
      <c r="P3927" t="s">
        <v>47</v>
      </c>
      <c r="Y3927" t="s">
        <v>14357</v>
      </c>
      <c r="AG3927" t="s">
        <v>48</v>
      </c>
    </row>
    <row r="3928" spans="1:33">
      <c r="A3928" t="s">
        <v>14358</v>
      </c>
      <c r="B3928" t="s">
        <v>14359</v>
      </c>
      <c r="D3928" t="s">
        <v>40</v>
      </c>
      <c r="E3928" t="s">
        <v>41</v>
      </c>
      <c r="J3928" t="s">
        <v>86</v>
      </c>
      <c r="K3928" t="s">
        <v>87</v>
      </c>
      <c r="L3928">
        <v>4</v>
      </c>
      <c r="M3928" t="s">
        <v>14360</v>
      </c>
      <c r="N3928" t="s">
        <v>13995</v>
      </c>
      <c r="O3928" t="s">
        <v>47</v>
      </c>
      <c r="P3928" t="s">
        <v>47</v>
      </c>
      <c r="Y3928" t="s">
        <v>14361</v>
      </c>
      <c r="AG3928" t="s">
        <v>48</v>
      </c>
    </row>
    <row r="3929" spans="1:33">
      <c r="A3929" t="s">
        <v>14362</v>
      </c>
      <c r="B3929" t="s">
        <v>14363</v>
      </c>
      <c r="D3929" t="s">
        <v>40</v>
      </c>
      <c r="E3929" t="s">
        <v>41</v>
      </c>
      <c r="J3929" t="s">
        <v>86</v>
      </c>
      <c r="K3929" t="s">
        <v>87</v>
      </c>
      <c r="L3929">
        <v>4</v>
      </c>
      <c r="M3929" t="s">
        <v>14364</v>
      </c>
      <c r="N3929" t="s">
        <v>14059</v>
      </c>
      <c r="O3929" t="s">
        <v>47</v>
      </c>
      <c r="P3929" t="s">
        <v>47</v>
      </c>
      <c r="Y3929" t="s">
        <v>14365</v>
      </c>
      <c r="AG3929" t="s">
        <v>48</v>
      </c>
    </row>
    <row r="3930" spans="1:33">
      <c r="A3930" t="s">
        <v>14366</v>
      </c>
      <c r="B3930" t="s">
        <v>14367</v>
      </c>
      <c r="D3930" t="s">
        <v>40</v>
      </c>
      <c r="E3930" t="s">
        <v>41</v>
      </c>
      <c r="J3930" t="s">
        <v>86</v>
      </c>
      <c r="K3930" t="s">
        <v>87</v>
      </c>
      <c r="L3930">
        <v>4</v>
      </c>
      <c r="M3930" t="s">
        <v>14368</v>
      </c>
      <c r="N3930" t="s">
        <v>14059</v>
      </c>
      <c r="O3930" t="s">
        <v>47</v>
      </c>
      <c r="P3930" t="s">
        <v>47</v>
      </c>
      <c r="Y3930" t="s">
        <v>14369</v>
      </c>
      <c r="AG3930" t="s">
        <v>48</v>
      </c>
    </row>
    <row r="3931" spans="1:33">
      <c r="A3931" t="s">
        <v>14370</v>
      </c>
      <c r="B3931" t="s">
        <v>14371</v>
      </c>
      <c r="D3931" t="s">
        <v>40</v>
      </c>
      <c r="E3931" t="s">
        <v>41</v>
      </c>
      <c r="J3931" t="s">
        <v>6163</v>
      </c>
      <c r="K3931" t="s">
        <v>6164</v>
      </c>
      <c r="L3931">
        <v>4</v>
      </c>
      <c r="M3931" t="s">
        <v>14372</v>
      </c>
      <c r="N3931" t="s">
        <v>13995</v>
      </c>
      <c r="O3931" t="s">
        <v>47</v>
      </c>
      <c r="P3931" t="s">
        <v>47</v>
      </c>
      <c r="Y3931" t="s">
        <v>14373</v>
      </c>
      <c r="AG3931" t="s">
        <v>48</v>
      </c>
    </row>
    <row r="3932" spans="1:33">
      <c r="A3932" t="s">
        <v>14374</v>
      </c>
      <c r="B3932" t="s">
        <v>14375</v>
      </c>
      <c r="D3932" t="s">
        <v>40</v>
      </c>
      <c r="E3932" t="s">
        <v>41</v>
      </c>
      <c r="J3932" t="s">
        <v>1418</v>
      </c>
      <c r="K3932" t="s">
        <v>1419</v>
      </c>
      <c r="L3932">
        <v>4</v>
      </c>
      <c r="M3932" t="s">
        <v>14376</v>
      </c>
      <c r="N3932" t="s">
        <v>192</v>
      </c>
      <c r="O3932" t="s">
        <v>47</v>
      </c>
      <c r="P3932" t="s">
        <v>47</v>
      </c>
      <c r="Y3932" t="s">
        <v>14377</v>
      </c>
      <c r="AG3932" t="s">
        <v>48</v>
      </c>
    </row>
    <row r="3933" spans="1:33">
      <c r="A3933" t="s">
        <v>14378</v>
      </c>
      <c r="B3933" t="s">
        <v>14379</v>
      </c>
      <c r="D3933" t="s">
        <v>40</v>
      </c>
      <c r="E3933" t="s">
        <v>41</v>
      </c>
      <c r="J3933" t="s">
        <v>86</v>
      </c>
      <c r="K3933" t="s">
        <v>87</v>
      </c>
      <c r="L3933">
        <v>4</v>
      </c>
      <c r="M3933" t="s">
        <v>14380</v>
      </c>
      <c r="N3933" t="s">
        <v>14024</v>
      </c>
      <c r="O3933" t="s">
        <v>47</v>
      </c>
      <c r="P3933" t="s">
        <v>47</v>
      </c>
      <c r="Y3933" t="s">
        <v>14381</v>
      </c>
      <c r="AG3933" t="s">
        <v>48</v>
      </c>
    </row>
    <row r="3934" spans="1:33">
      <c r="A3934" t="s">
        <v>14382</v>
      </c>
      <c r="B3934" t="s">
        <v>14383</v>
      </c>
      <c r="D3934" t="s">
        <v>40</v>
      </c>
      <c r="E3934" t="s">
        <v>41</v>
      </c>
      <c r="J3934" t="s">
        <v>86</v>
      </c>
      <c r="K3934" t="s">
        <v>87</v>
      </c>
      <c r="L3934">
        <v>4</v>
      </c>
      <c r="M3934" t="s">
        <v>14384</v>
      </c>
      <c r="N3934" t="s">
        <v>13995</v>
      </c>
      <c r="O3934" t="s">
        <v>47</v>
      </c>
      <c r="P3934" t="s">
        <v>47</v>
      </c>
      <c r="Y3934" t="s">
        <v>14385</v>
      </c>
      <c r="AG3934" t="s">
        <v>48</v>
      </c>
    </row>
    <row r="3935" spans="1:33">
      <c r="A3935" t="s">
        <v>14386</v>
      </c>
      <c r="B3935" t="s">
        <v>14387</v>
      </c>
      <c r="D3935" t="s">
        <v>40</v>
      </c>
      <c r="E3935" t="s">
        <v>41</v>
      </c>
      <c r="J3935" t="s">
        <v>1418</v>
      </c>
      <c r="K3935" t="s">
        <v>1419</v>
      </c>
      <c r="L3935">
        <v>4</v>
      </c>
      <c r="M3935" t="s">
        <v>14388</v>
      </c>
      <c r="N3935" t="s">
        <v>13995</v>
      </c>
      <c r="O3935" t="s">
        <v>47</v>
      </c>
      <c r="P3935" t="s">
        <v>47</v>
      </c>
      <c r="Y3935" t="s">
        <v>14389</v>
      </c>
      <c r="AG3935" t="s">
        <v>48</v>
      </c>
    </row>
    <row r="3936" spans="1:33">
      <c r="A3936" t="s">
        <v>14390</v>
      </c>
      <c r="B3936" t="s">
        <v>14391</v>
      </c>
      <c r="D3936" t="s">
        <v>40</v>
      </c>
      <c r="E3936" t="s">
        <v>41</v>
      </c>
      <c r="H3936" t="s">
        <v>14392</v>
      </c>
      <c r="J3936" t="s">
        <v>129</v>
      </c>
      <c r="K3936" t="s">
        <v>130</v>
      </c>
      <c r="L3936">
        <v>5</v>
      </c>
      <c r="M3936" t="s">
        <v>14393</v>
      </c>
      <c r="N3936" t="s">
        <v>14024</v>
      </c>
      <c r="O3936" t="s">
        <v>47</v>
      </c>
      <c r="P3936" t="s">
        <v>47</v>
      </c>
      <c r="Y3936" t="s">
        <v>14392</v>
      </c>
      <c r="AG3936" t="s">
        <v>48</v>
      </c>
    </row>
    <row r="3937" spans="1:33">
      <c r="A3937" t="s">
        <v>14394</v>
      </c>
      <c r="B3937" t="s">
        <v>14395</v>
      </c>
      <c r="D3937" t="s">
        <v>40</v>
      </c>
      <c r="E3937" t="s">
        <v>41</v>
      </c>
      <c r="J3937" t="s">
        <v>1418</v>
      </c>
      <c r="K3937" t="s">
        <v>1419</v>
      </c>
      <c r="L3937">
        <v>4</v>
      </c>
      <c r="M3937" t="s">
        <v>14396</v>
      </c>
      <c r="N3937" t="s">
        <v>218</v>
      </c>
      <c r="O3937" t="s">
        <v>47</v>
      </c>
      <c r="P3937" t="s">
        <v>47</v>
      </c>
      <c r="Y3937" t="s">
        <v>14397</v>
      </c>
      <c r="AG3937" t="s">
        <v>48</v>
      </c>
    </row>
    <row r="3938" spans="1:33">
      <c r="A3938" t="s">
        <v>14398</v>
      </c>
      <c r="B3938" t="s">
        <v>14399</v>
      </c>
      <c r="D3938" t="s">
        <v>40</v>
      </c>
      <c r="E3938" t="s">
        <v>41</v>
      </c>
      <c r="J3938" t="s">
        <v>86</v>
      </c>
      <c r="K3938" t="s">
        <v>87</v>
      </c>
      <c r="L3938">
        <v>4</v>
      </c>
      <c r="M3938" t="s">
        <v>14400</v>
      </c>
      <c r="N3938" t="s">
        <v>192</v>
      </c>
      <c r="O3938" t="s">
        <v>47</v>
      </c>
      <c r="P3938" t="s">
        <v>47</v>
      </c>
      <c r="Y3938" t="s">
        <v>14401</v>
      </c>
      <c r="AG3938" t="s">
        <v>48</v>
      </c>
    </row>
    <row r="3939" spans="1:33">
      <c r="A3939" t="s">
        <v>14402</v>
      </c>
      <c r="B3939" t="s">
        <v>14403</v>
      </c>
      <c r="D3939" t="s">
        <v>40</v>
      </c>
      <c r="E3939" t="s">
        <v>41</v>
      </c>
      <c r="H3939" t="s">
        <v>14404</v>
      </c>
      <c r="J3939" t="s">
        <v>4737</v>
      </c>
      <c r="K3939" t="s">
        <v>4738</v>
      </c>
      <c r="L3939">
        <v>5</v>
      </c>
      <c r="M3939" t="s">
        <v>14405</v>
      </c>
      <c r="N3939" t="s">
        <v>218</v>
      </c>
      <c r="O3939" t="s">
        <v>47</v>
      </c>
      <c r="P3939" t="s">
        <v>47</v>
      </c>
      <c r="Y3939" t="s">
        <v>14404</v>
      </c>
      <c r="AG3939" t="s">
        <v>48</v>
      </c>
    </row>
    <row r="3940" spans="1:33">
      <c r="A3940" t="s">
        <v>117</v>
      </c>
      <c r="B3940" t="s">
        <v>14406</v>
      </c>
      <c r="D3940" t="s">
        <v>40</v>
      </c>
      <c r="E3940" t="s">
        <v>41</v>
      </c>
      <c r="H3940" t="s">
        <v>14407</v>
      </c>
      <c r="J3940" t="s">
        <v>86</v>
      </c>
      <c r="K3940" t="s">
        <v>87</v>
      </c>
      <c r="L3940">
        <v>5</v>
      </c>
      <c r="M3940" t="s">
        <v>14408</v>
      </c>
      <c r="N3940" t="s">
        <v>192</v>
      </c>
      <c r="O3940" t="s">
        <v>47</v>
      </c>
      <c r="P3940" t="s">
        <v>47</v>
      </c>
      <c r="Y3940" t="s">
        <v>14407</v>
      </c>
      <c r="AG3940" t="s">
        <v>48</v>
      </c>
    </row>
    <row r="3941" spans="1:33">
      <c r="A3941" t="s">
        <v>14409</v>
      </c>
      <c r="B3941" t="s">
        <v>14410</v>
      </c>
      <c r="D3941" t="s">
        <v>40</v>
      </c>
      <c r="E3941" t="s">
        <v>41</v>
      </c>
      <c r="J3941" t="s">
        <v>86</v>
      </c>
      <c r="K3941" t="s">
        <v>87</v>
      </c>
      <c r="L3941">
        <v>4</v>
      </c>
      <c r="M3941" t="s">
        <v>14411</v>
      </c>
      <c r="N3941" t="s">
        <v>13995</v>
      </c>
      <c r="O3941" t="s">
        <v>47</v>
      </c>
      <c r="P3941" t="s">
        <v>47</v>
      </c>
      <c r="Y3941" t="s">
        <v>14412</v>
      </c>
      <c r="AG3941" t="s">
        <v>48</v>
      </c>
    </row>
    <row r="3942" spans="1:33">
      <c r="A3942" t="s">
        <v>14413</v>
      </c>
      <c r="B3942" t="s">
        <v>14414</v>
      </c>
      <c r="D3942" t="s">
        <v>40</v>
      </c>
      <c r="E3942" t="s">
        <v>41</v>
      </c>
      <c r="J3942" t="s">
        <v>86</v>
      </c>
      <c r="K3942" t="s">
        <v>87</v>
      </c>
      <c r="L3942">
        <v>4</v>
      </c>
      <c r="M3942" t="s">
        <v>14415</v>
      </c>
      <c r="N3942" t="s">
        <v>14011</v>
      </c>
      <c r="O3942" t="s">
        <v>47</v>
      </c>
      <c r="P3942" t="s">
        <v>47</v>
      </c>
      <c r="Y3942" t="s">
        <v>14416</v>
      </c>
      <c r="AG3942" t="s">
        <v>48</v>
      </c>
    </row>
    <row r="3943" spans="1:33">
      <c r="A3943" t="s">
        <v>14417</v>
      </c>
      <c r="B3943" t="s">
        <v>14418</v>
      </c>
      <c r="D3943" t="s">
        <v>40</v>
      </c>
      <c r="E3943" t="s">
        <v>41</v>
      </c>
      <c r="J3943" t="s">
        <v>1418</v>
      </c>
      <c r="K3943" t="s">
        <v>1419</v>
      </c>
      <c r="L3943">
        <v>4</v>
      </c>
      <c r="M3943" t="s">
        <v>14419</v>
      </c>
      <c r="N3943" t="s">
        <v>218</v>
      </c>
      <c r="O3943" t="s">
        <v>47</v>
      </c>
      <c r="P3943" t="s">
        <v>47</v>
      </c>
      <c r="Y3943" t="s">
        <v>14420</v>
      </c>
      <c r="AG3943" t="s">
        <v>48</v>
      </c>
    </row>
    <row r="3944" spans="1:33">
      <c r="A3944" t="s">
        <v>14421</v>
      </c>
      <c r="B3944" t="s">
        <v>14422</v>
      </c>
      <c r="D3944" t="s">
        <v>40</v>
      </c>
      <c r="E3944" t="s">
        <v>41</v>
      </c>
      <c r="J3944" t="s">
        <v>14204</v>
      </c>
      <c r="K3944" t="s">
        <v>14205</v>
      </c>
      <c r="L3944">
        <v>4</v>
      </c>
      <c r="M3944" t="s">
        <v>14423</v>
      </c>
      <c r="N3944" t="s">
        <v>14011</v>
      </c>
      <c r="O3944" t="s">
        <v>47</v>
      </c>
      <c r="P3944" t="s">
        <v>47</v>
      </c>
      <c r="Y3944" t="s">
        <v>14424</v>
      </c>
      <c r="AG3944" t="s">
        <v>48</v>
      </c>
    </row>
    <row r="3945" spans="1:33">
      <c r="A3945" t="s">
        <v>14425</v>
      </c>
      <c r="B3945" t="s">
        <v>14426</v>
      </c>
      <c r="D3945" t="s">
        <v>40</v>
      </c>
      <c r="E3945" t="s">
        <v>41</v>
      </c>
      <c r="J3945" t="s">
        <v>3472</v>
      </c>
      <c r="K3945" t="s">
        <v>3473</v>
      </c>
      <c r="L3945">
        <v>4</v>
      </c>
      <c r="M3945" t="s">
        <v>14427</v>
      </c>
      <c r="N3945" t="s">
        <v>14340</v>
      </c>
      <c r="O3945" t="s">
        <v>47</v>
      </c>
      <c r="P3945" t="s">
        <v>47</v>
      </c>
      <c r="Y3945" t="s">
        <v>14428</v>
      </c>
      <c r="AG3945" t="s">
        <v>48</v>
      </c>
    </row>
    <row r="3946" spans="1:33">
      <c r="A3946" t="s">
        <v>14429</v>
      </c>
      <c r="B3946" t="s">
        <v>14430</v>
      </c>
      <c r="D3946" t="s">
        <v>40</v>
      </c>
      <c r="E3946" t="s">
        <v>41</v>
      </c>
      <c r="J3946" t="s">
        <v>43</v>
      </c>
      <c r="K3946" t="s">
        <v>44</v>
      </c>
      <c r="L3946">
        <v>4</v>
      </c>
      <c r="M3946" t="s">
        <v>14431</v>
      </c>
      <c r="N3946" t="s">
        <v>218</v>
      </c>
      <c r="O3946" t="s">
        <v>47</v>
      </c>
      <c r="P3946" t="s">
        <v>47</v>
      </c>
      <c r="Y3946" t="s">
        <v>14432</v>
      </c>
      <c r="AG3946" t="s">
        <v>48</v>
      </c>
    </row>
    <row r="3947" spans="1:33">
      <c r="A3947" t="s">
        <v>14433</v>
      </c>
      <c r="B3947" t="s">
        <v>14434</v>
      </c>
      <c r="D3947" t="s">
        <v>40</v>
      </c>
      <c r="E3947" t="s">
        <v>41</v>
      </c>
      <c r="J3947" t="s">
        <v>86</v>
      </c>
      <c r="K3947" t="s">
        <v>87</v>
      </c>
      <c r="L3947">
        <v>4</v>
      </c>
      <c r="M3947" t="s">
        <v>14435</v>
      </c>
      <c r="N3947" t="s">
        <v>46</v>
      </c>
      <c r="O3947" t="s">
        <v>47</v>
      </c>
      <c r="P3947" t="s">
        <v>47</v>
      </c>
      <c r="Y3947" t="s">
        <v>14436</v>
      </c>
      <c r="AG3947" t="s">
        <v>48</v>
      </c>
    </row>
    <row r="3948" spans="1:33">
      <c r="A3948" t="s">
        <v>14437</v>
      </c>
      <c r="B3948" t="s">
        <v>14438</v>
      </c>
      <c r="D3948" t="s">
        <v>40</v>
      </c>
      <c r="E3948" t="s">
        <v>41</v>
      </c>
      <c r="J3948" t="s">
        <v>86</v>
      </c>
      <c r="K3948" t="s">
        <v>87</v>
      </c>
      <c r="L3948">
        <v>4</v>
      </c>
      <c r="M3948" t="s">
        <v>14439</v>
      </c>
      <c r="N3948" t="s">
        <v>192</v>
      </c>
      <c r="O3948" t="s">
        <v>47</v>
      </c>
      <c r="P3948" t="s">
        <v>47</v>
      </c>
      <c r="Y3948" t="s">
        <v>14440</v>
      </c>
      <c r="AG3948" t="s">
        <v>48</v>
      </c>
    </row>
    <row r="3949" spans="1:33">
      <c r="A3949" t="s">
        <v>14441</v>
      </c>
      <c r="B3949" t="s">
        <v>14442</v>
      </c>
      <c r="D3949" t="s">
        <v>40</v>
      </c>
      <c r="E3949" t="s">
        <v>41</v>
      </c>
      <c r="J3949" t="s">
        <v>86</v>
      </c>
      <c r="K3949" t="s">
        <v>87</v>
      </c>
      <c r="L3949">
        <v>4</v>
      </c>
      <c r="M3949" t="s">
        <v>14443</v>
      </c>
      <c r="N3949" t="s">
        <v>14024</v>
      </c>
      <c r="O3949" t="s">
        <v>47</v>
      </c>
      <c r="P3949" t="s">
        <v>47</v>
      </c>
      <c r="Y3949" t="s">
        <v>14444</v>
      </c>
      <c r="AG3949" t="s">
        <v>48</v>
      </c>
    </row>
    <row r="3950" spans="1:33">
      <c r="A3950" t="s">
        <v>14445</v>
      </c>
      <c r="B3950" t="s">
        <v>14446</v>
      </c>
      <c r="D3950" t="s">
        <v>40</v>
      </c>
      <c r="E3950" t="s">
        <v>41</v>
      </c>
      <c r="J3950" t="s">
        <v>86</v>
      </c>
      <c r="K3950" t="s">
        <v>87</v>
      </c>
      <c r="L3950">
        <v>4</v>
      </c>
      <c r="M3950" t="s">
        <v>14447</v>
      </c>
      <c r="N3950" t="s">
        <v>14059</v>
      </c>
      <c r="O3950" t="s">
        <v>47</v>
      </c>
      <c r="P3950" t="s">
        <v>47</v>
      </c>
      <c r="Y3950" t="s">
        <v>14448</v>
      </c>
      <c r="AG3950" t="s">
        <v>48</v>
      </c>
    </row>
    <row r="3951" spans="1:33">
      <c r="A3951" t="s">
        <v>14449</v>
      </c>
      <c r="B3951" t="s">
        <v>14450</v>
      </c>
      <c r="D3951" t="s">
        <v>40</v>
      </c>
      <c r="E3951" t="s">
        <v>41</v>
      </c>
      <c r="J3951" t="s">
        <v>43</v>
      </c>
      <c r="K3951" t="s">
        <v>44</v>
      </c>
      <c r="L3951">
        <v>4</v>
      </c>
      <c r="M3951" t="s">
        <v>14451</v>
      </c>
      <c r="N3951" t="s">
        <v>46</v>
      </c>
      <c r="O3951" t="s">
        <v>47</v>
      </c>
      <c r="P3951" t="s">
        <v>47</v>
      </c>
      <c r="Y3951" t="s">
        <v>14452</v>
      </c>
      <c r="AG3951" t="s">
        <v>48</v>
      </c>
    </row>
    <row r="3952" spans="1:33">
      <c r="A3952" t="s">
        <v>14453</v>
      </c>
      <c r="B3952" t="s">
        <v>14454</v>
      </c>
      <c r="D3952" t="s">
        <v>40</v>
      </c>
      <c r="E3952" t="s">
        <v>41</v>
      </c>
      <c r="H3952" t="s">
        <v>14455</v>
      </c>
      <c r="J3952" t="s">
        <v>86</v>
      </c>
      <c r="K3952" t="s">
        <v>87</v>
      </c>
      <c r="L3952">
        <v>5</v>
      </c>
      <c r="M3952" t="s">
        <v>14456</v>
      </c>
      <c r="N3952" t="s">
        <v>14059</v>
      </c>
      <c r="O3952" t="s">
        <v>47</v>
      </c>
      <c r="P3952" t="s">
        <v>47</v>
      </c>
      <c r="Y3952" t="s">
        <v>14455</v>
      </c>
      <c r="AG3952" t="s">
        <v>48</v>
      </c>
    </row>
    <row r="3953" spans="1:33">
      <c r="A3953" t="s">
        <v>14457</v>
      </c>
      <c r="B3953" t="s">
        <v>14458</v>
      </c>
      <c r="D3953" t="s">
        <v>40</v>
      </c>
      <c r="E3953" t="s">
        <v>41</v>
      </c>
      <c r="J3953" t="s">
        <v>43</v>
      </c>
      <c r="K3953" t="s">
        <v>44</v>
      </c>
      <c r="L3953">
        <v>4</v>
      </c>
      <c r="M3953" t="s">
        <v>14459</v>
      </c>
      <c r="N3953" t="s">
        <v>13995</v>
      </c>
      <c r="O3953" t="s">
        <v>47</v>
      </c>
      <c r="P3953" t="s">
        <v>47</v>
      </c>
      <c r="Y3953" t="s">
        <v>14460</v>
      </c>
      <c r="AG3953" t="s">
        <v>48</v>
      </c>
    </row>
    <row r="3954" spans="1:33">
      <c r="A3954" t="s">
        <v>14461</v>
      </c>
      <c r="B3954" t="s">
        <v>14462</v>
      </c>
      <c r="D3954" t="s">
        <v>40</v>
      </c>
      <c r="E3954" t="s">
        <v>41</v>
      </c>
      <c r="J3954" t="s">
        <v>14204</v>
      </c>
      <c r="K3954" t="s">
        <v>14205</v>
      </c>
      <c r="L3954">
        <v>4</v>
      </c>
      <c r="M3954" t="s">
        <v>14463</v>
      </c>
      <c r="N3954" t="s">
        <v>14340</v>
      </c>
      <c r="O3954" t="s">
        <v>47</v>
      </c>
      <c r="P3954" t="s">
        <v>47</v>
      </c>
      <c r="Y3954" t="s">
        <v>14464</v>
      </c>
      <c r="AG3954" t="s">
        <v>48</v>
      </c>
    </row>
    <row r="3955" spans="1:33">
      <c r="A3955" t="s">
        <v>14465</v>
      </c>
      <c r="B3955" t="s">
        <v>14466</v>
      </c>
      <c r="D3955" t="s">
        <v>40</v>
      </c>
      <c r="E3955" t="s">
        <v>41</v>
      </c>
      <c r="H3955" t="s">
        <v>14467</v>
      </c>
      <c r="J3955" t="s">
        <v>14190</v>
      </c>
      <c r="K3955" t="s">
        <v>14191</v>
      </c>
      <c r="L3955">
        <v>4</v>
      </c>
      <c r="M3955" t="s">
        <v>14468</v>
      </c>
      <c r="N3955" t="s">
        <v>13995</v>
      </c>
      <c r="O3955" t="s">
        <v>47</v>
      </c>
      <c r="P3955" t="s">
        <v>47</v>
      </c>
      <c r="Y3955" t="s">
        <v>14467</v>
      </c>
      <c r="AG3955" t="s">
        <v>48</v>
      </c>
    </row>
    <row r="3956" spans="1:33">
      <c r="A3956" t="s">
        <v>14469</v>
      </c>
      <c r="B3956" t="s">
        <v>14470</v>
      </c>
      <c r="D3956" t="s">
        <v>40</v>
      </c>
      <c r="E3956" t="s">
        <v>41</v>
      </c>
      <c r="J3956" t="s">
        <v>1418</v>
      </c>
      <c r="K3956" t="s">
        <v>1419</v>
      </c>
      <c r="L3956">
        <v>3</v>
      </c>
      <c r="M3956" t="s">
        <v>14471</v>
      </c>
      <c r="N3956" t="s">
        <v>14059</v>
      </c>
      <c r="O3956" t="s">
        <v>47</v>
      </c>
      <c r="P3956" t="s">
        <v>47</v>
      </c>
      <c r="Y3956" t="s">
        <v>14472</v>
      </c>
      <c r="AG3956" t="s">
        <v>48</v>
      </c>
    </row>
    <row r="3957" spans="1:33">
      <c r="A3957" t="s">
        <v>14473</v>
      </c>
      <c r="B3957" t="s">
        <v>14474</v>
      </c>
      <c r="D3957" t="s">
        <v>40</v>
      </c>
      <c r="E3957" t="s">
        <v>41</v>
      </c>
      <c r="J3957" t="s">
        <v>14475</v>
      </c>
      <c r="K3957" t="s">
        <v>14476</v>
      </c>
      <c r="L3957">
        <v>6</v>
      </c>
      <c r="M3957" t="s">
        <v>14477</v>
      </c>
      <c r="N3957" t="s">
        <v>192</v>
      </c>
      <c r="O3957" t="s">
        <v>47</v>
      </c>
      <c r="P3957" t="s">
        <v>47</v>
      </c>
      <c r="Y3957" t="s">
        <v>14478</v>
      </c>
      <c r="AG3957" t="s">
        <v>48</v>
      </c>
    </row>
    <row r="3958" spans="1:33">
      <c r="A3958" t="s">
        <v>14479</v>
      </c>
      <c r="B3958" t="s">
        <v>14480</v>
      </c>
      <c r="D3958" t="s">
        <v>40</v>
      </c>
      <c r="E3958" t="s">
        <v>41</v>
      </c>
      <c r="J3958" t="s">
        <v>129</v>
      </c>
      <c r="K3958" t="s">
        <v>130</v>
      </c>
      <c r="L3958">
        <v>6</v>
      </c>
      <c r="M3958" t="s">
        <v>14481</v>
      </c>
      <c r="N3958" t="s">
        <v>192</v>
      </c>
      <c r="O3958" t="s">
        <v>47</v>
      </c>
      <c r="P3958" t="s">
        <v>47</v>
      </c>
      <c r="Y3958" t="s">
        <v>14482</v>
      </c>
      <c r="AG3958" t="s">
        <v>48</v>
      </c>
    </row>
    <row r="3959" spans="1:33">
      <c r="A3959" t="s">
        <v>14483</v>
      </c>
      <c r="B3959" t="s">
        <v>14484</v>
      </c>
      <c r="D3959" t="s">
        <v>40</v>
      </c>
      <c r="E3959" t="s">
        <v>41</v>
      </c>
      <c r="J3959" t="s">
        <v>8931</v>
      </c>
      <c r="K3959" t="s">
        <v>8932</v>
      </c>
      <c r="L3959">
        <v>4</v>
      </c>
      <c r="M3959" t="s">
        <v>14485</v>
      </c>
      <c r="N3959" t="s">
        <v>14011</v>
      </c>
      <c r="O3959" t="s">
        <v>47</v>
      </c>
      <c r="P3959" t="s">
        <v>47</v>
      </c>
      <c r="Y3959" t="s">
        <v>14486</v>
      </c>
      <c r="AG3959" t="s">
        <v>48</v>
      </c>
    </row>
    <row r="3960" spans="1:33">
      <c r="A3960" t="s">
        <v>14487</v>
      </c>
      <c r="B3960" t="s">
        <v>14488</v>
      </c>
      <c r="D3960" t="s">
        <v>40</v>
      </c>
      <c r="E3960" t="s">
        <v>41</v>
      </c>
      <c r="J3960" t="s">
        <v>69</v>
      </c>
      <c r="K3960" t="s">
        <v>70</v>
      </c>
      <c r="L3960">
        <v>5</v>
      </c>
      <c r="M3960" t="s">
        <v>14489</v>
      </c>
      <c r="N3960" t="s">
        <v>13978</v>
      </c>
      <c r="O3960" t="s">
        <v>47</v>
      </c>
      <c r="P3960" t="s">
        <v>47</v>
      </c>
      <c r="Y3960" t="s">
        <v>14490</v>
      </c>
      <c r="AG3960" t="s">
        <v>48</v>
      </c>
    </row>
    <row r="3961" spans="1:33">
      <c r="A3961" t="s">
        <v>14491</v>
      </c>
      <c r="B3961" t="s">
        <v>14492</v>
      </c>
      <c r="D3961" t="s">
        <v>40</v>
      </c>
      <c r="E3961" t="s">
        <v>41</v>
      </c>
      <c r="J3961" t="s">
        <v>215</v>
      </c>
      <c r="K3961" t="s">
        <v>216</v>
      </c>
      <c r="L3961">
        <v>5</v>
      </c>
      <c r="M3961" t="s">
        <v>14493</v>
      </c>
      <c r="N3961" t="s">
        <v>192</v>
      </c>
      <c r="O3961" t="s">
        <v>47</v>
      </c>
      <c r="P3961" t="s">
        <v>47</v>
      </c>
      <c r="Y3961" t="s">
        <v>14494</v>
      </c>
      <c r="AG3961" t="s">
        <v>48</v>
      </c>
    </row>
    <row r="3962" spans="1:33">
      <c r="A3962" t="s">
        <v>14495</v>
      </c>
      <c r="B3962" t="s">
        <v>14496</v>
      </c>
      <c r="D3962" t="s">
        <v>40</v>
      </c>
      <c r="E3962" t="s">
        <v>41</v>
      </c>
      <c r="J3962" t="s">
        <v>14475</v>
      </c>
      <c r="K3962" t="s">
        <v>14476</v>
      </c>
      <c r="L3962">
        <v>5</v>
      </c>
      <c r="M3962" t="s">
        <v>14497</v>
      </c>
      <c r="N3962" t="s">
        <v>192</v>
      </c>
      <c r="O3962" t="s">
        <v>47</v>
      </c>
      <c r="P3962" t="s">
        <v>47</v>
      </c>
      <c r="Y3962" t="s">
        <v>14498</v>
      </c>
      <c r="AG3962" t="s">
        <v>48</v>
      </c>
    </row>
    <row r="3963" spans="1:33">
      <c r="A3963" t="s">
        <v>14499</v>
      </c>
      <c r="B3963" t="s">
        <v>14500</v>
      </c>
      <c r="D3963" t="s">
        <v>40</v>
      </c>
      <c r="E3963" t="s">
        <v>41</v>
      </c>
      <c r="J3963" t="s">
        <v>129</v>
      </c>
      <c r="K3963" t="s">
        <v>130</v>
      </c>
      <c r="L3963">
        <v>6</v>
      </c>
      <c r="M3963" t="s">
        <v>14501</v>
      </c>
      <c r="N3963" t="s">
        <v>192</v>
      </c>
      <c r="O3963" t="s">
        <v>47</v>
      </c>
      <c r="P3963" t="s">
        <v>47</v>
      </c>
      <c r="Y3963" t="s">
        <v>14502</v>
      </c>
      <c r="AG3963" t="s">
        <v>48</v>
      </c>
    </row>
    <row r="3964" spans="1:33">
      <c r="A3964" t="s">
        <v>14503</v>
      </c>
      <c r="B3964" t="s">
        <v>14504</v>
      </c>
      <c r="D3964" t="s">
        <v>40</v>
      </c>
      <c r="E3964" t="s">
        <v>41</v>
      </c>
      <c r="J3964" t="s">
        <v>69</v>
      </c>
      <c r="K3964" t="s">
        <v>70</v>
      </c>
      <c r="L3964">
        <v>7</v>
      </c>
      <c r="M3964" t="s">
        <v>14505</v>
      </c>
      <c r="N3964" t="s">
        <v>14011</v>
      </c>
      <c r="O3964" t="s">
        <v>47</v>
      </c>
      <c r="P3964" t="s">
        <v>47</v>
      </c>
      <c r="Y3964" t="s">
        <v>14506</v>
      </c>
      <c r="AG3964" t="s">
        <v>48</v>
      </c>
    </row>
    <row r="3965" spans="1:33">
      <c r="A3965" t="s">
        <v>14507</v>
      </c>
      <c r="B3965" t="s">
        <v>14508</v>
      </c>
      <c r="D3965" t="s">
        <v>40</v>
      </c>
      <c r="E3965" t="s">
        <v>41</v>
      </c>
      <c r="J3965" t="s">
        <v>215</v>
      </c>
      <c r="K3965" t="s">
        <v>216</v>
      </c>
      <c r="L3965">
        <v>6</v>
      </c>
      <c r="M3965" t="s">
        <v>14509</v>
      </c>
      <c r="N3965" t="s">
        <v>13978</v>
      </c>
      <c r="O3965" t="s">
        <v>47</v>
      </c>
      <c r="P3965" t="s">
        <v>47</v>
      </c>
      <c r="Y3965" t="s">
        <v>14510</v>
      </c>
      <c r="AG3965" t="s">
        <v>48</v>
      </c>
    </row>
    <row r="3966" spans="1:33">
      <c r="A3966" t="s">
        <v>14511</v>
      </c>
      <c r="B3966" t="s">
        <v>14512</v>
      </c>
      <c r="D3966" t="s">
        <v>40</v>
      </c>
      <c r="E3966" t="s">
        <v>41</v>
      </c>
      <c r="J3966" t="s">
        <v>1418</v>
      </c>
      <c r="K3966" t="s">
        <v>1419</v>
      </c>
      <c r="L3966">
        <v>6</v>
      </c>
      <c r="M3966" t="s">
        <v>14513</v>
      </c>
      <c r="N3966" t="s">
        <v>13978</v>
      </c>
      <c r="O3966" t="s">
        <v>47</v>
      </c>
      <c r="P3966" t="s">
        <v>47</v>
      </c>
      <c r="Y3966" t="s">
        <v>14514</v>
      </c>
      <c r="AG3966" t="s">
        <v>48</v>
      </c>
    </row>
    <row r="3967" spans="1:33">
      <c r="A3967" t="s">
        <v>14515</v>
      </c>
      <c r="B3967" t="s">
        <v>14516</v>
      </c>
      <c r="D3967" t="s">
        <v>40</v>
      </c>
      <c r="E3967" t="s">
        <v>41</v>
      </c>
      <c r="J3967" t="s">
        <v>123</v>
      </c>
      <c r="K3967" t="s">
        <v>124</v>
      </c>
      <c r="L3967">
        <v>5</v>
      </c>
      <c r="M3967" t="s">
        <v>14517</v>
      </c>
      <c r="N3967" t="s">
        <v>13978</v>
      </c>
      <c r="O3967" t="s">
        <v>47</v>
      </c>
      <c r="P3967" t="s">
        <v>47</v>
      </c>
      <c r="Y3967" t="s">
        <v>14518</v>
      </c>
      <c r="AG3967" t="s">
        <v>48</v>
      </c>
    </row>
    <row r="3968" spans="1:33">
      <c r="A3968" t="s">
        <v>14519</v>
      </c>
      <c r="B3968" t="s">
        <v>14520</v>
      </c>
      <c r="D3968" t="s">
        <v>40</v>
      </c>
      <c r="E3968" t="s">
        <v>41</v>
      </c>
      <c r="J3968" t="s">
        <v>86</v>
      </c>
      <c r="K3968" t="s">
        <v>87</v>
      </c>
      <c r="L3968">
        <v>4</v>
      </c>
      <c r="M3968" t="s">
        <v>14521</v>
      </c>
      <c r="N3968" t="s">
        <v>13978</v>
      </c>
      <c r="O3968" t="s">
        <v>47</v>
      </c>
      <c r="P3968" t="s">
        <v>47</v>
      </c>
      <c r="Y3968" t="s">
        <v>14522</v>
      </c>
      <c r="AG3968" t="s">
        <v>48</v>
      </c>
    </row>
    <row r="3969" spans="1:33">
      <c r="A3969" t="s">
        <v>14523</v>
      </c>
      <c r="B3969" t="s">
        <v>14524</v>
      </c>
      <c r="D3969" t="s">
        <v>40</v>
      </c>
      <c r="E3969" t="s">
        <v>41</v>
      </c>
      <c r="J3969" t="s">
        <v>123</v>
      </c>
      <c r="K3969" t="s">
        <v>124</v>
      </c>
      <c r="L3969">
        <v>5</v>
      </c>
      <c r="M3969" t="s">
        <v>14525</v>
      </c>
      <c r="N3969" t="s">
        <v>13978</v>
      </c>
      <c r="O3969" t="s">
        <v>47</v>
      </c>
      <c r="P3969" t="s">
        <v>47</v>
      </c>
      <c r="Y3969" t="s">
        <v>14526</v>
      </c>
      <c r="AG3969" t="s">
        <v>48</v>
      </c>
    </row>
    <row r="3970" spans="1:33">
      <c r="A3970" t="s">
        <v>14527</v>
      </c>
      <c r="B3970" t="s">
        <v>14528</v>
      </c>
      <c r="D3970" t="s">
        <v>40</v>
      </c>
      <c r="E3970" t="s">
        <v>41</v>
      </c>
      <c r="J3970" t="s">
        <v>215</v>
      </c>
      <c r="K3970" t="s">
        <v>216</v>
      </c>
      <c r="L3970">
        <v>6</v>
      </c>
      <c r="M3970" t="s">
        <v>14529</v>
      </c>
      <c r="N3970" t="s">
        <v>192</v>
      </c>
      <c r="O3970" t="s">
        <v>47</v>
      </c>
      <c r="P3970" t="s">
        <v>47</v>
      </c>
      <c r="Y3970" t="s">
        <v>14530</v>
      </c>
      <c r="AG3970" t="s">
        <v>48</v>
      </c>
    </row>
    <row r="3971" spans="1:33">
      <c r="A3971" t="s">
        <v>14531</v>
      </c>
      <c r="B3971" t="s">
        <v>14532</v>
      </c>
      <c r="D3971" t="s">
        <v>40</v>
      </c>
      <c r="E3971" t="s">
        <v>41</v>
      </c>
      <c r="J3971" t="s">
        <v>43</v>
      </c>
      <c r="K3971" t="s">
        <v>44</v>
      </c>
      <c r="L3971">
        <v>5</v>
      </c>
      <c r="M3971" t="s">
        <v>14533</v>
      </c>
      <c r="N3971" t="s">
        <v>13978</v>
      </c>
      <c r="O3971" t="s">
        <v>47</v>
      </c>
      <c r="P3971" t="s">
        <v>47</v>
      </c>
      <c r="Y3971" t="s">
        <v>14534</v>
      </c>
      <c r="AG3971" t="s">
        <v>48</v>
      </c>
    </row>
    <row r="3972" spans="1:33">
      <c r="A3972" t="s">
        <v>14535</v>
      </c>
      <c r="B3972" t="s">
        <v>14536</v>
      </c>
      <c r="D3972" t="s">
        <v>40</v>
      </c>
      <c r="E3972" t="s">
        <v>41</v>
      </c>
      <c r="J3972" t="s">
        <v>69</v>
      </c>
      <c r="K3972" t="s">
        <v>70</v>
      </c>
      <c r="L3972">
        <v>6</v>
      </c>
      <c r="M3972" t="s">
        <v>14537</v>
      </c>
      <c r="N3972" t="s">
        <v>14011</v>
      </c>
      <c r="O3972" t="s">
        <v>47</v>
      </c>
      <c r="P3972" t="s">
        <v>47</v>
      </c>
      <c r="Y3972" t="s">
        <v>14538</v>
      </c>
      <c r="AG3972" t="s">
        <v>48</v>
      </c>
    </row>
    <row r="3973" spans="1:33">
      <c r="A3973" t="s">
        <v>14539</v>
      </c>
      <c r="B3973" t="s">
        <v>14540</v>
      </c>
      <c r="D3973" t="s">
        <v>40</v>
      </c>
      <c r="E3973" t="s">
        <v>41</v>
      </c>
      <c r="J3973" t="s">
        <v>14475</v>
      </c>
      <c r="K3973" t="s">
        <v>14476</v>
      </c>
      <c r="L3973">
        <v>3</v>
      </c>
      <c r="M3973" t="s">
        <v>14541</v>
      </c>
      <c r="N3973" t="s">
        <v>192</v>
      </c>
      <c r="O3973" t="s">
        <v>47</v>
      </c>
      <c r="P3973" t="s">
        <v>47</v>
      </c>
      <c r="Y3973" t="s">
        <v>14542</v>
      </c>
      <c r="AG3973" t="s">
        <v>48</v>
      </c>
    </row>
    <row r="3974" spans="1:33">
      <c r="A3974" t="s">
        <v>14543</v>
      </c>
      <c r="B3974" t="s">
        <v>14544</v>
      </c>
      <c r="D3974" t="s">
        <v>40</v>
      </c>
      <c r="E3974" t="s">
        <v>41</v>
      </c>
      <c r="J3974" t="s">
        <v>4737</v>
      </c>
      <c r="K3974" t="s">
        <v>4738</v>
      </c>
      <c r="L3974">
        <v>5</v>
      </c>
      <c r="M3974" t="s">
        <v>14545</v>
      </c>
      <c r="N3974" t="s">
        <v>192</v>
      </c>
      <c r="O3974" t="s">
        <v>47</v>
      </c>
      <c r="P3974" t="s">
        <v>47</v>
      </c>
      <c r="Y3974" t="s">
        <v>14546</v>
      </c>
      <c r="AG3974" t="s">
        <v>48</v>
      </c>
    </row>
    <row r="3975" spans="1:33">
      <c r="A3975" t="s">
        <v>14547</v>
      </c>
      <c r="B3975" t="s">
        <v>14548</v>
      </c>
      <c r="D3975" t="s">
        <v>40</v>
      </c>
      <c r="E3975" t="s">
        <v>41</v>
      </c>
      <c r="J3975" t="s">
        <v>215</v>
      </c>
      <c r="K3975" t="s">
        <v>216</v>
      </c>
      <c r="L3975">
        <v>5</v>
      </c>
      <c r="M3975" t="s">
        <v>14549</v>
      </c>
      <c r="N3975" t="s">
        <v>192</v>
      </c>
      <c r="O3975" t="s">
        <v>47</v>
      </c>
      <c r="P3975" t="s">
        <v>47</v>
      </c>
      <c r="Y3975" t="s">
        <v>14550</v>
      </c>
      <c r="AG3975" t="s">
        <v>48</v>
      </c>
    </row>
    <row r="3976" spans="1:33">
      <c r="A3976" t="s">
        <v>14551</v>
      </c>
      <c r="B3976" t="s">
        <v>14552</v>
      </c>
      <c r="D3976" t="s">
        <v>40</v>
      </c>
      <c r="E3976" t="s">
        <v>41</v>
      </c>
      <c r="J3976" t="s">
        <v>129</v>
      </c>
      <c r="K3976" t="s">
        <v>130</v>
      </c>
      <c r="L3976">
        <v>7</v>
      </c>
      <c r="M3976" t="s">
        <v>14553</v>
      </c>
      <c r="N3976" t="s">
        <v>14024</v>
      </c>
      <c r="O3976" t="s">
        <v>47</v>
      </c>
      <c r="P3976" t="s">
        <v>47</v>
      </c>
      <c r="Y3976" t="s">
        <v>14554</v>
      </c>
      <c r="AG3976" t="s">
        <v>48</v>
      </c>
    </row>
    <row r="3977" spans="1:33">
      <c r="A3977" t="s">
        <v>14555</v>
      </c>
      <c r="B3977" t="s">
        <v>14556</v>
      </c>
      <c r="D3977" t="s">
        <v>40</v>
      </c>
      <c r="E3977" t="s">
        <v>41</v>
      </c>
      <c r="J3977" t="s">
        <v>147</v>
      </c>
      <c r="K3977" t="s">
        <v>148</v>
      </c>
      <c r="L3977">
        <v>7</v>
      </c>
      <c r="M3977" t="s">
        <v>14557</v>
      </c>
      <c r="N3977" t="s">
        <v>14024</v>
      </c>
      <c r="O3977" t="s">
        <v>47</v>
      </c>
      <c r="P3977" t="s">
        <v>47</v>
      </c>
      <c r="Y3977" t="s">
        <v>14558</v>
      </c>
      <c r="AG3977" t="s">
        <v>48</v>
      </c>
    </row>
    <row r="3978" spans="1:33">
      <c r="A3978" t="s">
        <v>14559</v>
      </c>
      <c r="B3978" t="s">
        <v>14560</v>
      </c>
      <c r="D3978" t="s">
        <v>40</v>
      </c>
      <c r="E3978" t="s">
        <v>41</v>
      </c>
      <c r="J3978" t="s">
        <v>129</v>
      </c>
      <c r="K3978" t="s">
        <v>130</v>
      </c>
      <c r="L3978">
        <v>6</v>
      </c>
      <c r="M3978" t="s">
        <v>14561</v>
      </c>
      <c r="N3978" t="s">
        <v>14024</v>
      </c>
      <c r="O3978" t="s">
        <v>47</v>
      </c>
      <c r="P3978" t="s">
        <v>47</v>
      </c>
      <c r="Y3978" t="s">
        <v>14562</v>
      </c>
      <c r="AG3978" t="s">
        <v>48</v>
      </c>
    </row>
    <row r="3979" spans="1:33">
      <c r="A3979" t="s">
        <v>14563</v>
      </c>
      <c r="B3979" t="s">
        <v>14564</v>
      </c>
      <c r="D3979" t="s">
        <v>40</v>
      </c>
      <c r="E3979" t="s">
        <v>41</v>
      </c>
      <c r="J3979" t="s">
        <v>215</v>
      </c>
      <c r="K3979" t="s">
        <v>216</v>
      </c>
      <c r="L3979">
        <v>5</v>
      </c>
      <c r="M3979" t="s">
        <v>14565</v>
      </c>
      <c r="N3979" t="s">
        <v>14024</v>
      </c>
      <c r="O3979" t="s">
        <v>47</v>
      </c>
      <c r="P3979" t="s">
        <v>47</v>
      </c>
      <c r="Y3979" t="s">
        <v>14566</v>
      </c>
      <c r="AG3979" t="s">
        <v>48</v>
      </c>
    </row>
    <row r="3980" spans="1:33">
      <c r="A3980" t="s">
        <v>14567</v>
      </c>
      <c r="B3980" t="s">
        <v>14568</v>
      </c>
      <c r="D3980" t="s">
        <v>40</v>
      </c>
      <c r="E3980" t="s">
        <v>41</v>
      </c>
      <c r="J3980" t="s">
        <v>215</v>
      </c>
      <c r="K3980" t="s">
        <v>216</v>
      </c>
      <c r="L3980">
        <v>10</v>
      </c>
      <c r="M3980" t="s">
        <v>14569</v>
      </c>
      <c r="N3980" t="s">
        <v>13978</v>
      </c>
      <c r="O3980" t="s">
        <v>47</v>
      </c>
      <c r="P3980" t="s">
        <v>47</v>
      </c>
      <c r="Y3980" t="s">
        <v>14570</v>
      </c>
      <c r="AG3980" t="s">
        <v>48</v>
      </c>
    </row>
    <row r="3981" spans="1:33">
      <c r="A3981" t="s">
        <v>14571</v>
      </c>
      <c r="B3981" t="s">
        <v>14572</v>
      </c>
      <c r="D3981" t="s">
        <v>40</v>
      </c>
      <c r="E3981" t="s">
        <v>41</v>
      </c>
      <c r="J3981" t="s">
        <v>86</v>
      </c>
      <c r="K3981" t="s">
        <v>87</v>
      </c>
      <c r="L3981">
        <v>4</v>
      </c>
      <c r="M3981" t="s">
        <v>14573</v>
      </c>
      <c r="N3981" t="s">
        <v>14024</v>
      </c>
      <c r="O3981" t="s">
        <v>47</v>
      </c>
      <c r="P3981" t="s">
        <v>47</v>
      </c>
      <c r="Y3981" t="s">
        <v>14574</v>
      </c>
      <c r="AG3981" t="s">
        <v>48</v>
      </c>
    </row>
    <row r="3982" spans="1:33">
      <c r="A3982" t="s">
        <v>14575</v>
      </c>
      <c r="B3982" t="s">
        <v>14576</v>
      </c>
      <c r="D3982" t="s">
        <v>40</v>
      </c>
      <c r="E3982" t="s">
        <v>41</v>
      </c>
      <c r="J3982" t="s">
        <v>1052</v>
      </c>
      <c r="K3982" t="s">
        <v>1053</v>
      </c>
      <c r="L3982">
        <v>4</v>
      </c>
      <c r="M3982" t="s">
        <v>14577</v>
      </c>
      <c r="N3982" t="s">
        <v>13978</v>
      </c>
      <c r="O3982" t="s">
        <v>47</v>
      </c>
      <c r="P3982" t="s">
        <v>47</v>
      </c>
      <c r="Y3982" t="s">
        <v>14578</v>
      </c>
      <c r="AG3982" t="s">
        <v>48</v>
      </c>
    </row>
    <row r="3983" spans="1:33">
      <c r="A3983" t="s">
        <v>14579</v>
      </c>
      <c r="B3983" t="s">
        <v>14580</v>
      </c>
      <c r="D3983" t="s">
        <v>40</v>
      </c>
      <c r="E3983" t="s">
        <v>41</v>
      </c>
      <c r="J3983" t="s">
        <v>14475</v>
      </c>
      <c r="K3983" t="s">
        <v>14476</v>
      </c>
      <c r="L3983">
        <v>4</v>
      </c>
      <c r="M3983" t="s">
        <v>14581</v>
      </c>
      <c r="N3983" t="s">
        <v>192</v>
      </c>
      <c r="O3983" t="s">
        <v>47</v>
      </c>
      <c r="P3983" t="s">
        <v>47</v>
      </c>
      <c r="Y3983" t="s">
        <v>14582</v>
      </c>
      <c r="AG3983" t="s">
        <v>48</v>
      </c>
    </row>
    <row r="3984" spans="1:33">
      <c r="A3984" t="s">
        <v>14583</v>
      </c>
      <c r="B3984" t="s">
        <v>14584</v>
      </c>
      <c r="D3984" t="s">
        <v>40</v>
      </c>
      <c r="E3984" t="s">
        <v>41</v>
      </c>
      <c r="J3984" t="s">
        <v>1418</v>
      </c>
      <c r="K3984" t="s">
        <v>1419</v>
      </c>
      <c r="L3984">
        <v>4</v>
      </c>
      <c r="M3984" t="s">
        <v>14585</v>
      </c>
      <c r="N3984" t="s">
        <v>14024</v>
      </c>
      <c r="O3984" t="s">
        <v>47</v>
      </c>
      <c r="P3984" t="s">
        <v>47</v>
      </c>
      <c r="Y3984" t="s">
        <v>14586</v>
      </c>
      <c r="AG3984" t="s">
        <v>48</v>
      </c>
    </row>
    <row r="3985" spans="1:33">
      <c r="A3985" t="s">
        <v>14587</v>
      </c>
      <c r="B3985" t="s">
        <v>14588</v>
      </c>
      <c r="D3985" t="s">
        <v>40</v>
      </c>
      <c r="E3985" t="s">
        <v>41</v>
      </c>
      <c r="J3985" t="s">
        <v>1418</v>
      </c>
      <c r="K3985" t="s">
        <v>1419</v>
      </c>
      <c r="L3985">
        <v>4</v>
      </c>
      <c r="M3985" t="s">
        <v>14589</v>
      </c>
      <c r="N3985" t="s">
        <v>14011</v>
      </c>
      <c r="O3985" t="s">
        <v>47</v>
      </c>
      <c r="P3985" t="s">
        <v>47</v>
      </c>
      <c r="Y3985" t="s">
        <v>14590</v>
      </c>
      <c r="AG3985" t="s">
        <v>48</v>
      </c>
    </row>
    <row r="3986" spans="1:33">
      <c r="A3986" t="s">
        <v>14591</v>
      </c>
      <c r="B3986" t="s">
        <v>14592</v>
      </c>
      <c r="D3986" t="s">
        <v>40</v>
      </c>
      <c r="E3986" t="s">
        <v>41</v>
      </c>
      <c r="J3986" t="s">
        <v>14475</v>
      </c>
      <c r="K3986" t="s">
        <v>14476</v>
      </c>
      <c r="L3986">
        <v>4</v>
      </c>
      <c r="M3986" t="s">
        <v>14593</v>
      </c>
      <c r="N3986" t="s">
        <v>192</v>
      </c>
      <c r="O3986" t="s">
        <v>47</v>
      </c>
      <c r="P3986" t="s">
        <v>47</v>
      </c>
      <c r="Y3986" t="s">
        <v>14594</v>
      </c>
      <c r="AG3986" t="s">
        <v>48</v>
      </c>
    </row>
    <row r="3987" spans="1:33">
      <c r="A3987" t="s">
        <v>14595</v>
      </c>
      <c r="B3987" t="s">
        <v>14596</v>
      </c>
      <c r="D3987" t="s">
        <v>40</v>
      </c>
      <c r="E3987" t="s">
        <v>41</v>
      </c>
      <c r="J3987" t="s">
        <v>86</v>
      </c>
      <c r="K3987" t="s">
        <v>87</v>
      </c>
      <c r="L3987">
        <v>4</v>
      </c>
      <c r="M3987" t="s">
        <v>14597</v>
      </c>
      <c r="N3987" t="s">
        <v>14024</v>
      </c>
      <c r="O3987" t="s">
        <v>47</v>
      </c>
      <c r="P3987" t="s">
        <v>47</v>
      </c>
      <c r="Y3987" t="s">
        <v>14598</v>
      </c>
      <c r="AG3987" t="s">
        <v>48</v>
      </c>
    </row>
    <row r="3988" spans="1:33">
      <c r="A3988" t="s">
        <v>14599</v>
      </c>
      <c r="B3988" t="s">
        <v>14600</v>
      </c>
      <c r="D3988" t="s">
        <v>40</v>
      </c>
      <c r="E3988" t="s">
        <v>41</v>
      </c>
      <c r="J3988" t="s">
        <v>69</v>
      </c>
      <c r="K3988" t="s">
        <v>70</v>
      </c>
      <c r="L3988">
        <v>5</v>
      </c>
      <c r="M3988" t="s">
        <v>14601</v>
      </c>
      <c r="N3988" t="s">
        <v>14011</v>
      </c>
      <c r="O3988" t="s">
        <v>47</v>
      </c>
      <c r="P3988" t="s">
        <v>47</v>
      </c>
      <c r="Y3988" t="s">
        <v>14602</v>
      </c>
      <c r="AG3988" t="s">
        <v>48</v>
      </c>
    </row>
    <row r="3989" spans="1:33">
      <c r="A3989" t="s">
        <v>14603</v>
      </c>
      <c r="B3989" t="s">
        <v>14604</v>
      </c>
      <c r="D3989" t="s">
        <v>40</v>
      </c>
      <c r="E3989" t="s">
        <v>41</v>
      </c>
      <c r="J3989" t="s">
        <v>14475</v>
      </c>
      <c r="K3989" t="s">
        <v>14476</v>
      </c>
      <c r="L3989">
        <v>4</v>
      </c>
      <c r="M3989" t="s">
        <v>14605</v>
      </c>
      <c r="N3989" t="s">
        <v>192</v>
      </c>
      <c r="O3989" t="s">
        <v>47</v>
      </c>
      <c r="P3989" t="s">
        <v>47</v>
      </c>
      <c r="Y3989" t="s">
        <v>14606</v>
      </c>
      <c r="AG3989" t="s">
        <v>48</v>
      </c>
    </row>
    <row r="3990" spans="1:33">
      <c r="A3990" t="s">
        <v>14607</v>
      </c>
      <c r="B3990" t="s">
        <v>14608</v>
      </c>
      <c r="D3990" t="s">
        <v>40</v>
      </c>
      <c r="E3990" t="s">
        <v>41</v>
      </c>
      <c r="J3990" t="s">
        <v>1418</v>
      </c>
      <c r="K3990" t="s">
        <v>1419</v>
      </c>
      <c r="L3990">
        <v>4</v>
      </c>
      <c r="M3990" t="s">
        <v>14609</v>
      </c>
      <c r="N3990" t="s">
        <v>192</v>
      </c>
      <c r="O3990" t="s">
        <v>47</v>
      </c>
      <c r="P3990" t="s">
        <v>47</v>
      </c>
      <c r="Y3990" t="s">
        <v>14610</v>
      </c>
      <c r="AG3990" t="s">
        <v>48</v>
      </c>
    </row>
    <row r="3991" spans="1:33">
      <c r="A3991" t="s">
        <v>14611</v>
      </c>
      <c r="B3991" t="s">
        <v>14612</v>
      </c>
      <c r="D3991" t="s">
        <v>40</v>
      </c>
      <c r="E3991" t="s">
        <v>41</v>
      </c>
      <c r="J3991" t="s">
        <v>86</v>
      </c>
      <c r="K3991" t="s">
        <v>87</v>
      </c>
      <c r="L3991">
        <v>4</v>
      </c>
      <c r="M3991" t="s">
        <v>14613</v>
      </c>
      <c r="N3991" t="s">
        <v>14024</v>
      </c>
      <c r="O3991" t="s">
        <v>47</v>
      </c>
      <c r="P3991" t="s">
        <v>47</v>
      </c>
      <c r="Y3991" t="s">
        <v>14614</v>
      </c>
      <c r="AG3991" t="s">
        <v>48</v>
      </c>
    </row>
    <row r="3992" spans="1:33">
      <c r="A3992" t="s">
        <v>14615</v>
      </c>
      <c r="B3992" t="s">
        <v>14616</v>
      </c>
      <c r="D3992" t="s">
        <v>40</v>
      </c>
      <c r="E3992" t="s">
        <v>41</v>
      </c>
      <c r="J3992" t="s">
        <v>123</v>
      </c>
      <c r="K3992" t="s">
        <v>124</v>
      </c>
      <c r="L3992">
        <v>5</v>
      </c>
      <c r="M3992" t="s">
        <v>14617</v>
      </c>
      <c r="N3992" t="s">
        <v>14011</v>
      </c>
      <c r="O3992" t="s">
        <v>47</v>
      </c>
      <c r="P3992" t="s">
        <v>47</v>
      </c>
      <c r="Y3992" t="s">
        <v>14618</v>
      </c>
      <c r="AG3992" t="s">
        <v>48</v>
      </c>
    </row>
    <row r="3993" spans="1:33">
      <c r="A3993" t="s">
        <v>14619</v>
      </c>
      <c r="B3993" t="s">
        <v>14620</v>
      </c>
      <c r="D3993" t="s">
        <v>40</v>
      </c>
      <c r="E3993" t="s">
        <v>41</v>
      </c>
      <c r="J3993" t="s">
        <v>69</v>
      </c>
      <c r="K3993" t="s">
        <v>70</v>
      </c>
      <c r="L3993">
        <v>5</v>
      </c>
      <c r="M3993" t="s">
        <v>14621</v>
      </c>
      <c r="N3993" t="s">
        <v>13978</v>
      </c>
      <c r="O3993" t="s">
        <v>47</v>
      </c>
      <c r="P3993" t="s">
        <v>47</v>
      </c>
      <c r="Y3993" t="s">
        <v>14622</v>
      </c>
      <c r="AG3993" t="s">
        <v>48</v>
      </c>
    </row>
    <row r="3994" spans="1:33">
      <c r="A3994" t="s">
        <v>14623</v>
      </c>
      <c r="B3994" t="s">
        <v>14624</v>
      </c>
      <c r="D3994" t="s">
        <v>40</v>
      </c>
      <c r="E3994" t="s">
        <v>41</v>
      </c>
      <c r="J3994" t="s">
        <v>147</v>
      </c>
      <c r="K3994" t="s">
        <v>148</v>
      </c>
      <c r="L3994">
        <v>5</v>
      </c>
      <c r="M3994" t="s">
        <v>14625</v>
      </c>
      <c r="N3994" t="s">
        <v>192</v>
      </c>
      <c r="O3994" t="s">
        <v>47</v>
      </c>
      <c r="P3994" t="s">
        <v>47</v>
      </c>
      <c r="Y3994" t="s">
        <v>14626</v>
      </c>
      <c r="AG3994" t="s">
        <v>48</v>
      </c>
    </row>
    <row r="3995" spans="1:33">
      <c r="A3995" t="s">
        <v>14627</v>
      </c>
      <c r="B3995" t="s">
        <v>14628</v>
      </c>
      <c r="D3995" t="s">
        <v>40</v>
      </c>
      <c r="E3995" t="s">
        <v>41</v>
      </c>
      <c r="J3995" t="s">
        <v>270</v>
      </c>
      <c r="K3995" t="s">
        <v>271</v>
      </c>
      <c r="L3995">
        <v>5</v>
      </c>
      <c r="M3995" t="s">
        <v>14629</v>
      </c>
      <c r="N3995" t="s">
        <v>59</v>
      </c>
      <c r="O3995" t="s">
        <v>47</v>
      </c>
      <c r="P3995" t="s">
        <v>47</v>
      </c>
      <c r="Y3995" t="s">
        <v>14630</v>
      </c>
      <c r="AG3995" t="s">
        <v>48</v>
      </c>
    </row>
    <row r="3996" spans="1:33">
      <c r="A3996" t="s">
        <v>14631</v>
      </c>
      <c r="B3996" t="s">
        <v>14632</v>
      </c>
      <c r="D3996" t="s">
        <v>40</v>
      </c>
      <c r="E3996" t="s">
        <v>41</v>
      </c>
      <c r="J3996" t="s">
        <v>215</v>
      </c>
      <c r="K3996" t="s">
        <v>216</v>
      </c>
      <c r="L3996">
        <v>7</v>
      </c>
      <c r="M3996" t="s">
        <v>14633</v>
      </c>
      <c r="N3996" t="s">
        <v>14340</v>
      </c>
      <c r="O3996" t="s">
        <v>47</v>
      </c>
      <c r="P3996" t="s">
        <v>47</v>
      </c>
      <c r="Y3996" t="s">
        <v>14634</v>
      </c>
      <c r="AG3996" t="s">
        <v>48</v>
      </c>
    </row>
    <row r="3997" spans="1:33">
      <c r="A3997" t="s">
        <v>14635</v>
      </c>
      <c r="B3997" t="s">
        <v>14636</v>
      </c>
      <c r="D3997" t="s">
        <v>40</v>
      </c>
      <c r="E3997" t="s">
        <v>41</v>
      </c>
      <c r="J3997" t="s">
        <v>129</v>
      </c>
      <c r="K3997" t="s">
        <v>130</v>
      </c>
      <c r="L3997">
        <v>5</v>
      </c>
      <c r="M3997" t="s">
        <v>14637</v>
      </c>
      <c r="N3997" t="s">
        <v>14024</v>
      </c>
      <c r="O3997" t="s">
        <v>47</v>
      </c>
      <c r="P3997" t="s">
        <v>47</v>
      </c>
      <c r="Y3997" t="s">
        <v>14638</v>
      </c>
      <c r="AG3997" t="s">
        <v>48</v>
      </c>
    </row>
    <row r="3998" spans="1:33">
      <c r="A3998" t="s">
        <v>14639</v>
      </c>
      <c r="B3998" t="s">
        <v>14640</v>
      </c>
      <c r="D3998" t="s">
        <v>40</v>
      </c>
      <c r="E3998" t="s">
        <v>41</v>
      </c>
      <c r="J3998" t="s">
        <v>123</v>
      </c>
      <c r="K3998" t="s">
        <v>124</v>
      </c>
      <c r="L3998">
        <v>5</v>
      </c>
      <c r="M3998" t="s">
        <v>14641</v>
      </c>
      <c r="N3998" t="s">
        <v>218</v>
      </c>
      <c r="O3998" t="s">
        <v>47</v>
      </c>
      <c r="P3998" t="s">
        <v>47</v>
      </c>
      <c r="Y3998" t="s">
        <v>14642</v>
      </c>
      <c r="AG3998" t="s">
        <v>48</v>
      </c>
    </row>
    <row r="3999" spans="1:33">
      <c r="A3999" t="s">
        <v>14643</v>
      </c>
      <c r="B3999" t="s">
        <v>14644</v>
      </c>
      <c r="D3999" t="s">
        <v>40</v>
      </c>
      <c r="E3999" t="s">
        <v>41</v>
      </c>
      <c r="J3999" t="s">
        <v>86</v>
      </c>
      <c r="K3999" t="s">
        <v>87</v>
      </c>
      <c r="L3999">
        <v>3</v>
      </c>
      <c r="M3999" t="s">
        <v>14645</v>
      </c>
      <c r="N3999" t="s">
        <v>13978</v>
      </c>
      <c r="O3999" t="s">
        <v>47</v>
      </c>
      <c r="P3999" t="s">
        <v>47</v>
      </c>
      <c r="Y3999" t="s">
        <v>14646</v>
      </c>
      <c r="AG3999" t="s">
        <v>48</v>
      </c>
    </row>
    <row r="4000" spans="1:33">
      <c r="A4000" t="s">
        <v>14647</v>
      </c>
      <c r="B4000" t="s">
        <v>14648</v>
      </c>
      <c r="D4000" t="s">
        <v>40</v>
      </c>
      <c r="E4000" t="s">
        <v>41</v>
      </c>
      <c r="J4000" t="s">
        <v>215</v>
      </c>
      <c r="K4000" t="s">
        <v>216</v>
      </c>
      <c r="L4000">
        <v>8</v>
      </c>
      <c r="M4000" t="s">
        <v>14649</v>
      </c>
      <c r="N4000" t="s">
        <v>14024</v>
      </c>
      <c r="O4000" t="s">
        <v>47</v>
      </c>
      <c r="P4000" t="s">
        <v>47</v>
      </c>
      <c r="Y4000" t="s">
        <v>14650</v>
      </c>
      <c r="AG4000" t="s">
        <v>48</v>
      </c>
    </row>
    <row r="4001" spans="1:33">
      <c r="A4001" t="s">
        <v>14651</v>
      </c>
      <c r="B4001" t="s">
        <v>14652</v>
      </c>
      <c r="D4001" t="s">
        <v>40</v>
      </c>
      <c r="E4001" t="s">
        <v>41</v>
      </c>
      <c r="J4001" t="s">
        <v>129</v>
      </c>
      <c r="K4001" t="s">
        <v>130</v>
      </c>
      <c r="L4001">
        <v>5</v>
      </c>
      <c r="M4001" t="s">
        <v>14653</v>
      </c>
      <c r="N4001" t="s">
        <v>13978</v>
      </c>
      <c r="O4001" t="s">
        <v>47</v>
      </c>
      <c r="P4001" t="s">
        <v>47</v>
      </c>
      <c r="Y4001" t="s">
        <v>14654</v>
      </c>
      <c r="AG4001" t="s">
        <v>48</v>
      </c>
    </row>
    <row r="4002" spans="1:33">
      <c r="A4002" t="s">
        <v>14655</v>
      </c>
      <c r="B4002" t="s">
        <v>14656</v>
      </c>
      <c r="D4002" t="s">
        <v>40</v>
      </c>
      <c r="E4002" t="s">
        <v>41</v>
      </c>
      <c r="J4002" t="s">
        <v>86</v>
      </c>
      <c r="K4002" t="s">
        <v>87</v>
      </c>
      <c r="L4002">
        <v>6</v>
      </c>
      <c r="M4002" t="s">
        <v>14657</v>
      </c>
      <c r="N4002" t="s">
        <v>14024</v>
      </c>
      <c r="O4002" t="s">
        <v>47</v>
      </c>
      <c r="P4002" t="s">
        <v>47</v>
      </c>
      <c r="Y4002" t="s">
        <v>14658</v>
      </c>
      <c r="AG4002" t="s">
        <v>48</v>
      </c>
    </row>
    <row r="4003" spans="1:33">
      <c r="A4003" t="s">
        <v>14659</v>
      </c>
      <c r="B4003" t="s">
        <v>14660</v>
      </c>
      <c r="D4003" t="s">
        <v>40</v>
      </c>
      <c r="E4003" t="s">
        <v>41</v>
      </c>
      <c r="J4003" t="s">
        <v>14475</v>
      </c>
      <c r="K4003" t="s">
        <v>14476</v>
      </c>
      <c r="L4003">
        <v>3</v>
      </c>
      <c r="M4003" t="s">
        <v>14661</v>
      </c>
      <c r="N4003" t="s">
        <v>13978</v>
      </c>
      <c r="O4003" t="s">
        <v>47</v>
      </c>
      <c r="P4003" t="s">
        <v>47</v>
      </c>
      <c r="Y4003" t="s">
        <v>14662</v>
      </c>
      <c r="AG4003" t="s">
        <v>48</v>
      </c>
    </row>
    <row r="4004" spans="1:33">
      <c r="A4004" t="s">
        <v>14663</v>
      </c>
      <c r="B4004" t="s">
        <v>14664</v>
      </c>
      <c r="D4004" t="s">
        <v>40</v>
      </c>
      <c r="E4004" t="s">
        <v>41</v>
      </c>
      <c r="J4004" t="s">
        <v>43</v>
      </c>
      <c r="K4004" t="s">
        <v>44</v>
      </c>
      <c r="L4004">
        <v>3</v>
      </c>
      <c r="M4004" t="s">
        <v>14665</v>
      </c>
      <c r="N4004" t="s">
        <v>192</v>
      </c>
      <c r="O4004" t="s">
        <v>47</v>
      </c>
      <c r="P4004" t="s">
        <v>47</v>
      </c>
      <c r="Y4004" t="s">
        <v>14666</v>
      </c>
      <c r="AG4004" t="s">
        <v>48</v>
      </c>
    </row>
    <row r="4005" spans="1:33">
      <c r="A4005" t="s">
        <v>14667</v>
      </c>
      <c r="B4005" t="s">
        <v>14668</v>
      </c>
      <c r="D4005" t="s">
        <v>40</v>
      </c>
      <c r="E4005" t="s">
        <v>41</v>
      </c>
      <c r="J4005" t="s">
        <v>86</v>
      </c>
      <c r="K4005" t="s">
        <v>87</v>
      </c>
      <c r="L4005">
        <v>4</v>
      </c>
      <c r="M4005" t="s">
        <v>14669</v>
      </c>
      <c r="N4005" t="s">
        <v>192</v>
      </c>
      <c r="O4005" t="s">
        <v>47</v>
      </c>
      <c r="P4005" t="s">
        <v>47</v>
      </c>
      <c r="Y4005" t="s">
        <v>14670</v>
      </c>
      <c r="AG4005" t="s">
        <v>48</v>
      </c>
    </row>
    <row r="4006" spans="1:33">
      <c r="A4006" t="s">
        <v>14671</v>
      </c>
      <c r="B4006" t="s">
        <v>14672</v>
      </c>
      <c r="D4006" t="s">
        <v>40</v>
      </c>
      <c r="E4006" t="s">
        <v>41</v>
      </c>
      <c r="J4006" t="s">
        <v>86</v>
      </c>
      <c r="K4006" t="s">
        <v>87</v>
      </c>
      <c r="L4006">
        <v>3</v>
      </c>
      <c r="M4006" t="s">
        <v>14673</v>
      </c>
      <c r="N4006" t="s">
        <v>14024</v>
      </c>
      <c r="O4006" t="s">
        <v>47</v>
      </c>
      <c r="P4006" t="s">
        <v>47</v>
      </c>
      <c r="Y4006" t="s">
        <v>14674</v>
      </c>
      <c r="AG4006" t="s">
        <v>48</v>
      </c>
    </row>
    <row r="4007" spans="1:33">
      <c r="A4007" t="s">
        <v>14675</v>
      </c>
      <c r="B4007" t="s">
        <v>14676</v>
      </c>
      <c r="D4007" t="s">
        <v>40</v>
      </c>
      <c r="E4007" t="s">
        <v>41</v>
      </c>
      <c r="J4007" t="s">
        <v>43</v>
      </c>
      <c r="K4007" t="s">
        <v>44</v>
      </c>
      <c r="L4007">
        <v>3</v>
      </c>
      <c r="M4007" t="s">
        <v>14677</v>
      </c>
      <c r="N4007" t="s">
        <v>14340</v>
      </c>
      <c r="O4007" t="s">
        <v>47</v>
      </c>
      <c r="P4007" t="s">
        <v>47</v>
      </c>
      <c r="Y4007" t="s">
        <v>14678</v>
      </c>
      <c r="AG4007" t="s">
        <v>48</v>
      </c>
    </row>
    <row r="4008" spans="1:33">
      <c r="A4008" t="s">
        <v>14679</v>
      </c>
      <c r="B4008" t="s">
        <v>14680</v>
      </c>
      <c r="D4008" t="s">
        <v>40</v>
      </c>
      <c r="E4008" t="s">
        <v>41</v>
      </c>
      <c r="J4008" t="s">
        <v>1418</v>
      </c>
      <c r="K4008" t="s">
        <v>1419</v>
      </c>
      <c r="L4008">
        <v>3</v>
      </c>
      <c r="M4008" t="s">
        <v>14681</v>
      </c>
      <c r="N4008" t="s">
        <v>14011</v>
      </c>
      <c r="O4008" t="s">
        <v>47</v>
      </c>
      <c r="P4008" t="s">
        <v>47</v>
      </c>
      <c r="Y4008" t="s">
        <v>14682</v>
      </c>
      <c r="AG4008" t="s">
        <v>48</v>
      </c>
    </row>
    <row r="4009" spans="1:33">
      <c r="A4009" t="s">
        <v>14683</v>
      </c>
      <c r="B4009" t="s">
        <v>14684</v>
      </c>
      <c r="D4009" t="s">
        <v>40</v>
      </c>
      <c r="E4009" t="s">
        <v>41</v>
      </c>
      <c r="J4009" t="s">
        <v>14204</v>
      </c>
      <c r="K4009" t="s">
        <v>14205</v>
      </c>
      <c r="L4009">
        <v>3</v>
      </c>
      <c r="M4009" t="s">
        <v>14685</v>
      </c>
      <c r="N4009" t="s">
        <v>218</v>
      </c>
      <c r="O4009" t="s">
        <v>47</v>
      </c>
      <c r="P4009" t="s">
        <v>47</v>
      </c>
      <c r="Y4009" t="s">
        <v>14686</v>
      </c>
      <c r="AG4009" t="s">
        <v>48</v>
      </c>
    </row>
    <row r="4010" spans="1:33">
      <c r="A4010" t="s">
        <v>14687</v>
      </c>
      <c r="B4010" t="s">
        <v>14688</v>
      </c>
      <c r="D4010" t="s">
        <v>40</v>
      </c>
      <c r="E4010" t="s">
        <v>41</v>
      </c>
      <c r="J4010" t="s">
        <v>4737</v>
      </c>
      <c r="K4010" t="s">
        <v>4738</v>
      </c>
      <c r="L4010">
        <v>3</v>
      </c>
      <c r="M4010" t="s">
        <v>14689</v>
      </c>
      <c r="N4010" t="s">
        <v>192</v>
      </c>
      <c r="O4010" t="s">
        <v>47</v>
      </c>
      <c r="P4010" t="s">
        <v>47</v>
      </c>
      <c r="Y4010" t="s">
        <v>14690</v>
      </c>
      <c r="AG4010" t="s">
        <v>48</v>
      </c>
    </row>
    <row r="4011" spans="1:33">
      <c r="A4011" t="s">
        <v>14691</v>
      </c>
      <c r="B4011" t="s">
        <v>14692</v>
      </c>
      <c r="D4011" t="s">
        <v>40</v>
      </c>
      <c r="E4011" t="s">
        <v>41</v>
      </c>
      <c r="J4011" t="s">
        <v>1052</v>
      </c>
      <c r="K4011" t="s">
        <v>1053</v>
      </c>
      <c r="L4011">
        <v>4</v>
      </c>
      <c r="M4011" t="s">
        <v>14693</v>
      </c>
      <c r="N4011" t="s">
        <v>14340</v>
      </c>
      <c r="O4011" t="s">
        <v>47</v>
      </c>
      <c r="P4011" t="s">
        <v>47</v>
      </c>
      <c r="Y4011" t="s">
        <v>14694</v>
      </c>
      <c r="AG4011" t="s">
        <v>48</v>
      </c>
    </row>
    <row r="4012" spans="1:33">
      <c r="A4012" t="s">
        <v>14695</v>
      </c>
      <c r="B4012" t="s">
        <v>14696</v>
      </c>
      <c r="D4012" t="s">
        <v>40</v>
      </c>
      <c r="E4012" t="s">
        <v>41</v>
      </c>
      <c r="J4012" t="s">
        <v>3472</v>
      </c>
      <c r="K4012" t="s">
        <v>3473</v>
      </c>
      <c r="L4012">
        <v>3</v>
      </c>
      <c r="M4012" t="s">
        <v>14697</v>
      </c>
      <c r="N4012" t="s">
        <v>14340</v>
      </c>
      <c r="O4012" t="s">
        <v>47</v>
      </c>
      <c r="P4012" t="s">
        <v>47</v>
      </c>
      <c r="Y4012" t="s">
        <v>14698</v>
      </c>
      <c r="AG4012" t="s">
        <v>48</v>
      </c>
    </row>
    <row r="4013" spans="1:33">
      <c r="A4013" t="s">
        <v>14699</v>
      </c>
      <c r="B4013" t="s">
        <v>14700</v>
      </c>
      <c r="D4013" t="s">
        <v>40</v>
      </c>
      <c r="E4013" t="s">
        <v>41</v>
      </c>
      <c r="J4013" t="s">
        <v>215</v>
      </c>
      <c r="K4013" t="s">
        <v>216</v>
      </c>
      <c r="L4013">
        <v>8</v>
      </c>
      <c r="M4013" t="s">
        <v>14701</v>
      </c>
      <c r="N4013" t="s">
        <v>14024</v>
      </c>
      <c r="O4013" t="s">
        <v>47</v>
      </c>
      <c r="P4013" t="s">
        <v>47</v>
      </c>
      <c r="Y4013" t="s">
        <v>14702</v>
      </c>
      <c r="AG4013" t="s">
        <v>48</v>
      </c>
    </row>
    <row r="4014" spans="1:33">
      <c r="A4014" t="s">
        <v>14703</v>
      </c>
      <c r="B4014" t="s">
        <v>14704</v>
      </c>
      <c r="D4014" t="s">
        <v>40</v>
      </c>
      <c r="E4014" t="s">
        <v>41</v>
      </c>
      <c r="J4014" t="s">
        <v>86</v>
      </c>
      <c r="K4014" t="s">
        <v>87</v>
      </c>
      <c r="L4014">
        <v>3</v>
      </c>
      <c r="M4014" t="s">
        <v>14705</v>
      </c>
      <c r="N4014" t="s">
        <v>14024</v>
      </c>
      <c r="O4014" t="s">
        <v>47</v>
      </c>
      <c r="P4014" t="s">
        <v>47</v>
      </c>
      <c r="Y4014" t="s">
        <v>14706</v>
      </c>
      <c r="AG4014" t="s">
        <v>48</v>
      </c>
    </row>
    <row r="4015" spans="1:33">
      <c r="A4015" t="s">
        <v>14707</v>
      </c>
      <c r="B4015" t="s">
        <v>14708</v>
      </c>
      <c r="D4015" t="s">
        <v>40</v>
      </c>
      <c r="E4015" t="s">
        <v>41</v>
      </c>
      <c r="J4015" t="s">
        <v>86</v>
      </c>
      <c r="K4015" t="s">
        <v>87</v>
      </c>
      <c r="L4015">
        <v>3</v>
      </c>
      <c r="M4015" t="s">
        <v>14709</v>
      </c>
      <c r="N4015" t="s">
        <v>14024</v>
      </c>
      <c r="O4015" t="s">
        <v>47</v>
      </c>
      <c r="P4015" t="s">
        <v>47</v>
      </c>
      <c r="Y4015" t="s">
        <v>14710</v>
      </c>
      <c r="AG4015" t="s">
        <v>48</v>
      </c>
    </row>
    <row r="4016" spans="1:33">
      <c r="A4016" t="s">
        <v>14711</v>
      </c>
      <c r="B4016" t="s">
        <v>14712</v>
      </c>
      <c r="D4016" t="s">
        <v>40</v>
      </c>
      <c r="E4016" t="s">
        <v>41</v>
      </c>
      <c r="J4016" t="s">
        <v>86</v>
      </c>
      <c r="K4016" t="s">
        <v>87</v>
      </c>
      <c r="L4016">
        <v>3</v>
      </c>
      <c r="M4016" t="s">
        <v>14713</v>
      </c>
      <c r="N4016" t="s">
        <v>14024</v>
      </c>
      <c r="O4016" t="s">
        <v>47</v>
      </c>
      <c r="P4016" t="s">
        <v>47</v>
      </c>
      <c r="Y4016" t="s">
        <v>14714</v>
      </c>
      <c r="AG4016" t="s">
        <v>48</v>
      </c>
    </row>
    <row r="4017" spans="1:33">
      <c r="A4017" t="s">
        <v>14715</v>
      </c>
      <c r="B4017" t="s">
        <v>14716</v>
      </c>
      <c r="D4017" t="s">
        <v>40</v>
      </c>
      <c r="E4017" t="s">
        <v>41</v>
      </c>
      <c r="J4017" t="s">
        <v>86</v>
      </c>
      <c r="K4017" t="s">
        <v>87</v>
      </c>
      <c r="L4017">
        <v>3</v>
      </c>
      <c r="M4017" t="s">
        <v>14717</v>
      </c>
      <c r="N4017" t="s">
        <v>13978</v>
      </c>
      <c r="O4017" t="s">
        <v>47</v>
      </c>
      <c r="P4017" t="s">
        <v>47</v>
      </c>
      <c r="Y4017" t="s">
        <v>14718</v>
      </c>
      <c r="AG4017" t="s">
        <v>48</v>
      </c>
    </row>
    <row r="4018" spans="1:33">
      <c r="A4018" t="s">
        <v>14719</v>
      </c>
      <c r="B4018" t="s">
        <v>14720</v>
      </c>
      <c r="D4018" t="s">
        <v>40</v>
      </c>
      <c r="E4018" t="s">
        <v>41</v>
      </c>
      <c r="J4018" t="s">
        <v>86</v>
      </c>
      <c r="K4018" t="s">
        <v>87</v>
      </c>
      <c r="L4018">
        <v>3</v>
      </c>
      <c r="M4018" t="s">
        <v>14721</v>
      </c>
      <c r="N4018" t="s">
        <v>13978</v>
      </c>
      <c r="O4018" t="s">
        <v>47</v>
      </c>
      <c r="P4018" t="s">
        <v>47</v>
      </c>
      <c r="Y4018" t="s">
        <v>14722</v>
      </c>
      <c r="AG4018" t="s">
        <v>48</v>
      </c>
    </row>
    <row r="4019" spans="1:33">
      <c r="A4019" t="s">
        <v>14723</v>
      </c>
      <c r="B4019" t="s">
        <v>14724</v>
      </c>
      <c r="D4019" t="s">
        <v>40</v>
      </c>
      <c r="E4019" t="s">
        <v>41</v>
      </c>
      <c r="J4019" t="s">
        <v>86</v>
      </c>
      <c r="K4019" t="s">
        <v>87</v>
      </c>
      <c r="L4019">
        <v>3</v>
      </c>
      <c r="M4019" t="s">
        <v>14725</v>
      </c>
      <c r="N4019" t="s">
        <v>14024</v>
      </c>
      <c r="O4019" t="s">
        <v>47</v>
      </c>
      <c r="P4019" t="s">
        <v>47</v>
      </c>
      <c r="Y4019" t="s">
        <v>14726</v>
      </c>
      <c r="AG4019" t="s">
        <v>48</v>
      </c>
    </row>
    <row r="4020" spans="1:33">
      <c r="A4020" t="s">
        <v>14727</v>
      </c>
      <c r="B4020" t="s">
        <v>14728</v>
      </c>
      <c r="D4020" t="s">
        <v>40</v>
      </c>
      <c r="E4020" t="s">
        <v>41</v>
      </c>
      <c r="J4020" t="s">
        <v>123</v>
      </c>
      <c r="K4020" t="s">
        <v>124</v>
      </c>
      <c r="L4020">
        <v>6</v>
      </c>
      <c r="M4020" t="s">
        <v>14729</v>
      </c>
      <c r="N4020" t="s">
        <v>14011</v>
      </c>
      <c r="O4020" t="s">
        <v>47</v>
      </c>
      <c r="P4020" t="s">
        <v>47</v>
      </c>
      <c r="Y4020" t="s">
        <v>14730</v>
      </c>
      <c r="AG4020" t="s">
        <v>48</v>
      </c>
    </row>
    <row r="4021" spans="1:33">
      <c r="A4021" t="s">
        <v>14731</v>
      </c>
      <c r="B4021" t="s">
        <v>14732</v>
      </c>
      <c r="D4021" t="s">
        <v>40</v>
      </c>
      <c r="E4021" t="s">
        <v>41</v>
      </c>
      <c r="J4021" t="s">
        <v>14475</v>
      </c>
      <c r="K4021" t="s">
        <v>14476</v>
      </c>
      <c r="L4021">
        <v>3</v>
      </c>
      <c r="M4021" t="s">
        <v>14733</v>
      </c>
      <c r="N4021" t="s">
        <v>13978</v>
      </c>
      <c r="O4021" t="s">
        <v>47</v>
      </c>
      <c r="P4021" t="s">
        <v>47</v>
      </c>
      <c r="Y4021" t="s">
        <v>14734</v>
      </c>
      <c r="AG4021" t="s">
        <v>48</v>
      </c>
    </row>
    <row r="4022" spans="1:33">
      <c r="A4022" t="s">
        <v>14735</v>
      </c>
      <c r="B4022" t="s">
        <v>14736</v>
      </c>
      <c r="D4022" t="s">
        <v>40</v>
      </c>
      <c r="E4022" t="s">
        <v>41</v>
      </c>
      <c r="J4022" t="s">
        <v>86</v>
      </c>
      <c r="K4022" t="s">
        <v>87</v>
      </c>
      <c r="L4022">
        <v>3</v>
      </c>
      <c r="M4022" t="s">
        <v>14737</v>
      </c>
      <c r="N4022" t="s">
        <v>14024</v>
      </c>
      <c r="O4022" t="s">
        <v>47</v>
      </c>
      <c r="P4022" t="s">
        <v>47</v>
      </c>
      <c r="Y4022" t="s">
        <v>14738</v>
      </c>
      <c r="AG4022" t="s">
        <v>48</v>
      </c>
    </row>
    <row r="4023" spans="1:33">
      <c r="A4023" t="s">
        <v>14739</v>
      </c>
      <c r="B4023" t="s">
        <v>14740</v>
      </c>
      <c r="D4023" t="s">
        <v>40</v>
      </c>
      <c r="E4023" t="s">
        <v>41</v>
      </c>
      <c r="J4023" t="s">
        <v>86</v>
      </c>
      <c r="K4023" t="s">
        <v>87</v>
      </c>
      <c r="L4023">
        <v>3</v>
      </c>
      <c r="M4023" t="s">
        <v>14741</v>
      </c>
      <c r="N4023" t="s">
        <v>13978</v>
      </c>
      <c r="O4023" t="s">
        <v>47</v>
      </c>
      <c r="P4023" t="s">
        <v>47</v>
      </c>
      <c r="Y4023" t="s">
        <v>14742</v>
      </c>
      <c r="AG4023" t="s">
        <v>48</v>
      </c>
    </row>
    <row r="4024" spans="1:33">
      <c r="A4024" t="s">
        <v>14743</v>
      </c>
      <c r="B4024" t="s">
        <v>14744</v>
      </c>
      <c r="D4024" t="s">
        <v>40</v>
      </c>
      <c r="E4024" t="s">
        <v>41</v>
      </c>
      <c r="J4024" t="s">
        <v>86</v>
      </c>
      <c r="K4024" t="s">
        <v>87</v>
      </c>
      <c r="L4024">
        <v>4</v>
      </c>
      <c r="M4024" t="s">
        <v>14745</v>
      </c>
      <c r="N4024" t="s">
        <v>14024</v>
      </c>
      <c r="O4024" t="s">
        <v>47</v>
      </c>
      <c r="P4024" t="s">
        <v>47</v>
      </c>
      <c r="Y4024" t="s">
        <v>14746</v>
      </c>
      <c r="AG4024" t="s">
        <v>48</v>
      </c>
    </row>
    <row r="4025" spans="1:33">
      <c r="A4025" t="s">
        <v>14747</v>
      </c>
      <c r="B4025" t="s">
        <v>14748</v>
      </c>
      <c r="D4025" t="s">
        <v>40</v>
      </c>
      <c r="E4025" t="s">
        <v>41</v>
      </c>
      <c r="J4025" t="s">
        <v>3472</v>
      </c>
      <c r="K4025" t="s">
        <v>3473</v>
      </c>
      <c r="L4025">
        <v>3</v>
      </c>
      <c r="M4025" t="s">
        <v>14749</v>
      </c>
      <c r="N4025" t="s">
        <v>218</v>
      </c>
      <c r="O4025" t="s">
        <v>47</v>
      </c>
      <c r="P4025" t="s">
        <v>47</v>
      </c>
      <c r="Y4025" t="s">
        <v>14750</v>
      </c>
      <c r="AG4025" t="s">
        <v>48</v>
      </c>
    </row>
    <row r="4026" spans="1:33">
      <c r="A4026" t="s">
        <v>14751</v>
      </c>
      <c r="B4026" t="s">
        <v>14752</v>
      </c>
      <c r="D4026" t="s">
        <v>40</v>
      </c>
      <c r="E4026" t="s">
        <v>41</v>
      </c>
      <c r="J4026" t="s">
        <v>6163</v>
      </c>
      <c r="K4026" t="s">
        <v>6164</v>
      </c>
      <c r="L4026">
        <v>3</v>
      </c>
      <c r="M4026" t="s">
        <v>14753</v>
      </c>
      <c r="N4026" t="s">
        <v>14059</v>
      </c>
      <c r="O4026" t="s">
        <v>47</v>
      </c>
      <c r="P4026" t="s">
        <v>47</v>
      </c>
      <c r="Y4026" t="s">
        <v>14754</v>
      </c>
      <c r="AG4026" t="s">
        <v>48</v>
      </c>
    </row>
    <row r="4027" spans="1:33">
      <c r="A4027" t="s">
        <v>14755</v>
      </c>
      <c r="B4027" t="s">
        <v>14756</v>
      </c>
      <c r="D4027" t="s">
        <v>40</v>
      </c>
      <c r="E4027" t="s">
        <v>41</v>
      </c>
      <c r="J4027" t="s">
        <v>86</v>
      </c>
      <c r="K4027" t="s">
        <v>87</v>
      </c>
      <c r="L4027">
        <v>3</v>
      </c>
      <c r="M4027" t="s">
        <v>14757</v>
      </c>
      <c r="N4027" t="s">
        <v>14059</v>
      </c>
      <c r="O4027" t="s">
        <v>47</v>
      </c>
      <c r="P4027" t="s">
        <v>47</v>
      </c>
      <c r="Y4027" t="s">
        <v>14758</v>
      </c>
      <c r="AG4027" t="s">
        <v>48</v>
      </c>
    </row>
    <row r="4028" spans="1:33">
      <c r="A4028" t="s">
        <v>14759</v>
      </c>
      <c r="B4028" t="s">
        <v>14760</v>
      </c>
      <c r="D4028" t="s">
        <v>40</v>
      </c>
      <c r="E4028" t="s">
        <v>41</v>
      </c>
      <c r="J4028" t="s">
        <v>14204</v>
      </c>
      <c r="K4028" t="s">
        <v>14205</v>
      </c>
      <c r="L4028">
        <v>3</v>
      </c>
      <c r="M4028" t="s">
        <v>14761</v>
      </c>
      <c r="N4028" t="s">
        <v>14011</v>
      </c>
      <c r="O4028" t="s">
        <v>47</v>
      </c>
      <c r="P4028" t="s">
        <v>47</v>
      </c>
      <c r="Y4028" t="s">
        <v>14762</v>
      </c>
      <c r="AG4028" t="s">
        <v>48</v>
      </c>
    </row>
    <row r="4029" spans="1:33">
      <c r="A4029" t="s">
        <v>14763</v>
      </c>
      <c r="B4029" t="s">
        <v>14764</v>
      </c>
      <c r="D4029" t="s">
        <v>40</v>
      </c>
      <c r="E4029" t="s">
        <v>41</v>
      </c>
      <c r="J4029" t="s">
        <v>86</v>
      </c>
      <c r="K4029" t="s">
        <v>87</v>
      </c>
      <c r="L4029">
        <v>3</v>
      </c>
      <c r="M4029" t="s">
        <v>14765</v>
      </c>
      <c r="N4029" t="s">
        <v>13978</v>
      </c>
      <c r="O4029" t="s">
        <v>47</v>
      </c>
      <c r="P4029" t="s">
        <v>47</v>
      </c>
      <c r="Y4029" t="s">
        <v>14766</v>
      </c>
      <c r="AG4029" t="s">
        <v>48</v>
      </c>
    </row>
    <row r="4030" spans="1:33">
      <c r="A4030" t="s">
        <v>14767</v>
      </c>
      <c r="B4030" t="s">
        <v>14768</v>
      </c>
      <c r="D4030" t="s">
        <v>40</v>
      </c>
      <c r="E4030" t="s">
        <v>41</v>
      </c>
      <c r="J4030" t="s">
        <v>86</v>
      </c>
      <c r="K4030" t="s">
        <v>87</v>
      </c>
      <c r="L4030">
        <v>3</v>
      </c>
      <c r="M4030" t="s">
        <v>14769</v>
      </c>
      <c r="N4030" t="s">
        <v>14024</v>
      </c>
      <c r="O4030" t="s">
        <v>47</v>
      </c>
      <c r="P4030" t="s">
        <v>47</v>
      </c>
      <c r="Y4030" t="s">
        <v>14770</v>
      </c>
      <c r="AG4030" t="s">
        <v>48</v>
      </c>
    </row>
    <row r="4031" spans="1:33">
      <c r="A4031" t="s">
        <v>117</v>
      </c>
      <c r="B4031" t="s">
        <v>14771</v>
      </c>
      <c r="D4031" t="s">
        <v>40</v>
      </c>
      <c r="E4031" t="s">
        <v>41</v>
      </c>
      <c r="J4031" t="s">
        <v>14204</v>
      </c>
      <c r="K4031" t="s">
        <v>14205</v>
      </c>
      <c r="L4031">
        <v>3</v>
      </c>
      <c r="M4031" t="s">
        <v>14772</v>
      </c>
      <c r="N4031" t="s">
        <v>14340</v>
      </c>
      <c r="O4031" t="s">
        <v>47</v>
      </c>
      <c r="P4031" t="s">
        <v>47</v>
      </c>
      <c r="Y4031" t="s">
        <v>14773</v>
      </c>
      <c r="AG4031" t="s">
        <v>48</v>
      </c>
    </row>
    <row r="4032" spans="1:33">
      <c r="A4032" t="s">
        <v>14774</v>
      </c>
      <c r="B4032" t="s">
        <v>14775</v>
      </c>
      <c r="D4032" t="s">
        <v>40</v>
      </c>
      <c r="E4032" t="s">
        <v>41</v>
      </c>
      <c r="J4032" t="s">
        <v>14475</v>
      </c>
      <c r="K4032" t="s">
        <v>14476</v>
      </c>
      <c r="L4032">
        <v>3</v>
      </c>
      <c r="M4032" t="s">
        <v>14776</v>
      </c>
      <c r="N4032" t="s">
        <v>13978</v>
      </c>
      <c r="O4032" t="s">
        <v>47</v>
      </c>
      <c r="P4032" t="s">
        <v>47</v>
      </c>
      <c r="Y4032" t="s">
        <v>14777</v>
      </c>
      <c r="AG4032" t="s">
        <v>48</v>
      </c>
    </row>
    <row r="4033" spans="1:33">
      <c r="A4033" t="s">
        <v>14778</v>
      </c>
      <c r="B4033" t="s">
        <v>14779</v>
      </c>
      <c r="D4033" t="s">
        <v>40</v>
      </c>
      <c r="E4033" t="s">
        <v>41</v>
      </c>
      <c r="J4033" t="s">
        <v>123</v>
      </c>
      <c r="K4033" t="s">
        <v>124</v>
      </c>
      <c r="L4033">
        <v>5</v>
      </c>
      <c r="M4033" t="s">
        <v>14780</v>
      </c>
      <c r="N4033" t="s">
        <v>14024</v>
      </c>
      <c r="O4033" t="s">
        <v>47</v>
      </c>
      <c r="P4033" t="s">
        <v>47</v>
      </c>
      <c r="Y4033" t="s">
        <v>14781</v>
      </c>
      <c r="AG4033" t="s">
        <v>48</v>
      </c>
    </row>
    <row r="4034" spans="1:33">
      <c r="A4034" t="s">
        <v>14782</v>
      </c>
      <c r="B4034" t="s">
        <v>14783</v>
      </c>
      <c r="D4034" t="s">
        <v>40</v>
      </c>
      <c r="E4034" t="s">
        <v>41</v>
      </c>
      <c r="J4034" t="s">
        <v>43</v>
      </c>
      <c r="K4034" t="s">
        <v>44</v>
      </c>
      <c r="L4034">
        <v>3</v>
      </c>
      <c r="M4034" t="s">
        <v>14784</v>
      </c>
      <c r="N4034" t="s">
        <v>218</v>
      </c>
      <c r="O4034" t="s">
        <v>47</v>
      </c>
      <c r="P4034" t="s">
        <v>47</v>
      </c>
      <c r="Y4034" t="s">
        <v>14785</v>
      </c>
      <c r="AG4034" t="s">
        <v>48</v>
      </c>
    </row>
    <row r="4035" spans="1:33">
      <c r="A4035" t="s">
        <v>14786</v>
      </c>
      <c r="B4035" t="s">
        <v>14787</v>
      </c>
      <c r="D4035" t="s">
        <v>40</v>
      </c>
      <c r="E4035" t="s">
        <v>41</v>
      </c>
      <c r="J4035" t="s">
        <v>1418</v>
      </c>
      <c r="K4035" t="s">
        <v>1419</v>
      </c>
      <c r="L4035">
        <v>3</v>
      </c>
      <c r="M4035" t="s">
        <v>14788</v>
      </c>
      <c r="N4035" t="s">
        <v>218</v>
      </c>
      <c r="O4035" t="s">
        <v>47</v>
      </c>
      <c r="P4035" t="s">
        <v>47</v>
      </c>
      <c r="Y4035" t="s">
        <v>14789</v>
      </c>
      <c r="AG4035" t="s">
        <v>48</v>
      </c>
    </row>
    <row r="4036" spans="1:33">
      <c r="A4036" t="s">
        <v>14790</v>
      </c>
      <c r="B4036" t="s">
        <v>14791</v>
      </c>
      <c r="D4036" t="s">
        <v>40</v>
      </c>
      <c r="E4036" t="s">
        <v>41</v>
      </c>
      <c r="J4036" t="s">
        <v>14204</v>
      </c>
      <c r="K4036" t="s">
        <v>14205</v>
      </c>
      <c r="L4036">
        <v>3</v>
      </c>
      <c r="M4036" t="s">
        <v>14792</v>
      </c>
      <c r="N4036" t="s">
        <v>14340</v>
      </c>
      <c r="O4036" t="s">
        <v>47</v>
      </c>
      <c r="P4036" t="s">
        <v>47</v>
      </c>
      <c r="Y4036" t="s">
        <v>14793</v>
      </c>
      <c r="AG4036" t="s">
        <v>48</v>
      </c>
    </row>
    <row r="4037" spans="1:33">
      <c r="A4037" t="s">
        <v>14794</v>
      </c>
      <c r="B4037" t="s">
        <v>14795</v>
      </c>
      <c r="D4037" t="s">
        <v>40</v>
      </c>
      <c r="E4037" t="s">
        <v>41</v>
      </c>
      <c r="J4037" t="s">
        <v>1052</v>
      </c>
      <c r="K4037" t="s">
        <v>1053</v>
      </c>
      <c r="L4037">
        <v>3</v>
      </c>
      <c r="M4037" t="s">
        <v>14796</v>
      </c>
      <c r="N4037" t="s">
        <v>14024</v>
      </c>
      <c r="O4037" t="s">
        <v>47</v>
      </c>
      <c r="P4037" t="s">
        <v>47</v>
      </c>
      <c r="Y4037" t="s">
        <v>14797</v>
      </c>
      <c r="AG4037" t="s">
        <v>48</v>
      </c>
    </row>
    <row r="4038" spans="1:33">
      <c r="A4038" t="s">
        <v>14798</v>
      </c>
      <c r="B4038" t="s">
        <v>14799</v>
      </c>
      <c r="D4038" t="s">
        <v>40</v>
      </c>
      <c r="E4038" t="s">
        <v>41</v>
      </c>
      <c r="J4038" t="s">
        <v>86</v>
      </c>
      <c r="K4038" t="s">
        <v>87</v>
      </c>
      <c r="L4038">
        <v>5</v>
      </c>
      <c r="M4038" t="s">
        <v>14800</v>
      </c>
      <c r="N4038" t="s">
        <v>192</v>
      </c>
      <c r="O4038" t="s">
        <v>47</v>
      </c>
      <c r="P4038" t="s">
        <v>47</v>
      </c>
      <c r="Y4038" t="s">
        <v>14801</v>
      </c>
      <c r="AG4038" t="s">
        <v>48</v>
      </c>
    </row>
    <row r="4039" spans="1:33">
      <c r="A4039" t="s">
        <v>14802</v>
      </c>
      <c r="B4039" t="s">
        <v>14803</v>
      </c>
      <c r="D4039" t="s">
        <v>40</v>
      </c>
      <c r="E4039" t="s">
        <v>41</v>
      </c>
      <c r="J4039" t="s">
        <v>86</v>
      </c>
      <c r="K4039" t="s">
        <v>87</v>
      </c>
      <c r="L4039">
        <v>3</v>
      </c>
      <c r="M4039" t="s">
        <v>14804</v>
      </c>
      <c r="N4039" t="s">
        <v>14059</v>
      </c>
      <c r="O4039" t="s">
        <v>47</v>
      </c>
      <c r="P4039" t="s">
        <v>47</v>
      </c>
      <c r="Y4039" t="s">
        <v>14805</v>
      </c>
      <c r="AG4039" t="s">
        <v>48</v>
      </c>
    </row>
    <row r="4040" spans="1:33">
      <c r="A4040" t="s">
        <v>14806</v>
      </c>
      <c r="B4040" t="s">
        <v>14807</v>
      </c>
      <c r="D4040" t="s">
        <v>40</v>
      </c>
      <c r="E4040" t="s">
        <v>41</v>
      </c>
      <c r="J4040" t="s">
        <v>14204</v>
      </c>
      <c r="K4040" t="s">
        <v>14205</v>
      </c>
      <c r="L4040">
        <v>3</v>
      </c>
      <c r="M4040" t="s">
        <v>14808</v>
      </c>
      <c r="N4040" t="s">
        <v>14340</v>
      </c>
      <c r="O4040" t="s">
        <v>47</v>
      </c>
      <c r="P4040" t="s">
        <v>47</v>
      </c>
      <c r="Y4040" t="s">
        <v>14809</v>
      </c>
      <c r="AG4040" t="s">
        <v>48</v>
      </c>
    </row>
    <row r="4041" spans="1:33">
      <c r="A4041" t="s">
        <v>14810</v>
      </c>
      <c r="B4041" t="s">
        <v>14811</v>
      </c>
      <c r="D4041" t="s">
        <v>40</v>
      </c>
      <c r="E4041" t="s">
        <v>41</v>
      </c>
      <c r="J4041" t="s">
        <v>43</v>
      </c>
      <c r="K4041" t="s">
        <v>44</v>
      </c>
      <c r="L4041">
        <v>4</v>
      </c>
      <c r="M4041" t="s">
        <v>14812</v>
      </c>
      <c r="N4041" t="s">
        <v>218</v>
      </c>
      <c r="O4041" t="s">
        <v>47</v>
      </c>
      <c r="P4041" t="s">
        <v>47</v>
      </c>
      <c r="Y4041" t="s">
        <v>14813</v>
      </c>
      <c r="AG4041" t="s">
        <v>48</v>
      </c>
    </row>
    <row r="4042" spans="1:33">
      <c r="A4042" t="s">
        <v>14814</v>
      </c>
      <c r="B4042" t="s">
        <v>14815</v>
      </c>
      <c r="D4042" t="s">
        <v>40</v>
      </c>
      <c r="E4042" t="s">
        <v>41</v>
      </c>
      <c r="J4042" t="s">
        <v>14204</v>
      </c>
      <c r="K4042" t="s">
        <v>14205</v>
      </c>
      <c r="L4042">
        <v>3</v>
      </c>
      <c r="M4042" t="s">
        <v>14816</v>
      </c>
      <c r="N4042" t="s">
        <v>218</v>
      </c>
      <c r="O4042" t="s">
        <v>47</v>
      </c>
      <c r="P4042" t="s">
        <v>47</v>
      </c>
      <c r="Y4042" t="s">
        <v>14817</v>
      </c>
      <c r="AG4042" t="s">
        <v>48</v>
      </c>
    </row>
    <row r="4043" spans="1:33">
      <c r="A4043" t="s">
        <v>14818</v>
      </c>
      <c r="B4043" t="s">
        <v>14819</v>
      </c>
      <c r="D4043" t="s">
        <v>40</v>
      </c>
      <c r="E4043" t="s">
        <v>41</v>
      </c>
      <c r="J4043" t="s">
        <v>10950</v>
      </c>
      <c r="K4043" t="s">
        <v>10950</v>
      </c>
      <c r="L4043">
        <v>3</v>
      </c>
      <c r="M4043" t="s">
        <v>14820</v>
      </c>
      <c r="N4043" t="s">
        <v>14340</v>
      </c>
      <c r="O4043" t="s">
        <v>47</v>
      </c>
      <c r="P4043" t="s">
        <v>47</v>
      </c>
      <c r="Y4043" t="s">
        <v>14821</v>
      </c>
      <c r="AG4043" t="s">
        <v>48</v>
      </c>
    </row>
    <row r="4044" spans="1:33">
      <c r="A4044" t="s">
        <v>14822</v>
      </c>
      <c r="B4044" t="s">
        <v>14823</v>
      </c>
      <c r="D4044" t="s">
        <v>40</v>
      </c>
      <c r="E4044" t="s">
        <v>41</v>
      </c>
      <c r="J4044" t="s">
        <v>86</v>
      </c>
      <c r="K4044" t="s">
        <v>87</v>
      </c>
      <c r="L4044">
        <v>3</v>
      </c>
      <c r="M4044" t="s">
        <v>14824</v>
      </c>
      <c r="N4044" t="s">
        <v>14024</v>
      </c>
      <c r="O4044" t="s">
        <v>47</v>
      </c>
      <c r="P4044" t="s">
        <v>47</v>
      </c>
      <c r="Y4044" t="s">
        <v>14825</v>
      </c>
      <c r="AG4044" t="s">
        <v>48</v>
      </c>
    </row>
    <row r="4045" spans="1:33">
      <c r="A4045" t="s">
        <v>14826</v>
      </c>
      <c r="B4045" t="s">
        <v>14827</v>
      </c>
      <c r="D4045" t="s">
        <v>40</v>
      </c>
      <c r="E4045" t="s">
        <v>41</v>
      </c>
      <c r="J4045" t="s">
        <v>1418</v>
      </c>
      <c r="K4045" t="s">
        <v>1419</v>
      </c>
      <c r="L4045">
        <v>3</v>
      </c>
      <c r="M4045" t="s">
        <v>14828</v>
      </c>
      <c r="N4045" t="s">
        <v>14011</v>
      </c>
      <c r="O4045" t="s">
        <v>47</v>
      </c>
      <c r="P4045" t="s">
        <v>47</v>
      </c>
      <c r="Y4045" t="s">
        <v>14829</v>
      </c>
      <c r="AG4045" t="s">
        <v>48</v>
      </c>
    </row>
    <row r="4046" spans="1:33">
      <c r="A4046" t="s">
        <v>14830</v>
      </c>
      <c r="B4046" t="s">
        <v>14831</v>
      </c>
      <c r="D4046" t="s">
        <v>40</v>
      </c>
      <c r="E4046" t="s">
        <v>41</v>
      </c>
      <c r="J4046" t="s">
        <v>1566</v>
      </c>
      <c r="K4046" t="s">
        <v>1567</v>
      </c>
      <c r="L4046">
        <v>3</v>
      </c>
      <c r="M4046" t="s">
        <v>14832</v>
      </c>
      <c r="N4046" t="s">
        <v>14340</v>
      </c>
      <c r="O4046" t="s">
        <v>47</v>
      </c>
      <c r="P4046" t="s">
        <v>47</v>
      </c>
      <c r="Y4046" t="s">
        <v>14833</v>
      </c>
      <c r="AG4046" t="s">
        <v>48</v>
      </c>
    </row>
    <row r="4047" spans="1:33">
      <c r="A4047" t="s">
        <v>14834</v>
      </c>
      <c r="B4047" t="s">
        <v>14835</v>
      </c>
      <c r="D4047" t="s">
        <v>40</v>
      </c>
      <c r="E4047" t="s">
        <v>41</v>
      </c>
      <c r="J4047" t="s">
        <v>86</v>
      </c>
      <c r="K4047" t="s">
        <v>87</v>
      </c>
      <c r="L4047">
        <v>5</v>
      </c>
      <c r="M4047" t="s">
        <v>14836</v>
      </c>
      <c r="N4047" t="s">
        <v>59</v>
      </c>
      <c r="O4047" t="s">
        <v>47</v>
      </c>
      <c r="P4047" t="s">
        <v>47</v>
      </c>
      <c r="Y4047" t="s">
        <v>14837</v>
      </c>
      <c r="AG4047" t="s">
        <v>48</v>
      </c>
    </row>
    <row r="4048" spans="1:33">
      <c r="A4048" t="s">
        <v>14838</v>
      </c>
      <c r="B4048" t="s">
        <v>14839</v>
      </c>
      <c r="D4048" t="s">
        <v>40</v>
      </c>
      <c r="E4048" t="s">
        <v>41</v>
      </c>
      <c r="J4048" t="s">
        <v>14204</v>
      </c>
      <c r="K4048" t="s">
        <v>14205</v>
      </c>
      <c r="L4048">
        <v>3</v>
      </c>
      <c r="M4048" t="s">
        <v>14840</v>
      </c>
      <c r="N4048" t="s">
        <v>14011</v>
      </c>
      <c r="O4048" t="s">
        <v>47</v>
      </c>
      <c r="P4048" t="s">
        <v>47</v>
      </c>
      <c r="Y4048" t="s">
        <v>14841</v>
      </c>
      <c r="AG4048" t="s">
        <v>48</v>
      </c>
    </row>
    <row r="4049" spans="1:33">
      <c r="A4049" t="s">
        <v>14842</v>
      </c>
      <c r="B4049" t="s">
        <v>14843</v>
      </c>
      <c r="D4049" t="s">
        <v>40</v>
      </c>
      <c r="E4049" t="s">
        <v>41</v>
      </c>
      <c r="J4049" t="s">
        <v>1052</v>
      </c>
      <c r="K4049" t="s">
        <v>1053</v>
      </c>
      <c r="L4049">
        <v>4</v>
      </c>
      <c r="M4049" t="s">
        <v>14844</v>
      </c>
      <c r="N4049" t="s">
        <v>13978</v>
      </c>
      <c r="O4049" t="s">
        <v>47</v>
      </c>
      <c r="P4049" t="s">
        <v>47</v>
      </c>
      <c r="Y4049" t="s">
        <v>14845</v>
      </c>
      <c r="AG4049" t="s">
        <v>48</v>
      </c>
    </row>
    <row r="4050" spans="1:33">
      <c r="A4050" t="s">
        <v>14846</v>
      </c>
      <c r="B4050" t="s">
        <v>14847</v>
      </c>
      <c r="D4050" t="s">
        <v>40</v>
      </c>
      <c r="E4050" t="s">
        <v>41</v>
      </c>
      <c r="J4050" t="s">
        <v>86</v>
      </c>
      <c r="K4050" t="s">
        <v>87</v>
      </c>
      <c r="L4050">
        <v>3</v>
      </c>
      <c r="M4050" t="s">
        <v>14848</v>
      </c>
      <c r="N4050" t="s">
        <v>13978</v>
      </c>
      <c r="O4050" t="s">
        <v>47</v>
      </c>
      <c r="P4050" t="s">
        <v>47</v>
      </c>
      <c r="Y4050" t="s">
        <v>14849</v>
      </c>
      <c r="AG4050" t="s">
        <v>48</v>
      </c>
    </row>
    <row r="4051" spans="1:33">
      <c r="A4051" t="s">
        <v>14850</v>
      </c>
      <c r="B4051" t="s">
        <v>14851</v>
      </c>
      <c r="D4051" t="s">
        <v>40</v>
      </c>
      <c r="E4051" t="s">
        <v>41</v>
      </c>
      <c r="J4051" t="s">
        <v>43</v>
      </c>
      <c r="K4051" t="s">
        <v>44</v>
      </c>
      <c r="L4051">
        <v>3</v>
      </c>
      <c r="M4051" t="s">
        <v>14852</v>
      </c>
      <c r="N4051" t="s">
        <v>218</v>
      </c>
      <c r="O4051" t="s">
        <v>47</v>
      </c>
      <c r="P4051" t="s">
        <v>47</v>
      </c>
      <c r="Y4051" t="s">
        <v>14853</v>
      </c>
      <c r="AG4051" t="s">
        <v>48</v>
      </c>
    </row>
    <row r="4052" spans="1:33">
      <c r="A4052" t="s">
        <v>14854</v>
      </c>
      <c r="B4052" t="s">
        <v>14855</v>
      </c>
      <c r="D4052" t="s">
        <v>40</v>
      </c>
      <c r="E4052" t="s">
        <v>41</v>
      </c>
      <c r="J4052" t="s">
        <v>86</v>
      </c>
      <c r="K4052" t="s">
        <v>87</v>
      </c>
      <c r="L4052">
        <v>3</v>
      </c>
      <c r="M4052" t="s">
        <v>14856</v>
      </c>
      <c r="N4052" t="s">
        <v>14024</v>
      </c>
      <c r="O4052" t="s">
        <v>47</v>
      </c>
      <c r="P4052" t="s">
        <v>47</v>
      </c>
      <c r="Y4052" t="s">
        <v>14857</v>
      </c>
      <c r="AG4052" t="s">
        <v>48</v>
      </c>
    </row>
    <row r="4053" spans="1:33">
      <c r="A4053" t="s">
        <v>14858</v>
      </c>
      <c r="B4053" t="s">
        <v>14859</v>
      </c>
      <c r="D4053" t="s">
        <v>40</v>
      </c>
      <c r="E4053" t="s">
        <v>41</v>
      </c>
      <c r="J4053" t="s">
        <v>123</v>
      </c>
      <c r="K4053" t="s">
        <v>124</v>
      </c>
      <c r="L4053">
        <v>5</v>
      </c>
      <c r="M4053" t="s">
        <v>14860</v>
      </c>
      <c r="N4053" t="s">
        <v>13978</v>
      </c>
      <c r="O4053" t="s">
        <v>47</v>
      </c>
      <c r="P4053" t="s">
        <v>47</v>
      </c>
      <c r="Y4053" t="s">
        <v>14861</v>
      </c>
      <c r="AG4053" t="s">
        <v>48</v>
      </c>
    </row>
    <row r="4054" spans="1:33">
      <c r="A4054" t="s">
        <v>14862</v>
      </c>
      <c r="B4054" t="s">
        <v>14863</v>
      </c>
      <c r="D4054" t="s">
        <v>40</v>
      </c>
      <c r="E4054" t="s">
        <v>41</v>
      </c>
      <c r="J4054" t="s">
        <v>86</v>
      </c>
      <c r="K4054" t="s">
        <v>87</v>
      </c>
      <c r="L4054">
        <v>3</v>
      </c>
      <c r="M4054" t="s">
        <v>14864</v>
      </c>
      <c r="N4054" t="s">
        <v>13978</v>
      </c>
      <c r="O4054" t="s">
        <v>47</v>
      </c>
      <c r="P4054" t="s">
        <v>47</v>
      </c>
      <c r="Y4054" t="s">
        <v>14865</v>
      </c>
      <c r="AG4054" t="s">
        <v>48</v>
      </c>
    </row>
    <row r="4055" spans="1:33">
      <c r="A4055" t="s">
        <v>14866</v>
      </c>
      <c r="B4055" t="s">
        <v>14867</v>
      </c>
      <c r="D4055" t="s">
        <v>40</v>
      </c>
      <c r="E4055" t="s">
        <v>41</v>
      </c>
      <c r="J4055" t="s">
        <v>14204</v>
      </c>
      <c r="K4055" t="s">
        <v>14205</v>
      </c>
      <c r="L4055">
        <v>3</v>
      </c>
      <c r="M4055" t="s">
        <v>14868</v>
      </c>
      <c r="N4055" t="s">
        <v>14011</v>
      </c>
      <c r="O4055" t="s">
        <v>47</v>
      </c>
      <c r="P4055" t="s">
        <v>47</v>
      </c>
      <c r="Y4055" t="s">
        <v>14869</v>
      </c>
      <c r="AG4055" t="s">
        <v>48</v>
      </c>
    </row>
    <row r="4056" spans="1:33">
      <c r="A4056" t="s">
        <v>14870</v>
      </c>
      <c r="B4056" t="s">
        <v>14871</v>
      </c>
      <c r="D4056" t="s">
        <v>40</v>
      </c>
      <c r="E4056" t="s">
        <v>41</v>
      </c>
      <c r="J4056" t="s">
        <v>215</v>
      </c>
      <c r="K4056" t="s">
        <v>216</v>
      </c>
      <c r="L4056">
        <v>5</v>
      </c>
      <c r="M4056" t="s">
        <v>14872</v>
      </c>
      <c r="N4056" t="s">
        <v>13978</v>
      </c>
      <c r="O4056" t="s">
        <v>47</v>
      </c>
      <c r="P4056" t="s">
        <v>47</v>
      </c>
      <c r="Y4056" t="s">
        <v>14873</v>
      </c>
      <c r="AG4056" t="s">
        <v>48</v>
      </c>
    </row>
    <row r="4057" spans="1:33">
      <c r="A4057" t="s">
        <v>14874</v>
      </c>
      <c r="B4057" t="s">
        <v>14875</v>
      </c>
      <c r="D4057" t="s">
        <v>40</v>
      </c>
      <c r="E4057" t="s">
        <v>41</v>
      </c>
      <c r="J4057" t="s">
        <v>43</v>
      </c>
      <c r="K4057" t="s">
        <v>44</v>
      </c>
      <c r="L4057">
        <v>3</v>
      </c>
      <c r="M4057" t="s">
        <v>14876</v>
      </c>
      <c r="N4057" t="s">
        <v>13978</v>
      </c>
      <c r="O4057" t="s">
        <v>47</v>
      </c>
      <c r="P4057" t="s">
        <v>47</v>
      </c>
      <c r="Y4057" t="s">
        <v>14877</v>
      </c>
      <c r="AG4057" t="s">
        <v>48</v>
      </c>
    </row>
    <row r="4058" spans="1:33">
      <c r="A4058" t="s">
        <v>14878</v>
      </c>
      <c r="B4058" t="s">
        <v>14879</v>
      </c>
      <c r="D4058" t="s">
        <v>40</v>
      </c>
      <c r="E4058" t="s">
        <v>41</v>
      </c>
      <c r="J4058" t="s">
        <v>14337</v>
      </c>
      <c r="K4058" t="s">
        <v>14338</v>
      </c>
      <c r="L4058">
        <v>4</v>
      </c>
      <c r="M4058" t="s">
        <v>14880</v>
      </c>
      <c r="N4058" t="s">
        <v>192</v>
      </c>
      <c r="O4058" t="s">
        <v>47</v>
      </c>
      <c r="P4058" t="s">
        <v>47</v>
      </c>
      <c r="Y4058" t="s">
        <v>14881</v>
      </c>
      <c r="AG4058" t="s">
        <v>48</v>
      </c>
    </row>
    <row r="4059" spans="1:33">
      <c r="A4059" t="s">
        <v>14882</v>
      </c>
      <c r="B4059" t="s">
        <v>14883</v>
      </c>
      <c r="D4059" t="s">
        <v>40</v>
      </c>
      <c r="E4059" t="s">
        <v>41</v>
      </c>
      <c r="J4059" t="s">
        <v>43</v>
      </c>
      <c r="K4059" t="s">
        <v>44</v>
      </c>
      <c r="L4059">
        <v>3</v>
      </c>
      <c r="M4059" t="s">
        <v>14884</v>
      </c>
      <c r="N4059" t="s">
        <v>13978</v>
      </c>
      <c r="O4059" t="s">
        <v>47</v>
      </c>
      <c r="P4059" t="s">
        <v>47</v>
      </c>
      <c r="Y4059" t="s">
        <v>14885</v>
      </c>
      <c r="AG4059" t="s">
        <v>48</v>
      </c>
    </row>
    <row r="4060" spans="1:33">
      <c r="A4060" t="s">
        <v>14886</v>
      </c>
      <c r="B4060" t="s">
        <v>14887</v>
      </c>
      <c r="D4060" t="s">
        <v>40</v>
      </c>
      <c r="E4060" t="s">
        <v>41</v>
      </c>
      <c r="J4060" t="s">
        <v>43</v>
      </c>
      <c r="K4060" t="s">
        <v>44</v>
      </c>
      <c r="L4060">
        <v>3</v>
      </c>
      <c r="M4060" t="s">
        <v>14888</v>
      </c>
      <c r="N4060" t="s">
        <v>218</v>
      </c>
      <c r="O4060" t="s">
        <v>47</v>
      </c>
      <c r="P4060" t="s">
        <v>47</v>
      </c>
      <c r="Y4060" t="s">
        <v>14889</v>
      </c>
      <c r="AG4060" t="s">
        <v>48</v>
      </c>
    </row>
    <row r="4061" spans="1:33">
      <c r="A4061" t="s">
        <v>14890</v>
      </c>
      <c r="B4061" t="s">
        <v>14891</v>
      </c>
      <c r="D4061" t="s">
        <v>40</v>
      </c>
      <c r="E4061" t="s">
        <v>41</v>
      </c>
      <c r="J4061" t="s">
        <v>43</v>
      </c>
      <c r="K4061" t="s">
        <v>44</v>
      </c>
      <c r="L4061">
        <v>3</v>
      </c>
      <c r="M4061" t="s">
        <v>14892</v>
      </c>
      <c r="N4061" t="s">
        <v>192</v>
      </c>
      <c r="O4061" t="s">
        <v>47</v>
      </c>
      <c r="P4061" t="s">
        <v>47</v>
      </c>
      <c r="Y4061" t="s">
        <v>14893</v>
      </c>
      <c r="AG4061" t="s">
        <v>48</v>
      </c>
    </row>
    <row r="4062" spans="1:33">
      <c r="A4062" t="s">
        <v>14894</v>
      </c>
      <c r="B4062" t="s">
        <v>14895</v>
      </c>
      <c r="D4062" t="s">
        <v>40</v>
      </c>
      <c r="E4062" t="s">
        <v>41</v>
      </c>
      <c r="J4062" t="s">
        <v>1418</v>
      </c>
      <c r="K4062" t="s">
        <v>1419</v>
      </c>
      <c r="L4062">
        <v>3</v>
      </c>
      <c r="M4062" t="s">
        <v>14896</v>
      </c>
      <c r="N4062" t="s">
        <v>14011</v>
      </c>
      <c r="O4062" t="s">
        <v>47</v>
      </c>
      <c r="P4062" t="s">
        <v>47</v>
      </c>
      <c r="Y4062" t="s">
        <v>14897</v>
      </c>
      <c r="AG4062" t="s">
        <v>48</v>
      </c>
    </row>
    <row r="4063" spans="1:33">
      <c r="A4063" t="s">
        <v>14898</v>
      </c>
      <c r="B4063" t="s">
        <v>14899</v>
      </c>
      <c r="D4063" t="s">
        <v>40</v>
      </c>
      <c r="E4063" t="s">
        <v>41</v>
      </c>
      <c r="J4063" t="s">
        <v>86</v>
      </c>
      <c r="K4063" t="s">
        <v>87</v>
      </c>
      <c r="L4063">
        <v>3</v>
      </c>
      <c r="M4063" t="s">
        <v>14900</v>
      </c>
      <c r="N4063" t="s">
        <v>13978</v>
      </c>
      <c r="O4063" t="s">
        <v>47</v>
      </c>
      <c r="P4063" t="s">
        <v>47</v>
      </c>
      <c r="Y4063" t="s">
        <v>14901</v>
      </c>
      <c r="AG4063" t="s">
        <v>48</v>
      </c>
    </row>
    <row r="4064" spans="1:33">
      <c r="A4064" t="s">
        <v>14902</v>
      </c>
      <c r="B4064" t="s">
        <v>14903</v>
      </c>
      <c r="D4064" t="s">
        <v>40</v>
      </c>
      <c r="E4064" t="s">
        <v>41</v>
      </c>
      <c r="J4064" t="s">
        <v>1418</v>
      </c>
      <c r="K4064" t="s">
        <v>1419</v>
      </c>
      <c r="L4064">
        <v>3</v>
      </c>
      <c r="M4064" t="s">
        <v>14904</v>
      </c>
      <c r="N4064" t="s">
        <v>14011</v>
      </c>
      <c r="O4064" t="s">
        <v>47</v>
      </c>
      <c r="P4064" t="s">
        <v>47</v>
      </c>
      <c r="Y4064" t="s">
        <v>14905</v>
      </c>
      <c r="AG4064" t="s">
        <v>48</v>
      </c>
    </row>
    <row r="4065" spans="1:33">
      <c r="A4065" t="s">
        <v>14906</v>
      </c>
      <c r="B4065" t="s">
        <v>14907</v>
      </c>
      <c r="D4065" t="s">
        <v>40</v>
      </c>
      <c r="E4065" t="s">
        <v>41</v>
      </c>
      <c r="J4065" t="s">
        <v>4737</v>
      </c>
      <c r="K4065" t="s">
        <v>4738</v>
      </c>
      <c r="L4065">
        <v>3</v>
      </c>
      <c r="M4065" t="s">
        <v>14908</v>
      </c>
      <c r="N4065" t="s">
        <v>14340</v>
      </c>
      <c r="O4065" t="s">
        <v>47</v>
      </c>
      <c r="P4065" t="s">
        <v>47</v>
      </c>
      <c r="Y4065" t="s">
        <v>14909</v>
      </c>
      <c r="AG4065" t="s">
        <v>48</v>
      </c>
    </row>
    <row r="4066" spans="1:33">
      <c r="A4066" t="s">
        <v>14910</v>
      </c>
      <c r="B4066" t="s">
        <v>14911</v>
      </c>
      <c r="D4066" t="s">
        <v>40</v>
      </c>
      <c r="E4066" t="s">
        <v>41</v>
      </c>
      <c r="J4066" t="s">
        <v>4737</v>
      </c>
      <c r="K4066" t="s">
        <v>4738</v>
      </c>
      <c r="L4066">
        <v>3</v>
      </c>
      <c r="M4066" t="s">
        <v>14912</v>
      </c>
      <c r="N4066" t="s">
        <v>14059</v>
      </c>
      <c r="O4066" t="s">
        <v>47</v>
      </c>
      <c r="P4066" t="s">
        <v>47</v>
      </c>
      <c r="Y4066" t="s">
        <v>14913</v>
      </c>
      <c r="AG4066" t="s">
        <v>48</v>
      </c>
    </row>
    <row r="4067" spans="1:33">
      <c r="A4067" t="s">
        <v>14914</v>
      </c>
      <c r="B4067" t="s">
        <v>14915</v>
      </c>
      <c r="D4067" t="s">
        <v>40</v>
      </c>
      <c r="E4067" t="s">
        <v>41</v>
      </c>
      <c r="J4067" t="s">
        <v>1418</v>
      </c>
      <c r="K4067" t="s">
        <v>1419</v>
      </c>
      <c r="L4067">
        <v>3</v>
      </c>
      <c r="M4067" t="s">
        <v>14916</v>
      </c>
      <c r="N4067" t="s">
        <v>13978</v>
      </c>
      <c r="O4067" t="s">
        <v>47</v>
      </c>
      <c r="P4067" t="s">
        <v>47</v>
      </c>
      <c r="Y4067" t="s">
        <v>14917</v>
      </c>
      <c r="AG4067" t="s">
        <v>48</v>
      </c>
    </row>
    <row r="4068" spans="1:33">
      <c r="A4068" t="s">
        <v>14918</v>
      </c>
      <c r="B4068" t="s">
        <v>14919</v>
      </c>
      <c r="D4068" t="s">
        <v>40</v>
      </c>
      <c r="E4068" t="s">
        <v>41</v>
      </c>
      <c r="J4068" t="s">
        <v>43</v>
      </c>
      <c r="K4068" t="s">
        <v>44</v>
      </c>
      <c r="L4068">
        <v>3</v>
      </c>
      <c r="M4068" t="s">
        <v>14920</v>
      </c>
      <c r="N4068" t="s">
        <v>192</v>
      </c>
      <c r="O4068" t="s">
        <v>47</v>
      </c>
      <c r="P4068" t="s">
        <v>47</v>
      </c>
      <c r="Y4068" t="s">
        <v>14921</v>
      </c>
      <c r="AG4068" t="s">
        <v>48</v>
      </c>
    </row>
    <row r="4069" spans="1:33">
      <c r="A4069" t="s">
        <v>14922</v>
      </c>
      <c r="B4069" t="s">
        <v>14923</v>
      </c>
      <c r="D4069" t="s">
        <v>40</v>
      </c>
      <c r="E4069" t="s">
        <v>41</v>
      </c>
      <c r="J4069" t="s">
        <v>86</v>
      </c>
      <c r="K4069" t="s">
        <v>87</v>
      </c>
      <c r="L4069">
        <v>3</v>
      </c>
      <c r="M4069" t="s">
        <v>14924</v>
      </c>
      <c r="N4069" t="s">
        <v>13978</v>
      </c>
      <c r="O4069" t="s">
        <v>47</v>
      </c>
      <c r="P4069" t="s">
        <v>47</v>
      </c>
      <c r="Y4069" t="s">
        <v>14925</v>
      </c>
      <c r="AG4069" t="s">
        <v>48</v>
      </c>
    </row>
    <row r="4070" spans="1:33">
      <c r="A4070" t="s">
        <v>14926</v>
      </c>
      <c r="B4070" t="s">
        <v>14927</v>
      </c>
      <c r="D4070" t="s">
        <v>40</v>
      </c>
      <c r="E4070" t="s">
        <v>41</v>
      </c>
      <c r="J4070" t="s">
        <v>129</v>
      </c>
      <c r="K4070" t="s">
        <v>130</v>
      </c>
      <c r="L4070">
        <v>5</v>
      </c>
      <c r="M4070" t="s">
        <v>14928</v>
      </c>
      <c r="N4070" t="s">
        <v>14011</v>
      </c>
      <c r="O4070" t="s">
        <v>47</v>
      </c>
      <c r="P4070" t="s">
        <v>47</v>
      </c>
      <c r="Y4070" t="s">
        <v>14929</v>
      </c>
      <c r="AG4070" t="s">
        <v>48</v>
      </c>
    </row>
    <row r="4071" spans="1:33">
      <c r="A4071" t="s">
        <v>14930</v>
      </c>
      <c r="B4071" t="s">
        <v>14931</v>
      </c>
      <c r="D4071" t="s">
        <v>40</v>
      </c>
      <c r="E4071" t="s">
        <v>41</v>
      </c>
      <c r="J4071" t="s">
        <v>13514</v>
      </c>
      <c r="K4071" t="s">
        <v>13515</v>
      </c>
      <c r="L4071">
        <v>4</v>
      </c>
      <c r="M4071" t="s">
        <v>14932</v>
      </c>
      <c r="N4071" t="s">
        <v>13978</v>
      </c>
      <c r="O4071" t="s">
        <v>47</v>
      </c>
      <c r="P4071" t="s">
        <v>47</v>
      </c>
      <c r="Y4071" t="s">
        <v>14933</v>
      </c>
      <c r="AG4071" t="s">
        <v>48</v>
      </c>
    </row>
    <row r="4072" spans="1:33">
      <c r="A4072" t="s">
        <v>14934</v>
      </c>
      <c r="B4072" t="s">
        <v>14935</v>
      </c>
      <c r="D4072" t="s">
        <v>40</v>
      </c>
      <c r="E4072" t="s">
        <v>41</v>
      </c>
      <c r="J4072" t="s">
        <v>43</v>
      </c>
      <c r="K4072" t="s">
        <v>44</v>
      </c>
      <c r="L4072">
        <v>3</v>
      </c>
      <c r="M4072" t="s">
        <v>14936</v>
      </c>
      <c r="N4072" t="s">
        <v>192</v>
      </c>
      <c r="O4072" t="s">
        <v>47</v>
      </c>
      <c r="P4072" t="s">
        <v>47</v>
      </c>
      <c r="Y4072" t="s">
        <v>14937</v>
      </c>
      <c r="AG4072" t="s">
        <v>48</v>
      </c>
    </row>
    <row r="4073" spans="1:33">
      <c r="A4073" t="s">
        <v>14938</v>
      </c>
      <c r="B4073" t="s">
        <v>14939</v>
      </c>
      <c r="D4073" t="s">
        <v>40</v>
      </c>
      <c r="E4073" t="s">
        <v>41</v>
      </c>
      <c r="J4073" t="s">
        <v>43</v>
      </c>
      <c r="K4073" t="s">
        <v>44</v>
      </c>
      <c r="L4073">
        <v>3</v>
      </c>
      <c r="M4073" t="s">
        <v>14940</v>
      </c>
      <c r="N4073" t="s">
        <v>13978</v>
      </c>
      <c r="O4073" t="s">
        <v>47</v>
      </c>
      <c r="P4073" t="s">
        <v>47</v>
      </c>
      <c r="Y4073" t="s">
        <v>14941</v>
      </c>
      <c r="AG4073" t="s">
        <v>48</v>
      </c>
    </row>
    <row r="4074" spans="1:33">
      <c r="A4074" t="s">
        <v>14942</v>
      </c>
      <c r="B4074" t="s">
        <v>14943</v>
      </c>
      <c r="D4074" t="s">
        <v>40</v>
      </c>
      <c r="E4074" t="s">
        <v>41</v>
      </c>
      <c r="J4074" t="s">
        <v>43</v>
      </c>
      <c r="K4074" t="s">
        <v>44</v>
      </c>
      <c r="L4074">
        <v>3</v>
      </c>
      <c r="M4074" t="s">
        <v>14944</v>
      </c>
      <c r="N4074" t="s">
        <v>192</v>
      </c>
      <c r="O4074" t="s">
        <v>47</v>
      </c>
      <c r="P4074" t="s">
        <v>47</v>
      </c>
      <c r="Y4074" t="s">
        <v>14945</v>
      </c>
      <c r="AG4074" t="s">
        <v>48</v>
      </c>
    </row>
    <row r="4075" spans="1:33">
      <c r="A4075" t="s">
        <v>14946</v>
      </c>
      <c r="B4075" t="s">
        <v>14947</v>
      </c>
      <c r="D4075" t="s">
        <v>40</v>
      </c>
      <c r="E4075" t="s">
        <v>41</v>
      </c>
      <c r="J4075" t="s">
        <v>86</v>
      </c>
      <c r="K4075" t="s">
        <v>87</v>
      </c>
      <c r="L4075">
        <v>3</v>
      </c>
      <c r="M4075" t="s">
        <v>14948</v>
      </c>
      <c r="N4075" t="s">
        <v>13978</v>
      </c>
      <c r="O4075" t="s">
        <v>47</v>
      </c>
      <c r="P4075" t="s">
        <v>47</v>
      </c>
      <c r="Y4075" t="s">
        <v>14949</v>
      </c>
      <c r="AG4075" t="s">
        <v>48</v>
      </c>
    </row>
    <row r="4076" spans="1:33">
      <c r="A4076" t="s">
        <v>14950</v>
      </c>
      <c r="B4076" t="s">
        <v>14951</v>
      </c>
      <c r="D4076" t="s">
        <v>40</v>
      </c>
      <c r="E4076" t="s">
        <v>41</v>
      </c>
      <c r="J4076" t="s">
        <v>43</v>
      </c>
      <c r="K4076" t="s">
        <v>44</v>
      </c>
      <c r="L4076">
        <v>3</v>
      </c>
      <c r="M4076" t="s">
        <v>14952</v>
      </c>
      <c r="N4076" t="s">
        <v>218</v>
      </c>
      <c r="O4076" t="s">
        <v>47</v>
      </c>
      <c r="P4076" t="s">
        <v>47</v>
      </c>
      <c r="Y4076" t="s">
        <v>14953</v>
      </c>
      <c r="AG4076" t="s">
        <v>48</v>
      </c>
    </row>
    <row r="4077" spans="1:33">
      <c r="A4077" t="s">
        <v>14954</v>
      </c>
      <c r="B4077" t="s">
        <v>14955</v>
      </c>
      <c r="D4077" t="s">
        <v>40</v>
      </c>
      <c r="E4077" t="s">
        <v>41</v>
      </c>
      <c r="J4077" t="s">
        <v>129</v>
      </c>
      <c r="K4077" t="s">
        <v>130</v>
      </c>
      <c r="L4077">
        <v>5</v>
      </c>
      <c r="M4077" t="s">
        <v>14956</v>
      </c>
      <c r="N4077" t="s">
        <v>192</v>
      </c>
      <c r="O4077" t="s">
        <v>47</v>
      </c>
      <c r="P4077" t="s">
        <v>47</v>
      </c>
      <c r="Y4077" t="s">
        <v>14957</v>
      </c>
      <c r="AG4077" t="s">
        <v>48</v>
      </c>
    </row>
    <row r="4078" spans="1:33">
      <c r="A4078" t="s">
        <v>14958</v>
      </c>
      <c r="B4078" t="s">
        <v>14959</v>
      </c>
      <c r="D4078" t="s">
        <v>40</v>
      </c>
      <c r="E4078" t="s">
        <v>41</v>
      </c>
      <c r="J4078" t="s">
        <v>43</v>
      </c>
      <c r="K4078" t="s">
        <v>44</v>
      </c>
      <c r="L4078">
        <v>4</v>
      </c>
      <c r="M4078" t="s">
        <v>14960</v>
      </c>
      <c r="N4078" t="s">
        <v>192</v>
      </c>
      <c r="O4078" t="s">
        <v>47</v>
      </c>
      <c r="P4078" t="s">
        <v>47</v>
      </c>
      <c r="Y4078" t="s">
        <v>14961</v>
      </c>
      <c r="AG4078" t="s">
        <v>48</v>
      </c>
    </row>
    <row r="4079" spans="1:33">
      <c r="A4079" t="s">
        <v>14962</v>
      </c>
      <c r="B4079" t="s">
        <v>14963</v>
      </c>
      <c r="D4079" t="s">
        <v>40</v>
      </c>
      <c r="E4079" t="s">
        <v>41</v>
      </c>
      <c r="J4079" t="s">
        <v>1418</v>
      </c>
      <c r="K4079" t="s">
        <v>1419</v>
      </c>
      <c r="L4079">
        <v>3</v>
      </c>
      <c r="M4079" t="s">
        <v>14964</v>
      </c>
      <c r="N4079" t="s">
        <v>14340</v>
      </c>
      <c r="O4079" t="s">
        <v>47</v>
      </c>
      <c r="P4079" t="s">
        <v>47</v>
      </c>
      <c r="Y4079" t="s">
        <v>14965</v>
      </c>
      <c r="AG4079" t="s">
        <v>48</v>
      </c>
    </row>
    <row r="4080" spans="1:33">
      <c r="A4080" t="s">
        <v>14966</v>
      </c>
      <c r="B4080" t="s">
        <v>14967</v>
      </c>
      <c r="D4080" t="s">
        <v>40</v>
      </c>
      <c r="E4080" t="s">
        <v>41</v>
      </c>
      <c r="J4080" t="s">
        <v>4737</v>
      </c>
      <c r="K4080" t="s">
        <v>4738</v>
      </c>
      <c r="L4080">
        <v>3</v>
      </c>
      <c r="M4080" t="s">
        <v>14968</v>
      </c>
      <c r="N4080" t="s">
        <v>218</v>
      </c>
      <c r="O4080" t="s">
        <v>47</v>
      </c>
      <c r="P4080" t="s">
        <v>47</v>
      </c>
      <c r="Y4080" t="s">
        <v>14969</v>
      </c>
      <c r="AG4080" t="s">
        <v>48</v>
      </c>
    </row>
    <row r="4081" spans="1:33">
      <c r="A4081" t="s">
        <v>14970</v>
      </c>
      <c r="B4081" t="s">
        <v>14971</v>
      </c>
      <c r="D4081" t="s">
        <v>40</v>
      </c>
      <c r="E4081" t="s">
        <v>41</v>
      </c>
      <c r="J4081" t="s">
        <v>14204</v>
      </c>
      <c r="K4081" t="s">
        <v>14205</v>
      </c>
      <c r="L4081">
        <v>3</v>
      </c>
      <c r="M4081" t="s">
        <v>14972</v>
      </c>
      <c r="N4081" t="s">
        <v>14011</v>
      </c>
      <c r="O4081" t="s">
        <v>47</v>
      </c>
      <c r="P4081" t="s">
        <v>47</v>
      </c>
      <c r="Y4081" t="s">
        <v>14973</v>
      </c>
      <c r="AG4081" t="s">
        <v>48</v>
      </c>
    </row>
    <row r="4082" spans="1:33">
      <c r="A4082" t="s">
        <v>14974</v>
      </c>
      <c r="B4082" t="s">
        <v>14975</v>
      </c>
      <c r="D4082" t="s">
        <v>40</v>
      </c>
      <c r="E4082" t="s">
        <v>41</v>
      </c>
      <c r="J4082" t="s">
        <v>86</v>
      </c>
      <c r="K4082" t="s">
        <v>87</v>
      </c>
      <c r="L4082">
        <v>3</v>
      </c>
      <c r="M4082" t="s">
        <v>14972</v>
      </c>
      <c r="N4082" t="s">
        <v>14059</v>
      </c>
      <c r="O4082" t="s">
        <v>47</v>
      </c>
      <c r="P4082" t="s">
        <v>47</v>
      </c>
      <c r="Y4082" t="s">
        <v>14976</v>
      </c>
      <c r="AG4082" t="s">
        <v>48</v>
      </c>
    </row>
    <row r="4083" spans="1:33">
      <c r="A4083" t="s">
        <v>14977</v>
      </c>
      <c r="B4083" t="s">
        <v>14978</v>
      </c>
      <c r="D4083" t="s">
        <v>40</v>
      </c>
      <c r="E4083" t="s">
        <v>41</v>
      </c>
      <c r="J4083" t="s">
        <v>86</v>
      </c>
      <c r="K4083" t="s">
        <v>87</v>
      </c>
      <c r="L4083">
        <v>3</v>
      </c>
      <c r="M4083" t="s">
        <v>14979</v>
      </c>
      <c r="N4083" t="s">
        <v>192</v>
      </c>
      <c r="O4083" t="s">
        <v>47</v>
      </c>
      <c r="P4083" t="s">
        <v>47</v>
      </c>
      <c r="Y4083" t="s">
        <v>14980</v>
      </c>
      <c r="AG4083" t="s">
        <v>48</v>
      </c>
    </row>
    <row r="4084" spans="1:33">
      <c r="A4084" t="s">
        <v>14981</v>
      </c>
      <c r="B4084" t="s">
        <v>14982</v>
      </c>
      <c r="D4084" t="s">
        <v>40</v>
      </c>
      <c r="E4084" t="s">
        <v>41</v>
      </c>
      <c r="J4084" t="s">
        <v>86</v>
      </c>
      <c r="K4084" t="s">
        <v>87</v>
      </c>
      <c r="L4084">
        <v>3</v>
      </c>
      <c r="M4084" t="s">
        <v>14983</v>
      </c>
      <c r="N4084" t="s">
        <v>14024</v>
      </c>
      <c r="O4084" t="s">
        <v>47</v>
      </c>
      <c r="P4084" t="s">
        <v>47</v>
      </c>
      <c r="Y4084" t="s">
        <v>14984</v>
      </c>
      <c r="AG4084" t="s">
        <v>48</v>
      </c>
    </row>
    <row r="4085" spans="1:33">
      <c r="A4085" t="s">
        <v>14985</v>
      </c>
      <c r="B4085" t="s">
        <v>14986</v>
      </c>
      <c r="D4085" t="s">
        <v>40</v>
      </c>
      <c r="E4085" t="s">
        <v>41</v>
      </c>
      <c r="J4085" t="s">
        <v>43</v>
      </c>
      <c r="K4085" t="s">
        <v>44</v>
      </c>
      <c r="L4085">
        <v>3</v>
      </c>
      <c r="M4085" t="s">
        <v>14987</v>
      </c>
      <c r="N4085" t="s">
        <v>14340</v>
      </c>
      <c r="O4085" t="s">
        <v>47</v>
      </c>
      <c r="P4085" t="s">
        <v>47</v>
      </c>
      <c r="Y4085" t="s">
        <v>14988</v>
      </c>
      <c r="AG4085" t="s">
        <v>48</v>
      </c>
    </row>
    <row r="4086" spans="1:33">
      <c r="A4086" t="s">
        <v>14989</v>
      </c>
      <c r="B4086" t="s">
        <v>14990</v>
      </c>
      <c r="D4086" t="s">
        <v>40</v>
      </c>
      <c r="E4086" t="s">
        <v>41</v>
      </c>
      <c r="J4086" t="s">
        <v>86</v>
      </c>
      <c r="K4086" t="s">
        <v>87</v>
      </c>
      <c r="L4086">
        <v>3</v>
      </c>
      <c r="M4086" t="s">
        <v>14991</v>
      </c>
      <c r="N4086" t="s">
        <v>13978</v>
      </c>
      <c r="O4086" t="s">
        <v>47</v>
      </c>
      <c r="P4086" t="s">
        <v>47</v>
      </c>
      <c r="Y4086" t="s">
        <v>14992</v>
      </c>
      <c r="AG4086" t="s">
        <v>48</v>
      </c>
    </row>
    <row r="4087" spans="1:33">
      <c r="A4087" t="s">
        <v>14993</v>
      </c>
      <c r="B4087" t="s">
        <v>14994</v>
      </c>
      <c r="D4087" t="s">
        <v>40</v>
      </c>
      <c r="E4087" t="s">
        <v>41</v>
      </c>
      <c r="J4087" t="s">
        <v>43</v>
      </c>
      <c r="K4087" t="s">
        <v>44</v>
      </c>
      <c r="L4087">
        <v>3</v>
      </c>
      <c r="M4087" t="s">
        <v>14995</v>
      </c>
      <c r="N4087" t="s">
        <v>192</v>
      </c>
      <c r="O4087" t="s">
        <v>47</v>
      </c>
      <c r="P4087" t="s">
        <v>47</v>
      </c>
      <c r="Y4087" t="s">
        <v>14996</v>
      </c>
      <c r="AG4087" t="s">
        <v>48</v>
      </c>
    </row>
    <row r="4088" spans="1:33">
      <c r="A4088" t="s">
        <v>14997</v>
      </c>
      <c r="B4088" t="s">
        <v>14998</v>
      </c>
      <c r="D4088" t="s">
        <v>40</v>
      </c>
      <c r="E4088" t="s">
        <v>41</v>
      </c>
      <c r="J4088" t="s">
        <v>43</v>
      </c>
      <c r="K4088" t="s">
        <v>44</v>
      </c>
      <c r="L4088">
        <v>4</v>
      </c>
      <c r="M4088" t="s">
        <v>14999</v>
      </c>
      <c r="N4088" t="s">
        <v>14340</v>
      </c>
      <c r="O4088" t="s">
        <v>47</v>
      </c>
      <c r="P4088" t="s">
        <v>47</v>
      </c>
      <c r="Y4088" t="s">
        <v>15000</v>
      </c>
      <c r="AG4088" t="s">
        <v>48</v>
      </c>
    </row>
    <row r="4089" spans="1:33">
      <c r="A4089" t="s">
        <v>15001</v>
      </c>
      <c r="B4089" t="s">
        <v>15002</v>
      </c>
      <c r="D4089" t="s">
        <v>40</v>
      </c>
      <c r="E4089" t="s">
        <v>41</v>
      </c>
      <c r="J4089" t="s">
        <v>86</v>
      </c>
      <c r="K4089" t="s">
        <v>87</v>
      </c>
      <c r="L4089">
        <v>3</v>
      </c>
      <c r="M4089" t="s">
        <v>15003</v>
      </c>
      <c r="N4089" t="s">
        <v>13978</v>
      </c>
      <c r="O4089" t="s">
        <v>47</v>
      </c>
      <c r="P4089" t="s">
        <v>47</v>
      </c>
      <c r="Y4089" t="s">
        <v>15004</v>
      </c>
      <c r="AG4089" t="s">
        <v>48</v>
      </c>
    </row>
    <row r="4090" spans="1:33">
      <c r="A4090" t="s">
        <v>15005</v>
      </c>
      <c r="B4090" t="s">
        <v>15006</v>
      </c>
      <c r="D4090" t="s">
        <v>40</v>
      </c>
      <c r="E4090" t="s">
        <v>41</v>
      </c>
      <c r="J4090" t="s">
        <v>4737</v>
      </c>
      <c r="K4090" t="s">
        <v>4738</v>
      </c>
      <c r="L4090">
        <v>3</v>
      </c>
      <c r="M4090" t="s">
        <v>15007</v>
      </c>
      <c r="N4090" t="s">
        <v>14059</v>
      </c>
      <c r="O4090" t="s">
        <v>47</v>
      </c>
      <c r="P4090" t="s">
        <v>47</v>
      </c>
      <c r="Y4090" t="s">
        <v>15008</v>
      </c>
      <c r="AG4090" t="s">
        <v>48</v>
      </c>
    </row>
    <row r="4091" spans="1:33">
      <c r="A4091" t="s">
        <v>15009</v>
      </c>
      <c r="B4091" t="s">
        <v>15010</v>
      </c>
      <c r="D4091" t="s">
        <v>40</v>
      </c>
      <c r="E4091" t="s">
        <v>41</v>
      </c>
      <c r="J4091" t="s">
        <v>43</v>
      </c>
      <c r="K4091" t="s">
        <v>44</v>
      </c>
      <c r="L4091">
        <v>3</v>
      </c>
      <c r="M4091" t="s">
        <v>15011</v>
      </c>
      <c r="N4091" t="s">
        <v>13978</v>
      </c>
      <c r="O4091" t="s">
        <v>47</v>
      </c>
      <c r="P4091" t="s">
        <v>47</v>
      </c>
      <c r="Y4091" t="s">
        <v>15012</v>
      </c>
      <c r="AG4091" t="s">
        <v>48</v>
      </c>
    </row>
    <row r="4092" spans="1:33">
      <c r="A4092" t="s">
        <v>15013</v>
      </c>
      <c r="B4092" t="s">
        <v>15014</v>
      </c>
      <c r="D4092" t="s">
        <v>40</v>
      </c>
      <c r="E4092" t="s">
        <v>41</v>
      </c>
      <c r="J4092" t="s">
        <v>86</v>
      </c>
      <c r="K4092" t="s">
        <v>87</v>
      </c>
      <c r="L4092">
        <v>3</v>
      </c>
      <c r="M4092" t="s">
        <v>15015</v>
      </c>
      <c r="N4092" t="s">
        <v>14024</v>
      </c>
      <c r="O4092" t="s">
        <v>47</v>
      </c>
      <c r="P4092" t="s">
        <v>47</v>
      </c>
      <c r="Y4092" t="s">
        <v>15016</v>
      </c>
      <c r="AG4092" t="s">
        <v>48</v>
      </c>
    </row>
    <row r="4093" spans="1:33">
      <c r="A4093" t="s">
        <v>15017</v>
      </c>
      <c r="B4093" t="s">
        <v>15018</v>
      </c>
      <c r="D4093" t="s">
        <v>40</v>
      </c>
      <c r="E4093" t="s">
        <v>41</v>
      </c>
      <c r="J4093" t="s">
        <v>3472</v>
      </c>
      <c r="K4093" t="s">
        <v>3473</v>
      </c>
      <c r="L4093">
        <v>3</v>
      </c>
      <c r="M4093" t="s">
        <v>15019</v>
      </c>
      <c r="N4093" t="s">
        <v>14340</v>
      </c>
      <c r="O4093" t="s">
        <v>47</v>
      </c>
      <c r="P4093" t="s">
        <v>47</v>
      </c>
      <c r="Y4093" t="s">
        <v>15020</v>
      </c>
      <c r="AG4093" t="s">
        <v>48</v>
      </c>
    </row>
    <row r="4094" spans="1:33">
      <c r="A4094" t="s">
        <v>117</v>
      </c>
      <c r="B4094" t="s">
        <v>15021</v>
      </c>
      <c r="D4094" t="s">
        <v>40</v>
      </c>
      <c r="E4094" t="s">
        <v>41</v>
      </c>
      <c r="J4094" t="s">
        <v>86</v>
      </c>
      <c r="K4094" t="s">
        <v>87</v>
      </c>
      <c r="L4094">
        <v>3</v>
      </c>
      <c r="M4094" t="s">
        <v>15022</v>
      </c>
      <c r="N4094" t="s">
        <v>192</v>
      </c>
      <c r="O4094" t="s">
        <v>47</v>
      </c>
      <c r="P4094" t="s">
        <v>47</v>
      </c>
      <c r="Y4094" t="s">
        <v>15023</v>
      </c>
      <c r="AG4094" t="s">
        <v>48</v>
      </c>
    </row>
    <row r="4095" spans="1:33">
      <c r="A4095" t="s">
        <v>15024</v>
      </c>
      <c r="B4095" t="s">
        <v>15025</v>
      </c>
      <c r="D4095" t="s">
        <v>40</v>
      </c>
      <c r="E4095" t="s">
        <v>41</v>
      </c>
      <c r="J4095" t="s">
        <v>86</v>
      </c>
      <c r="K4095" t="s">
        <v>87</v>
      </c>
      <c r="L4095">
        <v>3</v>
      </c>
      <c r="M4095" t="s">
        <v>15026</v>
      </c>
      <c r="N4095" t="s">
        <v>13978</v>
      </c>
      <c r="O4095" t="s">
        <v>47</v>
      </c>
      <c r="P4095" t="s">
        <v>47</v>
      </c>
      <c r="Y4095" t="s">
        <v>15027</v>
      </c>
      <c r="AG4095" t="s">
        <v>48</v>
      </c>
    </row>
    <row r="4096" spans="1:33">
      <c r="A4096" t="s">
        <v>15028</v>
      </c>
      <c r="B4096" t="s">
        <v>15029</v>
      </c>
      <c r="D4096" t="s">
        <v>40</v>
      </c>
      <c r="E4096" t="s">
        <v>41</v>
      </c>
      <c r="J4096" t="s">
        <v>86</v>
      </c>
      <c r="K4096" t="s">
        <v>87</v>
      </c>
      <c r="L4096">
        <v>3</v>
      </c>
      <c r="M4096" t="s">
        <v>15030</v>
      </c>
      <c r="N4096" t="s">
        <v>14024</v>
      </c>
      <c r="O4096" t="s">
        <v>47</v>
      </c>
      <c r="P4096" t="s">
        <v>47</v>
      </c>
      <c r="Y4096" t="s">
        <v>15031</v>
      </c>
      <c r="AG4096" t="s">
        <v>48</v>
      </c>
    </row>
    <row r="4097" spans="1:33">
      <c r="A4097" t="s">
        <v>15032</v>
      </c>
      <c r="B4097" t="s">
        <v>15033</v>
      </c>
      <c r="D4097" t="s">
        <v>40</v>
      </c>
      <c r="E4097" t="s">
        <v>41</v>
      </c>
      <c r="J4097" t="s">
        <v>1418</v>
      </c>
      <c r="K4097" t="s">
        <v>1419</v>
      </c>
      <c r="L4097">
        <v>3</v>
      </c>
      <c r="M4097" t="s">
        <v>15034</v>
      </c>
      <c r="N4097" t="s">
        <v>13978</v>
      </c>
      <c r="O4097" t="s">
        <v>47</v>
      </c>
      <c r="P4097" t="s">
        <v>47</v>
      </c>
      <c r="Y4097" t="s">
        <v>15035</v>
      </c>
      <c r="AG4097" t="s">
        <v>48</v>
      </c>
    </row>
    <row r="4098" spans="1:33">
      <c r="A4098" t="s">
        <v>15036</v>
      </c>
      <c r="B4098" t="s">
        <v>15037</v>
      </c>
      <c r="D4098" t="s">
        <v>40</v>
      </c>
      <c r="E4098" t="s">
        <v>41</v>
      </c>
      <c r="J4098" t="s">
        <v>86</v>
      </c>
      <c r="K4098" t="s">
        <v>87</v>
      </c>
      <c r="L4098">
        <v>3</v>
      </c>
      <c r="M4098" t="s">
        <v>15038</v>
      </c>
      <c r="N4098" t="s">
        <v>14059</v>
      </c>
      <c r="O4098" t="s">
        <v>47</v>
      </c>
      <c r="P4098" t="s">
        <v>47</v>
      </c>
      <c r="Y4098" t="s">
        <v>15039</v>
      </c>
      <c r="AG4098" t="s">
        <v>48</v>
      </c>
    </row>
    <row r="4099" spans="1:33">
      <c r="A4099" t="s">
        <v>15040</v>
      </c>
      <c r="B4099" t="s">
        <v>15041</v>
      </c>
      <c r="D4099" t="s">
        <v>40</v>
      </c>
      <c r="E4099" t="s">
        <v>41</v>
      </c>
      <c r="J4099" t="s">
        <v>1418</v>
      </c>
      <c r="K4099" t="s">
        <v>1419</v>
      </c>
      <c r="L4099">
        <v>3</v>
      </c>
      <c r="M4099" t="s">
        <v>15042</v>
      </c>
      <c r="N4099" t="s">
        <v>218</v>
      </c>
      <c r="O4099" t="s">
        <v>47</v>
      </c>
      <c r="P4099" t="s">
        <v>47</v>
      </c>
      <c r="Y4099" t="s">
        <v>15043</v>
      </c>
      <c r="AG4099" t="s">
        <v>48</v>
      </c>
    </row>
    <row r="4100" spans="1:33">
      <c r="A4100" t="s">
        <v>15044</v>
      </c>
      <c r="B4100" t="s">
        <v>15045</v>
      </c>
      <c r="D4100" t="s">
        <v>40</v>
      </c>
      <c r="E4100" t="s">
        <v>41</v>
      </c>
      <c r="J4100" t="s">
        <v>86</v>
      </c>
      <c r="K4100" t="s">
        <v>87</v>
      </c>
      <c r="L4100">
        <v>3</v>
      </c>
      <c r="M4100" t="s">
        <v>15046</v>
      </c>
      <c r="N4100" t="s">
        <v>192</v>
      </c>
      <c r="O4100" t="s">
        <v>47</v>
      </c>
      <c r="P4100" t="s">
        <v>47</v>
      </c>
      <c r="Y4100" t="s">
        <v>15047</v>
      </c>
      <c r="AG4100" t="s">
        <v>48</v>
      </c>
    </row>
    <row r="4101" spans="1:33">
      <c r="A4101" t="s">
        <v>15048</v>
      </c>
      <c r="B4101" t="s">
        <v>15049</v>
      </c>
      <c r="D4101" t="s">
        <v>40</v>
      </c>
      <c r="E4101" t="s">
        <v>41</v>
      </c>
      <c r="J4101" t="s">
        <v>86</v>
      </c>
      <c r="K4101" t="s">
        <v>87</v>
      </c>
      <c r="L4101">
        <v>3</v>
      </c>
      <c r="M4101" t="s">
        <v>15050</v>
      </c>
      <c r="N4101" t="s">
        <v>13978</v>
      </c>
      <c r="O4101" t="s">
        <v>47</v>
      </c>
      <c r="P4101" t="s">
        <v>47</v>
      </c>
      <c r="Y4101" t="s">
        <v>15051</v>
      </c>
      <c r="AG4101" t="s">
        <v>48</v>
      </c>
    </row>
    <row r="4102" spans="1:33">
      <c r="A4102" t="s">
        <v>15052</v>
      </c>
      <c r="B4102" t="s">
        <v>15053</v>
      </c>
      <c r="D4102" t="s">
        <v>40</v>
      </c>
      <c r="E4102" t="s">
        <v>41</v>
      </c>
      <c r="J4102" t="s">
        <v>43</v>
      </c>
      <c r="K4102" t="s">
        <v>44</v>
      </c>
      <c r="L4102">
        <v>3</v>
      </c>
      <c r="M4102" t="s">
        <v>15054</v>
      </c>
      <c r="N4102" t="s">
        <v>14340</v>
      </c>
      <c r="O4102" t="s">
        <v>47</v>
      </c>
      <c r="P4102" t="s">
        <v>47</v>
      </c>
      <c r="Y4102" t="s">
        <v>15055</v>
      </c>
      <c r="AG4102" t="s">
        <v>48</v>
      </c>
    </row>
    <row r="4103" spans="1:33">
      <c r="A4103" t="s">
        <v>15056</v>
      </c>
      <c r="B4103" t="s">
        <v>15057</v>
      </c>
      <c r="D4103" t="s">
        <v>40</v>
      </c>
      <c r="E4103" t="s">
        <v>41</v>
      </c>
      <c r="J4103" t="s">
        <v>3472</v>
      </c>
      <c r="K4103" t="s">
        <v>3473</v>
      </c>
      <c r="L4103">
        <v>3</v>
      </c>
      <c r="M4103" t="s">
        <v>15058</v>
      </c>
      <c r="N4103" t="s">
        <v>14011</v>
      </c>
      <c r="O4103" t="s">
        <v>47</v>
      </c>
      <c r="P4103" t="s">
        <v>47</v>
      </c>
      <c r="Y4103" t="s">
        <v>15059</v>
      </c>
      <c r="AG4103" t="s">
        <v>48</v>
      </c>
    </row>
    <row r="4104" spans="1:33">
      <c r="A4104" t="s">
        <v>117</v>
      </c>
      <c r="B4104" t="s">
        <v>15060</v>
      </c>
      <c r="D4104" t="s">
        <v>40</v>
      </c>
      <c r="E4104" t="s">
        <v>41</v>
      </c>
      <c r="J4104" t="s">
        <v>10950</v>
      </c>
      <c r="K4104" t="s">
        <v>10950</v>
      </c>
      <c r="L4104">
        <v>4</v>
      </c>
      <c r="M4104" t="s">
        <v>15061</v>
      </c>
      <c r="N4104" t="s">
        <v>13978</v>
      </c>
      <c r="O4104" t="s">
        <v>47</v>
      </c>
      <c r="P4104" t="s">
        <v>47</v>
      </c>
      <c r="Y4104" t="s">
        <v>15062</v>
      </c>
      <c r="AG4104" t="s">
        <v>48</v>
      </c>
    </row>
    <row r="4105" spans="1:33">
      <c r="A4105" t="s">
        <v>15063</v>
      </c>
      <c r="B4105" t="s">
        <v>15064</v>
      </c>
      <c r="D4105" t="s">
        <v>40</v>
      </c>
      <c r="E4105" t="s">
        <v>41</v>
      </c>
      <c r="J4105" t="s">
        <v>6163</v>
      </c>
      <c r="K4105" t="s">
        <v>6164</v>
      </c>
      <c r="L4105">
        <v>3</v>
      </c>
      <c r="M4105" t="s">
        <v>15065</v>
      </c>
      <c r="N4105" t="s">
        <v>14011</v>
      </c>
      <c r="O4105" t="s">
        <v>47</v>
      </c>
      <c r="P4105" t="s">
        <v>47</v>
      </c>
      <c r="Y4105" t="s">
        <v>15066</v>
      </c>
      <c r="AG4105" t="s">
        <v>48</v>
      </c>
    </row>
    <row r="4106" spans="1:33">
      <c r="A4106" t="s">
        <v>15067</v>
      </c>
      <c r="B4106" t="s">
        <v>15068</v>
      </c>
      <c r="D4106" t="s">
        <v>40</v>
      </c>
      <c r="E4106" t="s">
        <v>41</v>
      </c>
      <c r="J4106" t="s">
        <v>4737</v>
      </c>
      <c r="K4106" t="s">
        <v>4738</v>
      </c>
      <c r="L4106">
        <v>3</v>
      </c>
      <c r="M4106" t="s">
        <v>15069</v>
      </c>
      <c r="N4106" t="s">
        <v>14011</v>
      </c>
      <c r="O4106" t="s">
        <v>47</v>
      </c>
      <c r="P4106" t="s">
        <v>47</v>
      </c>
      <c r="Y4106" t="s">
        <v>15070</v>
      </c>
      <c r="AG4106" t="s">
        <v>48</v>
      </c>
    </row>
    <row r="4107" spans="1:33">
      <c r="A4107" t="s">
        <v>15071</v>
      </c>
      <c r="B4107" t="s">
        <v>15072</v>
      </c>
      <c r="D4107" t="s">
        <v>40</v>
      </c>
      <c r="E4107" t="s">
        <v>41</v>
      </c>
      <c r="J4107" t="s">
        <v>13514</v>
      </c>
      <c r="K4107" t="s">
        <v>13515</v>
      </c>
      <c r="L4107">
        <v>4</v>
      </c>
      <c r="M4107" t="s">
        <v>15073</v>
      </c>
      <c r="N4107" t="s">
        <v>14340</v>
      </c>
      <c r="O4107" t="s">
        <v>47</v>
      </c>
      <c r="P4107" t="s">
        <v>47</v>
      </c>
      <c r="Y4107" t="s">
        <v>15074</v>
      </c>
      <c r="AG4107" t="s">
        <v>48</v>
      </c>
    </row>
    <row r="4108" spans="1:33">
      <c r="A4108" t="s">
        <v>15075</v>
      </c>
      <c r="B4108" t="s">
        <v>15076</v>
      </c>
      <c r="D4108" t="s">
        <v>40</v>
      </c>
      <c r="E4108" t="s">
        <v>41</v>
      </c>
      <c r="J4108" t="s">
        <v>14204</v>
      </c>
      <c r="K4108" t="s">
        <v>14205</v>
      </c>
      <c r="L4108">
        <v>3</v>
      </c>
      <c r="M4108" t="s">
        <v>15077</v>
      </c>
      <c r="N4108" t="s">
        <v>14011</v>
      </c>
      <c r="O4108" t="s">
        <v>47</v>
      </c>
      <c r="P4108" t="s">
        <v>47</v>
      </c>
      <c r="Y4108" t="s">
        <v>15078</v>
      </c>
      <c r="AG4108" t="s">
        <v>48</v>
      </c>
    </row>
    <row r="4109" spans="1:33">
      <c r="A4109" t="s">
        <v>15079</v>
      </c>
      <c r="B4109" t="s">
        <v>15080</v>
      </c>
      <c r="D4109" t="s">
        <v>40</v>
      </c>
      <c r="E4109" t="s">
        <v>41</v>
      </c>
      <c r="J4109" t="s">
        <v>86</v>
      </c>
      <c r="K4109" t="s">
        <v>87</v>
      </c>
      <c r="L4109">
        <v>3</v>
      </c>
      <c r="M4109" t="s">
        <v>15081</v>
      </c>
      <c r="N4109" t="s">
        <v>13978</v>
      </c>
      <c r="O4109" t="s">
        <v>47</v>
      </c>
      <c r="P4109" t="s">
        <v>47</v>
      </c>
      <c r="Y4109" t="s">
        <v>15082</v>
      </c>
      <c r="AG4109" t="s">
        <v>48</v>
      </c>
    </row>
    <row r="4110" spans="1:33">
      <c r="A4110" t="s">
        <v>15083</v>
      </c>
      <c r="B4110" t="s">
        <v>15084</v>
      </c>
      <c r="D4110" t="s">
        <v>40</v>
      </c>
      <c r="E4110" t="s">
        <v>41</v>
      </c>
      <c r="J4110" t="s">
        <v>123</v>
      </c>
      <c r="K4110" t="s">
        <v>124</v>
      </c>
      <c r="L4110">
        <v>5</v>
      </c>
      <c r="M4110" t="s">
        <v>15085</v>
      </c>
      <c r="N4110" t="s">
        <v>13978</v>
      </c>
      <c r="O4110" t="s">
        <v>47</v>
      </c>
      <c r="P4110" t="s">
        <v>47</v>
      </c>
      <c r="Y4110" t="s">
        <v>15086</v>
      </c>
      <c r="AG4110" t="s">
        <v>48</v>
      </c>
    </row>
    <row r="4111" spans="1:33">
      <c r="A4111" t="s">
        <v>15087</v>
      </c>
      <c r="B4111" t="s">
        <v>15088</v>
      </c>
      <c r="D4111" t="s">
        <v>40</v>
      </c>
      <c r="E4111" t="s">
        <v>41</v>
      </c>
      <c r="J4111" t="s">
        <v>86</v>
      </c>
      <c r="K4111" t="s">
        <v>87</v>
      </c>
      <c r="L4111">
        <v>3</v>
      </c>
      <c r="M4111" t="s">
        <v>15089</v>
      </c>
      <c r="N4111" t="s">
        <v>14059</v>
      </c>
      <c r="O4111" t="s">
        <v>47</v>
      </c>
      <c r="P4111" t="s">
        <v>47</v>
      </c>
      <c r="Y4111" t="s">
        <v>15090</v>
      </c>
      <c r="AG4111" t="s">
        <v>48</v>
      </c>
    </row>
    <row r="4112" spans="1:33">
      <c r="A4112" t="s">
        <v>15091</v>
      </c>
      <c r="B4112" t="s">
        <v>15092</v>
      </c>
      <c r="D4112" t="s">
        <v>40</v>
      </c>
      <c r="E4112" t="s">
        <v>41</v>
      </c>
      <c r="J4112" t="s">
        <v>86</v>
      </c>
      <c r="K4112" t="s">
        <v>87</v>
      </c>
      <c r="L4112">
        <v>3</v>
      </c>
      <c r="M4112" t="s">
        <v>15093</v>
      </c>
      <c r="N4112" t="s">
        <v>14011</v>
      </c>
      <c r="O4112" t="s">
        <v>47</v>
      </c>
      <c r="P4112" t="s">
        <v>47</v>
      </c>
      <c r="Y4112" t="s">
        <v>15094</v>
      </c>
      <c r="AG4112" t="s">
        <v>48</v>
      </c>
    </row>
    <row r="4113" spans="1:33">
      <c r="A4113" t="s">
        <v>15095</v>
      </c>
      <c r="B4113" t="s">
        <v>15096</v>
      </c>
      <c r="D4113" t="s">
        <v>40</v>
      </c>
      <c r="E4113" t="s">
        <v>41</v>
      </c>
      <c r="J4113" t="s">
        <v>43</v>
      </c>
      <c r="K4113" t="s">
        <v>44</v>
      </c>
      <c r="L4113">
        <v>3</v>
      </c>
      <c r="M4113" t="s">
        <v>15097</v>
      </c>
      <c r="N4113" t="s">
        <v>192</v>
      </c>
      <c r="O4113" t="s">
        <v>47</v>
      </c>
      <c r="P4113" t="s">
        <v>47</v>
      </c>
      <c r="Y4113" t="s">
        <v>15098</v>
      </c>
      <c r="AG4113" t="s">
        <v>48</v>
      </c>
    </row>
    <row r="4114" spans="1:33">
      <c r="A4114" t="s">
        <v>15099</v>
      </c>
      <c r="B4114" t="s">
        <v>15100</v>
      </c>
      <c r="D4114" t="s">
        <v>40</v>
      </c>
      <c r="E4114" t="s">
        <v>41</v>
      </c>
      <c r="J4114" t="s">
        <v>43</v>
      </c>
      <c r="K4114" t="s">
        <v>44</v>
      </c>
      <c r="L4114">
        <v>3</v>
      </c>
      <c r="M4114" t="s">
        <v>15101</v>
      </c>
      <c r="N4114" t="s">
        <v>13978</v>
      </c>
      <c r="O4114" t="s">
        <v>47</v>
      </c>
      <c r="P4114" t="s">
        <v>47</v>
      </c>
      <c r="Y4114" t="s">
        <v>15102</v>
      </c>
      <c r="AG4114" t="s">
        <v>48</v>
      </c>
    </row>
    <row r="4115" spans="1:33">
      <c r="A4115" t="s">
        <v>15103</v>
      </c>
      <c r="B4115" t="s">
        <v>15104</v>
      </c>
      <c r="D4115" t="s">
        <v>40</v>
      </c>
      <c r="E4115" t="s">
        <v>41</v>
      </c>
      <c r="J4115" t="s">
        <v>43</v>
      </c>
      <c r="K4115" t="s">
        <v>44</v>
      </c>
      <c r="L4115">
        <v>3</v>
      </c>
      <c r="M4115" t="s">
        <v>15105</v>
      </c>
      <c r="N4115" t="s">
        <v>14024</v>
      </c>
      <c r="O4115" t="s">
        <v>47</v>
      </c>
      <c r="P4115" t="s">
        <v>47</v>
      </c>
      <c r="Y4115" t="s">
        <v>15106</v>
      </c>
      <c r="AG4115" t="s">
        <v>48</v>
      </c>
    </row>
    <row r="4116" spans="1:33">
      <c r="A4116" t="s">
        <v>15107</v>
      </c>
      <c r="B4116" t="s">
        <v>15108</v>
      </c>
      <c r="D4116" t="s">
        <v>40</v>
      </c>
      <c r="E4116" t="s">
        <v>41</v>
      </c>
      <c r="J4116" t="s">
        <v>13514</v>
      </c>
      <c r="K4116" t="s">
        <v>13515</v>
      </c>
      <c r="L4116">
        <v>4</v>
      </c>
      <c r="M4116" t="s">
        <v>15109</v>
      </c>
      <c r="N4116" t="s">
        <v>14011</v>
      </c>
      <c r="O4116" t="s">
        <v>47</v>
      </c>
      <c r="P4116" t="s">
        <v>47</v>
      </c>
      <c r="Y4116" t="s">
        <v>15110</v>
      </c>
      <c r="AG4116" t="s">
        <v>48</v>
      </c>
    </row>
    <row r="4117" spans="1:33">
      <c r="A4117" t="s">
        <v>15111</v>
      </c>
      <c r="B4117" t="s">
        <v>15112</v>
      </c>
      <c r="D4117" t="s">
        <v>40</v>
      </c>
      <c r="E4117" t="s">
        <v>41</v>
      </c>
      <c r="J4117" t="s">
        <v>86</v>
      </c>
      <c r="K4117" t="s">
        <v>87</v>
      </c>
      <c r="L4117">
        <v>3</v>
      </c>
      <c r="M4117" t="s">
        <v>15113</v>
      </c>
      <c r="N4117" t="s">
        <v>13978</v>
      </c>
      <c r="O4117" t="s">
        <v>47</v>
      </c>
      <c r="P4117" t="s">
        <v>47</v>
      </c>
      <c r="Y4117" t="s">
        <v>15114</v>
      </c>
      <c r="AG4117" t="s">
        <v>48</v>
      </c>
    </row>
    <row r="4118" spans="1:33">
      <c r="A4118" t="s">
        <v>15115</v>
      </c>
      <c r="B4118" t="s">
        <v>15116</v>
      </c>
      <c r="D4118" t="s">
        <v>40</v>
      </c>
      <c r="E4118" t="s">
        <v>41</v>
      </c>
      <c r="J4118" t="s">
        <v>86</v>
      </c>
      <c r="K4118" t="s">
        <v>87</v>
      </c>
      <c r="L4118">
        <v>3</v>
      </c>
      <c r="M4118" t="s">
        <v>15117</v>
      </c>
      <c r="N4118" t="s">
        <v>192</v>
      </c>
      <c r="O4118" t="s">
        <v>47</v>
      </c>
      <c r="P4118" t="s">
        <v>47</v>
      </c>
      <c r="Y4118" t="s">
        <v>15118</v>
      </c>
      <c r="AG4118" t="s">
        <v>48</v>
      </c>
    </row>
    <row r="4119" spans="1:33">
      <c r="A4119" t="s">
        <v>15119</v>
      </c>
      <c r="B4119" t="s">
        <v>15120</v>
      </c>
      <c r="D4119" t="s">
        <v>40</v>
      </c>
      <c r="E4119" t="s">
        <v>41</v>
      </c>
      <c r="J4119" t="s">
        <v>86</v>
      </c>
      <c r="K4119" t="s">
        <v>87</v>
      </c>
      <c r="L4119">
        <v>3</v>
      </c>
      <c r="M4119" t="s">
        <v>15121</v>
      </c>
      <c r="N4119" t="s">
        <v>14059</v>
      </c>
      <c r="O4119" t="s">
        <v>47</v>
      </c>
      <c r="P4119" t="s">
        <v>47</v>
      </c>
      <c r="Y4119" t="s">
        <v>15122</v>
      </c>
      <c r="AG4119" t="s">
        <v>48</v>
      </c>
    </row>
    <row r="4120" spans="1:33">
      <c r="A4120" t="s">
        <v>15123</v>
      </c>
      <c r="B4120" t="s">
        <v>15124</v>
      </c>
      <c r="D4120" t="s">
        <v>40</v>
      </c>
      <c r="E4120" t="s">
        <v>41</v>
      </c>
      <c r="J4120" t="s">
        <v>14204</v>
      </c>
      <c r="K4120" t="s">
        <v>14205</v>
      </c>
      <c r="L4120">
        <v>3</v>
      </c>
      <c r="M4120" t="s">
        <v>15125</v>
      </c>
      <c r="N4120" t="s">
        <v>14011</v>
      </c>
      <c r="O4120" t="s">
        <v>47</v>
      </c>
      <c r="P4120" t="s">
        <v>47</v>
      </c>
      <c r="Y4120" t="s">
        <v>15126</v>
      </c>
      <c r="AG4120" t="s">
        <v>48</v>
      </c>
    </row>
    <row r="4121" spans="1:33">
      <c r="A4121" t="s">
        <v>15127</v>
      </c>
      <c r="B4121" t="s">
        <v>15128</v>
      </c>
      <c r="D4121" t="s">
        <v>40</v>
      </c>
      <c r="E4121" t="s">
        <v>41</v>
      </c>
      <c r="J4121" t="s">
        <v>43</v>
      </c>
      <c r="K4121" t="s">
        <v>44</v>
      </c>
      <c r="L4121">
        <v>4</v>
      </c>
      <c r="M4121" t="s">
        <v>15129</v>
      </c>
      <c r="N4121" t="s">
        <v>218</v>
      </c>
      <c r="O4121" t="s">
        <v>47</v>
      </c>
      <c r="P4121" t="s">
        <v>47</v>
      </c>
      <c r="Y4121" t="s">
        <v>15130</v>
      </c>
      <c r="AG4121" t="s">
        <v>48</v>
      </c>
    </row>
    <row r="4122" spans="1:33">
      <c r="A4122" t="s">
        <v>15131</v>
      </c>
      <c r="B4122" t="s">
        <v>15132</v>
      </c>
      <c r="D4122" t="s">
        <v>40</v>
      </c>
      <c r="E4122" t="s">
        <v>41</v>
      </c>
      <c r="J4122" t="s">
        <v>1052</v>
      </c>
      <c r="K4122" t="s">
        <v>1053</v>
      </c>
      <c r="L4122">
        <v>3</v>
      </c>
      <c r="M4122" t="s">
        <v>15133</v>
      </c>
      <c r="N4122" t="s">
        <v>13978</v>
      </c>
      <c r="O4122" t="s">
        <v>47</v>
      </c>
      <c r="P4122" t="s">
        <v>47</v>
      </c>
      <c r="Y4122" t="s">
        <v>15134</v>
      </c>
      <c r="AG4122" t="s">
        <v>48</v>
      </c>
    </row>
    <row r="4123" spans="1:33">
      <c r="A4123" t="s">
        <v>15135</v>
      </c>
      <c r="B4123" t="s">
        <v>15136</v>
      </c>
      <c r="D4123" t="s">
        <v>40</v>
      </c>
      <c r="E4123" t="s">
        <v>41</v>
      </c>
      <c r="J4123" t="s">
        <v>86</v>
      </c>
      <c r="K4123" t="s">
        <v>87</v>
      </c>
      <c r="L4123">
        <v>3</v>
      </c>
      <c r="M4123" t="s">
        <v>15137</v>
      </c>
      <c r="N4123" t="s">
        <v>192</v>
      </c>
      <c r="O4123" t="s">
        <v>47</v>
      </c>
      <c r="P4123" t="s">
        <v>47</v>
      </c>
      <c r="Y4123" t="s">
        <v>15138</v>
      </c>
      <c r="AG4123" t="s">
        <v>48</v>
      </c>
    </row>
    <row r="4124" spans="1:33">
      <c r="A4124" t="s">
        <v>15139</v>
      </c>
      <c r="B4124" t="s">
        <v>15140</v>
      </c>
      <c r="D4124" t="s">
        <v>40</v>
      </c>
      <c r="E4124" t="s">
        <v>41</v>
      </c>
      <c r="J4124" t="s">
        <v>43</v>
      </c>
      <c r="K4124" t="s">
        <v>44</v>
      </c>
      <c r="L4124">
        <v>3</v>
      </c>
      <c r="M4124" t="s">
        <v>15141</v>
      </c>
      <c r="N4124" t="s">
        <v>13978</v>
      </c>
      <c r="O4124" t="s">
        <v>47</v>
      </c>
      <c r="P4124" t="s">
        <v>47</v>
      </c>
      <c r="Y4124" t="s">
        <v>15142</v>
      </c>
      <c r="AG4124" t="s">
        <v>48</v>
      </c>
    </row>
    <row r="4125" spans="1:33">
      <c r="A4125" t="s">
        <v>15143</v>
      </c>
      <c r="B4125" t="s">
        <v>15144</v>
      </c>
      <c r="D4125" t="s">
        <v>40</v>
      </c>
      <c r="E4125" t="s">
        <v>41</v>
      </c>
      <c r="J4125" t="s">
        <v>86</v>
      </c>
      <c r="K4125" t="s">
        <v>87</v>
      </c>
      <c r="L4125">
        <v>3</v>
      </c>
      <c r="M4125" t="s">
        <v>15145</v>
      </c>
      <c r="N4125" t="s">
        <v>13978</v>
      </c>
      <c r="O4125" t="s">
        <v>47</v>
      </c>
      <c r="P4125" t="s">
        <v>47</v>
      </c>
      <c r="Y4125" t="s">
        <v>15146</v>
      </c>
      <c r="AG4125" t="s">
        <v>48</v>
      </c>
    </row>
    <row r="4126" spans="1:33">
      <c r="A4126" t="s">
        <v>15147</v>
      </c>
      <c r="B4126" t="s">
        <v>15148</v>
      </c>
      <c r="D4126" t="s">
        <v>40</v>
      </c>
      <c r="E4126" t="s">
        <v>41</v>
      </c>
      <c r="J4126" t="s">
        <v>86</v>
      </c>
      <c r="K4126" t="s">
        <v>87</v>
      </c>
      <c r="L4126">
        <v>3</v>
      </c>
      <c r="M4126" t="s">
        <v>15149</v>
      </c>
      <c r="N4126" t="s">
        <v>13978</v>
      </c>
      <c r="O4126" t="s">
        <v>47</v>
      </c>
      <c r="P4126" t="s">
        <v>47</v>
      </c>
      <c r="Y4126" t="s">
        <v>15150</v>
      </c>
      <c r="AG4126" t="s">
        <v>48</v>
      </c>
    </row>
    <row r="4127" spans="1:33">
      <c r="A4127" t="s">
        <v>15151</v>
      </c>
      <c r="B4127" t="s">
        <v>15152</v>
      </c>
      <c r="D4127" t="s">
        <v>40</v>
      </c>
      <c r="E4127" t="s">
        <v>41</v>
      </c>
      <c r="J4127" t="s">
        <v>1418</v>
      </c>
      <c r="K4127" t="s">
        <v>1419</v>
      </c>
      <c r="L4127">
        <v>3</v>
      </c>
      <c r="M4127" t="s">
        <v>15153</v>
      </c>
      <c r="N4127" t="s">
        <v>14024</v>
      </c>
      <c r="O4127" t="s">
        <v>47</v>
      </c>
      <c r="P4127" t="s">
        <v>47</v>
      </c>
      <c r="Y4127" t="s">
        <v>15154</v>
      </c>
      <c r="AG4127" t="s">
        <v>48</v>
      </c>
    </row>
    <row r="4128" spans="1:33">
      <c r="A4128" t="s">
        <v>15155</v>
      </c>
      <c r="B4128" t="s">
        <v>15156</v>
      </c>
      <c r="D4128" t="s">
        <v>40</v>
      </c>
      <c r="E4128" t="s">
        <v>41</v>
      </c>
      <c r="J4128" t="s">
        <v>86</v>
      </c>
      <c r="K4128" t="s">
        <v>87</v>
      </c>
      <c r="L4128">
        <v>3</v>
      </c>
      <c r="M4128" t="s">
        <v>15157</v>
      </c>
      <c r="N4128" t="s">
        <v>13978</v>
      </c>
      <c r="O4128" t="s">
        <v>47</v>
      </c>
      <c r="P4128" t="s">
        <v>47</v>
      </c>
      <c r="Y4128" t="s">
        <v>15158</v>
      </c>
      <c r="AG4128" t="s">
        <v>48</v>
      </c>
    </row>
    <row r="4129" spans="1:33">
      <c r="A4129" t="s">
        <v>15159</v>
      </c>
      <c r="B4129" t="s">
        <v>15160</v>
      </c>
      <c r="D4129" t="s">
        <v>40</v>
      </c>
      <c r="E4129" t="s">
        <v>41</v>
      </c>
      <c r="J4129" t="s">
        <v>86</v>
      </c>
      <c r="K4129" t="s">
        <v>87</v>
      </c>
      <c r="L4129">
        <v>3</v>
      </c>
      <c r="M4129" t="s">
        <v>15161</v>
      </c>
      <c r="N4129" t="s">
        <v>14024</v>
      </c>
      <c r="O4129" t="s">
        <v>47</v>
      </c>
      <c r="P4129" t="s">
        <v>47</v>
      </c>
      <c r="Y4129" t="s">
        <v>15162</v>
      </c>
      <c r="AG4129" t="s">
        <v>48</v>
      </c>
    </row>
    <row r="4130" spans="1:33">
      <c r="A4130" t="s">
        <v>15163</v>
      </c>
      <c r="B4130" t="s">
        <v>15164</v>
      </c>
      <c r="D4130" t="s">
        <v>40</v>
      </c>
      <c r="E4130" t="s">
        <v>41</v>
      </c>
      <c r="J4130" t="s">
        <v>6163</v>
      </c>
      <c r="K4130" t="s">
        <v>6164</v>
      </c>
      <c r="L4130">
        <v>3</v>
      </c>
      <c r="M4130" t="s">
        <v>15165</v>
      </c>
      <c r="N4130" t="s">
        <v>14059</v>
      </c>
      <c r="O4130" t="s">
        <v>47</v>
      </c>
      <c r="P4130" t="s">
        <v>47</v>
      </c>
      <c r="Y4130" t="s">
        <v>15166</v>
      </c>
      <c r="AG4130" t="s">
        <v>48</v>
      </c>
    </row>
    <row r="4131" spans="1:33">
      <c r="A4131" t="s">
        <v>15167</v>
      </c>
      <c r="B4131" t="s">
        <v>15168</v>
      </c>
      <c r="D4131" t="s">
        <v>40</v>
      </c>
      <c r="E4131" t="s">
        <v>41</v>
      </c>
      <c r="J4131" t="s">
        <v>86</v>
      </c>
      <c r="K4131" t="s">
        <v>87</v>
      </c>
      <c r="L4131">
        <v>3</v>
      </c>
      <c r="M4131" t="s">
        <v>15169</v>
      </c>
      <c r="N4131" t="s">
        <v>13978</v>
      </c>
      <c r="O4131" t="s">
        <v>47</v>
      </c>
      <c r="P4131" t="s">
        <v>47</v>
      </c>
      <c r="Y4131" t="s">
        <v>15170</v>
      </c>
      <c r="AG4131" t="s">
        <v>48</v>
      </c>
    </row>
    <row r="4132" spans="1:33">
      <c r="A4132" t="s">
        <v>15171</v>
      </c>
      <c r="B4132" t="s">
        <v>15172</v>
      </c>
      <c r="D4132" t="s">
        <v>40</v>
      </c>
      <c r="E4132" t="s">
        <v>41</v>
      </c>
      <c r="J4132" t="s">
        <v>86</v>
      </c>
      <c r="K4132" t="s">
        <v>87</v>
      </c>
      <c r="L4132">
        <v>3</v>
      </c>
      <c r="M4132" t="s">
        <v>15173</v>
      </c>
      <c r="N4132" t="s">
        <v>192</v>
      </c>
      <c r="O4132" t="s">
        <v>47</v>
      </c>
      <c r="P4132" t="s">
        <v>47</v>
      </c>
      <c r="Y4132" t="s">
        <v>15174</v>
      </c>
      <c r="AG4132" t="s">
        <v>48</v>
      </c>
    </row>
    <row r="4133" spans="1:33">
      <c r="A4133" t="s">
        <v>15175</v>
      </c>
      <c r="B4133" t="s">
        <v>15176</v>
      </c>
      <c r="D4133" t="s">
        <v>40</v>
      </c>
      <c r="E4133" t="s">
        <v>41</v>
      </c>
      <c r="J4133" t="s">
        <v>215</v>
      </c>
      <c r="K4133" t="s">
        <v>216</v>
      </c>
      <c r="L4133">
        <v>5</v>
      </c>
      <c r="M4133" t="s">
        <v>15177</v>
      </c>
      <c r="N4133" t="s">
        <v>14024</v>
      </c>
      <c r="O4133" t="s">
        <v>47</v>
      </c>
      <c r="P4133" t="s">
        <v>47</v>
      </c>
      <c r="Y4133" t="s">
        <v>15178</v>
      </c>
      <c r="AG4133" t="s">
        <v>48</v>
      </c>
    </row>
    <row r="4134" spans="1:33">
      <c r="A4134" t="s">
        <v>15179</v>
      </c>
      <c r="B4134" t="s">
        <v>15180</v>
      </c>
      <c r="D4134" t="s">
        <v>40</v>
      </c>
      <c r="E4134" t="s">
        <v>41</v>
      </c>
      <c r="J4134" t="s">
        <v>86</v>
      </c>
      <c r="K4134" t="s">
        <v>87</v>
      </c>
      <c r="L4134">
        <v>3</v>
      </c>
      <c r="M4134" t="s">
        <v>15181</v>
      </c>
      <c r="N4134" t="s">
        <v>192</v>
      </c>
      <c r="O4134" t="s">
        <v>47</v>
      </c>
      <c r="P4134" t="s">
        <v>47</v>
      </c>
      <c r="Y4134" t="s">
        <v>15182</v>
      </c>
      <c r="AG4134" t="s">
        <v>48</v>
      </c>
    </row>
    <row r="4135" spans="1:33">
      <c r="A4135" t="s">
        <v>15183</v>
      </c>
      <c r="B4135" t="s">
        <v>15184</v>
      </c>
      <c r="D4135" t="s">
        <v>40</v>
      </c>
      <c r="E4135" t="s">
        <v>41</v>
      </c>
      <c r="J4135" t="s">
        <v>13514</v>
      </c>
      <c r="K4135" t="s">
        <v>13515</v>
      </c>
      <c r="L4135">
        <v>4</v>
      </c>
      <c r="M4135" t="s">
        <v>15185</v>
      </c>
      <c r="N4135" t="s">
        <v>14059</v>
      </c>
      <c r="O4135" t="s">
        <v>47</v>
      </c>
      <c r="P4135" t="s">
        <v>47</v>
      </c>
      <c r="Y4135" t="s">
        <v>15186</v>
      </c>
      <c r="AG4135" t="s">
        <v>48</v>
      </c>
    </row>
    <row r="4136" spans="1:33">
      <c r="A4136" t="s">
        <v>15187</v>
      </c>
      <c r="B4136" t="s">
        <v>15188</v>
      </c>
      <c r="D4136" t="s">
        <v>40</v>
      </c>
      <c r="E4136" t="s">
        <v>41</v>
      </c>
      <c r="J4136" t="s">
        <v>86</v>
      </c>
      <c r="K4136" t="s">
        <v>87</v>
      </c>
      <c r="L4136">
        <v>3</v>
      </c>
      <c r="M4136" t="s">
        <v>15189</v>
      </c>
      <c r="N4136" t="s">
        <v>13978</v>
      </c>
      <c r="O4136" t="s">
        <v>47</v>
      </c>
      <c r="P4136" t="s">
        <v>47</v>
      </c>
      <c r="Y4136" t="s">
        <v>15190</v>
      </c>
      <c r="AG4136" t="s">
        <v>48</v>
      </c>
    </row>
    <row r="4137" spans="1:33">
      <c r="A4137" t="s">
        <v>15191</v>
      </c>
      <c r="B4137" t="s">
        <v>15192</v>
      </c>
      <c r="D4137" t="s">
        <v>40</v>
      </c>
      <c r="E4137" t="s">
        <v>41</v>
      </c>
      <c r="J4137" t="s">
        <v>86</v>
      </c>
      <c r="K4137" t="s">
        <v>87</v>
      </c>
      <c r="L4137">
        <v>3</v>
      </c>
      <c r="M4137" t="s">
        <v>15193</v>
      </c>
      <c r="N4137" t="s">
        <v>192</v>
      </c>
      <c r="O4137" t="s">
        <v>47</v>
      </c>
      <c r="P4137" t="s">
        <v>47</v>
      </c>
      <c r="Y4137" t="s">
        <v>15194</v>
      </c>
      <c r="AG4137" t="s">
        <v>48</v>
      </c>
    </row>
    <row r="4138" spans="1:33">
      <c r="A4138" t="s">
        <v>15195</v>
      </c>
      <c r="B4138" t="s">
        <v>15196</v>
      </c>
      <c r="D4138" t="s">
        <v>40</v>
      </c>
      <c r="E4138" t="s">
        <v>41</v>
      </c>
      <c r="J4138" t="s">
        <v>13514</v>
      </c>
      <c r="K4138" t="s">
        <v>13515</v>
      </c>
      <c r="L4138">
        <v>4</v>
      </c>
      <c r="M4138" t="s">
        <v>15197</v>
      </c>
      <c r="N4138" t="s">
        <v>59</v>
      </c>
      <c r="O4138" t="s">
        <v>47</v>
      </c>
      <c r="P4138" t="s">
        <v>47</v>
      </c>
      <c r="Y4138" t="s">
        <v>15198</v>
      </c>
      <c r="AG4138" t="s">
        <v>48</v>
      </c>
    </row>
    <row r="4139" spans="1:33">
      <c r="A4139" t="s">
        <v>15199</v>
      </c>
      <c r="B4139" t="s">
        <v>15200</v>
      </c>
      <c r="D4139" t="s">
        <v>40</v>
      </c>
      <c r="E4139" t="s">
        <v>41</v>
      </c>
      <c r="J4139" t="s">
        <v>86</v>
      </c>
      <c r="K4139" t="s">
        <v>87</v>
      </c>
      <c r="L4139">
        <v>3</v>
      </c>
      <c r="M4139" t="s">
        <v>15201</v>
      </c>
      <c r="N4139" t="s">
        <v>13978</v>
      </c>
      <c r="O4139" t="s">
        <v>47</v>
      </c>
      <c r="P4139" t="s">
        <v>47</v>
      </c>
      <c r="Y4139" t="s">
        <v>15202</v>
      </c>
      <c r="AG4139" t="s">
        <v>48</v>
      </c>
    </row>
    <row r="4140" spans="1:33">
      <c r="A4140" t="s">
        <v>15203</v>
      </c>
      <c r="B4140" t="s">
        <v>15204</v>
      </c>
      <c r="D4140" t="s">
        <v>40</v>
      </c>
      <c r="E4140" t="s">
        <v>41</v>
      </c>
      <c r="J4140" t="s">
        <v>86</v>
      </c>
      <c r="K4140" t="s">
        <v>87</v>
      </c>
      <c r="L4140">
        <v>3</v>
      </c>
      <c r="M4140" t="s">
        <v>15205</v>
      </c>
      <c r="N4140" t="s">
        <v>14059</v>
      </c>
      <c r="O4140" t="s">
        <v>47</v>
      </c>
      <c r="P4140" t="s">
        <v>47</v>
      </c>
      <c r="Y4140" t="s">
        <v>15206</v>
      </c>
      <c r="AG4140" t="s">
        <v>48</v>
      </c>
    </row>
    <row r="4141" spans="1:33">
      <c r="A4141" t="s">
        <v>15207</v>
      </c>
      <c r="B4141" t="s">
        <v>15208</v>
      </c>
      <c r="D4141" t="s">
        <v>40</v>
      </c>
      <c r="E4141" t="s">
        <v>41</v>
      </c>
      <c r="J4141" t="s">
        <v>43</v>
      </c>
      <c r="K4141" t="s">
        <v>44</v>
      </c>
      <c r="L4141">
        <v>3</v>
      </c>
      <c r="M4141" t="s">
        <v>15209</v>
      </c>
      <c r="N4141" t="s">
        <v>192</v>
      </c>
      <c r="O4141" t="s">
        <v>47</v>
      </c>
      <c r="P4141" t="s">
        <v>47</v>
      </c>
      <c r="Y4141" t="s">
        <v>15210</v>
      </c>
      <c r="AG4141" t="s">
        <v>48</v>
      </c>
    </row>
    <row r="4142" spans="1:33">
      <c r="A4142" t="s">
        <v>15211</v>
      </c>
      <c r="B4142" t="s">
        <v>15212</v>
      </c>
      <c r="D4142" t="s">
        <v>40</v>
      </c>
      <c r="E4142" t="s">
        <v>41</v>
      </c>
      <c r="J4142" t="s">
        <v>14204</v>
      </c>
      <c r="K4142" t="s">
        <v>14205</v>
      </c>
      <c r="L4142">
        <v>3</v>
      </c>
      <c r="M4142" t="s">
        <v>15213</v>
      </c>
      <c r="N4142" t="s">
        <v>218</v>
      </c>
      <c r="O4142" t="s">
        <v>47</v>
      </c>
      <c r="P4142" t="s">
        <v>47</v>
      </c>
      <c r="Y4142" t="s">
        <v>15214</v>
      </c>
      <c r="AG4142" t="s">
        <v>48</v>
      </c>
    </row>
    <row r="4143" spans="1:33">
      <c r="A4143" t="s">
        <v>15215</v>
      </c>
      <c r="B4143" t="s">
        <v>15216</v>
      </c>
      <c r="D4143" t="s">
        <v>40</v>
      </c>
      <c r="E4143" t="s">
        <v>41</v>
      </c>
      <c r="J4143" t="s">
        <v>86</v>
      </c>
      <c r="K4143" t="s">
        <v>87</v>
      </c>
      <c r="L4143">
        <v>3</v>
      </c>
      <c r="M4143" t="s">
        <v>15217</v>
      </c>
      <c r="N4143" t="s">
        <v>192</v>
      </c>
      <c r="O4143" t="s">
        <v>47</v>
      </c>
      <c r="P4143" t="s">
        <v>47</v>
      </c>
      <c r="Y4143" t="s">
        <v>15218</v>
      </c>
      <c r="AG4143" t="s">
        <v>48</v>
      </c>
    </row>
    <row r="4144" spans="1:33">
      <c r="A4144" t="s">
        <v>15219</v>
      </c>
      <c r="B4144" t="s">
        <v>15220</v>
      </c>
      <c r="D4144" t="s">
        <v>40</v>
      </c>
      <c r="E4144" t="s">
        <v>41</v>
      </c>
      <c r="J4144" t="s">
        <v>86</v>
      </c>
      <c r="K4144" t="s">
        <v>87</v>
      </c>
      <c r="L4144">
        <v>3</v>
      </c>
      <c r="M4144" t="s">
        <v>15221</v>
      </c>
      <c r="N4144" t="s">
        <v>14059</v>
      </c>
      <c r="O4144" t="s">
        <v>47</v>
      </c>
      <c r="P4144" t="s">
        <v>47</v>
      </c>
      <c r="Y4144" t="s">
        <v>15222</v>
      </c>
      <c r="AG4144" t="s">
        <v>48</v>
      </c>
    </row>
    <row r="4145" spans="1:33">
      <c r="A4145" t="s">
        <v>15223</v>
      </c>
      <c r="B4145" t="s">
        <v>15224</v>
      </c>
      <c r="D4145" t="s">
        <v>40</v>
      </c>
      <c r="E4145" t="s">
        <v>41</v>
      </c>
      <c r="J4145" t="s">
        <v>3472</v>
      </c>
      <c r="K4145" t="s">
        <v>3473</v>
      </c>
      <c r="L4145">
        <v>3</v>
      </c>
      <c r="M4145" t="s">
        <v>15225</v>
      </c>
      <c r="N4145" t="s">
        <v>218</v>
      </c>
      <c r="O4145" t="s">
        <v>47</v>
      </c>
      <c r="P4145" t="s">
        <v>47</v>
      </c>
      <c r="Y4145" t="s">
        <v>15226</v>
      </c>
      <c r="AG4145" t="s">
        <v>48</v>
      </c>
    </row>
    <row r="4146" spans="1:33">
      <c r="A4146" t="s">
        <v>15227</v>
      </c>
      <c r="B4146" t="s">
        <v>15228</v>
      </c>
      <c r="D4146" t="s">
        <v>40</v>
      </c>
      <c r="E4146" t="s">
        <v>41</v>
      </c>
      <c r="J4146" t="s">
        <v>86</v>
      </c>
      <c r="K4146" t="s">
        <v>87</v>
      </c>
      <c r="L4146">
        <v>3</v>
      </c>
      <c r="M4146" t="s">
        <v>15229</v>
      </c>
      <c r="N4146" t="s">
        <v>14059</v>
      </c>
      <c r="O4146" t="s">
        <v>47</v>
      </c>
      <c r="P4146" t="s">
        <v>47</v>
      </c>
      <c r="Y4146" t="s">
        <v>15230</v>
      </c>
      <c r="AG4146" t="s">
        <v>48</v>
      </c>
    </row>
    <row r="4147" spans="1:33">
      <c r="A4147" t="s">
        <v>15231</v>
      </c>
      <c r="B4147" t="s">
        <v>15232</v>
      </c>
      <c r="D4147" t="s">
        <v>40</v>
      </c>
      <c r="E4147" t="s">
        <v>41</v>
      </c>
      <c r="J4147" t="s">
        <v>86</v>
      </c>
      <c r="K4147" t="s">
        <v>87</v>
      </c>
      <c r="L4147">
        <v>3</v>
      </c>
      <c r="M4147" t="s">
        <v>15233</v>
      </c>
      <c r="N4147" t="s">
        <v>14059</v>
      </c>
      <c r="O4147" t="s">
        <v>47</v>
      </c>
      <c r="P4147" t="s">
        <v>47</v>
      </c>
      <c r="Y4147" t="s">
        <v>15234</v>
      </c>
      <c r="AG4147" t="s">
        <v>48</v>
      </c>
    </row>
    <row r="4148" spans="1:33">
      <c r="A4148" t="s">
        <v>15235</v>
      </c>
      <c r="B4148" t="s">
        <v>15236</v>
      </c>
      <c r="D4148" t="s">
        <v>40</v>
      </c>
      <c r="E4148" t="s">
        <v>41</v>
      </c>
      <c r="J4148" t="s">
        <v>86</v>
      </c>
      <c r="K4148" t="s">
        <v>87</v>
      </c>
      <c r="L4148">
        <v>4</v>
      </c>
      <c r="M4148" t="s">
        <v>15237</v>
      </c>
      <c r="N4148" t="s">
        <v>14024</v>
      </c>
      <c r="O4148" t="s">
        <v>47</v>
      </c>
      <c r="P4148" t="s">
        <v>47</v>
      </c>
      <c r="Y4148" t="s">
        <v>15238</v>
      </c>
      <c r="AG4148" t="s">
        <v>48</v>
      </c>
    </row>
    <row r="4149" spans="1:33">
      <c r="A4149" t="s">
        <v>15239</v>
      </c>
      <c r="B4149" t="s">
        <v>15240</v>
      </c>
      <c r="D4149" t="s">
        <v>40</v>
      </c>
      <c r="E4149" t="s">
        <v>41</v>
      </c>
      <c r="J4149" t="s">
        <v>86</v>
      </c>
      <c r="K4149" t="s">
        <v>87</v>
      </c>
      <c r="L4149">
        <v>3</v>
      </c>
      <c r="M4149" t="s">
        <v>15241</v>
      </c>
      <c r="N4149" t="s">
        <v>13978</v>
      </c>
      <c r="O4149" t="s">
        <v>47</v>
      </c>
      <c r="P4149" t="s">
        <v>47</v>
      </c>
      <c r="Y4149" t="s">
        <v>15242</v>
      </c>
      <c r="AG4149" t="s">
        <v>48</v>
      </c>
    </row>
    <row r="4150" spans="1:33">
      <c r="A4150" t="s">
        <v>15243</v>
      </c>
      <c r="B4150" t="s">
        <v>15244</v>
      </c>
      <c r="D4150" t="s">
        <v>40</v>
      </c>
      <c r="E4150" t="s">
        <v>41</v>
      </c>
      <c r="J4150" t="s">
        <v>1418</v>
      </c>
      <c r="K4150" t="s">
        <v>1419</v>
      </c>
      <c r="L4150">
        <v>3</v>
      </c>
      <c r="M4150" t="s">
        <v>15245</v>
      </c>
      <c r="N4150" t="s">
        <v>218</v>
      </c>
      <c r="O4150" t="s">
        <v>47</v>
      </c>
      <c r="P4150" t="s">
        <v>47</v>
      </c>
      <c r="Y4150" t="s">
        <v>15246</v>
      </c>
      <c r="AG4150" t="s">
        <v>48</v>
      </c>
    </row>
    <row r="4151" spans="1:33">
      <c r="A4151" t="s">
        <v>15247</v>
      </c>
      <c r="B4151" t="s">
        <v>15248</v>
      </c>
      <c r="D4151" t="s">
        <v>40</v>
      </c>
      <c r="E4151" t="s">
        <v>41</v>
      </c>
      <c r="J4151" t="s">
        <v>86</v>
      </c>
      <c r="K4151" t="s">
        <v>87</v>
      </c>
      <c r="L4151">
        <v>3</v>
      </c>
      <c r="M4151" t="s">
        <v>15249</v>
      </c>
      <c r="N4151" t="s">
        <v>14024</v>
      </c>
      <c r="O4151" t="s">
        <v>47</v>
      </c>
      <c r="P4151" t="s">
        <v>47</v>
      </c>
      <c r="Y4151" t="s">
        <v>15250</v>
      </c>
      <c r="AG4151" t="s">
        <v>48</v>
      </c>
    </row>
    <row r="4152" spans="1:33">
      <c r="A4152" t="s">
        <v>117</v>
      </c>
      <c r="B4152" t="s">
        <v>15251</v>
      </c>
      <c r="D4152" t="s">
        <v>40</v>
      </c>
      <c r="E4152" t="s">
        <v>41</v>
      </c>
      <c r="J4152" t="s">
        <v>43</v>
      </c>
      <c r="K4152" t="s">
        <v>44</v>
      </c>
      <c r="L4152">
        <v>3</v>
      </c>
      <c r="M4152" t="s">
        <v>15252</v>
      </c>
      <c r="N4152" t="s">
        <v>218</v>
      </c>
      <c r="O4152" t="s">
        <v>47</v>
      </c>
      <c r="P4152" t="s">
        <v>47</v>
      </c>
      <c r="Y4152" t="s">
        <v>15253</v>
      </c>
      <c r="AG4152" t="s">
        <v>48</v>
      </c>
    </row>
    <row r="4153" spans="1:33">
      <c r="A4153" t="s">
        <v>15254</v>
      </c>
      <c r="B4153" t="s">
        <v>15255</v>
      </c>
      <c r="D4153" t="s">
        <v>40</v>
      </c>
      <c r="E4153" t="s">
        <v>41</v>
      </c>
      <c r="J4153" t="s">
        <v>86</v>
      </c>
      <c r="K4153" t="s">
        <v>87</v>
      </c>
      <c r="L4153">
        <v>3</v>
      </c>
      <c r="M4153" t="s">
        <v>15256</v>
      </c>
      <c r="N4153" t="s">
        <v>14024</v>
      </c>
      <c r="O4153" t="s">
        <v>47</v>
      </c>
      <c r="P4153" t="s">
        <v>47</v>
      </c>
      <c r="Y4153" t="s">
        <v>15257</v>
      </c>
      <c r="AG4153" t="s">
        <v>48</v>
      </c>
    </row>
    <row r="4154" spans="1:33">
      <c r="A4154" t="s">
        <v>15258</v>
      </c>
      <c r="B4154" t="s">
        <v>15259</v>
      </c>
      <c r="D4154" t="s">
        <v>40</v>
      </c>
      <c r="E4154" t="s">
        <v>41</v>
      </c>
      <c r="J4154" t="s">
        <v>1418</v>
      </c>
      <c r="K4154" t="s">
        <v>1419</v>
      </c>
      <c r="L4154">
        <v>4</v>
      </c>
      <c r="M4154" t="s">
        <v>15260</v>
      </c>
      <c r="N4154" t="s">
        <v>13978</v>
      </c>
      <c r="O4154" t="s">
        <v>47</v>
      </c>
      <c r="P4154" t="s">
        <v>47</v>
      </c>
      <c r="Y4154" t="s">
        <v>15261</v>
      </c>
      <c r="AG4154" t="s">
        <v>48</v>
      </c>
    </row>
    <row r="4155" spans="1:33">
      <c r="A4155" t="s">
        <v>15262</v>
      </c>
      <c r="B4155" t="s">
        <v>15263</v>
      </c>
      <c r="D4155" t="s">
        <v>40</v>
      </c>
      <c r="E4155" t="s">
        <v>41</v>
      </c>
      <c r="J4155" t="s">
        <v>13514</v>
      </c>
      <c r="K4155" t="s">
        <v>13515</v>
      </c>
      <c r="L4155">
        <v>4</v>
      </c>
      <c r="M4155" t="s">
        <v>15264</v>
      </c>
      <c r="N4155" t="s">
        <v>59</v>
      </c>
      <c r="O4155" t="s">
        <v>47</v>
      </c>
      <c r="P4155" t="s">
        <v>47</v>
      </c>
      <c r="Y4155" t="s">
        <v>15265</v>
      </c>
      <c r="AG4155" t="s">
        <v>48</v>
      </c>
    </row>
    <row r="4156" spans="1:33">
      <c r="A4156" t="s">
        <v>15266</v>
      </c>
      <c r="B4156" t="s">
        <v>15267</v>
      </c>
      <c r="D4156" t="s">
        <v>40</v>
      </c>
      <c r="E4156" t="s">
        <v>41</v>
      </c>
      <c r="J4156" t="s">
        <v>86</v>
      </c>
      <c r="K4156" t="s">
        <v>87</v>
      </c>
      <c r="L4156">
        <v>3</v>
      </c>
      <c r="M4156" t="s">
        <v>15268</v>
      </c>
      <c r="N4156" t="s">
        <v>13978</v>
      </c>
      <c r="O4156" t="s">
        <v>47</v>
      </c>
      <c r="P4156" t="s">
        <v>47</v>
      </c>
      <c r="Y4156" t="s">
        <v>15269</v>
      </c>
      <c r="AG4156" t="s">
        <v>48</v>
      </c>
    </row>
    <row r="4157" spans="1:33">
      <c r="A4157" t="s">
        <v>15270</v>
      </c>
      <c r="B4157" t="s">
        <v>15271</v>
      </c>
      <c r="D4157" t="s">
        <v>40</v>
      </c>
      <c r="E4157" t="s">
        <v>41</v>
      </c>
      <c r="J4157" t="s">
        <v>86</v>
      </c>
      <c r="K4157" t="s">
        <v>87</v>
      </c>
      <c r="L4157">
        <v>3</v>
      </c>
      <c r="M4157" t="s">
        <v>15272</v>
      </c>
      <c r="N4157" t="s">
        <v>14024</v>
      </c>
      <c r="O4157" t="s">
        <v>47</v>
      </c>
      <c r="P4157" t="s">
        <v>47</v>
      </c>
      <c r="Y4157" t="s">
        <v>15273</v>
      </c>
      <c r="AG4157" t="s">
        <v>48</v>
      </c>
    </row>
    <row r="4158" spans="1:33">
      <c r="A4158" t="s">
        <v>15274</v>
      </c>
      <c r="B4158" t="s">
        <v>15275</v>
      </c>
      <c r="D4158" t="s">
        <v>40</v>
      </c>
      <c r="E4158" t="s">
        <v>41</v>
      </c>
      <c r="J4158" t="s">
        <v>86</v>
      </c>
      <c r="K4158" t="s">
        <v>87</v>
      </c>
      <c r="L4158">
        <v>3</v>
      </c>
      <c r="M4158" t="s">
        <v>15276</v>
      </c>
      <c r="N4158" t="s">
        <v>13978</v>
      </c>
      <c r="O4158" t="s">
        <v>47</v>
      </c>
      <c r="P4158" t="s">
        <v>47</v>
      </c>
      <c r="Y4158" t="s">
        <v>15277</v>
      </c>
      <c r="AG4158" t="s">
        <v>48</v>
      </c>
    </row>
    <row r="4159" spans="1:33">
      <c r="A4159" t="s">
        <v>15278</v>
      </c>
      <c r="B4159" t="s">
        <v>15279</v>
      </c>
      <c r="D4159" t="s">
        <v>40</v>
      </c>
      <c r="E4159" t="s">
        <v>41</v>
      </c>
      <c r="J4159" t="s">
        <v>43</v>
      </c>
      <c r="K4159" t="s">
        <v>44</v>
      </c>
      <c r="L4159">
        <v>3</v>
      </c>
      <c r="M4159" t="s">
        <v>15280</v>
      </c>
      <c r="N4159" t="s">
        <v>13978</v>
      </c>
      <c r="O4159" t="s">
        <v>47</v>
      </c>
      <c r="P4159" t="s">
        <v>47</v>
      </c>
      <c r="Y4159" t="s">
        <v>15281</v>
      </c>
      <c r="AG4159" t="s">
        <v>48</v>
      </c>
    </row>
    <row r="4160" spans="1:33">
      <c r="A4160" t="s">
        <v>15282</v>
      </c>
      <c r="B4160" t="s">
        <v>15283</v>
      </c>
      <c r="D4160" t="s">
        <v>40</v>
      </c>
      <c r="E4160" t="s">
        <v>41</v>
      </c>
      <c r="J4160" t="s">
        <v>3472</v>
      </c>
      <c r="K4160" t="s">
        <v>3473</v>
      </c>
      <c r="L4160">
        <v>3</v>
      </c>
      <c r="M4160" t="s">
        <v>15284</v>
      </c>
      <c r="N4160" t="s">
        <v>13978</v>
      </c>
      <c r="O4160" t="s">
        <v>47</v>
      </c>
      <c r="P4160" t="s">
        <v>47</v>
      </c>
      <c r="Y4160" t="s">
        <v>15285</v>
      </c>
      <c r="AG4160" t="s">
        <v>48</v>
      </c>
    </row>
    <row r="4161" spans="1:33">
      <c r="A4161" t="s">
        <v>15286</v>
      </c>
      <c r="B4161" t="s">
        <v>15287</v>
      </c>
      <c r="D4161" t="s">
        <v>40</v>
      </c>
      <c r="E4161" t="s">
        <v>41</v>
      </c>
      <c r="J4161" t="s">
        <v>86</v>
      </c>
      <c r="K4161" t="s">
        <v>87</v>
      </c>
      <c r="L4161">
        <v>3</v>
      </c>
      <c r="M4161" t="s">
        <v>15288</v>
      </c>
      <c r="N4161" t="s">
        <v>14024</v>
      </c>
      <c r="O4161" t="s">
        <v>47</v>
      </c>
      <c r="P4161" t="s">
        <v>47</v>
      </c>
      <c r="Y4161" t="s">
        <v>15289</v>
      </c>
      <c r="AG4161" t="s">
        <v>48</v>
      </c>
    </row>
    <row r="4162" spans="1:33">
      <c r="A4162" t="s">
        <v>15290</v>
      </c>
      <c r="B4162" t="s">
        <v>15291</v>
      </c>
      <c r="D4162" t="s">
        <v>40</v>
      </c>
      <c r="E4162" t="s">
        <v>41</v>
      </c>
      <c r="J4162" t="s">
        <v>14204</v>
      </c>
      <c r="K4162" t="s">
        <v>14205</v>
      </c>
      <c r="L4162">
        <v>3</v>
      </c>
      <c r="M4162" t="s">
        <v>15292</v>
      </c>
      <c r="N4162" t="s">
        <v>14011</v>
      </c>
      <c r="O4162" t="s">
        <v>47</v>
      </c>
      <c r="P4162" t="s">
        <v>47</v>
      </c>
      <c r="Y4162" t="s">
        <v>15293</v>
      </c>
      <c r="AG4162" t="s">
        <v>48</v>
      </c>
    </row>
    <row r="4163" spans="1:33">
      <c r="A4163" t="s">
        <v>15294</v>
      </c>
      <c r="B4163" t="s">
        <v>15295</v>
      </c>
      <c r="D4163" t="s">
        <v>40</v>
      </c>
      <c r="E4163" t="s">
        <v>41</v>
      </c>
      <c r="J4163" t="s">
        <v>86</v>
      </c>
      <c r="K4163" t="s">
        <v>87</v>
      </c>
      <c r="L4163">
        <v>3</v>
      </c>
      <c r="M4163" t="s">
        <v>15296</v>
      </c>
      <c r="N4163" t="s">
        <v>14024</v>
      </c>
      <c r="O4163" t="s">
        <v>47</v>
      </c>
      <c r="P4163" t="s">
        <v>47</v>
      </c>
      <c r="Y4163" t="s">
        <v>15297</v>
      </c>
      <c r="AG4163" t="s">
        <v>48</v>
      </c>
    </row>
    <row r="4164" spans="1:33">
      <c r="A4164" t="s">
        <v>15298</v>
      </c>
      <c r="B4164" t="s">
        <v>15299</v>
      </c>
      <c r="D4164" t="s">
        <v>40</v>
      </c>
      <c r="E4164" t="s">
        <v>41</v>
      </c>
      <c r="J4164" t="s">
        <v>10950</v>
      </c>
      <c r="K4164" t="s">
        <v>10950</v>
      </c>
      <c r="L4164">
        <v>3</v>
      </c>
      <c r="M4164" t="s">
        <v>15300</v>
      </c>
      <c r="N4164" t="s">
        <v>14340</v>
      </c>
      <c r="O4164" t="s">
        <v>47</v>
      </c>
      <c r="P4164" t="s">
        <v>47</v>
      </c>
      <c r="Y4164" t="s">
        <v>15301</v>
      </c>
      <c r="AG4164" t="s">
        <v>48</v>
      </c>
    </row>
    <row r="4165" spans="1:33">
      <c r="A4165" t="s">
        <v>15302</v>
      </c>
      <c r="B4165" t="s">
        <v>15303</v>
      </c>
      <c r="D4165" t="s">
        <v>40</v>
      </c>
      <c r="E4165" t="s">
        <v>41</v>
      </c>
      <c r="J4165" t="s">
        <v>15304</v>
      </c>
      <c r="K4165" t="s">
        <v>15305</v>
      </c>
      <c r="L4165">
        <v>5</v>
      </c>
      <c r="M4165" t="s">
        <v>15306</v>
      </c>
      <c r="N4165" t="s">
        <v>13978</v>
      </c>
      <c r="O4165" t="s">
        <v>47</v>
      </c>
      <c r="P4165" t="s">
        <v>47</v>
      </c>
      <c r="Y4165" t="s">
        <v>15307</v>
      </c>
      <c r="AG4165" t="s">
        <v>48</v>
      </c>
    </row>
    <row r="4166" spans="1:33">
      <c r="A4166" t="s">
        <v>15308</v>
      </c>
      <c r="B4166" t="s">
        <v>15309</v>
      </c>
      <c r="D4166" t="s">
        <v>40</v>
      </c>
      <c r="E4166" t="s">
        <v>41</v>
      </c>
      <c r="J4166" t="s">
        <v>1418</v>
      </c>
      <c r="K4166" t="s">
        <v>1419</v>
      </c>
      <c r="L4166">
        <v>3</v>
      </c>
      <c r="M4166" t="s">
        <v>15310</v>
      </c>
      <c r="N4166" t="s">
        <v>14024</v>
      </c>
      <c r="O4166" t="s">
        <v>47</v>
      </c>
      <c r="P4166" t="s">
        <v>47</v>
      </c>
      <c r="Y4166" t="s">
        <v>15311</v>
      </c>
      <c r="AG4166" t="s">
        <v>48</v>
      </c>
    </row>
    <row r="4167" spans="1:33">
      <c r="A4167" t="s">
        <v>15312</v>
      </c>
      <c r="B4167" t="s">
        <v>15313</v>
      </c>
      <c r="D4167" t="s">
        <v>40</v>
      </c>
      <c r="E4167" t="s">
        <v>41</v>
      </c>
      <c r="J4167" t="s">
        <v>3472</v>
      </c>
      <c r="K4167" t="s">
        <v>3473</v>
      </c>
      <c r="L4167">
        <v>3</v>
      </c>
      <c r="M4167" t="s">
        <v>15310</v>
      </c>
      <c r="N4167" t="s">
        <v>14011</v>
      </c>
      <c r="O4167" t="s">
        <v>47</v>
      </c>
      <c r="P4167" t="s">
        <v>47</v>
      </c>
      <c r="Y4167" t="s">
        <v>15314</v>
      </c>
      <c r="AG4167" t="s">
        <v>48</v>
      </c>
    </row>
    <row r="4168" spans="1:33">
      <c r="A4168" t="s">
        <v>15315</v>
      </c>
      <c r="B4168" t="s">
        <v>15316</v>
      </c>
      <c r="D4168" t="s">
        <v>40</v>
      </c>
      <c r="E4168" t="s">
        <v>41</v>
      </c>
      <c r="J4168" t="s">
        <v>86</v>
      </c>
      <c r="K4168" t="s">
        <v>87</v>
      </c>
      <c r="L4168">
        <v>3</v>
      </c>
      <c r="M4168" t="s">
        <v>15317</v>
      </c>
      <c r="N4168" t="s">
        <v>13978</v>
      </c>
      <c r="O4168" t="s">
        <v>47</v>
      </c>
      <c r="P4168" t="s">
        <v>47</v>
      </c>
      <c r="Y4168" t="s">
        <v>15318</v>
      </c>
      <c r="AG4168" t="s">
        <v>48</v>
      </c>
    </row>
    <row r="4169" spans="1:33">
      <c r="A4169" t="s">
        <v>15319</v>
      </c>
      <c r="B4169" t="s">
        <v>15320</v>
      </c>
      <c r="D4169" t="s">
        <v>40</v>
      </c>
      <c r="E4169" t="s">
        <v>41</v>
      </c>
      <c r="J4169" t="s">
        <v>86</v>
      </c>
      <c r="K4169" t="s">
        <v>87</v>
      </c>
      <c r="L4169">
        <v>3</v>
      </c>
      <c r="M4169" t="s">
        <v>15321</v>
      </c>
      <c r="N4169" t="s">
        <v>13978</v>
      </c>
      <c r="O4169" t="s">
        <v>47</v>
      </c>
      <c r="P4169" t="s">
        <v>47</v>
      </c>
      <c r="Y4169" t="s">
        <v>15322</v>
      </c>
      <c r="AG4169" t="s">
        <v>48</v>
      </c>
    </row>
    <row r="4170" spans="1:33">
      <c r="A4170" t="s">
        <v>15323</v>
      </c>
      <c r="B4170" t="s">
        <v>15324</v>
      </c>
      <c r="D4170" t="s">
        <v>40</v>
      </c>
      <c r="E4170" t="s">
        <v>41</v>
      </c>
      <c r="J4170" t="s">
        <v>86</v>
      </c>
      <c r="K4170" t="s">
        <v>87</v>
      </c>
      <c r="L4170">
        <v>3</v>
      </c>
      <c r="M4170" t="s">
        <v>15325</v>
      </c>
      <c r="N4170" t="s">
        <v>14059</v>
      </c>
      <c r="O4170" t="s">
        <v>47</v>
      </c>
      <c r="P4170" t="s">
        <v>47</v>
      </c>
      <c r="Y4170" t="s">
        <v>15326</v>
      </c>
      <c r="AG4170" t="s">
        <v>48</v>
      </c>
    </row>
    <row r="4171" spans="1:33">
      <c r="A4171" t="s">
        <v>15327</v>
      </c>
      <c r="B4171" t="s">
        <v>15328</v>
      </c>
      <c r="D4171" t="s">
        <v>40</v>
      </c>
      <c r="E4171" t="s">
        <v>41</v>
      </c>
      <c r="J4171" t="s">
        <v>86</v>
      </c>
      <c r="K4171" t="s">
        <v>87</v>
      </c>
      <c r="L4171">
        <v>3</v>
      </c>
      <c r="M4171" t="s">
        <v>15329</v>
      </c>
      <c r="N4171" t="s">
        <v>13978</v>
      </c>
      <c r="O4171" t="s">
        <v>47</v>
      </c>
      <c r="P4171" t="s">
        <v>47</v>
      </c>
      <c r="Y4171" t="s">
        <v>15330</v>
      </c>
      <c r="AG4171" t="s">
        <v>48</v>
      </c>
    </row>
    <row r="4172" spans="1:33">
      <c r="A4172" t="s">
        <v>15331</v>
      </c>
      <c r="B4172" t="s">
        <v>15332</v>
      </c>
      <c r="D4172" t="s">
        <v>40</v>
      </c>
      <c r="E4172" t="s">
        <v>41</v>
      </c>
      <c r="J4172" t="s">
        <v>86</v>
      </c>
      <c r="K4172" t="s">
        <v>87</v>
      </c>
      <c r="L4172">
        <v>3</v>
      </c>
      <c r="M4172" t="s">
        <v>15333</v>
      </c>
      <c r="N4172" t="s">
        <v>13978</v>
      </c>
      <c r="O4172" t="s">
        <v>47</v>
      </c>
      <c r="P4172" t="s">
        <v>47</v>
      </c>
      <c r="Y4172" t="s">
        <v>15334</v>
      </c>
      <c r="AG4172" t="s">
        <v>48</v>
      </c>
    </row>
    <row r="4173" spans="1:33">
      <c r="A4173" t="s">
        <v>15335</v>
      </c>
      <c r="B4173" t="s">
        <v>15336</v>
      </c>
      <c r="D4173" t="s">
        <v>40</v>
      </c>
      <c r="E4173" t="s">
        <v>41</v>
      </c>
      <c r="J4173" t="s">
        <v>129</v>
      </c>
      <c r="K4173" t="s">
        <v>130</v>
      </c>
      <c r="L4173">
        <v>5</v>
      </c>
      <c r="M4173" t="s">
        <v>15337</v>
      </c>
      <c r="N4173" t="s">
        <v>13978</v>
      </c>
      <c r="O4173" t="s">
        <v>47</v>
      </c>
      <c r="P4173" t="s">
        <v>47</v>
      </c>
      <c r="Y4173" t="s">
        <v>15338</v>
      </c>
      <c r="AG4173" t="s">
        <v>48</v>
      </c>
    </row>
    <row r="4174" spans="1:33">
      <c r="A4174" t="s">
        <v>15339</v>
      </c>
      <c r="B4174" t="s">
        <v>15340</v>
      </c>
      <c r="D4174" t="s">
        <v>40</v>
      </c>
      <c r="E4174" t="s">
        <v>41</v>
      </c>
      <c r="J4174" t="s">
        <v>86</v>
      </c>
      <c r="K4174" t="s">
        <v>87</v>
      </c>
      <c r="L4174">
        <v>3</v>
      </c>
      <c r="M4174" t="s">
        <v>15341</v>
      </c>
      <c r="N4174" t="s">
        <v>13978</v>
      </c>
      <c r="O4174" t="s">
        <v>47</v>
      </c>
      <c r="P4174" t="s">
        <v>47</v>
      </c>
      <c r="Y4174" t="s">
        <v>15342</v>
      </c>
      <c r="AG4174" t="s">
        <v>48</v>
      </c>
    </row>
    <row r="4175" spans="1:33">
      <c r="A4175" t="s">
        <v>15343</v>
      </c>
      <c r="B4175" t="s">
        <v>15344</v>
      </c>
      <c r="D4175" t="s">
        <v>40</v>
      </c>
      <c r="E4175" t="s">
        <v>41</v>
      </c>
      <c r="J4175" t="s">
        <v>86</v>
      </c>
      <c r="K4175" t="s">
        <v>87</v>
      </c>
      <c r="L4175">
        <v>3</v>
      </c>
      <c r="M4175" t="s">
        <v>15345</v>
      </c>
      <c r="N4175" t="s">
        <v>13978</v>
      </c>
      <c r="O4175" t="s">
        <v>47</v>
      </c>
      <c r="P4175" t="s">
        <v>47</v>
      </c>
      <c r="Y4175" t="s">
        <v>15346</v>
      </c>
      <c r="AG4175" t="s">
        <v>48</v>
      </c>
    </row>
    <row r="4176" spans="1:33">
      <c r="A4176" t="s">
        <v>15347</v>
      </c>
      <c r="B4176" t="s">
        <v>15348</v>
      </c>
      <c r="D4176" t="s">
        <v>40</v>
      </c>
      <c r="E4176" t="s">
        <v>41</v>
      </c>
      <c r="J4176" t="s">
        <v>1418</v>
      </c>
      <c r="K4176" t="s">
        <v>1419</v>
      </c>
      <c r="L4176">
        <v>3</v>
      </c>
      <c r="M4176" t="s">
        <v>15349</v>
      </c>
      <c r="N4176" t="s">
        <v>13978</v>
      </c>
      <c r="O4176" t="s">
        <v>47</v>
      </c>
      <c r="P4176" t="s">
        <v>47</v>
      </c>
      <c r="Y4176" t="s">
        <v>15350</v>
      </c>
      <c r="AG4176" t="s">
        <v>48</v>
      </c>
    </row>
    <row r="4177" spans="1:33">
      <c r="A4177" t="s">
        <v>15351</v>
      </c>
      <c r="B4177" t="s">
        <v>15352</v>
      </c>
      <c r="D4177" t="s">
        <v>40</v>
      </c>
      <c r="E4177" t="s">
        <v>41</v>
      </c>
      <c r="J4177" t="s">
        <v>14204</v>
      </c>
      <c r="K4177" t="s">
        <v>14205</v>
      </c>
      <c r="L4177">
        <v>3</v>
      </c>
      <c r="M4177" t="s">
        <v>15353</v>
      </c>
      <c r="N4177" t="s">
        <v>14059</v>
      </c>
      <c r="O4177" t="s">
        <v>47</v>
      </c>
      <c r="P4177" t="s">
        <v>47</v>
      </c>
      <c r="Y4177" t="s">
        <v>15354</v>
      </c>
      <c r="AG4177" t="s">
        <v>48</v>
      </c>
    </row>
    <row r="4178" spans="1:33">
      <c r="A4178" t="s">
        <v>15355</v>
      </c>
      <c r="B4178" t="s">
        <v>15356</v>
      </c>
      <c r="D4178" t="s">
        <v>40</v>
      </c>
      <c r="E4178" t="s">
        <v>41</v>
      </c>
      <c r="J4178" t="s">
        <v>86</v>
      </c>
      <c r="K4178" t="s">
        <v>87</v>
      </c>
      <c r="L4178">
        <v>3</v>
      </c>
      <c r="M4178" t="s">
        <v>15357</v>
      </c>
      <c r="N4178" t="s">
        <v>13978</v>
      </c>
      <c r="O4178" t="s">
        <v>47</v>
      </c>
      <c r="P4178" t="s">
        <v>47</v>
      </c>
      <c r="Y4178" t="s">
        <v>15358</v>
      </c>
      <c r="AG4178" t="s">
        <v>48</v>
      </c>
    </row>
    <row r="4179" spans="1:33">
      <c r="A4179" t="s">
        <v>15359</v>
      </c>
      <c r="B4179" t="s">
        <v>15360</v>
      </c>
      <c r="D4179" t="s">
        <v>40</v>
      </c>
      <c r="E4179" t="s">
        <v>41</v>
      </c>
      <c r="J4179" t="s">
        <v>86</v>
      </c>
      <c r="K4179" t="s">
        <v>87</v>
      </c>
      <c r="L4179">
        <v>3</v>
      </c>
      <c r="M4179" t="s">
        <v>15361</v>
      </c>
      <c r="N4179" t="s">
        <v>14059</v>
      </c>
      <c r="O4179" t="s">
        <v>47</v>
      </c>
      <c r="P4179" t="s">
        <v>47</v>
      </c>
      <c r="Y4179" t="s">
        <v>15362</v>
      </c>
      <c r="AG4179" t="s">
        <v>48</v>
      </c>
    </row>
    <row r="4180" spans="1:33">
      <c r="A4180" t="s">
        <v>15363</v>
      </c>
      <c r="B4180" t="s">
        <v>15364</v>
      </c>
      <c r="D4180" t="s">
        <v>40</v>
      </c>
      <c r="E4180" t="s">
        <v>41</v>
      </c>
      <c r="J4180" t="s">
        <v>3472</v>
      </c>
      <c r="K4180" t="s">
        <v>3473</v>
      </c>
      <c r="L4180">
        <v>3</v>
      </c>
      <c r="M4180" t="s">
        <v>15365</v>
      </c>
      <c r="N4180" t="s">
        <v>14024</v>
      </c>
      <c r="O4180" t="s">
        <v>47</v>
      </c>
      <c r="P4180" t="s">
        <v>47</v>
      </c>
      <c r="Y4180" t="s">
        <v>15366</v>
      </c>
      <c r="AG4180" t="s">
        <v>48</v>
      </c>
    </row>
    <row r="4181" spans="1:33">
      <c r="A4181" t="s">
        <v>15367</v>
      </c>
      <c r="B4181" t="s">
        <v>15368</v>
      </c>
      <c r="D4181" t="s">
        <v>40</v>
      </c>
      <c r="E4181" t="s">
        <v>41</v>
      </c>
      <c r="J4181" t="s">
        <v>43</v>
      </c>
      <c r="K4181" t="s">
        <v>44</v>
      </c>
      <c r="L4181">
        <v>3</v>
      </c>
      <c r="M4181" t="s">
        <v>15369</v>
      </c>
      <c r="N4181" t="s">
        <v>14059</v>
      </c>
      <c r="O4181" t="s">
        <v>47</v>
      </c>
      <c r="P4181" t="s">
        <v>47</v>
      </c>
      <c r="Y4181" t="s">
        <v>15370</v>
      </c>
      <c r="AG4181" t="s">
        <v>48</v>
      </c>
    </row>
    <row r="4182" spans="1:33">
      <c r="A4182" t="s">
        <v>117</v>
      </c>
      <c r="B4182" t="s">
        <v>15371</v>
      </c>
      <c r="D4182" t="s">
        <v>40</v>
      </c>
      <c r="E4182" t="s">
        <v>41</v>
      </c>
      <c r="J4182" t="s">
        <v>1418</v>
      </c>
      <c r="K4182" t="s">
        <v>1419</v>
      </c>
      <c r="L4182">
        <v>3</v>
      </c>
      <c r="M4182" t="s">
        <v>15372</v>
      </c>
      <c r="N4182" t="s">
        <v>13978</v>
      </c>
      <c r="O4182" t="s">
        <v>47</v>
      </c>
      <c r="P4182" t="s">
        <v>47</v>
      </c>
      <c r="Y4182" t="s">
        <v>15373</v>
      </c>
      <c r="AG4182" t="s">
        <v>48</v>
      </c>
    </row>
    <row r="4183" spans="1:33">
      <c r="A4183" t="s">
        <v>15374</v>
      </c>
      <c r="B4183" t="s">
        <v>15375</v>
      </c>
      <c r="D4183" t="s">
        <v>40</v>
      </c>
      <c r="E4183" t="s">
        <v>41</v>
      </c>
      <c r="J4183" t="s">
        <v>86</v>
      </c>
      <c r="K4183" t="s">
        <v>87</v>
      </c>
      <c r="L4183">
        <v>3</v>
      </c>
      <c r="M4183" t="s">
        <v>15376</v>
      </c>
      <c r="N4183" t="s">
        <v>13978</v>
      </c>
      <c r="O4183" t="s">
        <v>47</v>
      </c>
      <c r="P4183" t="s">
        <v>47</v>
      </c>
      <c r="Y4183" t="s">
        <v>15377</v>
      </c>
      <c r="AG4183" t="s">
        <v>48</v>
      </c>
    </row>
    <row r="4184" spans="1:33">
      <c r="A4184" t="s">
        <v>15378</v>
      </c>
      <c r="B4184" t="s">
        <v>15379</v>
      </c>
      <c r="D4184" t="s">
        <v>40</v>
      </c>
      <c r="E4184" t="s">
        <v>41</v>
      </c>
      <c r="J4184" t="s">
        <v>86</v>
      </c>
      <c r="K4184" t="s">
        <v>87</v>
      </c>
      <c r="L4184">
        <v>3</v>
      </c>
      <c r="M4184" t="s">
        <v>15380</v>
      </c>
      <c r="N4184" t="s">
        <v>13978</v>
      </c>
      <c r="O4184" t="s">
        <v>47</v>
      </c>
      <c r="P4184" t="s">
        <v>47</v>
      </c>
      <c r="Y4184" t="s">
        <v>15381</v>
      </c>
      <c r="AG4184" t="s">
        <v>48</v>
      </c>
    </row>
    <row r="4185" spans="1:33">
      <c r="A4185" t="s">
        <v>15382</v>
      </c>
      <c r="B4185" t="s">
        <v>15383</v>
      </c>
      <c r="D4185" t="s">
        <v>40</v>
      </c>
      <c r="E4185" t="s">
        <v>41</v>
      </c>
      <c r="J4185" t="s">
        <v>86</v>
      </c>
      <c r="K4185" t="s">
        <v>87</v>
      </c>
      <c r="L4185">
        <v>3</v>
      </c>
      <c r="M4185" t="s">
        <v>15384</v>
      </c>
      <c r="N4185" t="s">
        <v>13978</v>
      </c>
      <c r="O4185" t="s">
        <v>47</v>
      </c>
      <c r="P4185" t="s">
        <v>47</v>
      </c>
      <c r="Y4185" t="s">
        <v>15385</v>
      </c>
      <c r="AG4185" t="s">
        <v>48</v>
      </c>
    </row>
    <row r="4186" spans="1:33">
      <c r="A4186" t="s">
        <v>15386</v>
      </c>
      <c r="B4186" t="s">
        <v>15387</v>
      </c>
      <c r="D4186" t="s">
        <v>40</v>
      </c>
      <c r="E4186" t="s">
        <v>41</v>
      </c>
      <c r="J4186" t="s">
        <v>43</v>
      </c>
      <c r="K4186" t="s">
        <v>44</v>
      </c>
      <c r="L4186">
        <v>3</v>
      </c>
      <c r="M4186" t="s">
        <v>15388</v>
      </c>
      <c r="N4186" t="s">
        <v>218</v>
      </c>
      <c r="O4186" t="s">
        <v>47</v>
      </c>
      <c r="P4186" t="s">
        <v>47</v>
      </c>
      <c r="Y4186" t="s">
        <v>15389</v>
      </c>
      <c r="AG4186" t="s">
        <v>48</v>
      </c>
    </row>
    <row r="4187" spans="1:33">
      <c r="A4187" t="s">
        <v>15390</v>
      </c>
      <c r="B4187" t="s">
        <v>15391</v>
      </c>
      <c r="D4187" t="s">
        <v>40</v>
      </c>
      <c r="E4187" t="s">
        <v>41</v>
      </c>
      <c r="J4187" t="s">
        <v>14204</v>
      </c>
      <c r="K4187" t="s">
        <v>14205</v>
      </c>
      <c r="L4187">
        <v>3</v>
      </c>
      <c r="M4187" t="s">
        <v>15392</v>
      </c>
      <c r="N4187" t="s">
        <v>14011</v>
      </c>
      <c r="O4187" t="s">
        <v>47</v>
      </c>
      <c r="P4187" t="s">
        <v>47</v>
      </c>
      <c r="Y4187" t="s">
        <v>15393</v>
      </c>
      <c r="AG4187" t="s">
        <v>48</v>
      </c>
    </row>
    <row r="4188" spans="1:33">
      <c r="A4188" t="s">
        <v>15394</v>
      </c>
      <c r="B4188" t="s">
        <v>15395</v>
      </c>
      <c r="D4188" t="s">
        <v>40</v>
      </c>
      <c r="E4188" t="s">
        <v>41</v>
      </c>
      <c r="J4188" t="s">
        <v>86</v>
      </c>
      <c r="K4188" t="s">
        <v>87</v>
      </c>
      <c r="L4188">
        <v>3</v>
      </c>
      <c r="M4188" t="s">
        <v>15396</v>
      </c>
      <c r="N4188" t="s">
        <v>14059</v>
      </c>
      <c r="O4188" t="s">
        <v>47</v>
      </c>
      <c r="P4188" t="s">
        <v>47</v>
      </c>
      <c r="Y4188" t="s">
        <v>15397</v>
      </c>
      <c r="AG4188" t="s">
        <v>48</v>
      </c>
    </row>
    <row r="4189" spans="1:33">
      <c r="A4189" t="s">
        <v>15398</v>
      </c>
      <c r="B4189" t="s">
        <v>15399</v>
      </c>
      <c r="D4189" t="s">
        <v>40</v>
      </c>
      <c r="E4189" t="s">
        <v>41</v>
      </c>
      <c r="J4189" t="s">
        <v>1566</v>
      </c>
      <c r="K4189" t="s">
        <v>1567</v>
      </c>
      <c r="L4189">
        <v>3</v>
      </c>
      <c r="M4189" t="s">
        <v>15400</v>
      </c>
      <c r="N4189" t="s">
        <v>14340</v>
      </c>
      <c r="O4189" t="s">
        <v>47</v>
      </c>
      <c r="P4189" t="s">
        <v>47</v>
      </c>
      <c r="Y4189" t="s">
        <v>15401</v>
      </c>
      <c r="AG4189" t="s">
        <v>48</v>
      </c>
    </row>
    <row r="4190" spans="1:33">
      <c r="A4190" t="s">
        <v>15402</v>
      </c>
      <c r="B4190" t="s">
        <v>15403</v>
      </c>
      <c r="D4190" t="s">
        <v>40</v>
      </c>
      <c r="E4190" t="s">
        <v>41</v>
      </c>
      <c r="J4190" t="s">
        <v>86</v>
      </c>
      <c r="K4190" t="s">
        <v>87</v>
      </c>
      <c r="L4190">
        <v>3</v>
      </c>
      <c r="M4190" t="s">
        <v>15404</v>
      </c>
      <c r="N4190" t="s">
        <v>14024</v>
      </c>
      <c r="O4190" t="s">
        <v>47</v>
      </c>
      <c r="P4190" t="s">
        <v>47</v>
      </c>
      <c r="Y4190" t="s">
        <v>15405</v>
      </c>
      <c r="AG4190" t="s">
        <v>48</v>
      </c>
    </row>
    <row r="4191" spans="1:33">
      <c r="A4191" t="s">
        <v>15406</v>
      </c>
      <c r="B4191" t="s">
        <v>15407</v>
      </c>
      <c r="D4191" t="s">
        <v>40</v>
      </c>
      <c r="E4191" t="s">
        <v>41</v>
      </c>
      <c r="J4191" t="s">
        <v>86</v>
      </c>
      <c r="K4191" t="s">
        <v>87</v>
      </c>
      <c r="L4191">
        <v>3</v>
      </c>
      <c r="M4191" t="s">
        <v>15408</v>
      </c>
      <c r="N4191" t="s">
        <v>14059</v>
      </c>
      <c r="O4191" t="s">
        <v>47</v>
      </c>
      <c r="P4191" t="s">
        <v>47</v>
      </c>
      <c r="Y4191" t="s">
        <v>15409</v>
      </c>
      <c r="AG4191" t="s">
        <v>48</v>
      </c>
    </row>
    <row r="4192" spans="1:33">
      <c r="A4192" t="s">
        <v>15410</v>
      </c>
      <c r="B4192" t="s">
        <v>15411</v>
      </c>
      <c r="D4192" t="s">
        <v>40</v>
      </c>
      <c r="E4192" t="s">
        <v>41</v>
      </c>
      <c r="J4192" t="s">
        <v>43</v>
      </c>
      <c r="K4192" t="s">
        <v>44</v>
      </c>
      <c r="L4192">
        <v>3</v>
      </c>
      <c r="M4192" t="s">
        <v>15412</v>
      </c>
      <c r="N4192" t="s">
        <v>14340</v>
      </c>
      <c r="O4192" t="s">
        <v>47</v>
      </c>
      <c r="P4192" t="s">
        <v>47</v>
      </c>
      <c r="Y4192" t="s">
        <v>15413</v>
      </c>
      <c r="AG4192" t="s">
        <v>48</v>
      </c>
    </row>
    <row r="4193" spans="1:33">
      <c r="A4193" t="s">
        <v>15414</v>
      </c>
      <c r="B4193" t="s">
        <v>15415</v>
      </c>
      <c r="D4193" t="s">
        <v>40</v>
      </c>
      <c r="E4193" t="s">
        <v>41</v>
      </c>
      <c r="J4193" t="s">
        <v>43</v>
      </c>
      <c r="K4193" t="s">
        <v>44</v>
      </c>
      <c r="L4193">
        <v>3</v>
      </c>
      <c r="M4193" t="s">
        <v>15416</v>
      </c>
      <c r="N4193" t="s">
        <v>218</v>
      </c>
      <c r="O4193" t="s">
        <v>47</v>
      </c>
      <c r="P4193" t="s">
        <v>47</v>
      </c>
      <c r="Y4193" t="s">
        <v>15417</v>
      </c>
      <c r="AG4193" t="s">
        <v>48</v>
      </c>
    </row>
    <row r="4194" spans="1:33">
      <c r="A4194" t="s">
        <v>15418</v>
      </c>
      <c r="B4194" t="s">
        <v>15419</v>
      </c>
      <c r="D4194" t="s">
        <v>40</v>
      </c>
      <c r="E4194" t="s">
        <v>41</v>
      </c>
      <c r="J4194" t="s">
        <v>15420</v>
      </c>
      <c r="K4194" t="s">
        <v>15421</v>
      </c>
      <c r="L4194">
        <v>5</v>
      </c>
      <c r="M4194" t="s">
        <v>15422</v>
      </c>
      <c r="N4194" t="s">
        <v>13978</v>
      </c>
      <c r="O4194" t="s">
        <v>47</v>
      </c>
      <c r="P4194" t="s">
        <v>47</v>
      </c>
      <c r="Y4194" t="s">
        <v>15423</v>
      </c>
      <c r="AG4194" t="s">
        <v>48</v>
      </c>
    </row>
    <row r="4195" spans="1:33">
      <c r="A4195" t="s">
        <v>15424</v>
      </c>
      <c r="B4195" t="s">
        <v>15425</v>
      </c>
      <c r="D4195" t="s">
        <v>40</v>
      </c>
      <c r="E4195" t="s">
        <v>41</v>
      </c>
      <c r="J4195" t="s">
        <v>215</v>
      </c>
      <c r="K4195" t="s">
        <v>216</v>
      </c>
      <c r="L4195">
        <v>6</v>
      </c>
      <c r="M4195" t="s">
        <v>15426</v>
      </c>
      <c r="N4195" t="s">
        <v>14024</v>
      </c>
      <c r="O4195" t="s">
        <v>47</v>
      </c>
      <c r="P4195" t="s">
        <v>47</v>
      </c>
      <c r="Y4195" t="s">
        <v>15427</v>
      </c>
      <c r="AG4195" t="s">
        <v>48</v>
      </c>
    </row>
    <row r="4196" spans="1:33">
      <c r="A4196" t="s">
        <v>15428</v>
      </c>
      <c r="B4196" t="s">
        <v>15429</v>
      </c>
      <c r="D4196" t="s">
        <v>40</v>
      </c>
      <c r="E4196" t="s">
        <v>41</v>
      </c>
      <c r="J4196" t="s">
        <v>3472</v>
      </c>
      <c r="K4196" t="s">
        <v>3473</v>
      </c>
      <c r="L4196">
        <v>3</v>
      </c>
      <c r="M4196" t="s">
        <v>15430</v>
      </c>
      <c r="N4196" t="s">
        <v>13978</v>
      </c>
      <c r="O4196" t="s">
        <v>47</v>
      </c>
      <c r="P4196" t="s">
        <v>47</v>
      </c>
      <c r="Y4196" t="s">
        <v>15431</v>
      </c>
      <c r="AG4196" t="s">
        <v>48</v>
      </c>
    </row>
    <row r="4197" spans="1:33">
      <c r="A4197" t="s">
        <v>15432</v>
      </c>
      <c r="B4197" t="s">
        <v>15433</v>
      </c>
      <c r="D4197" t="s">
        <v>40</v>
      </c>
      <c r="E4197" t="s">
        <v>41</v>
      </c>
      <c r="J4197" t="s">
        <v>86</v>
      </c>
      <c r="K4197" t="s">
        <v>87</v>
      </c>
      <c r="L4197">
        <v>3</v>
      </c>
      <c r="M4197" t="s">
        <v>15434</v>
      </c>
      <c r="N4197" t="s">
        <v>13978</v>
      </c>
      <c r="O4197" t="s">
        <v>47</v>
      </c>
      <c r="P4197" t="s">
        <v>47</v>
      </c>
      <c r="Y4197" t="s">
        <v>15435</v>
      </c>
      <c r="AG4197" t="s">
        <v>48</v>
      </c>
    </row>
    <row r="4198" spans="1:33">
      <c r="A4198" t="s">
        <v>15436</v>
      </c>
      <c r="B4198" t="s">
        <v>15437</v>
      </c>
      <c r="D4198" t="s">
        <v>40</v>
      </c>
      <c r="E4198" t="s">
        <v>41</v>
      </c>
      <c r="J4198" t="s">
        <v>86</v>
      </c>
      <c r="K4198" t="s">
        <v>87</v>
      </c>
      <c r="L4198">
        <v>3</v>
      </c>
      <c r="M4198" t="s">
        <v>15438</v>
      </c>
      <c r="N4198" t="s">
        <v>14024</v>
      </c>
      <c r="O4198" t="s">
        <v>47</v>
      </c>
      <c r="P4198" t="s">
        <v>47</v>
      </c>
      <c r="Y4198" t="s">
        <v>15439</v>
      </c>
      <c r="AG4198" t="s">
        <v>48</v>
      </c>
    </row>
    <row r="4199" spans="1:33">
      <c r="A4199" t="s">
        <v>15440</v>
      </c>
      <c r="B4199" t="s">
        <v>15441</v>
      </c>
      <c r="D4199" t="s">
        <v>40</v>
      </c>
      <c r="E4199" t="s">
        <v>41</v>
      </c>
      <c r="J4199" t="s">
        <v>86</v>
      </c>
      <c r="K4199" t="s">
        <v>87</v>
      </c>
      <c r="L4199">
        <v>3</v>
      </c>
      <c r="M4199" t="s">
        <v>15442</v>
      </c>
      <c r="N4199" t="s">
        <v>13978</v>
      </c>
      <c r="O4199" t="s">
        <v>47</v>
      </c>
      <c r="P4199" t="s">
        <v>47</v>
      </c>
      <c r="Y4199" t="s">
        <v>15443</v>
      </c>
      <c r="AG4199" t="s">
        <v>48</v>
      </c>
    </row>
    <row r="4200" spans="1:33">
      <c r="A4200" t="s">
        <v>15444</v>
      </c>
      <c r="B4200" t="s">
        <v>15445</v>
      </c>
      <c r="D4200" t="s">
        <v>40</v>
      </c>
      <c r="E4200" t="s">
        <v>41</v>
      </c>
      <c r="J4200" t="s">
        <v>14204</v>
      </c>
      <c r="K4200" t="s">
        <v>14205</v>
      </c>
      <c r="L4200">
        <v>3</v>
      </c>
      <c r="M4200" t="s">
        <v>15446</v>
      </c>
      <c r="N4200" t="s">
        <v>14011</v>
      </c>
      <c r="O4200" t="s">
        <v>47</v>
      </c>
      <c r="P4200" t="s">
        <v>47</v>
      </c>
      <c r="Y4200" t="s">
        <v>15447</v>
      </c>
      <c r="AG4200" t="s">
        <v>48</v>
      </c>
    </row>
    <row r="4201" spans="1:33">
      <c r="A4201" t="s">
        <v>15448</v>
      </c>
      <c r="B4201" t="s">
        <v>15449</v>
      </c>
      <c r="D4201" t="s">
        <v>40</v>
      </c>
      <c r="E4201" t="s">
        <v>41</v>
      </c>
      <c r="J4201" t="s">
        <v>14204</v>
      </c>
      <c r="K4201" t="s">
        <v>14205</v>
      </c>
      <c r="L4201">
        <v>3</v>
      </c>
      <c r="M4201" t="s">
        <v>15450</v>
      </c>
      <c r="N4201" t="s">
        <v>14011</v>
      </c>
      <c r="O4201" t="s">
        <v>47</v>
      </c>
      <c r="P4201" t="s">
        <v>47</v>
      </c>
      <c r="Y4201" t="s">
        <v>15451</v>
      </c>
      <c r="AG4201" t="s">
        <v>48</v>
      </c>
    </row>
    <row r="4202" spans="1:33">
      <c r="A4202" t="s">
        <v>15452</v>
      </c>
      <c r="B4202" t="s">
        <v>15453</v>
      </c>
      <c r="D4202" t="s">
        <v>40</v>
      </c>
      <c r="E4202" t="s">
        <v>41</v>
      </c>
      <c r="J4202" t="s">
        <v>86</v>
      </c>
      <c r="K4202" t="s">
        <v>87</v>
      </c>
      <c r="L4202">
        <v>3</v>
      </c>
      <c r="M4202" t="s">
        <v>15454</v>
      </c>
      <c r="N4202" t="s">
        <v>13978</v>
      </c>
      <c r="O4202" t="s">
        <v>47</v>
      </c>
      <c r="P4202" t="s">
        <v>47</v>
      </c>
      <c r="Y4202" t="s">
        <v>15455</v>
      </c>
      <c r="AG4202" t="s">
        <v>48</v>
      </c>
    </row>
    <row r="4203" spans="1:33">
      <c r="A4203" t="s">
        <v>15456</v>
      </c>
      <c r="B4203" t="s">
        <v>15457</v>
      </c>
      <c r="D4203" t="s">
        <v>40</v>
      </c>
      <c r="E4203" t="s">
        <v>41</v>
      </c>
      <c r="J4203" t="s">
        <v>6163</v>
      </c>
      <c r="K4203" t="s">
        <v>6164</v>
      </c>
      <c r="L4203">
        <v>3</v>
      </c>
      <c r="M4203" t="s">
        <v>15458</v>
      </c>
      <c r="N4203" t="s">
        <v>14340</v>
      </c>
      <c r="O4203" t="s">
        <v>47</v>
      </c>
      <c r="P4203" t="s">
        <v>47</v>
      </c>
      <c r="Y4203" t="s">
        <v>15459</v>
      </c>
      <c r="AG4203" t="s">
        <v>48</v>
      </c>
    </row>
    <row r="4204" spans="1:33">
      <c r="A4204" t="s">
        <v>15460</v>
      </c>
      <c r="B4204" t="s">
        <v>15461</v>
      </c>
      <c r="D4204" t="s">
        <v>40</v>
      </c>
      <c r="E4204" t="s">
        <v>41</v>
      </c>
      <c r="J4204" t="s">
        <v>43</v>
      </c>
      <c r="K4204" t="s">
        <v>44</v>
      </c>
      <c r="L4204">
        <v>3</v>
      </c>
      <c r="M4204" t="s">
        <v>15462</v>
      </c>
      <c r="N4204" t="s">
        <v>13978</v>
      </c>
      <c r="O4204" t="s">
        <v>47</v>
      </c>
      <c r="P4204" t="s">
        <v>47</v>
      </c>
      <c r="Y4204" t="s">
        <v>15463</v>
      </c>
      <c r="AG4204" t="s">
        <v>48</v>
      </c>
    </row>
    <row r="4205" spans="1:33">
      <c r="A4205" t="s">
        <v>15464</v>
      </c>
      <c r="B4205" t="s">
        <v>15465</v>
      </c>
      <c r="D4205" t="s">
        <v>40</v>
      </c>
      <c r="E4205" t="s">
        <v>41</v>
      </c>
      <c r="J4205" t="s">
        <v>1418</v>
      </c>
      <c r="K4205" t="s">
        <v>1419</v>
      </c>
      <c r="L4205">
        <v>3</v>
      </c>
      <c r="M4205" t="s">
        <v>15466</v>
      </c>
      <c r="N4205" t="s">
        <v>13978</v>
      </c>
      <c r="O4205" t="s">
        <v>47</v>
      </c>
      <c r="P4205" t="s">
        <v>47</v>
      </c>
      <c r="Y4205" t="s">
        <v>15467</v>
      </c>
      <c r="AG4205" t="s">
        <v>48</v>
      </c>
    </row>
    <row r="4206" spans="1:33">
      <c r="A4206" t="s">
        <v>15468</v>
      </c>
      <c r="B4206" t="s">
        <v>15469</v>
      </c>
      <c r="D4206" t="s">
        <v>40</v>
      </c>
      <c r="E4206" t="s">
        <v>41</v>
      </c>
      <c r="J4206" t="s">
        <v>123</v>
      </c>
      <c r="K4206" t="s">
        <v>124</v>
      </c>
      <c r="L4206">
        <v>5</v>
      </c>
      <c r="M4206" t="s">
        <v>15470</v>
      </c>
      <c r="N4206" t="s">
        <v>14011</v>
      </c>
      <c r="O4206" t="s">
        <v>47</v>
      </c>
      <c r="P4206" t="s">
        <v>47</v>
      </c>
      <c r="Y4206" t="s">
        <v>15471</v>
      </c>
      <c r="AG4206" t="s">
        <v>48</v>
      </c>
    </row>
    <row r="4207" spans="1:33">
      <c r="A4207" t="s">
        <v>15472</v>
      </c>
      <c r="B4207" t="s">
        <v>15473</v>
      </c>
      <c r="D4207" t="s">
        <v>40</v>
      </c>
      <c r="E4207" t="s">
        <v>41</v>
      </c>
      <c r="J4207" t="s">
        <v>3472</v>
      </c>
      <c r="K4207" t="s">
        <v>3473</v>
      </c>
      <c r="L4207">
        <v>3</v>
      </c>
      <c r="M4207" t="s">
        <v>15474</v>
      </c>
      <c r="N4207" t="s">
        <v>192</v>
      </c>
      <c r="O4207" t="s">
        <v>47</v>
      </c>
      <c r="P4207" t="s">
        <v>47</v>
      </c>
      <c r="Y4207" t="s">
        <v>15475</v>
      </c>
      <c r="AG4207" t="s">
        <v>48</v>
      </c>
    </row>
    <row r="4208" spans="1:33">
      <c r="A4208" t="s">
        <v>15476</v>
      </c>
      <c r="B4208" t="s">
        <v>15477</v>
      </c>
      <c r="D4208" t="s">
        <v>40</v>
      </c>
      <c r="E4208" t="s">
        <v>41</v>
      </c>
      <c r="J4208" t="s">
        <v>86</v>
      </c>
      <c r="K4208" t="s">
        <v>87</v>
      </c>
      <c r="L4208">
        <v>3</v>
      </c>
      <c r="M4208" t="s">
        <v>15478</v>
      </c>
      <c r="N4208" t="s">
        <v>13978</v>
      </c>
      <c r="O4208" t="s">
        <v>47</v>
      </c>
      <c r="P4208" t="s">
        <v>47</v>
      </c>
      <c r="Y4208" t="s">
        <v>15479</v>
      </c>
      <c r="AG4208" t="s">
        <v>48</v>
      </c>
    </row>
    <row r="4209" spans="1:33">
      <c r="A4209" t="s">
        <v>15480</v>
      </c>
      <c r="B4209" t="s">
        <v>15481</v>
      </c>
      <c r="D4209" t="s">
        <v>40</v>
      </c>
      <c r="E4209" t="s">
        <v>41</v>
      </c>
      <c r="J4209" t="s">
        <v>86</v>
      </c>
      <c r="K4209" t="s">
        <v>87</v>
      </c>
      <c r="L4209">
        <v>3</v>
      </c>
      <c r="M4209" t="s">
        <v>15482</v>
      </c>
      <c r="N4209" t="s">
        <v>13978</v>
      </c>
      <c r="O4209" t="s">
        <v>47</v>
      </c>
      <c r="P4209" t="s">
        <v>47</v>
      </c>
      <c r="Y4209" t="s">
        <v>15483</v>
      </c>
      <c r="AG4209" t="s">
        <v>48</v>
      </c>
    </row>
    <row r="4210" spans="1:33">
      <c r="A4210" t="s">
        <v>15484</v>
      </c>
      <c r="B4210" t="s">
        <v>15485</v>
      </c>
      <c r="D4210" t="s">
        <v>40</v>
      </c>
      <c r="E4210" t="s">
        <v>41</v>
      </c>
      <c r="J4210" t="s">
        <v>4737</v>
      </c>
      <c r="K4210" t="s">
        <v>4738</v>
      </c>
      <c r="L4210">
        <v>3</v>
      </c>
      <c r="M4210" t="s">
        <v>15486</v>
      </c>
      <c r="N4210" t="s">
        <v>192</v>
      </c>
      <c r="O4210" t="s">
        <v>47</v>
      </c>
      <c r="P4210" t="s">
        <v>47</v>
      </c>
      <c r="Y4210" t="s">
        <v>15487</v>
      </c>
      <c r="AG4210" t="s">
        <v>48</v>
      </c>
    </row>
    <row r="4211" spans="1:33">
      <c r="A4211" t="s">
        <v>15488</v>
      </c>
      <c r="B4211" t="s">
        <v>15489</v>
      </c>
      <c r="D4211" t="s">
        <v>40</v>
      </c>
      <c r="E4211" t="s">
        <v>41</v>
      </c>
      <c r="J4211" t="s">
        <v>1052</v>
      </c>
      <c r="K4211" t="s">
        <v>1053</v>
      </c>
      <c r="L4211">
        <v>5</v>
      </c>
      <c r="M4211" t="s">
        <v>15490</v>
      </c>
      <c r="N4211" t="s">
        <v>14024</v>
      </c>
      <c r="O4211" t="s">
        <v>47</v>
      </c>
      <c r="P4211" t="s">
        <v>47</v>
      </c>
      <c r="Y4211" t="s">
        <v>15491</v>
      </c>
      <c r="AG4211" t="s">
        <v>48</v>
      </c>
    </row>
    <row r="4212" spans="1:33">
      <c r="A4212" t="s">
        <v>15492</v>
      </c>
      <c r="B4212" t="s">
        <v>15493</v>
      </c>
      <c r="D4212" t="s">
        <v>40</v>
      </c>
      <c r="E4212" t="s">
        <v>41</v>
      </c>
      <c r="J4212" t="s">
        <v>86</v>
      </c>
      <c r="K4212" t="s">
        <v>87</v>
      </c>
      <c r="L4212">
        <v>3</v>
      </c>
      <c r="M4212" t="s">
        <v>15494</v>
      </c>
      <c r="N4212" t="s">
        <v>192</v>
      </c>
      <c r="O4212" t="s">
        <v>47</v>
      </c>
      <c r="P4212" t="s">
        <v>47</v>
      </c>
      <c r="Y4212" t="s">
        <v>15495</v>
      </c>
      <c r="AG4212" t="s">
        <v>48</v>
      </c>
    </row>
    <row r="4213" spans="1:33">
      <c r="A4213" t="s">
        <v>15496</v>
      </c>
      <c r="B4213" t="s">
        <v>15497</v>
      </c>
      <c r="D4213" t="s">
        <v>40</v>
      </c>
      <c r="E4213" t="s">
        <v>41</v>
      </c>
      <c r="J4213" t="s">
        <v>43</v>
      </c>
      <c r="K4213" t="s">
        <v>44</v>
      </c>
      <c r="L4213">
        <v>3</v>
      </c>
      <c r="M4213" t="s">
        <v>15498</v>
      </c>
      <c r="N4213" t="s">
        <v>192</v>
      </c>
      <c r="O4213" t="s">
        <v>47</v>
      </c>
      <c r="P4213" t="s">
        <v>47</v>
      </c>
      <c r="Y4213" t="s">
        <v>15499</v>
      </c>
      <c r="AG4213" t="s">
        <v>48</v>
      </c>
    </row>
    <row r="4214" spans="1:33">
      <c r="A4214" t="s">
        <v>15500</v>
      </c>
      <c r="B4214" t="s">
        <v>15501</v>
      </c>
      <c r="D4214" t="s">
        <v>40</v>
      </c>
      <c r="E4214" t="s">
        <v>41</v>
      </c>
      <c r="J4214" t="s">
        <v>4737</v>
      </c>
      <c r="K4214" t="s">
        <v>4738</v>
      </c>
      <c r="L4214">
        <v>3</v>
      </c>
      <c r="M4214" t="s">
        <v>15502</v>
      </c>
      <c r="N4214" t="s">
        <v>13978</v>
      </c>
      <c r="O4214" t="s">
        <v>47</v>
      </c>
      <c r="P4214" t="s">
        <v>47</v>
      </c>
      <c r="Y4214" t="s">
        <v>15503</v>
      </c>
      <c r="AG4214" t="s">
        <v>48</v>
      </c>
    </row>
    <row r="4215" spans="1:33">
      <c r="A4215" t="s">
        <v>15504</v>
      </c>
      <c r="B4215" t="s">
        <v>15505</v>
      </c>
      <c r="D4215" t="s">
        <v>40</v>
      </c>
      <c r="E4215" t="s">
        <v>41</v>
      </c>
      <c r="J4215" t="s">
        <v>14204</v>
      </c>
      <c r="K4215" t="s">
        <v>14205</v>
      </c>
      <c r="L4215">
        <v>3</v>
      </c>
      <c r="M4215" t="s">
        <v>15506</v>
      </c>
      <c r="N4215" t="s">
        <v>218</v>
      </c>
      <c r="O4215" t="s">
        <v>47</v>
      </c>
      <c r="P4215" t="s">
        <v>47</v>
      </c>
      <c r="Y4215" t="s">
        <v>15507</v>
      </c>
      <c r="AG4215" t="s">
        <v>48</v>
      </c>
    </row>
    <row r="4216" spans="1:33">
      <c r="A4216" t="s">
        <v>15508</v>
      </c>
      <c r="B4216" t="s">
        <v>15509</v>
      </c>
      <c r="D4216" t="s">
        <v>40</v>
      </c>
      <c r="E4216" t="s">
        <v>41</v>
      </c>
      <c r="J4216" t="s">
        <v>1418</v>
      </c>
      <c r="K4216" t="s">
        <v>1419</v>
      </c>
      <c r="L4216">
        <v>3</v>
      </c>
      <c r="M4216" t="s">
        <v>15510</v>
      </c>
      <c r="N4216" t="s">
        <v>218</v>
      </c>
      <c r="O4216" t="s">
        <v>47</v>
      </c>
      <c r="P4216" t="s">
        <v>47</v>
      </c>
      <c r="Y4216" t="s">
        <v>15511</v>
      </c>
      <c r="AG4216" t="s">
        <v>48</v>
      </c>
    </row>
    <row r="4217" spans="1:33">
      <c r="A4217" t="s">
        <v>15512</v>
      </c>
      <c r="B4217" t="s">
        <v>15513</v>
      </c>
      <c r="D4217" t="s">
        <v>40</v>
      </c>
      <c r="E4217" t="s">
        <v>41</v>
      </c>
      <c r="J4217" t="s">
        <v>86</v>
      </c>
      <c r="K4217" t="s">
        <v>87</v>
      </c>
      <c r="L4217">
        <v>3</v>
      </c>
      <c r="M4217" t="s">
        <v>15514</v>
      </c>
      <c r="N4217" t="s">
        <v>192</v>
      </c>
      <c r="O4217" t="s">
        <v>47</v>
      </c>
      <c r="P4217" t="s">
        <v>47</v>
      </c>
      <c r="Y4217" t="s">
        <v>15515</v>
      </c>
      <c r="AG4217" t="s">
        <v>48</v>
      </c>
    </row>
    <row r="4218" spans="1:33">
      <c r="A4218" t="s">
        <v>15516</v>
      </c>
      <c r="B4218" t="s">
        <v>15517</v>
      </c>
      <c r="D4218" t="s">
        <v>40</v>
      </c>
      <c r="E4218" t="s">
        <v>41</v>
      </c>
      <c r="J4218" t="s">
        <v>86</v>
      </c>
      <c r="K4218" t="s">
        <v>87</v>
      </c>
      <c r="L4218">
        <v>3</v>
      </c>
      <c r="M4218" t="s">
        <v>15518</v>
      </c>
      <c r="N4218" t="s">
        <v>192</v>
      </c>
      <c r="O4218" t="s">
        <v>47</v>
      </c>
      <c r="P4218" t="s">
        <v>47</v>
      </c>
      <c r="Y4218" t="s">
        <v>15519</v>
      </c>
      <c r="AG4218" t="s">
        <v>48</v>
      </c>
    </row>
    <row r="4219" spans="1:33">
      <c r="A4219" t="s">
        <v>15520</v>
      </c>
      <c r="B4219" t="s">
        <v>15521</v>
      </c>
      <c r="D4219" t="s">
        <v>40</v>
      </c>
      <c r="E4219" t="s">
        <v>41</v>
      </c>
      <c r="J4219" t="s">
        <v>1418</v>
      </c>
      <c r="K4219" t="s">
        <v>1419</v>
      </c>
      <c r="L4219">
        <v>3</v>
      </c>
      <c r="M4219" t="s">
        <v>15522</v>
      </c>
      <c r="N4219" t="s">
        <v>14059</v>
      </c>
      <c r="O4219" t="s">
        <v>47</v>
      </c>
      <c r="P4219" t="s">
        <v>47</v>
      </c>
      <c r="Y4219" t="s">
        <v>15523</v>
      </c>
      <c r="AG4219" t="s">
        <v>48</v>
      </c>
    </row>
    <row r="4220" spans="1:33">
      <c r="A4220" t="s">
        <v>15524</v>
      </c>
      <c r="B4220" t="s">
        <v>15525</v>
      </c>
      <c r="D4220" t="s">
        <v>40</v>
      </c>
      <c r="E4220" t="s">
        <v>41</v>
      </c>
      <c r="J4220" t="s">
        <v>43</v>
      </c>
      <c r="K4220" t="s">
        <v>44</v>
      </c>
      <c r="L4220">
        <v>4</v>
      </c>
      <c r="M4220" t="s">
        <v>15526</v>
      </c>
      <c r="N4220" t="s">
        <v>13978</v>
      </c>
      <c r="O4220" t="s">
        <v>47</v>
      </c>
      <c r="P4220" t="s">
        <v>47</v>
      </c>
      <c r="Y4220" t="s">
        <v>15527</v>
      </c>
      <c r="AG4220" t="s">
        <v>48</v>
      </c>
    </row>
    <row r="4221" spans="1:33">
      <c r="A4221" t="s">
        <v>15528</v>
      </c>
      <c r="B4221" t="s">
        <v>15529</v>
      </c>
      <c r="D4221" t="s">
        <v>40</v>
      </c>
      <c r="E4221" t="s">
        <v>41</v>
      </c>
      <c r="J4221" t="s">
        <v>86</v>
      </c>
      <c r="K4221" t="s">
        <v>87</v>
      </c>
      <c r="L4221">
        <v>3</v>
      </c>
      <c r="M4221" t="s">
        <v>15530</v>
      </c>
      <c r="N4221" t="s">
        <v>13978</v>
      </c>
      <c r="O4221" t="s">
        <v>47</v>
      </c>
      <c r="P4221" t="s">
        <v>47</v>
      </c>
      <c r="Y4221" t="s">
        <v>15531</v>
      </c>
      <c r="AG4221" t="s">
        <v>48</v>
      </c>
    </row>
    <row r="4222" spans="1:33">
      <c r="A4222" t="s">
        <v>15532</v>
      </c>
      <c r="B4222" t="s">
        <v>15533</v>
      </c>
      <c r="D4222" t="s">
        <v>40</v>
      </c>
      <c r="E4222" t="s">
        <v>41</v>
      </c>
      <c r="J4222" t="s">
        <v>86</v>
      </c>
      <c r="K4222" t="s">
        <v>87</v>
      </c>
      <c r="L4222">
        <v>3</v>
      </c>
      <c r="M4222" t="s">
        <v>15534</v>
      </c>
      <c r="N4222" t="s">
        <v>14059</v>
      </c>
      <c r="O4222" t="s">
        <v>47</v>
      </c>
      <c r="P4222" t="s">
        <v>47</v>
      </c>
      <c r="Y4222" t="s">
        <v>15535</v>
      </c>
      <c r="AG4222" t="s">
        <v>48</v>
      </c>
    </row>
    <row r="4223" spans="1:33">
      <c r="A4223" t="s">
        <v>15536</v>
      </c>
      <c r="B4223" t="s">
        <v>15537</v>
      </c>
      <c r="D4223" t="s">
        <v>40</v>
      </c>
      <c r="E4223" t="s">
        <v>41</v>
      </c>
      <c r="J4223" t="s">
        <v>86</v>
      </c>
      <c r="K4223" t="s">
        <v>87</v>
      </c>
      <c r="L4223">
        <v>3</v>
      </c>
      <c r="M4223" t="s">
        <v>15538</v>
      </c>
      <c r="N4223" t="s">
        <v>14059</v>
      </c>
      <c r="O4223" t="s">
        <v>47</v>
      </c>
      <c r="P4223" t="s">
        <v>47</v>
      </c>
      <c r="Y4223" t="s">
        <v>15539</v>
      </c>
      <c r="AG4223" t="s">
        <v>48</v>
      </c>
    </row>
    <row r="4224" spans="1:33">
      <c r="A4224" t="s">
        <v>15540</v>
      </c>
      <c r="B4224" t="s">
        <v>15541</v>
      </c>
      <c r="D4224" t="s">
        <v>40</v>
      </c>
      <c r="E4224" t="s">
        <v>41</v>
      </c>
      <c r="J4224" t="s">
        <v>43</v>
      </c>
      <c r="K4224" t="s">
        <v>44</v>
      </c>
      <c r="L4224">
        <v>3</v>
      </c>
      <c r="M4224" t="s">
        <v>15542</v>
      </c>
      <c r="N4224" t="s">
        <v>192</v>
      </c>
      <c r="O4224" t="s">
        <v>47</v>
      </c>
      <c r="P4224" t="s">
        <v>47</v>
      </c>
      <c r="Y4224" t="s">
        <v>15543</v>
      </c>
      <c r="AG4224" t="s">
        <v>48</v>
      </c>
    </row>
    <row r="4225" spans="1:33">
      <c r="A4225" t="s">
        <v>15544</v>
      </c>
      <c r="B4225" t="s">
        <v>15545</v>
      </c>
      <c r="D4225" t="s">
        <v>40</v>
      </c>
      <c r="E4225" t="s">
        <v>41</v>
      </c>
      <c r="J4225" t="s">
        <v>1418</v>
      </c>
      <c r="K4225" t="s">
        <v>1419</v>
      </c>
      <c r="L4225">
        <v>3</v>
      </c>
      <c r="M4225" t="s">
        <v>15546</v>
      </c>
      <c r="N4225" t="s">
        <v>14059</v>
      </c>
      <c r="O4225" t="s">
        <v>47</v>
      </c>
      <c r="P4225" t="s">
        <v>47</v>
      </c>
      <c r="Y4225" t="s">
        <v>15547</v>
      </c>
      <c r="AG4225" t="s">
        <v>48</v>
      </c>
    </row>
    <row r="4226" spans="1:33">
      <c r="A4226" t="s">
        <v>15548</v>
      </c>
      <c r="B4226" t="s">
        <v>15549</v>
      </c>
      <c r="D4226" t="s">
        <v>40</v>
      </c>
      <c r="E4226" t="s">
        <v>41</v>
      </c>
      <c r="J4226" t="s">
        <v>43</v>
      </c>
      <c r="K4226" t="s">
        <v>44</v>
      </c>
      <c r="L4226">
        <v>3</v>
      </c>
      <c r="M4226" t="s">
        <v>15550</v>
      </c>
      <c r="N4226" t="s">
        <v>218</v>
      </c>
      <c r="O4226" t="s">
        <v>47</v>
      </c>
      <c r="P4226" t="s">
        <v>47</v>
      </c>
      <c r="Y4226" t="s">
        <v>15551</v>
      </c>
      <c r="AG4226" t="s">
        <v>48</v>
      </c>
    </row>
    <row r="4227" spans="1:33">
      <c r="A4227" t="s">
        <v>15552</v>
      </c>
      <c r="B4227" t="s">
        <v>15553</v>
      </c>
      <c r="D4227" t="s">
        <v>40</v>
      </c>
      <c r="E4227" t="s">
        <v>41</v>
      </c>
      <c r="J4227" t="s">
        <v>14204</v>
      </c>
      <c r="K4227" t="s">
        <v>14205</v>
      </c>
      <c r="L4227">
        <v>3</v>
      </c>
      <c r="M4227" t="s">
        <v>15554</v>
      </c>
      <c r="N4227" t="s">
        <v>14011</v>
      </c>
      <c r="O4227" t="s">
        <v>47</v>
      </c>
      <c r="P4227" t="s">
        <v>47</v>
      </c>
      <c r="Y4227" t="s">
        <v>15555</v>
      </c>
      <c r="AG4227" t="s">
        <v>48</v>
      </c>
    </row>
    <row r="4228" spans="1:33">
      <c r="A4228" t="s">
        <v>15556</v>
      </c>
      <c r="B4228" t="s">
        <v>15557</v>
      </c>
      <c r="D4228" t="s">
        <v>40</v>
      </c>
      <c r="E4228" t="s">
        <v>41</v>
      </c>
      <c r="J4228" t="s">
        <v>43</v>
      </c>
      <c r="K4228" t="s">
        <v>44</v>
      </c>
      <c r="L4228">
        <v>3</v>
      </c>
      <c r="M4228" t="s">
        <v>15558</v>
      </c>
      <c r="N4228" t="s">
        <v>192</v>
      </c>
      <c r="O4228" t="s">
        <v>47</v>
      </c>
      <c r="P4228" t="s">
        <v>47</v>
      </c>
      <c r="Y4228" t="s">
        <v>15559</v>
      </c>
      <c r="AG4228" t="s">
        <v>48</v>
      </c>
    </row>
    <row r="4229" spans="1:33">
      <c r="A4229" t="s">
        <v>15560</v>
      </c>
      <c r="B4229" t="s">
        <v>15561</v>
      </c>
      <c r="D4229" t="s">
        <v>40</v>
      </c>
      <c r="E4229" t="s">
        <v>41</v>
      </c>
      <c r="J4229" t="s">
        <v>4737</v>
      </c>
      <c r="K4229" t="s">
        <v>4738</v>
      </c>
      <c r="L4229">
        <v>3</v>
      </c>
      <c r="M4229" t="s">
        <v>15562</v>
      </c>
      <c r="N4229" t="s">
        <v>14059</v>
      </c>
      <c r="O4229" t="s">
        <v>47</v>
      </c>
      <c r="P4229" t="s">
        <v>47</v>
      </c>
      <c r="Y4229" t="s">
        <v>15563</v>
      </c>
      <c r="AG4229" t="s">
        <v>48</v>
      </c>
    </row>
    <row r="4230" spans="1:33">
      <c r="A4230" t="s">
        <v>15564</v>
      </c>
      <c r="B4230" t="s">
        <v>15565</v>
      </c>
      <c r="D4230" t="s">
        <v>40</v>
      </c>
      <c r="E4230" t="s">
        <v>41</v>
      </c>
      <c r="J4230" t="s">
        <v>3472</v>
      </c>
      <c r="K4230" t="s">
        <v>3473</v>
      </c>
      <c r="L4230">
        <v>3</v>
      </c>
      <c r="M4230" t="s">
        <v>15566</v>
      </c>
      <c r="N4230" t="s">
        <v>14340</v>
      </c>
      <c r="O4230" t="s">
        <v>47</v>
      </c>
      <c r="P4230" t="s">
        <v>47</v>
      </c>
      <c r="Y4230" t="s">
        <v>15567</v>
      </c>
      <c r="AG4230" t="s">
        <v>48</v>
      </c>
    </row>
    <row r="4231" spans="1:33">
      <c r="A4231" t="s">
        <v>15568</v>
      </c>
      <c r="B4231" t="s">
        <v>15569</v>
      </c>
      <c r="D4231" t="s">
        <v>40</v>
      </c>
      <c r="E4231" t="s">
        <v>41</v>
      </c>
      <c r="J4231" t="s">
        <v>86</v>
      </c>
      <c r="K4231" t="s">
        <v>87</v>
      </c>
      <c r="L4231">
        <v>3</v>
      </c>
      <c r="M4231" t="s">
        <v>15570</v>
      </c>
      <c r="N4231" t="s">
        <v>13978</v>
      </c>
      <c r="O4231" t="s">
        <v>47</v>
      </c>
      <c r="P4231" t="s">
        <v>47</v>
      </c>
      <c r="Y4231" t="s">
        <v>15571</v>
      </c>
      <c r="AG4231" t="s">
        <v>48</v>
      </c>
    </row>
    <row r="4232" spans="1:33">
      <c r="A4232" t="s">
        <v>15572</v>
      </c>
      <c r="B4232" t="s">
        <v>15573</v>
      </c>
      <c r="D4232" t="s">
        <v>40</v>
      </c>
      <c r="E4232" t="s">
        <v>41</v>
      </c>
      <c r="J4232" t="s">
        <v>86</v>
      </c>
      <c r="K4232" t="s">
        <v>87</v>
      </c>
      <c r="L4232">
        <v>3</v>
      </c>
      <c r="M4232" t="s">
        <v>15574</v>
      </c>
      <c r="N4232" t="s">
        <v>14059</v>
      </c>
      <c r="O4232" t="s">
        <v>47</v>
      </c>
      <c r="P4232" t="s">
        <v>47</v>
      </c>
      <c r="Y4232" t="s">
        <v>15575</v>
      </c>
      <c r="AG4232" t="s">
        <v>48</v>
      </c>
    </row>
    <row r="4233" spans="1:33">
      <c r="A4233" t="s">
        <v>15576</v>
      </c>
      <c r="B4233" t="s">
        <v>15577</v>
      </c>
      <c r="D4233" t="s">
        <v>40</v>
      </c>
      <c r="E4233" t="s">
        <v>41</v>
      </c>
      <c r="J4233" t="s">
        <v>123</v>
      </c>
      <c r="K4233" t="s">
        <v>124</v>
      </c>
      <c r="L4233">
        <v>5</v>
      </c>
      <c r="M4233" t="s">
        <v>15578</v>
      </c>
      <c r="N4233" t="s">
        <v>218</v>
      </c>
      <c r="O4233" t="s">
        <v>47</v>
      </c>
      <c r="P4233" t="s">
        <v>47</v>
      </c>
      <c r="Y4233" t="s">
        <v>15579</v>
      </c>
      <c r="AG4233" t="s">
        <v>48</v>
      </c>
    </row>
    <row r="4234" spans="1:33">
      <c r="A4234" t="s">
        <v>15580</v>
      </c>
      <c r="B4234" t="s">
        <v>15581</v>
      </c>
      <c r="D4234" t="s">
        <v>40</v>
      </c>
      <c r="E4234" t="s">
        <v>41</v>
      </c>
      <c r="J4234" t="s">
        <v>86</v>
      </c>
      <c r="K4234" t="s">
        <v>87</v>
      </c>
      <c r="L4234">
        <v>3</v>
      </c>
      <c r="M4234" t="s">
        <v>15582</v>
      </c>
      <c r="N4234" t="s">
        <v>13978</v>
      </c>
      <c r="O4234" t="s">
        <v>47</v>
      </c>
      <c r="P4234" t="s">
        <v>47</v>
      </c>
      <c r="Y4234" t="s">
        <v>15583</v>
      </c>
      <c r="AG4234" t="s">
        <v>48</v>
      </c>
    </row>
    <row r="4235" spans="1:33">
      <c r="A4235" t="s">
        <v>15584</v>
      </c>
      <c r="B4235" t="s">
        <v>15585</v>
      </c>
      <c r="D4235" t="s">
        <v>40</v>
      </c>
      <c r="E4235" t="s">
        <v>41</v>
      </c>
      <c r="J4235" t="s">
        <v>1052</v>
      </c>
      <c r="K4235" t="s">
        <v>1053</v>
      </c>
      <c r="L4235">
        <v>3</v>
      </c>
      <c r="M4235" t="s">
        <v>15586</v>
      </c>
      <c r="N4235" t="s">
        <v>218</v>
      </c>
      <c r="O4235" t="s">
        <v>47</v>
      </c>
      <c r="P4235" t="s">
        <v>47</v>
      </c>
      <c r="Y4235" t="s">
        <v>15587</v>
      </c>
      <c r="AG4235" t="s">
        <v>48</v>
      </c>
    </row>
    <row r="4236" spans="1:33">
      <c r="A4236" t="s">
        <v>117</v>
      </c>
      <c r="B4236" t="s">
        <v>15588</v>
      </c>
      <c r="D4236" t="s">
        <v>40</v>
      </c>
      <c r="E4236" t="s">
        <v>41</v>
      </c>
      <c r="J4236" t="s">
        <v>14475</v>
      </c>
      <c r="K4236" t="s">
        <v>14476</v>
      </c>
      <c r="L4236">
        <v>3</v>
      </c>
      <c r="M4236" t="s">
        <v>15589</v>
      </c>
      <c r="N4236" t="s">
        <v>14059</v>
      </c>
      <c r="O4236" t="s">
        <v>47</v>
      </c>
      <c r="P4236" t="s">
        <v>47</v>
      </c>
      <c r="Y4236" t="s">
        <v>15590</v>
      </c>
      <c r="AG4236" t="s">
        <v>48</v>
      </c>
    </row>
    <row r="4237" spans="1:33">
      <c r="A4237" t="s">
        <v>15591</v>
      </c>
      <c r="B4237" t="s">
        <v>15592</v>
      </c>
      <c r="D4237" t="s">
        <v>40</v>
      </c>
      <c r="E4237" t="s">
        <v>41</v>
      </c>
      <c r="J4237" t="s">
        <v>86</v>
      </c>
      <c r="K4237" t="s">
        <v>87</v>
      </c>
      <c r="L4237">
        <v>3</v>
      </c>
      <c r="M4237" t="s">
        <v>15593</v>
      </c>
      <c r="N4237" t="s">
        <v>13978</v>
      </c>
      <c r="O4237" t="s">
        <v>47</v>
      </c>
      <c r="P4237" t="s">
        <v>47</v>
      </c>
      <c r="Y4237" t="s">
        <v>15594</v>
      </c>
      <c r="AG4237" t="s">
        <v>48</v>
      </c>
    </row>
    <row r="4238" spans="1:33">
      <c r="A4238" t="s">
        <v>15595</v>
      </c>
      <c r="B4238" t="s">
        <v>15596</v>
      </c>
      <c r="D4238" t="s">
        <v>40</v>
      </c>
      <c r="E4238" t="s">
        <v>41</v>
      </c>
      <c r="J4238" t="s">
        <v>86</v>
      </c>
      <c r="K4238" t="s">
        <v>87</v>
      </c>
      <c r="L4238">
        <v>3</v>
      </c>
      <c r="M4238" t="s">
        <v>15597</v>
      </c>
      <c r="N4238" t="s">
        <v>14059</v>
      </c>
      <c r="O4238" t="s">
        <v>47</v>
      </c>
      <c r="P4238" t="s">
        <v>47</v>
      </c>
      <c r="Y4238" t="s">
        <v>15598</v>
      </c>
      <c r="AG4238" t="s">
        <v>48</v>
      </c>
    </row>
    <row r="4239" spans="1:33">
      <c r="A4239" t="s">
        <v>15599</v>
      </c>
      <c r="B4239" t="s">
        <v>15600</v>
      </c>
      <c r="D4239" t="s">
        <v>40</v>
      </c>
      <c r="E4239" t="s">
        <v>41</v>
      </c>
      <c r="J4239" t="s">
        <v>86</v>
      </c>
      <c r="K4239" t="s">
        <v>87</v>
      </c>
      <c r="L4239">
        <v>3</v>
      </c>
      <c r="M4239" t="s">
        <v>15601</v>
      </c>
      <c r="N4239" t="s">
        <v>13978</v>
      </c>
      <c r="O4239" t="s">
        <v>47</v>
      </c>
      <c r="P4239" t="s">
        <v>47</v>
      </c>
      <c r="Y4239" t="s">
        <v>15602</v>
      </c>
      <c r="AG4239" t="s">
        <v>48</v>
      </c>
    </row>
    <row r="4240" spans="1:33">
      <c r="A4240" t="s">
        <v>15603</v>
      </c>
      <c r="B4240" t="s">
        <v>15604</v>
      </c>
      <c r="D4240" t="s">
        <v>40</v>
      </c>
      <c r="E4240" t="s">
        <v>41</v>
      </c>
      <c r="J4240" t="s">
        <v>86</v>
      </c>
      <c r="K4240" t="s">
        <v>87</v>
      </c>
      <c r="L4240">
        <v>3</v>
      </c>
      <c r="M4240" t="s">
        <v>15605</v>
      </c>
      <c r="N4240" t="s">
        <v>14059</v>
      </c>
      <c r="O4240" t="s">
        <v>47</v>
      </c>
      <c r="P4240" t="s">
        <v>47</v>
      </c>
      <c r="Y4240" t="s">
        <v>15606</v>
      </c>
      <c r="AG4240" t="s">
        <v>48</v>
      </c>
    </row>
    <row r="4241" spans="1:33">
      <c r="A4241" t="s">
        <v>15607</v>
      </c>
      <c r="B4241" t="s">
        <v>15608</v>
      </c>
      <c r="D4241" t="s">
        <v>40</v>
      </c>
      <c r="E4241" t="s">
        <v>41</v>
      </c>
      <c r="J4241" t="s">
        <v>14204</v>
      </c>
      <c r="K4241" t="s">
        <v>14205</v>
      </c>
      <c r="L4241">
        <v>3</v>
      </c>
      <c r="M4241" t="s">
        <v>15609</v>
      </c>
      <c r="N4241" t="s">
        <v>14059</v>
      </c>
      <c r="O4241" t="s">
        <v>47</v>
      </c>
      <c r="P4241" t="s">
        <v>47</v>
      </c>
      <c r="Y4241" t="s">
        <v>15610</v>
      </c>
      <c r="AG4241" t="s">
        <v>48</v>
      </c>
    </row>
    <row r="4242" spans="1:33">
      <c r="A4242" t="s">
        <v>15611</v>
      </c>
      <c r="B4242" t="s">
        <v>15612</v>
      </c>
      <c r="D4242" t="s">
        <v>40</v>
      </c>
      <c r="E4242" t="s">
        <v>41</v>
      </c>
      <c r="J4242" t="s">
        <v>43</v>
      </c>
      <c r="K4242" t="s">
        <v>44</v>
      </c>
      <c r="L4242">
        <v>3</v>
      </c>
      <c r="M4242" t="s">
        <v>15613</v>
      </c>
      <c r="N4242" t="s">
        <v>192</v>
      </c>
      <c r="O4242" t="s">
        <v>47</v>
      </c>
      <c r="P4242" t="s">
        <v>47</v>
      </c>
      <c r="Y4242" t="s">
        <v>15614</v>
      </c>
      <c r="AG4242" t="s">
        <v>48</v>
      </c>
    </row>
    <row r="4243" spans="1:33">
      <c r="A4243" t="s">
        <v>15615</v>
      </c>
      <c r="B4243" t="s">
        <v>15616</v>
      </c>
      <c r="D4243" t="s">
        <v>40</v>
      </c>
      <c r="E4243" t="s">
        <v>41</v>
      </c>
      <c r="J4243" t="s">
        <v>86</v>
      </c>
      <c r="K4243" t="s">
        <v>87</v>
      </c>
      <c r="L4243">
        <v>5</v>
      </c>
      <c r="M4243" t="s">
        <v>15617</v>
      </c>
      <c r="N4243" t="s">
        <v>14024</v>
      </c>
      <c r="O4243" t="s">
        <v>47</v>
      </c>
      <c r="P4243" t="s">
        <v>47</v>
      </c>
      <c r="Y4243" t="s">
        <v>15618</v>
      </c>
      <c r="AG4243" t="s">
        <v>48</v>
      </c>
    </row>
    <row r="4244" spans="1:33">
      <c r="A4244" t="s">
        <v>15619</v>
      </c>
      <c r="B4244" t="s">
        <v>15620</v>
      </c>
      <c r="D4244" t="s">
        <v>40</v>
      </c>
      <c r="E4244" t="s">
        <v>41</v>
      </c>
      <c r="J4244" t="s">
        <v>86</v>
      </c>
      <c r="K4244" t="s">
        <v>87</v>
      </c>
      <c r="L4244">
        <v>3</v>
      </c>
      <c r="M4244" t="s">
        <v>15621</v>
      </c>
      <c r="N4244" t="s">
        <v>13978</v>
      </c>
      <c r="O4244" t="s">
        <v>47</v>
      </c>
      <c r="P4244" t="s">
        <v>47</v>
      </c>
      <c r="Y4244" t="s">
        <v>15622</v>
      </c>
      <c r="AG4244" t="s">
        <v>48</v>
      </c>
    </row>
    <row r="4245" spans="1:33">
      <c r="A4245" t="s">
        <v>15623</v>
      </c>
      <c r="B4245" t="s">
        <v>15624</v>
      </c>
      <c r="D4245" t="s">
        <v>40</v>
      </c>
      <c r="E4245" t="s">
        <v>41</v>
      </c>
      <c r="J4245" t="s">
        <v>86</v>
      </c>
      <c r="K4245" t="s">
        <v>87</v>
      </c>
      <c r="L4245">
        <v>3</v>
      </c>
      <c r="M4245" t="s">
        <v>15625</v>
      </c>
      <c r="N4245" t="s">
        <v>14059</v>
      </c>
      <c r="O4245" t="s">
        <v>47</v>
      </c>
      <c r="P4245" t="s">
        <v>47</v>
      </c>
      <c r="Y4245" t="s">
        <v>15626</v>
      </c>
      <c r="AG4245" t="s">
        <v>48</v>
      </c>
    </row>
    <row r="4246" spans="1:33">
      <c r="A4246" t="s">
        <v>15627</v>
      </c>
      <c r="B4246" t="s">
        <v>15628</v>
      </c>
      <c r="D4246" t="s">
        <v>40</v>
      </c>
      <c r="E4246" t="s">
        <v>41</v>
      </c>
      <c r="J4246" t="s">
        <v>4737</v>
      </c>
      <c r="K4246" t="s">
        <v>4738</v>
      </c>
      <c r="L4246">
        <v>3</v>
      </c>
      <c r="M4246" t="s">
        <v>15629</v>
      </c>
      <c r="N4246" t="s">
        <v>218</v>
      </c>
      <c r="O4246" t="s">
        <v>47</v>
      </c>
      <c r="P4246" t="s">
        <v>47</v>
      </c>
      <c r="Y4246" t="s">
        <v>15630</v>
      </c>
      <c r="AG4246" t="s">
        <v>48</v>
      </c>
    </row>
    <row r="4247" spans="1:33">
      <c r="A4247" t="s">
        <v>15631</v>
      </c>
      <c r="B4247" t="s">
        <v>15632</v>
      </c>
      <c r="D4247" t="s">
        <v>40</v>
      </c>
      <c r="E4247" t="s">
        <v>41</v>
      </c>
      <c r="J4247" t="s">
        <v>4737</v>
      </c>
      <c r="K4247" t="s">
        <v>4738</v>
      </c>
      <c r="L4247">
        <v>3</v>
      </c>
      <c r="M4247" t="s">
        <v>15633</v>
      </c>
      <c r="N4247" t="s">
        <v>218</v>
      </c>
      <c r="O4247" t="s">
        <v>47</v>
      </c>
      <c r="P4247" t="s">
        <v>47</v>
      </c>
      <c r="Y4247" t="s">
        <v>15634</v>
      </c>
      <c r="AG4247" t="s">
        <v>48</v>
      </c>
    </row>
    <row r="4248" spans="1:33">
      <c r="A4248" t="s">
        <v>15635</v>
      </c>
      <c r="B4248" t="s">
        <v>15636</v>
      </c>
      <c r="D4248" t="s">
        <v>40</v>
      </c>
      <c r="E4248" t="s">
        <v>41</v>
      </c>
      <c r="J4248" t="s">
        <v>86</v>
      </c>
      <c r="K4248" t="s">
        <v>87</v>
      </c>
      <c r="L4248">
        <v>3</v>
      </c>
      <c r="M4248" t="s">
        <v>15637</v>
      </c>
      <c r="N4248" t="s">
        <v>13978</v>
      </c>
      <c r="O4248" t="s">
        <v>47</v>
      </c>
      <c r="P4248" t="s">
        <v>47</v>
      </c>
      <c r="Y4248" t="s">
        <v>15638</v>
      </c>
      <c r="AG4248" t="s">
        <v>48</v>
      </c>
    </row>
    <row r="4249" spans="1:33">
      <c r="A4249" t="s">
        <v>15639</v>
      </c>
      <c r="B4249" t="s">
        <v>15640</v>
      </c>
      <c r="D4249" t="s">
        <v>40</v>
      </c>
      <c r="E4249" t="s">
        <v>41</v>
      </c>
      <c r="J4249" t="s">
        <v>14337</v>
      </c>
      <c r="K4249" t="s">
        <v>14338</v>
      </c>
      <c r="L4249">
        <v>18</v>
      </c>
      <c r="M4249" t="s">
        <v>15641</v>
      </c>
      <c r="N4249" t="s">
        <v>192</v>
      </c>
      <c r="O4249" t="s">
        <v>47</v>
      </c>
      <c r="P4249" t="s">
        <v>47</v>
      </c>
      <c r="Y4249" t="s">
        <v>15642</v>
      </c>
      <c r="AG4249" t="s">
        <v>48</v>
      </c>
    </row>
    <row r="4250" spans="1:33">
      <c r="A4250" t="s">
        <v>15643</v>
      </c>
      <c r="B4250" t="s">
        <v>15644</v>
      </c>
      <c r="D4250" t="s">
        <v>40</v>
      </c>
      <c r="E4250" t="s">
        <v>41</v>
      </c>
      <c r="J4250" t="s">
        <v>86</v>
      </c>
      <c r="K4250" t="s">
        <v>87</v>
      </c>
      <c r="L4250">
        <v>3</v>
      </c>
      <c r="M4250" t="s">
        <v>15645</v>
      </c>
      <c r="N4250" t="s">
        <v>14059</v>
      </c>
      <c r="O4250" t="s">
        <v>47</v>
      </c>
      <c r="P4250" t="s">
        <v>47</v>
      </c>
      <c r="Y4250" t="s">
        <v>15646</v>
      </c>
      <c r="AG4250" t="s">
        <v>48</v>
      </c>
    </row>
    <row r="4251" spans="1:33">
      <c r="A4251" t="s">
        <v>15647</v>
      </c>
      <c r="B4251" t="s">
        <v>15648</v>
      </c>
      <c r="D4251" t="s">
        <v>40</v>
      </c>
      <c r="E4251" t="s">
        <v>41</v>
      </c>
      <c r="J4251" t="s">
        <v>43</v>
      </c>
      <c r="K4251" t="s">
        <v>44</v>
      </c>
      <c r="L4251">
        <v>3</v>
      </c>
      <c r="M4251" t="s">
        <v>15649</v>
      </c>
      <c r="N4251" t="s">
        <v>218</v>
      </c>
      <c r="O4251" t="s">
        <v>47</v>
      </c>
      <c r="P4251" t="s">
        <v>47</v>
      </c>
      <c r="Y4251" t="s">
        <v>15650</v>
      </c>
      <c r="AG4251" t="s">
        <v>48</v>
      </c>
    </row>
    <row r="4252" spans="1:33">
      <c r="A4252" t="s">
        <v>15651</v>
      </c>
      <c r="B4252" t="s">
        <v>15652</v>
      </c>
      <c r="D4252" t="s">
        <v>40</v>
      </c>
      <c r="E4252" t="s">
        <v>41</v>
      </c>
      <c r="J4252" t="s">
        <v>14337</v>
      </c>
      <c r="K4252" t="s">
        <v>14338</v>
      </c>
      <c r="L4252">
        <v>3</v>
      </c>
      <c r="M4252" t="s">
        <v>15653</v>
      </c>
      <c r="N4252" t="s">
        <v>14011</v>
      </c>
      <c r="O4252" t="s">
        <v>47</v>
      </c>
      <c r="P4252" t="s">
        <v>47</v>
      </c>
      <c r="Y4252" t="s">
        <v>15654</v>
      </c>
      <c r="AG4252" t="s">
        <v>48</v>
      </c>
    </row>
    <row r="4253" spans="1:33">
      <c r="A4253" t="s">
        <v>15655</v>
      </c>
      <c r="B4253" t="s">
        <v>15656</v>
      </c>
      <c r="D4253" t="s">
        <v>40</v>
      </c>
      <c r="E4253" t="s">
        <v>41</v>
      </c>
      <c r="J4253" t="s">
        <v>43</v>
      </c>
      <c r="K4253" t="s">
        <v>44</v>
      </c>
      <c r="L4253">
        <v>3</v>
      </c>
      <c r="M4253" t="s">
        <v>15657</v>
      </c>
      <c r="N4253" t="s">
        <v>13978</v>
      </c>
      <c r="O4253" t="s">
        <v>47</v>
      </c>
      <c r="P4253" t="s">
        <v>47</v>
      </c>
      <c r="Y4253" t="s">
        <v>15658</v>
      </c>
      <c r="AG4253" t="s">
        <v>48</v>
      </c>
    </row>
    <row r="4254" spans="1:33">
      <c r="A4254" t="s">
        <v>15659</v>
      </c>
      <c r="B4254" t="s">
        <v>15660</v>
      </c>
      <c r="D4254" t="s">
        <v>40</v>
      </c>
      <c r="E4254" t="s">
        <v>41</v>
      </c>
      <c r="J4254" t="s">
        <v>3472</v>
      </c>
      <c r="K4254" t="s">
        <v>3473</v>
      </c>
      <c r="L4254">
        <v>3</v>
      </c>
      <c r="M4254" t="s">
        <v>15661</v>
      </c>
      <c r="N4254" t="s">
        <v>14011</v>
      </c>
      <c r="O4254" t="s">
        <v>47</v>
      </c>
      <c r="P4254" t="s">
        <v>47</v>
      </c>
      <c r="Y4254" t="s">
        <v>15662</v>
      </c>
      <c r="AG4254" t="s">
        <v>48</v>
      </c>
    </row>
    <row r="4255" spans="1:33">
      <c r="A4255" t="s">
        <v>15663</v>
      </c>
      <c r="B4255" t="s">
        <v>15664</v>
      </c>
      <c r="D4255" t="s">
        <v>40</v>
      </c>
      <c r="E4255" t="s">
        <v>41</v>
      </c>
      <c r="J4255" t="s">
        <v>3472</v>
      </c>
      <c r="K4255" t="s">
        <v>3473</v>
      </c>
      <c r="L4255">
        <v>3</v>
      </c>
      <c r="M4255" t="s">
        <v>15665</v>
      </c>
      <c r="N4255" t="s">
        <v>14011</v>
      </c>
      <c r="O4255" t="s">
        <v>47</v>
      </c>
      <c r="P4255" t="s">
        <v>47</v>
      </c>
      <c r="Y4255" t="s">
        <v>15666</v>
      </c>
      <c r="AG4255" t="s">
        <v>48</v>
      </c>
    </row>
    <row r="4256" spans="1:33">
      <c r="A4256" t="s">
        <v>15667</v>
      </c>
      <c r="B4256" t="s">
        <v>15668</v>
      </c>
      <c r="D4256" t="s">
        <v>40</v>
      </c>
      <c r="E4256" t="s">
        <v>41</v>
      </c>
      <c r="J4256" t="s">
        <v>1418</v>
      </c>
      <c r="K4256" t="s">
        <v>1419</v>
      </c>
      <c r="L4256">
        <v>3</v>
      </c>
      <c r="M4256" t="s">
        <v>15669</v>
      </c>
      <c r="N4256" t="s">
        <v>14059</v>
      </c>
      <c r="O4256" t="s">
        <v>47</v>
      </c>
      <c r="P4256" t="s">
        <v>47</v>
      </c>
      <c r="Y4256" t="s">
        <v>15670</v>
      </c>
      <c r="AG4256" t="s">
        <v>48</v>
      </c>
    </row>
    <row r="4257" spans="1:33">
      <c r="A4257" t="s">
        <v>15671</v>
      </c>
      <c r="B4257" t="s">
        <v>15672</v>
      </c>
      <c r="D4257" t="s">
        <v>40</v>
      </c>
      <c r="E4257" t="s">
        <v>41</v>
      </c>
      <c r="J4257" t="s">
        <v>13514</v>
      </c>
      <c r="K4257" t="s">
        <v>13515</v>
      </c>
      <c r="L4257">
        <v>4</v>
      </c>
      <c r="M4257" t="s">
        <v>15673</v>
      </c>
      <c r="N4257" t="s">
        <v>14059</v>
      </c>
      <c r="O4257" t="s">
        <v>47</v>
      </c>
      <c r="P4257" t="s">
        <v>47</v>
      </c>
      <c r="Y4257" t="s">
        <v>15674</v>
      </c>
      <c r="AG4257" t="s">
        <v>48</v>
      </c>
    </row>
    <row r="4258" spans="1:33">
      <c r="A4258" t="s">
        <v>15675</v>
      </c>
      <c r="B4258" t="s">
        <v>15676</v>
      </c>
      <c r="D4258" t="s">
        <v>40</v>
      </c>
      <c r="E4258" t="s">
        <v>41</v>
      </c>
      <c r="J4258" t="s">
        <v>3472</v>
      </c>
      <c r="K4258" t="s">
        <v>3473</v>
      </c>
      <c r="L4258">
        <v>3</v>
      </c>
      <c r="M4258" t="s">
        <v>15677</v>
      </c>
      <c r="N4258" t="s">
        <v>14011</v>
      </c>
      <c r="O4258" t="s">
        <v>47</v>
      </c>
      <c r="P4258" t="s">
        <v>47</v>
      </c>
      <c r="Y4258" t="s">
        <v>15678</v>
      </c>
      <c r="AG4258" t="s">
        <v>48</v>
      </c>
    </row>
    <row r="4259" spans="1:33">
      <c r="A4259" t="s">
        <v>15679</v>
      </c>
      <c r="B4259" t="s">
        <v>15680</v>
      </c>
      <c r="D4259" t="s">
        <v>40</v>
      </c>
      <c r="E4259" t="s">
        <v>41</v>
      </c>
      <c r="J4259" t="s">
        <v>86</v>
      </c>
      <c r="K4259" t="s">
        <v>87</v>
      </c>
      <c r="L4259">
        <v>3</v>
      </c>
      <c r="M4259" t="s">
        <v>15681</v>
      </c>
      <c r="N4259" t="s">
        <v>14059</v>
      </c>
      <c r="O4259" t="s">
        <v>47</v>
      </c>
      <c r="P4259" t="s">
        <v>47</v>
      </c>
      <c r="Y4259" t="s">
        <v>15682</v>
      </c>
      <c r="AG4259" t="s">
        <v>48</v>
      </c>
    </row>
    <row r="4260" spans="1:33">
      <c r="A4260" t="s">
        <v>15683</v>
      </c>
      <c r="B4260" t="s">
        <v>15684</v>
      </c>
      <c r="D4260" t="s">
        <v>40</v>
      </c>
      <c r="E4260" t="s">
        <v>41</v>
      </c>
      <c r="J4260" t="s">
        <v>86</v>
      </c>
      <c r="K4260" t="s">
        <v>87</v>
      </c>
      <c r="L4260">
        <v>3</v>
      </c>
      <c r="M4260" t="s">
        <v>15685</v>
      </c>
      <c r="N4260" t="s">
        <v>13978</v>
      </c>
      <c r="O4260" t="s">
        <v>47</v>
      </c>
      <c r="P4260" t="s">
        <v>47</v>
      </c>
      <c r="Y4260" t="s">
        <v>15686</v>
      </c>
      <c r="AG4260" t="s">
        <v>48</v>
      </c>
    </row>
    <row r="4261" spans="1:33">
      <c r="A4261" t="s">
        <v>15687</v>
      </c>
      <c r="B4261" t="s">
        <v>15688</v>
      </c>
      <c r="D4261" t="s">
        <v>40</v>
      </c>
      <c r="E4261" t="s">
        <v>41</v>
      </c>
      <c r="J4261" t="s">
        <v>86</v>
      </c>
      <c r="K4261" t="s">
        <v>87</v>
      </c>
      <c r="L4261">
        <v>3</v>
      </c>
      <c r="M4261" t="s">
        <v>15689</v>
      </c>
      <c r="N4261" t="s">
        <v>13978</v>
      </c>
      <c r="O4261" t="s">
        <v>47</v>
      </c>
      <c r="P4261" t="s">
        <v>47</v>
      </c>
      <c r="Y4261" t="s">
        <v>15690</v>
      </c>
      <c r="AG4261" t="s">
        <v>48</v>
      </c>
    </row>
    <row r="4262" spans="1:33">
      <c r="A4262" t="s">
        <v>15691</v>
      </c>
      <c r="B4262" t="s">
        <v>15692</v>
      </c>
      <c r="D4262" t="s">
        <v>40</v>
      </c>
      <c r="E4262" t="s">
        <v>41</v>
      </c>
      <c r="J4262" t="s">
        <v>1418</v>
      </c>
      <c r="K4262" t="s">
        <v>1419</v>
      </c>
      <c r="L4262">
        <v>3</v>
      </c>
      <c r="M4262" t="s">
        <v>15693</v>
      </c>
      <c r="N4262" t="s">
        <v>14059</v>
      </c>
      <c r="O4262" t="s">
        <v>47</v>
      </c>
      <c r="P4262" t="s">
        <v>47</v>
      </c>
      <c r="Y4262" t="s">
        <v>15694</v>
      </c>
      <c r="AG4262" t="s">
        <v>48</v>
      </c>
    </row>
    <row r="4263" spans="1:33">
      <c r="A4263" t="s">
        <v>117</v>
      </c>
      <c r="B4263" t="s">
        <v>15695</v>
      </c>
      <c r="D4263" t="s">
        <v>40</v>
      </c>
      <c r="E4263" t="s">
        <v>41</v>
      </c>
      <c r="J4263" t="s">
        <v>86</v>
      </c>
      <c r="K4263" t="s">
        <v>87</v>
      </c>
      <c r="L4263">
        <v>3</v>
      </c>
      <c r="M4263" t="s">
        <v>15696</v>
      </c>
      <c r="N4263" t="s">
        <v>14059</v>
      </c>
      <c r="O4263" t="s">
        <v>47</v>
      </c>
      <c r="P4263" t="s">
        <v>47</v>
      </c>
      <c r="Y4263" t="s">
        <v>15697</v>
      </c>
      <c r="AG4263" t="s">
        <v>48</v>
      </c>
    </row>
    <row r="4264" spans="1:33">
      <c r="A4264" t="s">
        <v>15698</v>
      </c>
      <c r="B4264" t="s">
        <v>15699</v>
      </c>
      <c r="D4264" t="s">
        <v>40</v>
      </c>
      <c r="E4264" t="s">
        <v>41</v>
      </c>
      <c r="J4264" t="s">
        <v>123</v>
      </c>
      <c r="K4264" t="s">
        <v>124</v>
      </c>
      <c r="L4264">
        <v>5</v>
      </c>
      <c r="M4264" t="s">
        <v>15700</v>
      </c>
      <c r="N4264" t="s">
        <v>14024</v>
      </c>
      <c r="O4264" t="s">
        <v>47</v>
      </c>
      <c r="P4264" t="s">
        <v>47</v>
      </c>
      <c r="Y4264" t="s">
        <v>15701</v>
      </c>
      <c r="AG4264" t="s">
        <v>48</v>
      </c>
    </row>
    <row r="4265" spans="1:33">
      <c r="A4265" t="s">
        <v>15702</v>
      </c>
      <c r="B4265" t="s">
        <v>15703</v>
      </c>
      <c r="D4265" t="s">
        <v>40</v>
      </c>
      <c r="E4265" t="s">
        <v>41</v>
      </c>
      <c r="J4265" t="s">
        <v>14204</v>
      </c>
      <c r="K4265" t="s">
        <v>14205</v>
      </c>
      <c r="L4265">
        <v>3</v>
      </c>
      <c r="M4265" t="s">
        <v>15704</v>
      </c>
      <c r="N4265" t="s">
        <v>14340</v>
      </c>
      <c r="O4265" t="s">
        <v>47</v>
      </c>
      <c r="P4265" t="s">
        <v>47</v>
      </c>
      <c r="Y4265" t="s">
        <v>15705</v>
      </c>
      <c r="AG4265" t="s">
        <v>48</v>
      </c>
    </row>
    <row r="4266" spans="1:33">
      <c r="A4266" t="s">
        <v>15706</v>
      </c>
      <c r="B4266" t="s">
        <v>15707</v>
      </c>
      <c r="D4266" t="s">
        <v>40</v>
      </c>
      <c r="E4266" t="s">
        <v>41</v>
      </c>
      <c r="J4266" t="s">
        <v>43</v>
      </c>
      <c r="K4266" t="s">
        <v>44</v>
      </c>
      <c r="L4266">
        <v>3</v>
      </c>
      <c r="M4266" t="s">
        <v>15708</v>
      </c>
      <c r="N4266" t="s">
        <v>192</v>
      </c>
      <c r="O4266" t="s">
        <v>47</v>
      </c>
      <c r="P4266" t="s">
        <v>47</v>
      </c>
      <c r="Y4266" t="s">
        <v>15709</v>
      </c>
      <c r="AG4266" t="s">
        <v>48</v>
      </c>
    </row>
    <row r="4267" spans="1:33">
      <c r="A4267" t="s">
        <v>15710</v>
      </c>
      <c r="B4267" t="s">
        <v>15711</v>
      </c>
      <c r="D4267" t="s">
        <v>40</v>
      </c>
      <c r="E4267" t="s">
        <v>41</v>
      </c>
      <c r="J4267" t="s">
        <v>43</v>
      </c>
      <c r="K4267" t="s">
        <v>44</v>
      </c>
      <c r="L4267">
        <v>3</v>
      </c>
      <c r="M4267" t="s">
        <v>15712</v>
      </c>
      <c r="N4267" t="s">
        <v>218</v>
      </c>
      <c r="O4267" t="s">
        <v>47</v>
      </c>
      <c r="P4267" t="s">
        <v>47</v>
      </c>
      <c r="Y4267" t="s">
        <v>15713</v>
      </c>
      <c r="AG4267" t="s">
        <v>48</v>
      </c>
    </row>
    <row r="4268" spans="1:33">
      <c r="A4268" t="s">
        <v>15714</v>
      </c>
      <c r="B4268" t="s">
        <v>15715</v>
      </c>
      <c r="D4268" t="s">
        <v>40</v>
      </c>
      <c r="E4268" t="s">
        <v>41</v>
      </c>
      <c r="J4268" t="s">
        <v>13514</v>
      </c>
      <c r="K4268" t="s">
        <v>13515</v>
      </c>
      <c r="L4268">
        <v>4</v>
      </c>
      <c r="M4268" t="s">
        <v>15712</v>
      </c>
      <c r="N4268" t="s">
        <v>59</v>
      </c>
      <c r="O4268" t="s">
        <v>47</v>
      </c>
      <c r="P4268" t="s">
        <v>47</v>
      </c>
      <c r="Y4268" t="s">
        <v>15716</v>
      </c>
      <c r="AG4268" t="s">
        <v>48</v>
      </c>
    </row>
    <row r="4269" spans="1:33">
      <c r="A4269" t="s">
        <v>15717</v>
      </c>
      <c r="B4269" t="s">
        <v>15718</v>
      </c>
      <c r="D4269" t="s">
        <v>40</v>
      </c>
      <c r="E4269" t="s">
        <v>41</v>
      </c>
      <c r="J4269" t="s">
        <v>1418</v>
      </c>
      <c r="K4269" t="s">
        <v>1419</v>
      </c>
      <c r="L4269">
        <v>3</v>
      </c>
      <c r="M4269" t="s">
        <v>15719</v>
      </c>
      <c r="N4269" t="s">
        <v>14059</v>
      </c>
      <c r="O4269" t="s">
        <v>47</v>
      </c>
      <c r="P4269" t="s">
        <v>47</v>
      </c>
      <c r="Y4269" t="s">
        <v>15720</v>
      </c>
      <c r="AG4269" t="s">
        <v>48</v>
      </c>
    </row>
    <row r="4270" spans="1:33">
      <c r="A4270" t="s">
        <v>15721</v>
      </c>
      <c r="B4270" t="s">
        <v>15722</v>
      </c>
      <c r="D4270" t="s">
        <v>40</v>
      </c>
      <c r="E4270" t="s">
        <v>41</v>
      </c>
      <c r="J4270" t="s">
        <v>86</v>
      </c>
      <c r="K4270" t="s">
        <v>87</v>
      </c>
      <c r="L4270">
        <v>4</v>
      </c>
      <c r="M4270" t="s">
        <v>15723</v>
      </c>
      <c r="N4270" t="s">
        <v>14059</v>
      </c>
      <c r="O4270" t="s">
        <v>47</v>
      </c>
      <c r="P4270" t="s">
        <v>47</v>
      </c>
      <c r="Y4270" t="s">
        <v>15724</v>
      </c>
      <c r="AG4270" t="s">
        <v>48</v>
      </c>
    </row>
    <row r="4271" spans="1:33">
      <c r="A4271" t="s">
        <v>15725</v>
      </c>
      <c r="B4271" t="s">
        <v>15726</v>
      </c>
      <c r="D4271" t="s">
        <v>40</v>
      </c>
      <c r="E4271" t="s">
        <v>41</v>
      </c>
      <c r="J4271" t="s">
        <v>86</v>
      </c>
      <c r="K4271" t="s">
        <v>87</v>
      </c>
      <c r="L4271">
        <v>3</v>
      </c>
      <c r="M4271" t="s">
        <v>15727</v>
      </c>
      <c r="N4271" t="s">
        <v>14024</v>
      </c>
      <c r="O4271" t="s">
        <v>47</v>
      </c>
      <c r="P4271" t="s">
        <v>47</v>
      </c>
      <c r="Y4271" t="s">
        <v>15728</v>
      </c>
      <c r="AG4271" t="s">
        <v>48</v>
      </c>
    </row>
    <row r="4272" spans="1:33">
      <c r="A4272" t="s">
        <v>15729</v>
      </c>
      <c r="B4272" t="s">
        <v>15730</v>
      </c>
      <c r="D4272" t="s">
        <v>40</v>
      </c>
      <c r="E4272" t="s">
        <v>41</v>
      </c>
      <c r="J4272" t="s">
        <v>1418</v>
      </c>
      <c r="K4272" t="s">
        <v>1419</v>
      </c>
      <c r="L4272">
        <v>3</v>
      </c>
      <c r="M4272" t="s">
        <v>15731</v>
      </c>
      <c r="N4272" t="s">
        <v>13978</v>
      </c>
      <c r="O4272" t="s">
        <v>47</v>
      </c>
      <c r="P4272" t="s">
        <v>47</v>
      </c>
      <c r="Y4272" t="s">
        <v>15732</v>
      </c>
      <c r="AG4272" t="s">
        <v>48</v>
      </c>
    </row>
    <row r="4273" spans="1:33">
      <c r="A4273" t="s">
        <v>15733</v>
      </c>
      <c r="B4273" t="s">
        <v>15734</v>
      </c>
      <c r="D4273" t="s">
        <v>40</v>
      </c>
      <c r="E4273" t="s">
        <v>41</v>
      </c>
      <c r="J4273" t="s">
        <v>3472</v>
      </c>
      <c r="K4273" t="s">
        <v>3473</v>
      </c>
      <c r="L4273">
        <v>3</v>
      </c>
      <c r="M4273" t="s">
        <v>15735</v>
      </c>
      <c r="N4273" t="s">
        <v>14024</v>
      </c>
      <c r="O4273" t="s">
        <v>47</v>
      </c>
      <c r="P4273" t="s">
        <v>47</v>
      </c>
      <c r="Y4273" t="s">
        <v>15736</v>
      </c>
      <c r="AG4273" t="s">
        <v>48</v>
      </c>
    </row>
    <row r="4274" spans="1:33">
      <c r="A4274" t="s">
        <v>15737</v>
      </c>
      <c r="B4274" t="s">
        <v>15738</v>
      </c>
      <c r="D4274" t="s">
        <v>40</v>
      </c>
      <c r="E4274" t="s">
        <v>41</v>
      </c>
      <c r="J4274" t="s">
        <v>14204</v>
      </c>
      <c r="K4274" t="s">
        <v>14205</v>
      </c>
      <c r="L4274">
        <v>3</v>
      </c>
      <c r="M4274" t="s">
        <v>15739</v>
      </c>
      <c r="N4274" t="s">
        <v>218</v>
      </c>
      <c r="O4274" t="s">
        <v>47</v>
      </c>
      <c r="P4274" t="s">
        <v>47</v>
      </c>
      <c r="Y4274" t="s">
        <v>15740</v>
      </c>
      <c r="AG4274" t="s">
        <v>48</v>
      </c>
    </row>
    <row r="4275" spans="1:33">
      <c r="A4275" t="s">
        <v>15741</v>
      </c>
      <c r="B4275" t="s">
        <v>15742</v>
      </c>
      <c r="D4275" t="s">
        <v>40</v>
      </c>
      <c r="E4275" t="s">
        <v>41</v>
      </c>
      <c r="J4275" t="s">
        <v>43</v>
      </c>
      <c r="K4275" t="s">
        <v>44</v>
      </c>
      <c r="L4275">
        <v>3</v>
      </c>
      <c r="M4275" t="s">
        <v>15743</v>
      </c>
      <c r="N4275" t="s">
        <v>14340</v>
      </c>
      <c r="O4275" t="s">
        <v>47</v>
      </c>
      <c r="P4275" t="s">
        <v>47</v>
      </c>
      <c r="Y4275" t="s">
        <v>15744</v>
      </c>
      <c r="AG4275" t="s">
        <v>48</v>
      </c>
    </row>
    <row r="4276" spans="1:33">
      <c r="A4276" t="s">
        <v>15745</v>
      </c>
      <c r="B4276" t="s">
        <v>15746</v>
      </c>
      <c r="D4276" t="s">
        <v>40</v>
      </c>
      <c r="E4276" t="s">
        <v>41</v>
      </c>
      <c r="J4276" t="s">
        <v>1052</v>
      </c>
      <c r="K4276" t="s">
        <v>1053</v>
      </c>
      <c r="L4276">
        <v>3</v>
      </c>
      <c r="M4276" t="s">
        <v>15747</v>
      </c>
      <c r="N4276" t="s">
        <v>13978</v>
      </c>
      <c r="O4276" t="s">
        <v>47</v>
      </c>
      <c r="P4276" t="s">
        <v>47</v>
      </c>
      <c r="Y4276" t="s">
        <v>15748</v>
      </c>
      <c r="AG4276" t="s">
        <v>48</v>
      </c>
    </row>
    <row r="4277" spans="1:33">
      <c r="A4277" t="s">
        <v>15749</v>
      </c>
      <c r="B4277" t="s">
        <v>15750</v>
      </c>
      <c r="D4277" t="s">
        <v>40</v>
      </c>
      <c r="E4277" t="s">
        <v>41</v>
      </c>
      <c r="J4277" t="s">
        <v>13514</v>
      </c>
      <c r="K4277" t="s">
        <v>13515</v>
      </c>
      <c r="L4277">
        <v>5</v>
      </c>
      <c r="M4277" t="s">
        <v>15751</v>
      </c>
      <c r="N4277" t="s">
        <v>14024</v>
      </c>
      <c r="O4277" t="s">
        <v>47</v>
      </c>
      <c r="P4277" t="s">
        <v>47</v>
      </c>
      <c r="Y4277" t="s">
        <v>15752</v>
      </c>
      <c r="AG4277" t="s">
        <v>48</v>
      </c>
    </row>
    <row r="4278" spans="1:33">
      <c r="A4278" t="s">
        <v>15753</v>
      </c>
      <c r="B4278" t="s">
        <v>15754</v>
      </c>
      <c r="D4278" t="s">
        <v>40</v>
      </c>
      <c r="E4278" t="s">
        <v>41</v>
      </c>
      <c r="J4278" t="s">
        <v>86</v>
      </c>
      <c r="K4278" t="s">
        <v>87</v>
      </c>
      <c r="L4278">
        <v>3</v>
      </c>
      <c r="M4278" t="s">
        <v>15755</v>
      </c>
      <c r="N4278" t="s">
        <v>13978</v>
      </c>
      <c r="O4278" t="s">
        <v>47</v>
      </c>
      <c r="P4278" t="s">
        <v>47</v>
      </c>
      <c r="Y4278" t="s">
        <v>15756</v>
      </c>
      <c r="AG4278" t="s">
        <v>48</v>
      </c>
    </row>
    <row r="4279" spans="1:33">
      <c r="A4279" t="s">
        <v>15757</v>
      </c>
      <c r="B4279" t="s">
        <v>15758</v>
      </c>
      <c r="D4279" t="s">
        <v>40</v>
      </c>
      <c r="E4279" t="s">
        <v>41</v>
      </c>
      <c r="J4279" t="s">
        <v>86</v>
      </c>
      <c r="K4279" t="s">
        <v>87</v>
      </c>
      <c r="L4279">
        <v>3</v>
      </c>
      <c r="M4279" t="s">
        <v>15759</v>
      </c>
      <c r="N4279" t="s">
        <v>14024</v>
      </c>
      <c r="O4279" t="s">
        <v>47</v>
      </c>
      <c r="P4279" t="s">
        <v>47</v>
      </c>
      <c r="Y4279" t="s">
        <v>15760</v>
      </c>
      <c r="AG4279" t="s">
        <v>48</v>
      </c>
    </row>
    <row r="4280" spans="1:33">
      <c r="A4280" t="s">
        <v>15761</v>
      </c>
      <c r="B4280" t="s">
        <v>15762</v>
      </c>
      <c r="D4280" t="s">
        <v>40</v>
      </c>
      <c r="E4280" t="s">
        <v>41</v>
      </c>
      <c r="J4280" t="s">
        <v>86</v>
      </c>
      <c r="K4280" t="s">
        <v>87</v>
      </c>
      <c r="L4280">
        <v>4</v>
      </c>
      <c r="M4280" t="s">
        <v>15763</v>
      </c>
      <c r="N4280" t="s">
        <v>13978</v>
      </c>
      <c r="O4280" t="s">
        <v>47</v>
      </c>
      <c r="P4280" t="s">
        <v>47</v>
      </c>
      <c r="Y4280" t="s">
        <v>15764</v>
      </c>
      <c r="AG4280" t="s">
        <v>48</v>
      </c>
    </row>
    <row r="4281" spans="1:33">
      <c r="A4281" t="s">
        <v>15765</v>
      </c>
      <c r="B4281" t="s">
        <v>15766</v>
      </c>
      <c r="D4281" t="s">
        <v>40</v>
      </c>
      <c r="E4281" t="s">
        <v>41</v>
      </c>
      <c r="J4281" t="s">
        <v>123</v>
      </c>
      <c r="K4281" t="s">
        <v>124</v>
      </c>
      <c r="L4281">
        <v>5</v>
      </c>
      <c r="M4281" t="s">
        <v>15767</v>
      </c>
      <c r="N4281" t="s">
        <v>14024</v>
      </c>
      <c r="O4281" t="s">
        <v>47</v>
      </c>
      <c r="P4281" t="s">
        <v>47</v>
      </c>
      <c r="Y4281" t="s">
        <v>15768</v>
      </c>
      <c r="AG4281" t="s">
        <v>48</v>
      </c>
    </row>
    <row r="4282" spans="1:33">
      <c r="A4282" t="s">
        <v>15769</v>
      </c>
      <c r="B4282" t="s">
        <v>15770</v>
      </c>
      <c r="D4282" t="s">
        <v>40</v>
      </c>
      <c r="E4282" t="s">
        <v>41</v>
      </c>
      <c r="J4282" t="s">
        <v>14337</v>
      </c>
      <c r="K4282" t="s">
        <v>14338</v>
      </c>
      <c r="L4282">
        <v>5</v>
      </c>
      <c r="M4282" t="s">
        <v>15771</v>
      </c>
      <c r="N4282" t="s">
        <v>14011</v>
      </c>
      <c r="O4282" t="s">
        <v>47</v>
      </c>
      <c r="P4282" t="s">
        <v>47</v>
      </c>
      <c r="Y4282" t="s">
        <v>15772</v>
      </c>
      <c r="AG4282" t="s">
        <v>48</v>
      </c>
    </row>
    <row r="4283" spans="1:33">
      <c r="A4283" t="s">
        <v>15773</v>
      </c>
      <c r="B4283" t="s">
        <v>15774</v>
      </c>
      <c r="D4283" t="s">
        <v>40</v>
      </c>
      <c r="E4283" t="s">
        <v>41</v>
      </c>
      <c r="J4283" t="s">
        <v>43</v>
      </c>
      <c r="K4283" t="s">
        <v>44</v>
      </c>
      <c r="L4283">
        <v>3</v>
      </c>
      <c r="M4283" t="s">
        <v>15775</v>
      </c>
      <c r="N4283" t="s">
        <v>192</v>
      </c>
      <c r="O4283" t="s">
        <v>47</v>
      </c>
      <c r="P4283" t="s">
        <v>47</v>
      </c>
      <c r="Y4283" t="s">
        <v>15776</v>
      </c>
      <c r="AG4283" t="s">
        <v>48</v>
      </c>
    </row>
    <row r="4284" spans="1:33">
      <c r="A4284" t="s">
        <v>15777</v>
      </c>
      <c r="B4284" t="s">
        <v>15778</v>
      </c>
      <c r="D4284" t="s">
        <v>40</v>
      </c>
      <c r="E4284" t="s">
        <v>41</v>
      </c>
      <c r="J4284" t="s">
        <v>123</v>
      </c>
      <c r="K4284" t="s">
        <v>124</v>
      </c>
      <c r="L4284">
        <v>8</v>
      </c>
      <c r="M4284" t="s">
        <v>15779</v>
      </c>
      <c r="N4284" t="s">
        <v>14011</v>
      </c>
      <c r="O4284" t="s">
        <v>47</v>
      </c>
      <c r="P4284" t="s">
        <v>47</v>
      </c>
      <c r="Y4284" t="s">
        <v>15780</v>
      </c>
      <c r="AG4284" t="s">
        <v>48</v>
      </c>
    </row>
    <row r="4285" spans="1:33">
      <c r="A4285" t="s">
        <v>15781</v>
      </c>
      <c r="B4285" t="s">
        <v>15782</v>
      </c>
      <c r="D4285" t="s">
        <v>40</v>
      </c>
      <c r="E4285" t="s">
        <v>41</v>
      </c>
      <c r="J4285" t="s">
        <v>86</v>
      </c>
      <c r="K4285" t="s">
        <v>87</v>
      </c>
      <c r="L4285">
        <v>3</v>
      </c>
      <c r="M4285" t="s">
        <v>15783</v>
      </c>
      <c r="N4285" t="s">
        <v>14024</v>
      </c>
      <c r="O4285" t="s">
        <v>47</v>
      </c>
      <c r="P4285" t="s">
        <v>47</v>
      </c>
      <c r="Y4285" t="s">
        <v>15784</v>
      </c>
      <c r="AG4285" t="s">
        <v>48</v>
      </c>
    </row>
    <row r="4286" spans="1:33">
      <c r="A4286" t="s">
        <v>15785</v>
      </c>
      <c r="B4286" t="s">
        <v>15786</v>
      </c>
      <c r="D4286" t="s">
        <v>40</v>
      </c>
      <c r="E4286" t="s">
        <v>41</v>
      </c>
      <c r="J4286" t="s">
        <v>43</v>
      </c>
      <c r="K4286" t="s">
        <v>44</v>
      </c>
      <c r="L4286">
        <v>3</v>
      </c>
      <c r="M4286" t="s">
        <v>15787</v>
      </c>
      <c r="N4286" t="s">
        <v>14059</v>
      </c>
      <c r="O4286" t="s">
        <v>47</v>
      </c>
      <c r="P4286" t="s">
        <v>47</v>
      </c>
      <c r="Y4286" t="s">
        <v>15788</v>
      </c>
      <c r="AG4286" t="s">
        <v>48</v>
      </c>
    </row>
    <row r="4287" spans="1:33">
      <c r="A4287" t="s">
        <v>15789</v>
      </c>
      <c r="B4287" t="s">
        <v>15790</v>
      </c>
      <c r="D4287" t="s">
        <v>40</v>
      </c>
      <c r="E4287" t="s">
        <v>41</v>
      </c>
      <c r="J4287" t="s">
        <v>86</v>
      </c>
      <c r="K4287" t="s">
        <v>87</v>
      </c>
      <c r="L4287">
        <v>3</v>
      </c>
      <c r="M4287" t="s">
        <v>15791</v>
      </c>
      <c r="N4287" t="s">
        <v>13978</v>
      </c>
      <c r="O4287" t="s">
        <v>47</v>
      </c>
      <c r="P4287" t="s">
        <v>47</v>
      </c>
      <c r="Y4287" t="s">
        <v>15792</v>
      </c>
      <c r="AG4287" t="s">
        <v>48</v>
      </c>
    </row>
    <row r="4288" spans="1:33">
      <c r="A4288" t="s">
        <v>117</v>
      </c>
      <c r="B4288" t="s">
        <v>15793</v>
      </c>
      <c r="D4288" t="s">
        <v>40</v>
      </c>
      <c r="E4288" t="s">
        <v>41</v>
      </c>
      <c r="J4288" t="s">
        <v>1052</v>
      </c>
      <c r="K4288" t="s">
        <v>1053</v>
      </c>
      <c r="L4288">
        <v>3</v>
      </c>
      <c r="M4288" t="s">
        <v>15794</v>
      </c>
      <c r="N4288" t="s">
        <v>192</v>
      </c>
      <c r="O4288" t="s">
        <v>47</v>
      </c>
      <c r="P4288" t="s">
        <v>47</v>
      </c>
      <c r="Y4288" t="s">
        <v>15795</v>
      </c>
      <c r="AG4288" t="s">
        <v>48</v>
      </c>
    </row>
    <row r="4289" spans="1:33">
      <c r="A4289" t="s">
        <v>15796</v>
      </c>
      <c r="B4289" t="s">
        <v>15797</v>
      </c>
      <c r="D4289" t="s">
        <v>40</v>
      </c>
      <c r="E4289" t="s">
        <v>41</v>
      </c>
      <c r="J4289" t="s">
        <v>86</v>
      </c>
      <c r="K4289" t="s">
        <v>87</v>
      </c>
      <c r="L4289">
        <v>3</v>
      </c>
      <c r="M4289" t="s">
        <v>15798</v>
      </c>
      <c r="N4289" t="s">
        <v>14011</v>
      </c>
      <c r="O4289" t="s">
        <v>47</v>
      </c>
      <c r="P4289" t="s">
        <v>47</v>
      </c>
      <c r="Y4289" t="s">
        <v>15799</v>
      </c>
      <c r="AG4289" t="s">
        <v>48</v>
      </c>
    </row>
    <row r="4290" spans="1:33">
      <c r="A4290" t="s">
        <v>15800</v>
      </c>
      <c r="B4290" t="s">
        <v>15801</v>
      </c>
      <c r="D4290" t="s">
        <v>40</v>
      </c>
      <c r="E4290" t="s">
        <v>41</v>
      </c>
      <c r="J4290" t="s">
        <v>4737</v>
      </c>
      <c r="K4290" t="s">
        <v>4738</v>
      </c>
      <c r="L4290">
        <v>3</v>
      </c>
      <c r="M4290" t="s">
        <v>15802</v>
      </c>
      <c r="N4290" t="s">
        <v>13978</v>
      </c>
      <c r="O4290" t="s">
        <v>47</v>
      </c>
      <c r="P4290" t="s">
        <v>47</v>
      </c>
      <c r="Y4290" t="s">
        <v>15803</v>
      </c>
      <c r="AG4290" t="s">
        <v>48</v>
      </c>
    </row>
    <row r="4291" spans="1:33">
      <c r="A4291" t="s">
        <v>15804</v>
      </c>
      <c r="B4291" t="s">
        <v>15805</v>
      </c>
      <c r="D4291" t="s">
        <v>40</v>
      </c>
      <c r="E4291" t="s">
        <v>41</v>
      </c>
      <c r="J4291" t="s">
        <v>86</v>
      </c>
      <c r="K4291" t="s">
        <v>87</v>
      </c>
      <c r="L4291">
        <v>2</v>
      </c>
      <c r="M4291" t="s">
        <v>15806</v>
      </c>
      <c r="N4291" t="s">
        <v>14059</v>
      </c>
      <c r="O4291" t="s">
        <v>47</v>
      </c>
      <c r="P4291" t="s">
        <v>47</v>
      </c>
      <c r="Y4291" t="s">
        <v>15807</v>
      </c>
      <c r="AG4291" t="s">
        <v>48</v>
      </c>
    </row>
    <row r="4292" spans="1:33">
      <c r="A4292" t="s">
        <v>15808</v>
      </c>
      <c r="B4292" t="s">
        <v>15809</v>
      </c>
      <c r="D4292" t="s">
        <v>40</v>
      </c>
      <c r="E4292" t="s">
        <v>41</v>
      </c>
      <c r="J4292" t="s">
        <v>1052</v>
      </c>
      <c r="K4292" t="s">
        <v>1053</v>
      </c>
      <c r="L4292">
        <v>10</v>
      </c>
      <c r="M4292" t="s">
        <v>15810</v>
      </c>
      <c r="N4292" t="s">
        <v>14024</v>
      </c>
      <c r="O4292" t="s">
        <v>47</v>
      </c>
      <c r="P4292" t="s">
        <v>47</v>
      </c>
      <c r="Y4292" t="s">
        <v>15811</v>
      </c>
      <c r="AG4292" t="s">
        <v>48</v>
      </c>
    </row>
    <row r="4293" spans="1:33">
      <c r="A4293" t="s">
        <v>15812</v>
      </c>
      <c r="B4293" t="s">
        <v>15813</v>
      </c>
      <c r="D4293" t="s">
        <v>40</v>
      </c>
      <c r="E4293" t="s">
        <v>41</v>
      </c>
      <c r="J4293" t="s">
        <v>86</v>
      </c>
      <c r="K4293" t="s">
        <v>87</v>
      </c>
      <c r="L4293">
        <v>2</v>
      </c>
      <c r="M4293" t="s">
        <v>15814</v>
      </c>
      <c r="N4293" t="s">
        <v>14059</v>
      </c>
      <c r="O4293" t="s">
        <v>47</v>
      </c>
      <c r="P4293" t="s">
        <v>47</v>
      </c>
      <c r="Y4293" t="s">
        <v>15815</v>
      </c>
      <c r="AG4293" t="s">
        <v>48</v>
      </c>
    </row>
    <row r="4294" spans="1:33">
      <c r="A4294" t="s">
        <v>15816</v>
      </c>
      <c r="B4294" t="s">
        <v>15817</v>
      </c>
      <c r="D4294" t="s">
        <v>40</v>
      </c>
      <c r="E4294" t="s">
        <v>41</v>
      </c>
      <c r="J4294" t="s">
        <v>43</v>
      </c>
      <c r="K4294" t="s">
        <v>44</v>
      </c>
      <c r="L4294">
        <v>2</v>
      </c>
      <c r="M4294" t="s">
        <v>15818</v>
      </c>
      <c r="N4294" t="s">
        <v>218</v>
      </c>
      <c r="O4294" t="s">
        <v>47</v>
      </c>
      <c r="P4294" t="s">
        <v>47</v>
      </c>
      <c r="Y4294" t="s">
        <v>15819</v>
      </c>
      <c r="AG4294" t="s">
        <v>48</v>
      </c>
    </row>
    <row r="4295" spans="1:33">
      <c r="A4295" t="s">
        <v>15820</v>
      </c>
      <c r="B4295" t="s">
        <v>15821</v>
      </c>
      <c r="D4295" t="s">
        <v>40</v>
      </c>
      <c r="E4295" t="s">
        <v>41</v>
      </c>
      <c r="J4295" t="s">
        <v>4737</v>
      </c>
      <c r="K4295" t="s">
        <v>4738</v>
      </c>
      <c r="L4295">
        <v>2</v>
      </c>
      <c r="M4295" t="s">
        <v>15822</v>
      </c>
      <c r="N4295" t="s">
        <v>14011</v>
      </c>
      <c r="O4295" t="s">
        <v>47</v>
      </c>
      <c r="P4295" t="s">
        <v>47</v>
      </c>
      <c r="Y4295" t="s">
        <v>15823</v>
      </c>
      <c r="AG4295" t="s">
        <v>48</v>
      </c>
    </row>
    <row r="4296" spans="1:33">
      <c r="A4296" t="s">
        <v>15824</v>
      </c>
      <c r="B4296" t="s">
        <v>15825</v>
      </c>
      <c r="D4296" t="s">
        <v>40</v>
      </c>
      <c r="E4296" t="s">
        <v>41</v>
      </c>
      <c r="J4296" t="s">
        <v>43</v>
      </c>
      <c r="K4296" t="s">
        <v>44</v>
      </c>
      <c r="L4296">
        <v>2</v>
      </c>
      <c r="M4296" t="s">
        <v>15826</v>
      </c>
      <c r="N4296" t="s">
        <v>13978</v>
      </c>
      <c r="O4296" t="s">
        <v>47</v>
      </c>
      <c r="P4296" t="s">
        <v>47</v>
      </c>
      <c r="Y4296" t="s">
        <v>15827</v>
      </c>
      <c r="AG4296" t="s">
        <v>48</v>
      </c>
    </row>
    <row r="4297" spans="1:33">
      <c r="A4297" t="s">
        <v>15828</v>
      </c>
      <c r="B4297" t="s">
        <v>15829</v>
      </c>
      <c r="D4297" t="s">
        <v>40</v>
      </c>
      <c r="E4297" t="s">
        <v>41</v>
      </c>
      <c r="J4297" t="s">
        <v>3472</v>
      </c>
      <c r="K4297" t="s">
        <v>3473</v>
      </c>
      <c r="L4297">
        <v>2</v>
      </c>
      <c r="M4297" t="s">
        <v>15830</v>
      </c>
      <c r="N4297" t="s">
        <v>14011</v>
      </c>
      <c r="O4297" t="s">
        <v>47</v>
      </c>
      <c r="P4297" t="s">
        <v>47</v>
      </c>
      <c r="Y4297" t="s">
        <v>15831</v>
      </c>
      <c r="AG4297" t="s">
        <v>48</v>
      </c>
    </row>
    <row r="4298" spans="1:33">
      <c r="A4298" t="s">
        <v>15832</v>
      </c>
      <c r="B4298" t="s">
        <v>15833</v>
      </c>
      <c r="D4298" t="s">
        <v>40</v>
      </c>
      <c r="E4298" t="s">
        <v>41</v>
      </c>
      <c r="J4298" t="s">
        <v>43</v>
      </c>
      <c r="K4298" t="s">
        <v>44</v>
      </c>
      <c r="L4298">
        <v>2</v>
      </c>
      <c r="M4298" t="s">
        <v>15834</v>
      </c>
      <c r="N4298" t="s">
        <v>192</v>
      </c>
      <c r="O4298" t="s">
        <v>47</v>
      </c>
      <c r="P4298" t="s">
        <v>47</v>
      </c>
      <c r="Y4298" t="s">
        <v>15835</v>
      </c>
      <c r="AG4298" t="s">
        <v>48</v>
      </c>
    </row>
    <row r="4299" spans="1:33">
      <c r="A4299" t="s">
        <v>15836</v>
      </c>
      <c r="B4299" t="s">
        <v>15837</v>
      </c>
      <c r="D4299" t="s">
        <v>40</v>
      </c>
      <c r="E4299" t="s">
        <v>41</v>
      </c>
      <c r="J4299" t="s">
        <v>86</v>
      </c>
      <c r="K4299" t="s">
        <v>87</v>
      </c>
      <c r="L4299">
        <v>2</v>
      </c>
      <c r="M4299" t="s">
        <v>15838</v>
      </c>
      <c r="N4299" t="s">
        <v>14024</v>
      </c>
      <c r="O4299" t="s">
        <v>47</v>
      </c>
      <c r="P4299" t="s">
        <v>47</v>
      </c>
      <c r="Y4299" t="s">
        <v>15839</v>
      </c>
      <c r="AG4299" t="s">
        <v>48</v>
      </c>
    </row>
    <row r="4300" spans="1:33">
      <c r="A4300" t="s">
        <v>15840</v>
      </c>
      <c r="B4300" t="s">
        <v>15841</v>
      </c>
      <c r="D4300" t="s">
        <v>40</v>
      </c>
      <c r="E4300" t="s">
        <v>41</v>
      </c>
      <c r="J4300" t="s">
        <v>86</v>
      </c>
      <c r="K4300" t="s">
        <v>87</v>
      </c>
      <c r="L4300">
        <v>2</v>
      </c>
      <c r="M4300" t="s">
        <v>15842</v>
      </c>
      <c r="N4300" t="s">
        <v>13978</v>
      </c>
      <c r="O4300" t="s">
        <v>47</v>
      </c>
      <c r="P4300" t="s">
        <v>47</v>
      </c>
      <c r="Y4300" t="s">
        <v>15843</v>
      </c>
      <c r="AG4300" t="s">
        <v>48</v>
      </c>
    </row>
    <row r="4301" spans="1:33">
      <c r="A4301" t="s">
        <v>15844</v>
      </c>
      <c r="B4301" t="s">
        <v>15845</v>
      </c>
      <c r="D4301" t="s">
        <v>40</v>
      </c>
      <c r="E4301" t="s">
        <v>41</v>
      </c>
      <c r="J4301" t="s">
        <v>86</v>
      </c>
      <c r="K4301" t="s">
        <v>87</v>
      </c>
      <c r="L4301">
        <v>2</v>
      </c>
      <c r="M4301" t="s">
        <v>15846</v>
      </c>
      <c r="N4301" t="s">
        <v>14059</v>
      </c>
      <c r="O4301" t="s">
        <v>47</v>
      </c>
      <c r="P4301" t="s">
        <v>47</v>
      </c>
      <c r="Y4301" t="s">
        <v>15847</v>
      </c>
      <c r="AG4301" t="s">
        <v>48</v>
      </c>
    </row>
    <row r="4302" spans="1:33">
      <c r="A4302" t="s">
        <v>15848</v>
      </c>
      <c r="B4302" t="s">
        <v>15849</v>
      </c>
      <c r="D4302" t="s">
        <v>40</v>
      </c>
      <c r="E4302" t="s">
        <v>41</v>
      </c>
      <c r="J4302" t="s">
        <v>123</v>
      </c>
      <c r="K4302" t="s">
        <v>124</v>
      </c>
      <c r="L4302">
        <v>5</v>
      </c>
      <c r="M4302" t="s">
        <v>15850</v>
      </c>
      <c r="N4302" t="s">
        <v>14011</v>
      </c>
      <c r="O4302" t="s">
        <v>47</v>
      </c>
      <c r="P4302" t="s">
        <v>47</v>
      </c>
      <c r="Y4302" t="s">
        <v>15851</v>
      </c>
      <c r="AG4302" t="s">
        <v>48</v>
      </c>
    </row>
    <row r="4303" spans="1:33">
      <c r="A4303" t="s">
        <v>15852</v>
      </c>
      <c r="B4303" t="s">
        <v>15853</v>
      </c>
      <c r="D4303" t="s">
        <v>40</v>
      </c>
      <c r="E4303" t="s">
        <v>41</v>
      </c>
      <c r="J4303" t="s">
        <v>86</v>
      </c>
      <c r="K4303" t="s">
        <v>87</v>
      </c>
      <c r="L4303">
        <v>2</v>
      </c>
      <c r="M4303" t="s">
        <v>15854</v>
      </c>
      <c r="N4303" t="s">
        <v>13978</v>
      </c>
      <c r="O4303" t="s">
        <v>47</v>
      </c>
      <c r="P4303" t="s">
        <v>47</v>
      </c>
      <c r="Y4303" t="s">
        <v>15855</v>
      </c>
      <c r="AG4303" t="s">
        <v>48</v>
      </c>
    </row>
    <row r="4304" spans="1:33">
      <c r="A4304" t="s">
        <v>15856</v>
      </c>
      <c r="B4304" t="s">
        <v>15857</v>
      </c>
      <c r="D4304" t="s">
        <v>40</v>
      </c>
      <c r="E4304" t="s">
        <v>41</v>
      </c>
      <c r="J4304" t="s">
        <v>1418</v>
      </c>
      <c r="K4304" t="s">
        <v>1419</v>
      </c>
      <c r="L4304">
        <v>2</v>
      </c>
      <c r="M4304" t="s">
        <v>15858</v>
      </c>
      <c r="N4304" t="s">
        <v>14024</v>
      </c>
      <c r="O4304" t="s">
        <v>47</v>
      </c>
      <c r="P4304" t="s">
        <v>47</v>
      </c>
      <c r="Y4304" t="s">
        <v>15859</v>
      </c>
      <c r="AG4304" t="s">
        <v>48</v>
      </c>
    </row>
    <row r="4305" spans="1:33">
      <c r="A4305" t="s">
        <v>15860</v>
      </c>
      <c r="B4305" t="s">
        <v>15861</v>
      </c>
      <c r="D4305" t="s">
        <v>40</v>
      </c>
      <c r="E4305" t="s">
        <v>41</v>
      </c>
      <c r="J4305" t="s">
        <v>43</v>
      </c>
      <c r="K4305" t="s">
        <v>44</v>
      </c>
      <c r="L4305">
        <v>2</v>
      </c>
      <c r="M4305" t="s">
        <v>15862</v>
      </c>
      <c r="N4305" t="s">
        <v>192</v>
      </c>
      <c r="O4305" t="s">
        <v>47</v>
      </c>
      <c r="P4305" t="s">
        <v>47</v>
      </c>
      <c r="Y4305" t="s">
        <v>15863</v>
      </c>
      <c r="AG4305" t="s">
        <v>48</v>
      </c>
    </row>
    <row r="4306" spans="1:33">
      <c r="A4306" t="s">
        <v>15864</v>
      </c>
      <c r="B4306" t="s">
        <v>15865</v>
      </c>
      <c r="D4306" t="s">
        <v>40</v>
      </c>
      <c r="E4306" t="s">
        <v>41</v>
      </c>
      <c r="J4306" t="s">
        <v>86</v>
      </c>
      <c r="K4306" t="s">
        <v>87</v>
      </c>
      <c r="L4306">
        <v>2</v>
      </c>
      <c r="M4306" t="s">
        <v>15866</v>
      </c>
      <c r="N4306" t="s">
        <v>14059</v>
      </c>
      <c r="O4306" t="s">
        <v>47</v>
      </c>
      <c r="P4306" t="s">
        <v>47</v>
      </c>
      <c r="Y4306" t="s">
        <v>15867</v>
      </c>
      <c r="AG4306" t="s">
        <v>48</v>
      </c>
    </row>
    <row r="4307" spans="1:33">
      <c r="A4307" t="s">
        <v>15868</v>
      </c>
      <c r="B4307" t="s">
        <v>15869</v>
      </c>
      <c r="D4307" t="s">
        <v>40</v>
      </c>
      <c r="E4307" t="s">
        <v>41</v>
      </c>
      <c r="J4307" t="s">
        <v>43</v>
      </c>
      <c r="K4307" t="s">
        <v>44</v>
      </c>
      <c r="L4307">
        <v>2</v>
      </c>
      <c r="M4307" t="s">
        <v>15870</v>
      </c>
      <c r="N4307" t="s">
        <v>14059</v>
      </c>
      <c r="O4307" t="s">
        <v>47</v>
      </c>
      <c r="P4307" t="s">
        <v>47</v>
      </c>
      <c r="Y4307" t="s">
        <v>15871</v>
      </c>
      <c r="AG4307" t="s">
        <v>48</v>
      </c>
    </row>
    <row r="4308" spans="1:33">
      <c r="A4308" t="s">
        <v>15872</v>
      </c>
      <c r="B4308" t="s">
        <v>15873</v>
      </c>
      <c r="D4308" t="s">
        <v>40</v>
      </c>
      <c r="E4308" t="s">
        <v>41</v>
      </c>
      <c r="J4308" t="s">
        <v>1418</v>
      </c>
      <c r="K4308" t="s">
        <v>1419</v>
      </c>
      <c r="L4308">
        <v>2</v>
      </c>
      <c r="M4308" t="s">
        <v>15874</v>
      </c>
      <c r="N4308" t="s">
        <v>13978</v>
      </c>
      <c r="O4308" t="s">
        <v>47</v>
      </c>
      <c r="P4308" t="s">
        <v>47</v>
      </c>
      <c r="Y4308" t="s">
        <v>15875</v>
      </c>
      <c r="AG4308" t="s">
        <v>48</v>
      </c>
    </row>
    <row r="4309" spans="1:33">
      <c r="A4309" t="s">
        <v>15876</v>
      </c>
      <c r="B4309" t="s">
        <v>15877</v>
      </c>
      <c r="D4309" t="s">
        <v>40</v>
      </c>
      <c r="E4309" t="s">
        <v>41</v>
      </c>
      <c r="J4309" t="s">
        <v>8931</v>
      </c>
      <c r="K4309" t="s">
        <v>8932</v>
      </c>
      <c r="L4309">
        <v>6</v>
      </c>
      <c r="M4309" t="s">
        <v>15878</v>
      </c>
      <c r="N4309" t="s">
        <v>14059</v>
      </c>
      <c r="O4309" t="s">
        <v>47</v>
      </c>
      <c r="P4309" t="s">
        <v>47</v>
      </c>
      <c r="Y4309" t="s">
        <v>15879</v>
      </c>
      <c r="AG4309" t="s">
        <v>48</v>
      </c>
    </row>
    <row r="4310" spans="1:33">
      <c r="A4310" t="s">
        <v>15880</v>
      </c>
      <c r="B4310" t="s">
        <v>15881</v>
      </c>
      <c r="D4310" t="s">
        <v>40</v>
      </c>
      <c r="E4310" t="s">
        <v>41</v>
      </c>
      <c r="J4310" t="s">
        <v>1418</v>
      </c>
      <c r="K4310" t="s">
        <v>1419</v>
      </c>
      <c r="L4310">
        <v>2</v>
      </c>
      <c r="M4310" t="s">
        <v>15882</v>
      </c>
      <c r="N4310" t="s">
        <v>14011</v>
      </c>
      <c r="O4310" t="s">
        <v>47</v>
      </c>
      <c r="P4310" t="s">
        <v>47</v>
      </c>
      <c r="Y4310" t="s">
        <v>15883</v>
      </c>
      <c r="AG4310" t="s">
        <v>48</v>
      </c>
    </row>
    <row r="4311" spans="1:33">
      <c r="A4311" t="s">
        <v>15884</v>
      </c>
      <c r="B4311" t="s">
        <v>15885</v>
      </c>
      <c r="D4311" t="s">
        <v>40</v>
      </c>
      <c r="E4311" t="s">
        <v>41</v>
      </c>
      <c r="J4311" t="s">
        <v>1418</v>
      </c>
      <c r="K4311" t="s">
        <v>1419</v>
      </c>
      <c r="L4311">
        <v>2</v>
      </c>
      <c r="M4311" t="s">
        <v>15886</v>
      </c>
      <c r="N4311" t="s">
        <v>14024</v>
      </c>
      <c r="O4311" t="s">
        <v>47</v>
      </c>
      <c r="P4311" t="s">
        <v>47</v>
      </c>
      <c r="Y4311" t="s">
        <v>15887</v>
      </c>
      <c r="AG4311" t="s">
        <v>48</v>
      </c>
    </row>
    <row r="4312" spans="1:33">
      <c r="A4312" t="s">
        <v>15888</v>
      </c>
      <c r="B4312" t="s">
        <v>15889</v>
      </c>
      <c r="D4312" t="s">
        <v>40</v>
      </c>
      <c r="E4312" t="s">
        <v>41</v>
      </c>
      <c r="J4312" t="s">
        <v>14204</v>
      </c>
      <c r="K4312" t="s">
        <v>14205</v>
      </c>
      <c r="L4312">
        <v>2</v>
      </c>
      <c r="M4312" t="s">
        <v>15890</v>
      </c>
      <c r="N4312" t="s">
        <v>14011</v>
      </c>
      <c r="O4312" t="s">
        <v>47</v>
      </c>
      <c r="P4312" t="s">
        <v>47</v>
      </c>
      <c r="Y4312" t="s">
        <v>15891</v>
      </c>
      <c r="AG4312" t="s">
        <v>48</v>
      </c>
    </row>
    <row r="4313" spans="1:33">
      <c r="A4313" t="s">
        <v>15892</v>
      </c>
      <c r="B4313" t="s">
        <v>15893</v>
      </c>
      <c r="D4313" t="s">
        <v>40</v>
      </c>
      <c r="E4313" t="s">
        <v>41</v>
      </c>
      <c r="J4313" t="s">
        <v>1052</v>
      </c>
      <c r="K4313" t="s">
        <v>1053</v>
      </c>
      <c r="L4313">
        <v>3</v>
      </c>
      <c r="M4313" t="s">
        <v>15894</v>
      </c>
      <c r="N4313" t="s">
        <v>14024</v>
      </c>
      <c r="O4313" t="s">
        <v>47</v>
      </c>
      <c r="P4313" t="s">
        <v>47</v>
      </c>
      <c r="Y4313" t="s">
        <v>15895</v>
      </c>
      <c r="AG4313" t="s">
        <v>48</v>
      </c>
    </row>
    <row r="4314" spans="1:33">
      <c r="A4314" t="s">
        <v>15896</v>
      </c>
      <c r="B4314" t="s">
        <v>15897</v>
      </c>
      <c r="D4314" t="s">
        <v>40</v>
      </c>
      <c r="E4314" t="s">
        <v>41</v>
      </c>
      <c r="J4314" t="s">
        <v>43</v>
      </c>
      <c r="K4314" t="s">
        <v>44</v>
      </c>
      <c r="L4314">
        <v>2</v>
      </c>
      <c r="M4314" t="s">
        <v>15898</v>
      </c>
      <c r="N4314" t="s">
        <v>13978</v>
      </c>
      <c r="O4314" t="s">
        <v>47</v>
      </c>
      <c r="P4314" t="s">
        <v>47</v>
      </c>
      <c r="Y4314" t="s">
        <v>15899</v>
      </c>
      <c r="AG4314" t="s">
        <v>48</v>
      </c>
    </row>
    <row r="4315" spans="1:33">
      <c r="A4315" t="s">
        <v>15900</v>
      </c>
      <c r="B4315" t="s">
        <v>15901</v>
      </c>
      <c r="D4315" t="s">
        <v>40</v>
      </c>
      <c r="E4315" t="s">
        <v>41</v>
      </c>
      <c r="J4315" t="s">
        <v>86</v>
      </c>
      <c r="K4315" t="s">
        <v>87</v>
      </c>
      <c r="L4315">
        <v>2</v>
      </c>
      <c r="M4315" t="s">
        <v>15902</v>
      </c>
      <c r="N4315" t="s">
        <v>13978</v>
      </c>
      <c r="O4315" t="s">
        <v>47</v>
      </c>
      <c r="P4315" t="s">
        <v>47</v>
      </c>
      <c r="Y4315" t="s">
        <v>15903</v>
      </c>
      <c r="AG4315" t="s">
        <v>48</v>
      </c>
    </row>
    <row r="4316" spans="1:33">
      <c r="A4316" t="s">
        <v>15904</v>
      </c>
      <c r="B4316" t="s">
        <v>15905</v>
      </c>
      <c r="D4316" t="s">
        <v>40</v>
      </c>
      <c r="E4316" t="s">
        <v>41</v>
      </c>
      <c r="J4316" t="s">
        <v>1566</v>
      </c>
      <c r="K4316" t="s">
        <v>1567</v>
      </c>
      <c r="L4316">
        <v>2</v>
      </c>
      <c r="M4316" t="s">
        <v>15902</v>
      </c>
      <c r="N4316" t="s">
        <v>14011</v>
      </c>
      <c r="O4316" t="s">
        <v>47</v>
      </c>
      <c r="P4316" t="s">
        <v>47</v>
      </c>
      <c r="Y4316" t="s">
        <v>15906</v>
      </c>
      <c r="AG4316" t="s">
        <v>48</v>
      </c>
    </row>
    <row r="4317" spans="1:33">
      <c r="A4317" t="s">
        <v>15907</v>
      </c>
      <c r="B4317" t="s">
        <v>15908</v>
      </c>
      <c r="D4317" t="s">
        <v>40</v>
      </c>
      <c r="E4317" t="s">
        <v>41</v>
      </c>
      <c r="J4317" t="s">
        <v>86</v>
      </c>
      <c r="K4317" t="s">
        <v>87</v>
      </c>
      <c r="L4317">
        <v>3</v>
      </c>
      <c r="M4317" t="s">
        <v>15909</v>
      </c>
      <c r="N4317" t="s">
        <v>14024</v>
      </c>
      <c r="O4317" t="s">
        <v>47</v>
      </c>
      <c r="P4317" t="s">
        <v>47</v>
      </c>
      <c r="Y4317" t="s">
        <v>15910</v>
      </c>
      <c r="AG4317" t="s">
        <v>48</v>
      </c>
    </row>
    <row r="4318" spans="1:33">
      <c r="A4318" t="s">
        <v>15911</v>
      </c>
      <c r="B4318" t="s">
        <v>15912</v>
      </c>
      <c r="D4318" t="s">
        <v>40</v>
      </c>
      <c r="E4318" t="s">
        <v>41</v>
      </c>
      <c r="J4318" t="s">
        <v>14204</v>
      </c>
      <c r="K4318" t="s">
        <v>14205</v>
      </c>
      <c r="L4318">
        <v>2</v>
      </c>
      <c r="M4318" t="s">
        <v>15913</v>
      </c>
      <c r="N4318" t="s">
        <v>218</v>
      </c>
      <c r="O4318" t="s">
        <v>47</v>
      </c>
      <c r="P4318" t="s">
        <v>47</v>
      </c>
      <c r="Y4318" t="s">
        <v>15914</v>
      </c>
      <c r="AG4318" t="s">
        <v>48</v>
      </c>
    </row>
    <row r="4319" spans="1:33">
      <c r="A4319" t="s">
        <v>15915</v>
      </c>
      <c r="B4319" t="s">
        <v>15916</v>
      </c>
      <c r="D4319" t="s">
        <v>40</v>
      </c>
      <c r="E4319" t="s">
        <v>41</v>
      </c>
      <c r="J4319" t="s">
        <v>14204</v>
      </c>
      <c r="K4319" t="s">
        <v>14205</v>
      </c>
      <c r="L4319">
        <v>2</v>
      </c>
      <c r="M4319" t="s">
        <v>15917</v>
      </c>
      <c r="N4319" t="s">
        <v>14011</v>
      </c>
      <c r="O4319" t="s">
        <v>47</v>
      </c>
      <c r="P4319" t="s">
        <v>47</v>
      </c>
      <c r="Y4319" t="s">
        <v>15918</v>
      </c>
      <c r="AG4319" t="s">
        <v>48</v>
      </c>
    </row>
    <row r="4320" spans="1:33">
      <c r="A4320" t="s">
        <v>15919</v>
      </c>
      <c r="B4320" t="s">
        <v>15920</v>
      </c>
      <c r="D4320" t="s">
        <v>40</v>
      </c>
      <c r="E4320" t="s">
        <v>41</v>
      </c>
      <c r="J4320" t="s">
        <v>4737</v>
      </c>
      <c r="K4320" t="s">
        <v>4738</v>
      </c>
      <c r="L4320">
        <v>2</v>
      </c>
      <c r="M4320" t="s">
        <v>15921</v>
      </c>
      <c r="N4320" t="s">
        <v>218</v>
      </c>
      <c r="O4320" t="s">
        <v>47</v>
      </c>
      <c r="P4320" t="s">
        <v>47</v>
      </c>
      <c r="Y4320" t="s">
        <v>15922</v>
      </c>
      <c r="AG4320" t="s">
        <v>48</v>
      </c>
    </row>
    <row r="4321" spans="1:33">
      <c r="A4321" t="s">
        <v>15923</v>
      </c>
      <c r="B4321" t="s">
        <v>15924</v>
      </c>
      <c r="D4321" t="s">
        <v>40</v>
      </c>
      <c r="E4321" t="s">
        <v>41</v>
      </c>
      <c r="J4321" t="s">
        <v>1418</v>
      </c>
      <c r="K4321" t="s">
        <v>1419</v>
      </c>
      <c r="L4321">
        <v>2</v>
      </c>
      <c r="M4321" t="s">
        <v>15925</v>
      </c>
      <c r="N4321" t="s">
        <v>14011</v>
      </c>
      <c r="O4321" t="s">
        <v>47</v>
      </c>
      <c r="P4321" t="s">
        <v>47</v>
      </c>
      <c r="Y4321" t="s">
        <v>15926</v>
      </c>
      <c r="AG4321" t="s">
        <v>48</v>
      </c>
    </row>
    <row r="4322" spans="1:33">
      <c r="A4322" t="s">
        <v>15927</v>
      </c>
      <c r="B4322" t="s">
        <v>15928</v>
      </c>
      <c r="D4322" t="s">
        <v>40</v>
      </c>
      <c r="E4322" t="s">
        <v>41</v>
      </c>
      <c r="J4322" t="s">
        <v>43</v>
      </c>
      <c r="K4322" t="s">
        <v>44</v>
      </c>
      <c r="L4322">
        <v>2</v>
      </c>
      <c r="M4322" t="s">
        <v>15929</v>
      </c>
      <c r="N4322" t="s">
        <v>218</v>
      </c>
      <c r="O4322" t="s">
        <v>47</v>
      </c>
      <c r="P4322" t="s">
        <v>47</v>
      </c>
      <c r="Y4322" t="s">
        <v>15930</v>
      </c>
      <c r="AG4322" t="s">
        <v>48</v>
      </c>
    </row>
    <row r="4323" spans="1:33">
      <c r="A4323" t="s">
        <v>15931</v>
      </c>
      <c r="B4323" t="s">
        <v>15932</v>
      </c>
      <c r="D4323" t="s">
        <v>40</v>
      </c>
      <c r="E4323" t="s">
        <v>41</v>
      </c>
      <c r="J4323" t="s">
        <v>1418</v>
      </c>
      <c r="K4323" t="s">
        <v>1419</v>
      </c>
      <c r="L4323">
        <v>2</v>
      </c>
      <c r="M4323" t="s">
        <v>15933</v>
      </c>
      <c r="N4323" t="s">
        <v>14011</v>
      </c>
      <c r="O4323" t="s">
        <v>47</v>
      </c>
      <c r="P4323" t="s">
        <v>47</v>
      </c>
      <c r="Y4323" t="s">
        <v>15934</v>
      </c>
      <c r="AG4323" t="s">
        <v>48</v>
      </c>
    </row>
    <row r="4324" spans="1:33">
      <c r="A4324" t="s">
        <v>15935</v>
      </c>
      <c r="B4324" t="s">
        <v>15936</v>
      </c>
      <c r="D4324" t="s">
        <v>40</v>
      </c>
      <c r="E4324" t="s">
        <v>41</v>
      </c>
      <c r="J4324" t="s">
        <v>4737</v>
      </c>
      <c r="K4324" t="s">
        <v>4738</v>
      </c>
      <c r="L4324">
        <v>2</v>
      </c>
      <c r="M4324" t="s">
        <v>15937</v>
      </c>
      <c r="N4324" t="s">
        <v>13978</v>
      </c>
      <c r="O4324" t="s">
        <v>47</v>
      </c>
      <c r="P4324" t="s">
        <v>47</v>
      </c>
      <c r="Y4324" t="s">
        <v>15938</v>
      </c>
      <c r="AG4324" t="s">
        <v>48</v>
      </c>
    </row>
    <row r="4325" spans="1:33">
      <c r="A4325" t="s">
        <v>117</v>
      </c>
      <c r="B4325" t="s">
        <v>15939</v>
      </c>
      <c r="D4325" t="s">
        <v>40</v>
      </c>
      <c r="E4325" t="s">
        <v>41</v>
      </c>
      <c r="J4325" t="s">
        <v>86</v>
      </c>
      <c r="K4325" t="s">
        <v>87</v>
      </c>
      <c r="L4325">
        <v>2</v>
      </c>
      <c r="M4325" t="s">
        <v>15940</v>
      </c>
      <c r="N4325" t="s">
        <v>13978</v>
      </c>
      <c r="O4325" t="s">
        <v>47</v>
      </c>
      <c r="P4325" t="s">
        <v>47</v>
      </c>
      <c r="Y4325" t="s">
        <v>15941</v>
      </c>
      <c r="AG4325" t="s">
        <v>48</v>
      </c>
    </row>
    <row r="4326" spans="1:33">
      <c r="A4326" t="s">
        <v>15942</v>
      </c>
      <c r="B4326" t="s">
        <v>15943</v>
      </c>
      <c r="D4326" t="s">
        <v>40</v>
      </c>
      <c r="E4326" t="s">
        <v>41</v>
      </c>
      <c r="J4326" t="s">
        <v>43</v>
      </c>
      <c r="K4326" t="s">
        <v>44</v>
      </c>
      <c r="L4326">
        <v>2</v>
      </c>
      <c r="M4326" t="s">
        <v>15944</v>
      </c>
      <c r="N4326" t="s">
        <v>218</v>
      </c>
      <c r="O4326" t="s">
        <v>47</v>
      </c>
      <c r="P4326" t="s">
        <v>47</v>
      </c>
      <c r="Y4326" t="s">
        <v>15945</v>
      </c>
      <c r="AG4326" t="s">
        <v>48</v>
      </c>
    </row>
    <row r="4327" spans="1:33">
      <c r="A4327" t="s">
        <v>15946</v>
      </c>
      <c r="B4327" t="s">
        <v>15947</v>
      </c>
      <c r="D4327" t="s">
        <v>40</v>
      </c>
      <c r="E4327" t="s">
        <v>41</v>
      </c>
      <c r="J4327" t="s">
        <v>43</v>
      </c>
      <c r="K4327" t="s">
        <v>44</v>
      </c>
      <c r="L4327">
        <v>2</v>
      </c>
      <c r="M4327" t="s">
        <v>15948</v>
      </c>
      <c r="N4327" t="s">
        <v>13978</v>
      </c>
      <c r="O4327" t="s">
        <v>47</v>
      </c>
      <c r="P4327" t="s">
        <v>47</v>
      </c>
      <c r="Y4327" t="s">
        <v>15949</v>
      </c>
      <c r="AG4327" t="s">
        <v>48</v>
      </c>
    </row>
    <row r="4328" spans="1:33">
      <c r="A4328" t="s">
        <v>15950</v>
      </c>
      <c r="B4328" t="s">
        <v>15951</v>
      </c>
      <c r="D4328" t="s">
        <v>40</v>
      </c>
      <c r="E4328" t="s">
        <v>41</v>
      </c>
      <c r="J4328" t="s">
        <v>43</v>
      </c>
      <c r="K4328" t="s">
        <v>44</v>
      </c>
      <c r="L4328">
        <v>2</v>
      </c>
      <c r="M4328" t="s">
        <v>15952</v>
      </c>
      <c r="N4328" t="s">
        <v>14059</v>
      </c>
      <c r="O4328" t="s">
        <v>47</v>
      </c>
      <c r="P4328" t="s">
        <v>47</v>
      </c>
      <c r="Y4328" t="s">
        <v>15953</v>
      </c>
      <c r="AG4328" t="s">
        <v>48</v>
      </c>
    </row>
    <row r="4329" spans="1:33">
      <c r="A4329" t="s">
        <v>15954</v>
      </c>
      <c r="B4329" t="s">
        <v>15955</v>
      </c>
      <c r="D4329" t="s">
        <v>40</v>
      </c>
      <c r="E4329" t="s">
        <v>41</v>
      </c>
      <c r="J4329" t="s">
        <v>13514</v>
      </c>
      <c r="K4329" t="s">
        <v>13515</v>
      </c>
      <c r="L4329">
        <v>3</v>
      </c>
      <c r="M4329" t="s">
        <v>15956</v>
      </c>
      <c r="N4329" t="s">
        <v>13978</v>
      </c>
      <c r="O4329" t="s">
        <v>47</v>
      </c>
      <c r="P4329" t="s">
        <v>47</v>
      </c>
      <c r="Y4329" t="s">
        <v>15957</v>
      </c>
      <c r="AG4329" t="s">
        <v>48</v>
      </c>
    </row>
    <row r="4330" spans="1:33">
      <c r="A4330" t="s">
        <v>15958</v>
      </c>
      <c r="B4330" t="s">
        <v>15959</v>
      </c>
      <c r="D4330" t="s">
        <v>40</v>
      </c>
      <c r="E4330" t="s">
        <v>41</v>
      </c>
      <c r="J4330" t="s">
        <v>1418</v>
      </c>
      <c r="K4330" t="s">
        <v>1419</v>
      </c>
      <c r="L4330">
        <v>2</v>
      </c>
      <c r="M4330" t="s">
        <v>15956</v>
      </c>
      <c r="N4330" t="s">
        <v>14011</v>
      </c>
      <c r="O4330" t="s">
        <v>47</v>
      </c>
      <c r="P4330" t="s">
        <v>47</v>
      </c>
      <c r="Y4330" t="s">
        <v>15960</v>
      </c>
      <c r="AG4330" t="s">
        <v>48</v>
      </c>
    </row>
    <row r="4331" spans="1:33">
      <c r="A4331" t="s">
        <v>15961</v>
      </c>
      <c r="B4331" t="s">
        <v>15962</v>
      </c>
      <c r="D4331" t="s">
        <v>40</v>
      </c>
      <c r="E4331" t="s">
        <v>41</v>
      </c>
      <c r="J4331" t="s">
        <v>86</v>
      </c>
      <c r="K4331" t="s">
        <v>87</v>
      </c>
      <c r="L4331">
        <v>3</v>
      </c>
      <c r="M4331" t="s">
        <v>15963</v>
      </c>
      <c r="N4331" t="s">
        <v>13978</v>
      </c>
      <c r="O4331" t="s">
        <v>47</v>
      </c>
      <c r="P4331" t="s">
        <v>47</v>
      </c>
      <c r="Y4331" t="s">
        <v>15964</v>
      </c>
      <c r="AG4331" t="s">
        <v>48</v>
      </c>
    </row>
    <row r="4332" spans="1:33">
      <c r="A4332" t="s">
        <v>15965</v>
      </c>
      <c r="B4332" t="s">
        <v>15966</v>
      </c>
      <c r="D4332" t="s">
        <v>40</v>
      </c>
      <c r="E4332" t="s">
        <v>41</v>
      </c>
      <c r="J4332" t="s">
        <v>1418</v>
      </c>
      <c r="K4332" t="s">
        <v>1419</v>
      </c>
      <c r="L4332">
        <v>2</v>
      </c>
      <c r="M4332" t="s">
        <v>15967</v>
      </c>
      <c r="N4332" t="s">
        <v>218</v>
      </c>
      <c r="O4332" t="s">
        <v>47</v>
      </c>
      <c r="P4332" t="s">
        <v>47</v>
      </c>
      <c r="Y4332" t="s">
        <v>15968</v>
      </c>
      <c r="AG4332" t="s">
        <v>48</v>
      </c>
    </row>
    <row r="4333" spans="1:33">
      <c r="A4333" t="s">
        <v>15969</v>
      </c>
      <c r="B4333" t="s">
        <v>15970</v>
      </c>
      <c r="D4333" t="s">
        <v>40</v>
      </c>
      <c r="E4333" t="s">
        <v>41</v>
      </c>
      <c r="J4333" t="s">
        <v>86</v>
      </c>
      <c r="K4333" t="s">
        <v>87</v>
      </c>
      <c r="L4333">
        <v>2</v>
      </c>
      <c r="M4333" t="s">
        <v>15971</v>
      </c>
      <c r="N4333" t="s">
        <v>14024</v>
      </c>
      <c r="O4333" t="s">
        <v>47</v>
      </c>
      <c r="P4333" t="s">
        <v>47</v>
      </c>
      <c r="Y4333" t="s">
        <v>15972</v>
      </c>
      <c r="AG4333" t="s">
        <v>48</v>
      </c>
    </row>
    <row r="4334" spans="1:33">
      <c r="A4334" t="s">
        <v>15973</v>
      </c>
      <c r="B4334" t="s">
        <v>15974</v>
      </c>
      <c r="D4334" t="s">
        <v>40</v>
      </c>
      <c r="E4334" t="s">
        <v>41</v>
      </c>
      <c r="J4334" t="s">
        <v>3472</v>
      </c>
      <c r="K4334" t="s">
        <v>3473</v>
      </c>
      <c r="L4334">
        <v>2</v>
      </c>
      <c r="M4334" t="s">
        <v>15975</v>
      </c>
      <c r="N4334" t="s">
        <v>14011</v>
      </c>
      <c r="O4334" t="s">
        <v>47</v>
      </c>
      <c r="P4334" t="s">
        <v>47</v>
      </c>
      <c r="Y4334" t="s">
        <v>15976</v>
      </c>
      <c r="AG4334" t="s">
        <v>48</v>
      </c>
    </row>
    <row r="4335" spans="1:33">
      <c r="A4335" t="s">
        <v>15977</v>
      </c>
      <c r="B4335" t="s">
        <v>15978</v>
      </c>
      <c r="D4335" t="s">
        <v>40</v>
      </c>
      <c r="E4335" t="s">
        <v>41</v>
      </c>
      <c r="J4335" t="s">
        <v>14337</v>
      </c>
      <c r="K4335" t="s">
        <v>14338</v>
      </c>
      <c r="L4335">
        <v>2</v>
      </c>
      <c r="M4335" t="s">
        <v>15979</v>
      </c>
      <c r="N4335" t="s">
        <v>192</v>
      </c>
      <c r="O4335" t="s">
        <v>47</v>
      </c>
      <c r="P4335" t="s">
        <v>47</v>
      </c>
      <c r="Y4335" t="s">
        <v>15980</v>
      </c>
      <c r="AG4335" t="s">
        <v>48</v>
      </c>
    </row>
    <row r="4336" spans="1:33">
      <c r="A4336" t="s">
        <v>15981</v>
      </c>
      <c r="B4336" t="s">
        <v>15982</v>
      </c>
      <c r="D4336" t="s">
        <v>40</v>
      </c>
      <c r="E4336" t="s">
        <v>41</v>
      </c>
      <c r="J4336" t="s">
        <v>86</v>
      </c>
      <c r="K4336" t="s">
        <v>87</v>
      </c>
      <c r="L4336">
        <v>2</v>
      </c>
      <c r="M4336" t="s">
        <v>15983</v>
      </c>
      <c r="N4336" t="s">
        <v>14024</v>
      </c>
      <c r="O4336" t="s">
        <v>47</v>
      </c>
      <c r="P4336" t="s">
        <v>47</v>
      </c>
      <c r="Y4336" t="s">
        <v>15984</v>
      </c>
      <c r="AG4336" t="s">
        <v>48</v>
      </c>
    </row>
    <row r="4337" spans="1:33">
      <c r="A4337" t="s">
        <v>15985</v>
      </c>
      <c r="B4337" t="s">
        <v>15986</v>
      </c>
      <c r="D4337" t="s">
        <v>40</v>
      </c>
      <c r="E4337" t="s">
        <v>41</v>
      </c>
      <c r="J4337" t="s">
        <v>10950</v>
      </c>
      <c r="K4337" t="s">
        <v>10950</v>
      </c>
      <c r="L4337">
        <v>7</v>
      </c>
      <c r="M4337" t="s">
        <v>15987</v>
      </c>
      <c r="N4337" t="s">
        <v>13978</v>
      </c>
      <c r="O4337" t="s">
        <v>47</v>
      </c>
      <c r="P4337" t="s">
        <v>47</v>
      </c>
      <c r="Y4337" t="s">
        <v>15988</v>
      </c>
      <c r="AG4337" t="s">
        <v>48</v>
      </c>
    </row>
    <row r="4338" spans="1:33">
      <c r="A4338" t="s">
        <v>15989</v>
      </c>
      <c r="B4338" t="s">
        <v>15990</v>
      </c>
      <c r="D4338" t="s">
        <v>40</v>
      </c>
      <c r="E4338" t="s">
        <v>41</v>
      </c>
      <c r="J4338" t="s">
        <v>1052</v>
      </c>
      <c r="K4338" t="s">
        <v>1053</v>
      </c>
      <c r="L4338">
        <v>2</v>
      </c>
      <c r="M4338" t="s">
        <v>15991</v>
      </c>
      <c r="N4338" t="s">
        <v>192</v>
      </c>
      <c r="O4338" t="s">
        <v>47</v>
      </c>
      <c r="P4338" t="s">
        <v>47</v>
      </c>
      <c r="Y4338" t="s">
        <v>15992</v>
      </c>
      <c r="AG4338" t="s">
        <v>48</v>
      </c>
    </row>
    <row r="4339" spans="1:33">
      <c r="A4339" t="s">
        <v>15993</v>
      </c>
      <c r="B4339" t="s">
        <v>15994</v>
      </c>
      <c r="D4339" t="s">
        <v>40</v>
      </c>
      <c r="E4339" t="s">
        <v>41</v>
      </c>
      <c r="J4339" t="s">
        <v>86</v>
      </c>
      <c r="K4339" t="s">
        <v>87</v>
      </c>
      <c r="L4339">
        <v>2</v>
      </c>
      <c r="M4339" t="s">
        <v>15995</v>
      </c>
      <c r="N4339" t="s">
        <v>192</v>
      </c>
      <c r="O4339" t="s">
        <v>47</v>
      </c>
      <c r="P4339" t="s">
        <v>47</v>
      </c>
      <c r="Y4339" t="s">
        <v>15996</v>
      </c>
      <c r="AG4339" t="s">
        <v>48</v>
      </c>
    </row>
    <row r="4340" spans="1:33">
      <c r="A4340" t="s">
        <v>15997</v>
      </c>
      <c r="B4340" t="s">
        <v>15998</v>
      </c>
      <c r="D4340" t="s">
        <v>40</v>
      </c>
      <c r="E4340" t="s">
        <v>41</v>
      </c>
      <c r="J4340" t="s">
        <v>86</v>
      </c>
      <c r="K4340" t="s">
        <v>87</v>
      </c>
      <c r="L4340">
        <v>2</v>
      </c>
      <c r="M4340" t="s">
        <v>15999</v>
      </c>
      <c r="N4340" t="s">
        <v>13978</v>
      </c>
      <c r="O4340" t="s">
        <v>47</v>
      </c>
      <c r="P4340" t="s">
        <v>47</v>
      </c>
      <c r="Y4340" t="s">
        <v>16000</v>
      </c>
      <c r="AG4340" t="s">
        <v>48</v>
      </c>
    </row>
    <row r="4341" spans="1:33">
      <c r="A4341" t="s">
        <v>16001</v>
      </c>
      <c r="B4341" t="s">
        <v>16002</v>
      </c>
      <c r="D4341" t="s">
        <v>40</v>
      </c>
      <c r="E4341" t="s">
        <v>41</v>
      </c>
      <c r="J4341" t="s">
        <v>3472</v>
      </c>
      <c r="K4341" t="s">
        <v>3473</v>
      </c>
      <c r="L4341">
        <v>2</v>
      </c>
      <c r="M4341" t="s">
        <v>16003</v>
      </c>
      <c r="N4341" t="s">
        <v>14011</v>
      </c>
      <c r="O4341" t="s">
        <v>47</v>
      </c>
      <c r="P4341" t="s">
        <v>47</v>
      </c>
      <c r="Y4341" t="s">
        <v>16004</v>
      </c>
      <c r="AG4341" t="s">
        <v>48</v>
      </c>
    </row>
    <row r="4342" spans="1:33">
      <c r="A4342" t="s">
        <v>16005</v>
      </c>
      <c r="B4342" t="s">
        <v>16006</v>
      </c>
      <c r="D4342" t="s">
        <v>40</v>
      </c>
      <c r="E4342" t="s">
        <v>41</v>
      </c>
      <c r="J4342" t="s">
        <v>43</v>
      </c>
      <c r="K4342" t="s">
        <v>44</v>
      </c>
      <c r="L4342">
        <v>2</v>
      </c>
      <c r="M4342" t="s">
        <v>16007</v>
      </c>
      <c r="N4342" t="s">
        <v>13978</v>
      </c>
      <c r="O4342" t="s">
        <v>47</v>
      </c>
      <c r="P4342" t="s">
        <v>47</v>
      </c>
      <c r="Y4342" t="s">
        <v>16008</v>
      </c>
      <c r="AG4342" t="s">
        <v>48</v>
      </c>
    </row>
    <row r="4343" spans="1:33">
      <c r="A4343" t="s">
        <v>16009</v>
      </c>
      <c r="B4343" t="s">
        <v>16010</v>
      </c>
      <c r="D4343" t="s">
        <v>40</v>
      </c>
      <c r="E4343" t="s">
        <v>41</v>
      </c>
      <c r="J4343" t="s">
        <v>43</v>
      </c>
      <c r="K4343" t="s">
        <v>44</v>
      </c>
      <c r="L4343">
        <v>2</v>
      </c>
      <c r="M4343" t="s">
        <v>16011</v>
      </c>
      <c r="N4343" t="s">
        <v>16012</v>
      </c>
      <c r="O4343" t="s">
        <v>47</v>
      </c>
      <c r="P4343" t="s">
        <v>47</v>
      </c>
      <c r="Y4343" t="s">
        <v>16013</v>
      </c>
      <c r="AG4343" t="s">
        <v>48</v>
      </c>
    </row>
    <row r="4344" spans="1:33">
      <c r="A4344" t="s">
        <v>16014</v>
      </c>
      <c r="B4344" t="s">
        <v>16015</v>
      </c>
      <c r="D4344" t="s">
        <v>40</v>
      </c>
      <c r="E4344" t="s">
        <v>41</v>
      </c>
      <c r="J4344" t="s">
        <v>10950</v>
      </c>
      <c r="K4344" t="s">
        <v>10950</v>
      </c>
      <c r="L4344">
        <v>2</v>
      </c>
      <c r="M4344" t="s">
        <v>16016</v>
      </c>
      <c r="N4344" t="s">
        <v>13978</v>
      </c>
      <c r="O4344" t="s">
        <v>47</v>
      </c>
      <c r="P4344" t="s">
        <v>47</v>
      </c>
      <c r="Y4344" t="s">
        <v>16017</v>
      </c>
      <c r="AG4344" t="s">
        <v>48</v>
      </c>
    </row>
    <row r="4345" spans="1:33">
      <c r="A4345" t="s">
        <v>16018</v>
      </c>
      <c r="B4345" t="s">
        <v>16019</v>
      </c>
      <c r="D4345" t="s">
        <v>40</v>
      </c>
      <c r="E4345" t="s">
        <v>41</v>
      </c>
      <c r="J4345" t="s">
        <v>86</v>
      </c>
      <c r="K4345" t="s">
        <v>87</v>
      </c>
      <c r="L4345">
        <v>2</v>
      </c>
      <c r="M4345" t="s">
        <v>16020</v>
      </c>
      <c r="N4345" t="s">
        <v>13978</v>
      </c>
      <c r="O4345" t="s">
        <v>47</v>
      </c>
      <c r="P4345" t="s">
        <v>47</v>
      </c>
      <c r="Y4345" t="s">
        <v>16021</v>
      </c>
      <c r="AG4345" t="s">
        <v>48</v>
      </c>
    </row>
    <row r="4346" spans="1:33">
      <c r="A4346" t="s">
        <v>16022</v>
      </c>
      <c r="B4346" t="s">
        <v>16023</v>
      </c>
      <c r="D4346" t="s">
        <v>40</v>
      </c>
      <c r="E4346" t="s">
        <v>41</v>
      </c>
      <c r="J4346" t="s">
        <v>86</v>
      </c>
      <c r="K4346" t="s">
        <v>87</v>
      </c>
      <c r="L4346">
        <v>2</v>
      </c>
      <c r="M4346" t="s">
        <v>16024</v>
      </c>
      <c r="N4346" t="s">
        <v>14024</v>
      </c>
      <c r="O4346" t="s">
        <v>47</v>
      </c>
      <c r="P4346" t="s">
        <v>47</v>
      </c>
      <c r="Y4346" t="s">
        <v>16025</v>
      </c>
      <c r="AG4346" t="s">
        <v>48</v>
      </c>
    </row>
    <row r="4347" spans="1:33">
      <c r="A4347" t="s">
        <v>117</v>
      </c>
      <c r="B4347" t="s">
        <v>16026</v>
      </c>
      <c r="D4347" t="s">
        <v>40</v>
      </c>
      <c r="E4347" t="s">
        <v>41</v>
      </c>
      <c r="J4347" t="s">
        <v>43</v>
      </c>
      <c r="K4347" t="s">
        <v>44</v>
      </c>
      <c r="L4347">
        <v>2</v>
      </c>
      <c r="M4347" t="s">
        <v>16027</v>
      </c>
      <c r="N4347" t="s">
        <v>192</v>
      </c>
      <c r="O4347" t="s">
        <v>47</v>
      </c>
      <c r="P4347" t="s">
        <v>47</v>
      </c>
      <c r="Y4347" t="s">
        <v>16028</v>
      </c>
      <c r="AG4347" t="s">
        <v>48</v>
      </c>
    </row>
    <row r="4348" spans="1:33">
      <c r="A4348" t="s">
        <v>16029</v>
      </c>
      <c r="B4348" t="s">
        <v>16030</v>
      </c>
      <c r="D4348" t="s">
        <v>40</v>
      </c>
      <c r="E4348" t="s">
        <v>41</v>
      </c>
      <c r="J4348" t="s">
        <v>43</v>
      </c>
      <c r="K4348" t="s">
        <v>44</v>
      </c>
      <c r="L4348">
        <v>2</v>
      </c>
      <c r="M4348" t="s">
        <v>16031</v>
      </c>
      <c r="N4348" t="s">
        <v>16012</v>
      </c>
      <c r="O4348" t="s">
        <v>47</v>
      </c>
      <c r="P4348" t="s">
        <v>47</v>
      </c>
      <c r="Y4348" t="s">
        <v>16032</v>
      </c>
      <c r="AG4348" t="s">
        <v>48</v>
      </c>
    </row>
    <row r="4349" spans="1:33">
      <c r="A4349" t="s">
        <v>16033</v>
      </c>
      <c r="B4349" t="s">
        <v>16034</v>
      </c>
      <c r="D4349" t="s">
        <v>40</v>
      </c>
      <c r="E4349" t="s">
        <v>41</v>
      </c>
      <c r="J4349" t="s">
        <v>43</v>
      </c>
      <c r="K4349" t="s">
        <v>44</v>
      </c>
      <c r="L4349">
        <v>2</v>
      </c>
      <c r="M4349" t="s">
        <v>16035</v>
      </c>
      <c r="N4349" t="s">
        <v>16012</v>
      </c>
      <c r="O4349" t="s">
        <v>47</v>
      </c>
      <c r="P4349" t="s">
        <v>47</v>
      </c>
      <c r="Y4349" t="s">
        <v>16036</v>
      </c>
      <c r="AG4349" t="s">
        <v>48</v>
      </c>
    </row>
    <row r="4350" spans="1:33">
      <c r="A4350" t="s">
        <v>16037</v>
      </c>
      <c r="B4350" t="s">
        <v>16038</v>
      </c>
      <c r="D4350" t="s">
        <v>40</v>
      </c>
      <c r="E4350" t="s">
        <v>41</v>
      </c>
      <c r="J4350" t="s">
        <v>86</v>
      </c>
      <c r="K4350" t="s">
        <v>87</v>
      </c>
      <c r="L4350">
        <v>2</v>
      </c>
      <c r="M4350" t="s">
        <v>16039</v>
      </c>
      <c r="N4350" t="s">
        <v>13978</v>
      </c>
      <c r="O4350" t="s">
        <v>47</v>
      </c>
      <c r="P4350" t="s">
        <v>47</v>
      </c>
      <c r="Y4350" t="s">
        <v>16040</v>
      </c>
      <c r="AG4350" t="s">
        <v>48</v>
      </c>
    </row>
    <row r="4351" spans="1:33">
      <c r="A4351" t="s">
        <v>16041</v>
      </c>
      <c r="B4351" t="s">
        <v>16042</v>
      </c>
      <c r="D4351" t="s">
        <v>40</v>
      </c>
      <c r="E4351" t="s">
        <v>41</v>
      </c>
      <c r="J4351" t="s">
        <v>215</v>
      </c>
      <c r="K4351" t="s">
        <v>216</v>
      </c>
      <c r="L4351">
        <v>5</v>
      </c>
      <c r="M4351" t="s">
        <v>16043</v>
      </c>
      <c r="N4351" t="s">
        <v>16012</v>
      </c>
      <c r="O4351" t="s">
        <v>47</v>
      </c>
      <c r="P4351" t="s">
        <v>47</v>
      </c>
      <c r="Y4351" t="s">
        <v>16044</v>
      </c>
      <c r="AG4351" t="s">
        <v>48</v>
      </c>
    </row>
    <row r="4352" spans="1:33">
      <c r="A4352" t="s">
        <v>16045</v>
      </c>
      <c r="B4352" t="s">
        <v>16046</v>
      </c>
      <c r="D4352" t="s">
        <v>40</v>
      </c>
      <c r="E4352" t="s">
        <v>41</v>
      </c>
      <c r="J4352" t="s">
        <v>14204</v>
      </c>
      <c r="K4352" t="s">
        <v>14205</v>
      </c>
      <c r="L4352">
        <v>2</v>
      </c>
      <c r="M4352" t="s">
        <v>16047</v>
      </c>
      <c r="N4352" t="s">
        <v>14011</v>
      </c>
      <c r="O4352" t="s">
        <v>47</v>
      </c>
      <c r="P4352" t="s">
        <v>47</v>
      </c>
      <c r="Y4352" t="s">
        <v>16048</v>
      </c>
      <c r="AG4352" t="s">
        <v>48</v>
      </c>
    </row>
    <row r="4353" spans="1:33">
      <c r="A4353" t="s">
        <v>16049</v>
      </c>
      <c r="B4353" t="s">
        <v>16050</v>
      </c>
      <c r="D4353" t="s">
        <v>40</v>
      </c>
      <c r="E4353" t="s">
        <v>41</v>
      </c>
      <c r="J4353" t="s">
        <v>86</v>
      </c>
      <c r="K4353" t="s">
        <v>87</v>
      </c>
      <c r="L4353">
        <v>3</v>
      </c>
      <c r="M4353" t="s">
        <v>16051</v>
      </c>
      <c r="N4353" t="s">
        <v>13978</v>
      </c>
      <c r="O4353" t="s">
        <v>47</v>
      </c>
      <c r="P4353" t="s">
        <v>47</v>
      </c>
      <c r="Y4353" t="s">
        <v>16052</v>
      </c>
      <c r="AG4353" t="s">
        <v>48</v>
      </c>
    </row>
    <row r="4354" spans="1:33">
      <c r="A4354" t="s">
        <v>16053</v>
      </c>
      <c r="B4354" t="s">
        <v>16054</v>
      </c>
      <c r="D4354" t="s">
        <v>40</v>
      </c>
      <c r="E4354" t="s">
        <v>41</v>
      </c>
      <c r="J4354" t="s">
        <v>3472</v>
      </c>
      <c r="K4354" t="s">
        <v>3473</v>
      </c>
      <c r="L4354">
        <v>2</v>
      </c>
      <c r="M4354" t="s">
        <v>16055</v>
      </c>
      <c r="N4354" t="s">
        <v>14011</v>
      </c>
      <c r="O4354" t="s">
        <v>47</v>
      </c>
      <c r="P4354" t="s">
        <v>47</v>
      </c>
      <c r="Y4354" t="s">
        <v>16056</v>
      </c>
      <c r="AG4354" t="s">
        <v>48</v>
      </c>
    </row>
    <row r="4355" spans="1:33">
      <c r="A4355" t="s">
        <v>16057</v>
      </c>
      <c r="B4355" t="s">
        <v>16058</v>
      </c>
      <c r="D4355" t="s">
        <v>40</v>
      </c>
      <c r="E4355" t="s">
        <v>41</v>
      </c>
      <c r="J4355" t="s">
        <v>1418</v>
      </c>
      <c r="K4355" t="s">
        <v>1419</v>
      </c>
      <c r="L4355">
        <v>2</v>
      </c>
      <c r="M4355" t="s">
        <v>16059</v>
      </c>
      <c r="N4355" t="s">
        <v>14011</v>
      </c>
      <c r="O4355" t="s">
        <v>47</v>
      </c>
      <c r="P4355" t="s">
        <v>47</v>
      </c>
      <c r="Y4355" t="s">
        <v>16060</v>
      </c>
      <c r="AG4355" t="s">
        <v>48</v>
      </c>
    </row>
    <row r="4356" spans="1:33">
      <c r="A4356" t="s">
        <v>16061</v>
      </c>
      <c r="B4356" t="s">
        <v>16062</v>
      </c>
      <c r="D4356" t="s">
        <v>40</v>
      </c>
      <c r="E4356" t="s">
        <v>41</v>
      </c>
      <c r="J4356" t="s">
        <v>10950</v>
      </c>
      <c r="K4356" t="s">
        <v>10950</v>
      </c>
      <c r="L4356">
        <v>2</v>
      </c>
      <c r="M4356" t="s">
        <v>16063</v>
      </c>
      <c r="N4356" t="s">
        <v>14059</v>
      </c>
      <c r="O4356" t="s">
        <v>47</v>
      </c>
      <c r="P4356" t="s">
        <v>47</v>
      </c>
      <c r="Y4356" t="s">
        <v>16064</v>
      </c>
      <c r="AG4356" t="s">
        <v>48</v>
      </c>
    </row>
    <row r="4357" spans="1:33">
      <c r="A4357" t="s">
        <v>16065</v>
      </c>
      <c r="B4357" t="s">
        <v>16066</v>
      </c>
      <c r="D4357" t="s">
        <v>40</v>
      </c>
      <c r="E4357" t="s">
        <v>41</v>
      </c>
      <c r="J4357" t="s">
        <v>10950</v>
      </c>
      <c r="K4357" t="s">
        <v>10950</v>
      </c>
      <c r="L4357">
        <v>2</v>
      </c>
      <c r="M4357" t="s">
        <v>16067</v>
      </c>
      <c r="N4357" t="s">
        <v>14340</v>
      </c>
      <c r="O4357" t="s">
        <v>47</v>
      </c>
      <c r="P4357" t="s">
        <v>47</v>
      </c>
      <c r="Y4357" t="s">
        <v>16068</v>
      </c>
      <c r="AG4357" t="s">
        <v>48</v>
      </c>
    </row>
    <row r="4358" spans="1:33">
      <c r="A4358" t="s">
        <v>16069</v>
      </c>
      <c r="B4358" t="s">
        <v>16070</v>
      </c>
      <c r="D4358" t="s">
        <v>40</v>
      </c>
      <c r="E4358" t="s">
        <v>41</v>
      </c>
      <c r="J4358" t="s">
        <v>1418</v>
      </c>
      <c r="K4358" t="s">
        <v>1419</v>
      </c>
      <c r="L4358">
        <v>2</v>
      </c>
      <c r="M4358" t="s">
        <v>16071</v>
      </c>
      <c r="N4358" t="s">
        <v>218</v>
      </c>
      <c r="O4358" t="s">
        <v>47</v>
      </c>
      <c r="P4358" t="s">
        <v>47</v>
      </c>
      <c r="Y4358" t="s">
        <v>16072</v>
      </c>
      <c r="AG4358" t="s">
        <v>48</v>
      </c>
    </row>
    <row r="4359" spans="1:33">
      <c r="A4359" t="s">
        <v>16073</v>
      </c>
      <c r="B4359" t="s">
        <v>16074</v>
      </c>
      <c r="D4359" t="s">
        <v>40</v>
      </c>
      <c r="E4359" t="s">
        <v>41</v>
      </c>
      <c r="J4359" t="s">
        <v>1418</v>
      </c>
      <c r="K4359" t="s">
        <v>1419</v>
      </c>
      <c r="L4359">
        <v>2</v>
      </c>
      <c r="M4359" t="s">
        <v>16075</v>
      </c>
      <c r="N4359" t="s">
        <v>14024</v>
      </c>
      <c r="O4359" t="s">
        <v>47</v>
      </c>
      <c r="P4359" t="s">
        <v>47</v>
      </c>
      <c r="Y4359" t="s">
        <v>16076</v>
      </c>
      <c r="AG4359" t="s">
        <v>48</v>
      </c>
    </row>
    <row r="4360" spans="1:33">
      <c r="A4360" t="s">
        <v>16077</v>
      </c>
      <c r="B4360" t="s">
        <v>16078</v>
      </c>
      <c r="D4360" t="s">
        <v>40</v>
      </c>
      <c r="E4360" t="s">
        <v>41</v>
      </c>
      <c r="J4360" t="s">
        <v>86</v>
      </c>
      <c r="K4360" t="s">
        <v>87</v>
      </c>
      <c r="L4360">
        <v>2</v>
      </c>
      <c r="M4360" t="s">
        <v>16079</v>
      </c>
      <c r="N4360" t="s">
        <v>14059</v>
      </c>
      <c r="O4360" t="s">
        <v>47</v>
      </c>
      <c r="P4360" t="s">
        <v>47</v>
      </c>
      <c r="Y4360" t="s">
        <v>16080</v>
      </c>
      <c r="AG4360" t="s">
        <v>48</v>
      </c>
    </row>
    <row r="4361" spans="1:33">
      <c r="A4361" t="s">
        <v>16081</v>
      </c>
      <c r="B4361" t="s">
        <v>16082</v>
      </c>
      <c r="D4361" t="s">
        <v>40</v>
      </c>
      <c r="E4361" t="s">
        <v>41</v>
      </c>
      <c r="J4361" t="s">
        <v>1418</v>
      </c>
      <c r="K4361" t="s">
        <v>1419</v>
      </c>
      <c r="L4361">
        <v>2</v>
      </c>
      <c r="M4361" t="s">
        <v>16083</v>
      </c>
      <c r="N4361" t="s">
        <v>16012</v>
      </c>
      <c r="O4361" t="s">
        <v>47</v>
      </c>
      <c r="P4361" t="s">
        <v>47</v>
      </c>
      <c r="Y4361" t="s">
        <v>16084</v>
      </c>
      <c r="AG4361" t="s">
        <v>48</v>
      </c>
    </row>
    <row r="4362" spans="1:33">
      <c r="A4362" t="s">
        <v>16085</v>
      </c>
      <c r="B4362" t="s">
        <v>16086</v>
      </c>
      <c r="D4362" t="s">
        <v>40</v>
      </c>
      <c r="E4362" t="s">
        <v>41</v>
      </c>
      <c r="J4362" t="s">
        <v>43</v>
      </c>
      <c r="K4362" t="s">
        <v>44</v>
      </c>
      <c r="L4362">
        <v>2</v>
      </c>
      <c r="M4362" t="s">
        <v>16087</v>
      </c>
      <c r="N4362" t="s">
        <v>13978</v>
      </c>
      <c r="O4362" t="s">
        <v>47</v>
      </c>
      <c r="P4362" t="s">
        <v>47</v>
      </c>
      <c r="Y4362" t="s">
        <v>16088</v>
      </c>
      <c r="AG4362" t="s">
        <v>48</v>
      </c>
    </row>
    <row r="4363" spans="1:33">
      <c r="A4363" t="s">
        <v>16089</v>
      </c>
      <c r="B4363" t="s">
        <v>16090</v>
      </c>
      <c r="D4363" t="s">
        <v>40</v>
      </c>
      <c r="E4363" t="s">
        <v>41</v>
      </c>
      <c r="J4363" t="s">
        <v>1418</v>
      </c>
      <c r="K4363" t="s">
        <v>1419</v>
      </c>
      <c r="L4363">
        <v>2</v>
      </c>
      <c r="M4363" t="s">
        <v>16091</v>
      </c>
      <c r="N4363" t="s">
        <v>14024</v>
      </c>
      <c r="O4363" t="s">
        <v>47</v>
      </c>
      <c r="P4363" t="s">
        <v>47</v>
      </c>
      <c r="Y4363" t="s">
        <v>16092</v>
      </c>
      <c r="AG4363" t="s">
        <v>48</v>
      </c>
    </row>
    <row r="4364" spans="1:33">
      <c r="A4364" t="s">
        <v>16093</v>
      </c>
      <c r="B4364" t="s">
        <v>16094</v>
      </c>
      <c r="D4364" t="s">
        <v>40</v>
      </c>
      <c r="E4364" t="s">
        <v>41</v>
      </c>
      <c r="J4364" t="s">
        <v>215</v>
      </c>
      <c r="K4364" t="s">
        <v>216</v>
      </c>
      <c r="L4364">
        <v>6</v>
      </c>
      <c r="M4364" t="s">
        <v>16095</v>
      </c>
      <c r="N4364" t="s">
        <v>14024</v>
      </c>
      <c r="O4364" t="s">
        <v>47</v>
      </c>
      <c r="P4364" t="s">
        <v>47</v>
      </c>
      <c r="Y4364" t="s">
        <v>16096</v>
      </c>
      <c r="AG4364" t="s">
        <v>48</v>
      </c>
    </row>
    <row r="4365" spans="1:33">
      <c r="A4365" t="s">
        <v>16097</v>
      </c>
      <c r="B4365" t="s">
        <v>16098</v>
      </c>
      <c r="D4365" t="s">
        <v>40</v>
      </c>
      <c r="E4365" t="s">
        <v>41</v>
      </c>
      <c r="J4365" t="s">
        <v>86</v>
      </c>
      <c r="K4365" t="s">
        <v>87</v>
      </c>
      <c r="L4365">
        <v>2</v>
      </c>
      <c r="M4365" t="s">
        <v>16099</v>
      </c>
      <c r="N4365" t="s">
        <v>13978</v>
      </c>
      <c r="O4365" t="s">
        <v>47</v>
      </c>
      <c r="P4365" t="s">
        <v>47</v>
      </c>
      <c r="Y4365" t="s">
        <v>16100</v>
      </c>
      <c r="AG4365" t="s">
        <v>48</v>
      </c>
    </row>
    <row r="4366" spans="1:33">
      <c r="A4366" t="s">
        <v>16101</v>
      </c>
      <c r="B4366" t="s">
        <v>16102</v>
      </c>
      <c r="D4366" t="s">
        <v>40</v>
      </c>
      <c r="E4366" t="s">
        <v>41</v>
      </c>
      <c r="J4366" t="s">
        <v>1418</v>
      </c>
      <c r="K4366" t="s">
        <v>1419</v>
      </c>
      <c r="L4366">
        <v>2</v>
      </c>
      <c r="M4366" t="s">
        <v>16103</v>
      </c>
      <c r="N4366" t="s">
        <v>14011</v>
      </c>
      <c r="O4366" t="s">
        <v>47</v>
      </c>
      <c r="P4366" t="s">
        <v>47</v>
      </c>
      <c r="Y4366" t="s">
        <v>16104</v>
      </c>
      <c r="AG4366" t="s">
        <v>48</v>
      </c>
    </row>
    <row r="4367" spans="1:33">
      <c r="A4367" t="s">
        <v>16105</v>
      </c>
      <c r="B4367" t="s">
        <v>16106</v>
      </c>
      <c r="D4367" t="s">
        <v>40</v>
      </c>
      <c r="E4367" t="s">
        <v>41</v>
      </c>
      <c r="J4367" t="s">
        <v>43</v>
      </c>
      <c r="K4367" t="s">
        <v>44</v>
      </c>
      <c r="L4367">
        <v>3</v>
      </c>
      <c r="M4367" t="s">
        <v>16107</v>
      </c>
      <c r="N4367" t="s">
        <v>16012</v>
      </c>
      <c r="O4367" t="s">
        <v>47</v>
      </c>
      <c r="P4367" t="s">
        <v>47</v>
      </c>
      <c r="Y4367" t="s">
        <v>16108</v>
      </c>
      <c r="AG4367" t="s">
        <v>48</v>
      </c>
    </row>
    <row r="4368" spans="1:33">
      <c r="A4368" t="s">
        <v>16109</v>
      </c>
      <c r="B4368" t="s">
        <v>16110</v>
      </c>
      <c r="D4368" t="s">
        <v>40</v>
      </c>
      <c r="E4368" t="s">
        <v>41</v>
      </c>
      <c r="J4368" t="s">
        <v>3472</v>
      </c>
      <c r="K4368" t="s">
        <v>3473</v>
      </c>
      <c r="L4368">
        <v>3</v>
      </c>
      <c r="M4368" t="s">
        <v>16111</v>
      </c>
      <c r="N4368" t="s">
        <v>14011</v>
      </c>
      <c r="O4368" t="s">
        <v>47</v>
      </c>
      <c r="P4368" t="s">
        <v>47</v>
      </c>
      <c r="Y4368" t="s">
        <v>16112</v>
      </c>
      <c r="AG4368" t="s">
        <v>48</v>
      </c>
    </row>
    <row r="4369" spans="1:33">
      <c r="A4369" t="s">
        <v>16113</v>
      </c>
      <c r="B4369" t="s">
        <v>16114</v>
      </c>
      <c r="D4369" t="s">
        <v>40</v>
      </c>
      <c r="E4369" t="s">
        <v>41</v>
      </c>
      <c r="J4369" t="s">
        <v>14204</v>
      </c>
      <c r="K4369" t="s">
        <v>14205</v>
      </c>
      <c r="L4369">
        <v>2</v>
      </c>
      <c r="M4369" t="s">
        <v>16115</v>
      </c>
      <c r="N4369" t="s">
        <v>218</v>
      </c>
      <c r="O4369" t="s">
        <v>47</v>
      </c>
      <c r="P4369" t="s">
        <v>47</v>
      </c>
      <c r="Y4369" t="s">
        <v>16116</v>
      </c>
      <c r="AG4369" t="s">
        <v>48</v>
      </c>
    </row>
    <row r="4370" spans="1:33">
      <c r="A4370" t="s">
        <v>16117</v>
      </c>
      <c r="B4370" t="s">
        <v>16118</v>
      </c>
      <c r="D4370" t="s">
        <v>40</v>
      </c>
      <c r="E4370" t="s">
        <v>41</v>
      </c>
      <c r="J4370" t="s">
        <v>1418</v>
      </c>
      <c r="K4370" t="s">
        <v>1419</v>
      </c>
      <c r="L4370">
        <v>2</v>
      </c>
      <c r="M4370" t="s">
        <v>16119</v>
      </c>
      <c r="N4370" t="s">
        <v>14011</v>
      </c>
      <c r="O4370" t="s">
        <v>47</v>
      </c>
      <c r="P4370" t="s">
        <v>47</v>
      </c>
      <c r="Y4370" t="s">
        <v>16120</v>
      </c>
      <c r="AG4370" t="s">
        <v>48</v>
      </c>
    </row>
    <row r="4371" spans="1:33">
      <c r="A4371" t="s">
        <v>16121</v>
      </c>
      <c r="B4371" t="s">
        <v>16122</v>
      </c>
      <c r="D4371" t="s">
        <v>40</v>
      </c>
      <c r="E4371" t="s">
        <v>41</v>
      </c>
      <c r="J4371" t="s">
        <v>43</v>
      </c>
      <c r="K4371" t="s">
        <v>44</v>
      </c>
      <c r="L4371">
        <v>3</v>
      </c>
      <c r="M4371" t="s">
        <v>16123</v>
      </c>
      <c r="N4371" t="s">
        <v>16012</v>
      </c>
      <c r="O4371" t="s">
        <v>47</v>
      </c>
      <c r="P4371" t="s">
        <v>47</v>
      </c>
      <c r="Y4371" t="s">
        <v>16124</v>
      </c>
      <c r="AG4371" t="s">
        <v>48</v>
      </c>
    </row>
    <row r="4372" spans="1:33">
      <c r="A4372" t="s">
        <v>16125</v>
      </c>
      <c r="B4372" t="s">
        <v>16126</v>
      </c>
      <c r="D4372" t="s">
        <v>40</v>
      </c>
      <c r="E4372" t="s">
        <v>41</v>
      </c>
      <c r="J4372" t="s">
        <v>14475</v>
      </c>
      <c r="K4372" t="s">
        <v>14476</v>
      </c>
      <c r="L4372">
        <v>2</v>
      </c>
      <c r="M4372" t="s">
        <v>16127</v>
      </c>
      <c r="N4372" t="s">
        <v>14059</v>
      </c>
      <c r="O4372" t="s">
        <v>47</v>
      </c>
      <c r="P4372" t="s">
        <v>47</v>
      </c>
      <c r="Y4372" t="s">
        <v>16128</v>
      </c>
      <c r="AG4372" t="s">
        <v>48</v>
      </c>
    </row>
    <row r="4373" spans="1:33">
      <c r="A4373" t="s">
        <v>16129</v>
      </c>
      <c r="B4373" t="s">
        <v>16130</v>
      </c>
      <c r="D4373" t="s">
        <v>40</v>
      </c>
      <c r="E4373" t="s">
        <v>41</v>
      </c>
      <c r="J4373" t="s">
        <v>43</v>
      </c>
      <c r="K4373" t="s">
        <v>44</v>
      </c>
      <c r="L4373">
        <v>2</v>
      </c>
      <c r="M4373" t="s">
        <v>16131</v>
      </c>
      <c r="N4373" t="s">
        <v>16012</v>
      </c>
      <c r="O4373" t="s">
        <v>47</v>
      </c>
      <c r="P4373" t="s">
        <v>47</v>
      </c>
      <c r="Y4373" t="s">
        <v>16132</v>
      </c>
      <c r="AG4373" t="s">
        <v>48</v>
      </c>
    </row>
    <row r="4374" spans="1:33">
      <c r="A4374" t="s">
        <v>16133</v>
      </c>
      <c r="B4374" t="s">
        <v>16134</v>
      </c>
      <c r="D4374" t="s">
        <v>40</v>
      </c>
      <c r="E4374" t="s">
        <v>41</v>
      </c>
      <c r="J4374" t="s">
        <v>86</v>
      </c>
      <c r="K4374" t="s">
        <v>87</v>
      </c>
      <c r="L4374">
        <v>2</v>
      </c>
      <c r="M4374" t="s">
        <v>16135</v>
      </c>
      <c r="N4374" t="s">
        <v>13978</v>
      </c>
      <c r="O4374" t="s">
        <v>47</v>
      </c>
      <c r="P4374" t="s">
        <v>47</v>
      </c>
      <c r="Y4374" t="s">
        <v>16136</v>
      </c>
      <c r="AG4374" t="s">
        <v>48</v>
      </c>
    </row>
    <row r="4375" spans="1:33">
      <c r="A4375" t="s">
        <v>16137</v>
      </c>
      <c r="B4375" t="s">
        <v>16138</v>
      </c>
      <c r="D4375" t="s">
        <v>40</v>
      </c>
      <c r="E4375" t="s">
        <v>41</v>
      </c>
      <c r="J4375" t="s">
        <v>86</v>
      </c>
      <c r="K4375" t="s">
        <v>87</v>
      </c>
      <c r="L4375">
        <v>2</v>
      </c>
      <c r="M4375" t="s">
        <v>16139</v>
      </c>
      <c r="N4375" t="s">
        <v>14059</v>
      </c>
      <c r="O4375" t="s">
        <v>47</v>
      </c>
      <c r="P4375" t="s">
        <v>47</v>
      </c>
      <c r="Y4375" t="s">
        <v>16140</v>
      </c>
      <c r="AG4375" t="s">
        <v>48</v>
      </c>
    </row>
    <row r="4376" spans="1:33">
      <c r="A4376" t="s">
        <v>16141</v>
      </c>
      <c r="B4376" t="s">
        <v>16142</v>
      </c>
      <c r="D4376" t="s">
        <v>40</v>
      </c>
      <c r="E4376" t="s">
        <v>41</v>
      </c>
      <c r="J4376" t="s">
        <v>43</v>
      </c>
      <c r="K4376" t="s">
        <v>44</v>
      </c>
      <c r="L4376">
        <v>2</v>
      </c>
      <c r="M4376" t="s">
        <v>16143</v>
      </c>
      <c r="N4376" t="s">
        <v>16012</v>
      </c>
      <c r="O4376" t="s">
        <v>47</v>
      </c>
      <c r="P4376" t="s">
        <v>47</v>
      </c>
      <c r="Y4376" t="s">
        <v>16144</v>
      </c>
      <c r="AG4376" t="s">
        <v>48</v>
      </c>
    </row>
    <row r="4377" spans="1:33">
      <c r="A4377" t="s">
        <v>16145</v>
      </c>
      <c r="B4377" t="s">
        <v>16146</v>
      </c>
      <c r="D4377" t="s">
        <v>40</v>
      </c>
      <c r="E4377" t="s">
        <v>41</v>
      </c>
      <c r="J4377" t="s">
        <v>1418</v>
      </c>
      <c r="K4377" t="s">
        <v>1419</v>
      </c>
      <c r="L4377">
        <v>3</v>
      </c>
      <c r="M4377" t="s">
        <v>16147</v>
      </c>
      <c r="N4377" t="s">
        <v>14024</v>
      </c>
      <c r="O4377" t="s">
        <v>47</v>
      </c>
      <c r="P4377" t="s">
        <v>47</v>
      </c>
      <c r="Y4377" t="s">
        <v>16148</v>
      </c>
      <c r="AG4377" t="s">
        <v>48</v>
      </c>
    </row>
    <row r="4378" spans="1:33">
      <c r="A4378" t="s">
        <v>16149</v>
      </c>
      <c r="B4378" t="s">
        <v>16150</v>
      </c>
      <c r="D4378" t="s">
        <v>40</v>
      </c>
      <c r="E4378" t="s">
        <v>41</v>
      </c>
      <c r="J4378" t="s">
        <v>86</v>
      </c>
      <c r="K4378" t="s">
        <v>87</v>
      </c>
      <c r="L4378">
        <v>2</v>
      </c>
      <c r="M4378" t="s">
        <v>16151</v>
      </c>
      <c r="N4378" t="s">
        <v>13978</v>
      </c>
      <c r="O4378" t="s">
        <v>47</v>
      </c>
      <c r="P4378" t="s">
        <v>47</v>
      </c>
      <c r="Y4378" t="s">
        <v>16152</v>
      </c>
      <c r="AG4378" t="s">
        <v>48</v>
      </c>
    </row>
    <row r="4379" spans="1:33">
      <c r="A4379" t="s">
        <v>16153</v>
      </c>
      <c r="B4379" t="s">
        <v>16154</v>
      </c>
      <c r="D4379" t="s">
        <v>40</v>
      </c>
      <c r="E4379" t="s">
        <v>41</v>
      </c>
      <c r="J4379" t="s">
        <v>43</v>
      </c>
      <c r="K4379" t="s">
        <v>44</v>
      </c>
      <c r="L4379">
        <v>3</v>
      </c>
      <c r="M4379" t="s">
        <v>16155</v>
      </c>
      <c r="N4379" t="s">
        <v>16012</v>
      </c>
      <c r="O4379" t="s">
        <v>47</v>
      </c>
      <c r="P4379" t="s">
        <v>47</v>
      </c>
      <c r="Y4379" t="s">
        <v>16156</v>
      </c>
      <c r="AG4379" t="s">
        <v>48</v>
      </c>
    </row>
    <row r="4380" spans="1:33">
      <c r="A4380" t="s">
        <v>16157</v>
      </c>
      <c r="B4380" t="s">
        <v>16158</v>
      </c>
      <c r="D4380" t="s">
        <v>40</v>
      </c>
      <c r="E4380" t="s">
        <v>41</v>
      </c>
      <c r="J4380" t="s">
        <v>86</v>
      </c>
      <c r="K4380" t="s">
        <v>87</v>
      </c>
      <c r="L4380">
        <v>2</v>
      </c>
      <c r="M4380" t="s">
        <v>16159</v>
      </c>
      <c r="N4380" t="s">
        <v>14024</v>
      </c>
      <c r="O4380" t="s">
        <v>47</v>
      </c>
      <c r="P4380" t="s">
        <v>47</v>
      </c>
      <c r="Y4380" t="s">
        <v>16160</v>
      </c>
      <c r="AG4380" t="s">
        <v>48</v>
      </c>
    </row>
    <row r="4381" spans="1:33">
      <c r="A4381" t="s">
        <v>16161</v>
      </c>
      <c r="B4381" t="s">
        <v>16162</v>
      </c>
      <c r="D4381" t="s">
        <v>40</v>
      </c>
      <c r="E4381" t="s">
        <v>41</v>
      </c>
      <c r="J4381" t="s">
        <v>86</v>
      </c>
      <c r="K4381" t="s">
        <v>87</v>
      </c>
      <c r="L4381">
        <v>2</v>
      </c>
      <c r="M4381" t="s">
        <v>16163</v>
      </c>
      <c r="N4381" t="s">
        <v>14059</v>
      </c>
      <c r="O4381" t="s">
        <v>47</v>
      </c>
      <c r="P4381" t="s">
        <v>47</v>
      </c>
      <c r="Y4381" t="s">
        <v>16164</v>
      </c>
      <c r="AG4381" t="s">
        <v>48</v>
      </c>
    </row>
    <row r="4382" spans="1:33">
      <c r="A4382" t="s">
        <v>16165</v>
      </c>
      <c r="B4382" t="s">
        <v>16166</v>
      </c>
      <c r="D4382" t="s">
        <v>40</v>
      </c>
      <c r="E4382" t="s">
        <v>41</v>
      </c>
      <c r="J4382" t="s">
        <v>13514</v>
      </c>
      <c r="K4382" t="s">
        <v>13515</v>
      </c>
      <c r="L4382">
        <v>3</v>
      </c>
      <c r="M4382" t="s">
        <v>16167</v>
      </c>
      <c r="N4382" t="s">
        <v>59</v>
      </c>
      <c r="O4382" t="s">
        <v>47</v>
      </c>
      <c r="P4382" t="s">
        <v>47</v>
      </c>
      <c r="Y4382" t="s">
        <v>16168</v>
      </c>
      <c r="AG4382" t="s">
        <v>48</v>
      </c>
    </row>
    <row r="4383" spans="1:33">
      <c r="A4383" t="s">
        <v>16169</v>
      </c>
      <c r="B4383" t="s">
        <v>16170</v>
      </c>
      <c r="D4383" t="s">
        <v>40</v>
      </c>
      <c r="E4383" t="s">
        <v>41</v>
      </c>
      <c r="J4383" t="s">
        <v>86</v>
      </c>
      <c r="K4383" t="s">
        <v>87</v>
      </c>
      <c r="L4383">
        <v>2</v>
      </c>
      <c r="M4383" t="s">
        <v>16171</v>
      </c>
      <c r="N4383" t="s">
        <v>16012</v>
      </c>
      <c r="O4383" t="s">
        <v>47</v>
      </c>
      <c r="P4383" t="s">
        <v>47</v>
      </c>
      <c r="Y4383" t="s">
        <v>16172</v>
      </c>
      <c r="AG4383" t="s">
        <v>48</v>
      </c>
    </row>
    <row r="4384" spans="1:33">
      <c r="A4384" t="s">
        <v>16173</v>
      </c>
      <c r="B4384" t="s">
        <v>16174</v>
      </c>
      <c r="D4384" t="s">
        <v>40</v>
      </c>
      <c r="E4384" t="s">
        <v>41</v>
      </c>
      <c r="J4384" t="s">
        <v>86</v>
      </c>
      <c r="K4384" t="s">
        <v>87</v>
      </c>
      <c r="L4384">
        <v>2</v>
      </c>
      <c r="M4384" t="s">
        <v>16175</v>
      </c>
      <c r="N4384" t="s">
        <v>13978</v>
      </c>
      <c r="O4384" t="s">
        <v>47</v>
      </c>
      <c r="P4384" t="s">
        <v>47</v>
      </c>
      <c r="Y4384" t="s">
        <v>16176</v>
      </c>
      <c r="AG4384" t="s">
        <v>48</v>
      </c>
    </row>
    <row r="4385" spans="1:33">
      <c r="A4385" t="s">
        <v>16177</v>
      </c>
      <c r="B4385" t="s">
        <v>16178</v>
      </c>
      <c r="D4385" t="s">
        <v>40</v>
      </c>
      <c r="E4385" t="s">
        <v>41</v>
      </c>
      <c r="J4385" t="s">
        <v>86</v>
      </c>
      <c r="K4385" t="s">
        <v>87</v>
      </c>
      <c r="L4385">
        <v>5</v>
      </c>
      <c r="M4385" t="s">
        <v>16179</v>
      </c>
      <c r="N4385" t="s">
        <v>16012</v>
      </c>
      <c r="O4385" t="s">
        <v>47</v>
      </c>
      <c r="P4385" t="s">
        <v>47</v>
      </c>
      <c r="Y4385" t="s">
        <v>16180</v>
      </c>
      <c r="AG4385" t="s">
        <v>48</v>
      </c>
    </row>
    <row r="4386" spans="1:33">
      <c r="A4386" t="s">
        <v>16181</v>
      </c>
      <c r="B4386" t="s">
        <v>16182</v>
      </c>
      <c r="D4386" t="s">
        <v>40</v>
      </c>
      <c r="E4386" t="s">
        <v>41</v>
      </c>
      <c r="J4386" t="s">
        <v>1418</v>
      </c>
      <c r="K4386" t="s">
        <v>1419</v>
      </c>
      <c r="L4386">
        <v>2</v>
      </c>
      <c r="M4386" t="s">
        <v>16183</v>
      </c>
      <c r="N4386" t="s">
        <v>14011</v>
      </c>
      <c r="O4386" t="s">
        <v>47</v>
      </c>
      <c r="P4386" t="s">
        <v>47</v>
      </c>
      <c r="Y4386" t="s">
        <v>16184</v>
      </c>
      <c r="AG4386" t="s">
        <v>48</v>
      </c>
    </row>
    <row r="4387" spans="1:33">
      <c r="A4387" t="s">
        <v>16185</v>
      </c>
      <c r="B4387" t="s">
        <v>16186</v>
      </c>
      <c r="D4387" t="s">
        <v>40</v>
      </c>
      <c r="E4387" t="s">
        <v>41</v>
      </c>
      <c r="J4387" t="s">
        <v>43</v>
      </c>
      <c r="K4387" t="s">
        <v>44</v>
      </c>
      <c r="L4387">
        <v>2</v>
      </c>
      <c r="M4387" t="s">
        <v>16187</v>
      </c>
      <c r="N4387" t="s">
        <v>16012</v>
      </c>
      <c r="O4387" t="s">
        <v>47</v>
      </c>
      <c r="P4387" t="s">
        <v>47</v>
      </c>
      <c r="Y4387" t="s">
        <v>16188</v>
      </c>
      <c r="AG4387" t="s">
        <v>48</v>
      </c>
    </row>
    <row r="4388" spans="1:33">
      <c r="A4388" t="s">
        <v>16189</v>
      </c>
      <c r="B4388" t="s">
        <v>16190</v>
      </c>
      <c r="D4388" t="s">
        <v>40</v>
      </c>
      <c r="E4388" t="s">
        <v>41</v>
      </c>
      <c r="J4388" t="s">
        <v>3472</v>
      </c>
      <c r="K4388" t="s">
        <v>3473</v>
      </c>
      <c r="L4388">
        <v>2</v>
      </c>
      <c r="M4388" t="s">
        <v>16191</v>
      </c>
      <c r="N4388" t="s">
        <v>14340</v>
      </c>
      <c r="O4388" t="s">
        <v>47</v>
      </c>
      <c r="P4388" t="s">
        <v>47</v>
      </c>
      <c r="Y4388" t="s">
        <v>16192</v>
      </c>
      <c r="AG4388" t="s">
        <v>48</v>
      </c>
    </row>
    <row r="4389" spans="1:33">
      <c r="A4389" t="s">
        <v>16193</v>
      </c>
      <c r="B4389" t="s">
        <v>16194</v>
      </c>
      <c r="D4389" t="s">
        <v>40</v>
      </c>
      <c r="E4389" t="s">
        <v>41</v>
      </c>
      <c r="J4389" t="s">
        <v>43</v>
      </c>
      <c r="K4389" t="s">
        <v>44</v>
      </c>
      <c r="L4389">
        <v>2</v>
      </c>
      <c r="M4389" t="s">
        <v>16195</v>
      </c>
      <c r="N4389" t="s">
        <v>16012</v>
      </c>
      <c r="O4389" t="s">
        <v>47</v>
      </c>
      <c r="P4389" t="s">
        <v>47</v>
      </c>
      <c r="Y4389" t="s">
        <v>16196</v>
      </c>
      <c r="AG4389" t="s">
        <v>48</v>
      </c>
    </row>
    <row r="4390" spans="1:33">
      <c r="A4390" t="s">
        <v>16197</v>
      </c>
      <c r="B4390" t="s">
        <v>16198</v>
      </c>
      <c r="D4390" t="s">
        <v>40</v>
      </c>
      <c r="E4390" t="s">
        <v>41</v>
      </c>
      <c r="J4390" t="s">
        <v>14204</v>
      </c>
      <c r="K4390" t="s">
        <v>14205</v>
      </c>
      <c r="L4390">
        <v>2</v>
      </c>
      <c r="M4390" t="s">
        <v>16199</v>
      </c>
      <c r="N4390" t="s">
        <v>218</v>
      </c>
      <c r="O4390" t="s">
        <v>47</v>
      </c>
      <c r="P4390" t="s">
        <v>47</v>
      </c>
      <c r="Y4390" t="s">
        <v>16200</v>
      </c>
      <c r="AG4390" t="s">
        <v>48</v>
      </c>
    </row>
    <row r="4391" spans="1:33">
      <c r="A4391" t="s">
        <v>16201</v>
      </c>
      <c r="B4391" t="s">
        <v>16202</v>
      </c>
      <c r="D4391" t="s">
        <v>40</v>
      </c>
      <c r="E4391" t="s">
        <v>41</v>
      </c>
      <c r="J4391" t="s">
        <v>86</v>
      </c>
      <c r="K4391" t="s">
        <v>87</v>
      </c>
      <c r="L4391">
        <v>3</v>
      </c>
      <c r="M4391" t="s">
        <v>16203</v>
      </c>
      <c r="N4391" t="s">
        <v>16012</v>
      </c>
      <c r="O4391" t="s">
        <v>47</v>
      </c>
      <c r="P4391" t="s">
        <v>47</v>
      </c>
      <c r="Y4391" t="s">
        <v>16204</v>
      </c>
      <c r="AG4391" t="s">
        <v>48</v>
      </c>
    </row>
    <row r="4392" spans="1:33">
      <c r="A4392" t="s">
        <v>16205</v>
      </c>
      <c r="B4392" t="s">
        <v>16206</v>
      </c>
      <c r="D4392" t="s">
        <v>40</v>
      </c>
      <c r="E4392" t="s">
        <v>41</v>
      </c>
      <c r="J4392" t="s">
        <v>1418</v>
      </c>
      <c r="K4392" t="s">
        <v>1419</v>
      </c>
      <c r="L4392">
        <v>2</v>
      </c>
      <c r="M4392" t="s">
        <v>16207</v>
      </c>
      <c r="N4392" t="s">
        <v>14024</v>
      </c>
      <c r="O4392" t="s">
        <v>47</v>
      </c>
      <c r="P4392" t="s">
        <v>47</v>
      </c>
      <c r="Y4392" t="s">
        <v>16208</v>
      </c>
      <c r="AG4392" t="s">
        <v>48</v>
      </c>
    </row>
    <row r="4393" spans="1:33">
      <c r="A4393" t="s">
        <v>16209</v>
      </c>
      <c r="B4393" t="s">
        <v>16210</v>
      </c>
      <c r="D4393" t="s">
        <v>40</v>
      </c>
      <c r="E4393" t="s">
        <v>41</v>
      </c>
      <c r="J4393" t="s">
        <v>86</v>
      </c>
      <c r="K4393" t="s">
        <v>87</v>
      </c>
      <c r="L4393">
        <v>2</v>
      </c>
      <c r="M4393" t="s">
        <v>16211</v>
      </c>
      <c r="N4393" t="s">
        <v>14059</v>
      </c>
      <c r="O4393" t="s">
        <v>47</v>
      </c>
      <c r="P4393" t="s">
        <v>47</v>
      </c>
      <c r="Y4393" t="s">
        <v>16212</v>
      </c>
      <c r="AG4393" t="s">
        <v>48</v>
      </c>
    </row>
    <row r="4394" spans="1:33">
      <c r="A4394" t="s">
        <v>16213</v>
      </c>
      <c r="B4394" t="s">
        <v>16214</v>
      </c>
      <c r="D4394" t="s">
        <v>40</v>
      </c>
      <c r="E4394" t="s">
        <v>41</v>
      </c>
      <c r="J4394" t="s">
        <v>86</v>
      </c>
      <c r="K4394" t="s">
        <v>87</v>
      </c>
      <c r="L4394">
        <v>2</v>
      </c>
      <c r="M4394" t="s">
        <v>16215</v>
      </c>
      <c r="N4394" t="s">
        <v>16012</v>
      </c>
      <c r="O4394" t="s">
        <v>47</v>
      </c>
      <c r="P4394" t="s">
        <v>47</v>
      </c>
      <c r="Y4394" t="s">
        <v>16216</v>
      </c>
      <c r="AG4394" t="s">
        <v>48</v>
      </c>
    </row>
    <row r="4395" spans="1:33">
      <c r="A4395" t="s">
        <v>16217</v>
      </c>
      <c r="B4395" t="s">
        <v>16218</v>
      </c>
      <c r="D4395" t="s">
        <v>40</v>
      </c>
      <c r="E4395" t="s">
        <v>41</v>
      </c>
      <c r="J4395" t="s">
        <v>86</v>
      </c>
      <c r="K4395" t="s">
        <v>87</v>
      </c>
      <c r="L4395">
        <v>2</v>
      </c>
      <c r="M4395" t="s">
        <v>16219</v>
      </c>
      <c r="N4395" t="s">
        <v>192</v>
      </c>
      <c r="O4395" t="s">
        <v>47</v>
      </c>
      <c r="P4395" t="s">
        <v>47</v>
      </c>
      <c r="Y4395" t="s">
        <v>16220</v>
      </c>
      <c r="AG4395" t="s">
        <v>48</v>
      </c>
    </row>
    <row r="4396" spans="1:33">
      <c r="A4396" t="s">
        <v>16221</v>
      </c>
      <c r="B4396" t="s">
        <v>16222</v>
      </c>
      <c r="D4396" t="s">
        <v>40</v>
      </c>
      <c r="E4396" t="s">
        <v>41</v>
      </c>
      <c r="J4396" t="s">
        <v>1418</v>
      </c>
      <c r="K4396" t="s">
        <v>1419</v>
      </c>
      <c r="L4396">
        <v>2</v>
      </c>
      <c r="M4396" t="s">
        <v>16223</v>
      </c>
      <c r="N4396" t="s">
        <v>14024</v>
      </c>
      <c r="O4396" t="s">
        <v>47</v>
      </c>
      <c r="P4396" t="s">
        <v>47</v>
      </c>
      <c r="Y4396" t="s">
        <v>16224</v>
      </c>
      <c r="AG4396" t="s">
        <v>48</v>
      </c>
    </row>
    <row r="4397" spans="1:33">
      <c r="A4397" t="s">
        <v>16225</v>
      </c>
      <c r="B4397" t="s">
        <v>16226</v>
      </c>
      <c r="D4397" t="s">
        <v>40</v>
      </c>
      <c r="E4397" t="s">
        <v>41</v>
      </c>
      <c r="J4397" t="s">
        <v>86</v>
      </c>
      <c r="K4397" t="s">
        <v>87</v>
      </c>
      <c r="L4397">
        <v>2</v>
      </c>
      <c r="M4397" t="s">
        <v>16227</v>
      </c>
      <c r="N4397" t="s">
        <v>192</v>
      </c>
      <c r="O4397" t="s">
        <v>47</v>
      </c>
      <c r="P4397" t="s">
        <v>47</v>
      </c>
      <c r="Y4397" t="s">
        <v>16228</v>
      </c>
      <c r="AG4397" t="s">
        <v>48</v>
      </c>
    </row>
    <row r="4398" spans="1:33">
      <c r="A4398" t="s">
        <v>16229</v>
      </c>
      <c r="B4398" t="s">
        <v>16230</v>
      </c>
      <c r="D4398" t="s">
        <v>40</v>
      </c>
      <c r="E4398" t="s">
        <v>41</v>
      </c>
      <c r="J4398" t="s">
        <v>86</v>
      </c>
      <c r="K4398" t="s">
        <v>87</v>
      </c>
      <c r="L4398">
        <v>2</v>
      </c>
      <c r="M4398" t="s">
        <v>16231</v>
      </c>
      <c r="N4398" t="s">
        <v>16012</v>
      </c>
      <c r="O4398" t="s">
        <v>47</v>
      </c>
      <c r="P4398" t="s">
        <v>47</v>
      </c>
      <c r="Y4398" t="s">
        <v>16232</v>
      </c>
      <c r="AG4398" t="s">
        <v>48</v>
      </c>
    </row>
    <row r="4399" spans="1:33">
      <c r="A4399" t="s">
        <v>16233</v>
      </c>
      <c r="B4399" t="s">
        <v>16234</v>
      </c>
      <c r="D4399" t="s">
        <v>40</v>
      </c>
      <c r="E4399" t="s">
        <v>41</v>
      </c>
      <c r="J4399" t="s">
        <v>43</v>
      </c>
      <c r="K4399" t="s">
        <v>44</v>
      </c>
      <c r="L4399">
        <v>3</v>
      </c>
      <c r="M4399" t="s">
        <v>16235</v>
      </c>
      <c r="N4399" t="s">
        <v>16012</v>
      </c>
      <c r="O4399" t="s">
        <v>47</v>
      </c>
      <c r="P4399" t="s">
        <v>47</v>
      </c>
      <c r="Y4399" t="s">
        <v>16236</v>
      </c>
      <c r="AG4399" t="s">
        <v>48</v>
      </c>
    </row>
    <row r="4400" spans="1:33">
      <c r="A4400" t="s">
        <v>16237</v>
      </c>
      <c r="B4400" t="s">
        <v>16238</v>
      </c>
      <c r="D4400" t="s">
        <v>40</v>
      </c>
      <c r="E4400" t="s">
        <v>41</v>
      </c>
      <c r="J4400" t="s">
        <v>43</v>
      </c>
      <c r="K4400" t="s">
        <v>44</v>
      </c>
      <c r="L4400">
        <v>2</v>
      </c>
      <c r="M4400" t="s">
        <v>16239</v>
      </c>
      <c r="N4400" t="s">
        <v>192</v>
      </c>
      <c r="O4400" t="s">
        <v>47</v>
      </c>
      <c r="P4400" t="s">
        <v>47</v>
      </c>
      <c r="Y4400" t="s">
        <v>16240</v>
      </c>
      <c r="AG4400" t="s">
        <v>48</v>
      </c>
    </row>
    <row r="4401" spans="1:33">
      <c r="A4401" t="s">
        <v>16241</v>
      </c>
      <c r="B4401" t="s">
        <v>16242</v>
      </c>
      <c r="D4401" t="s">
        <v>40</v>
      </c>
      <c r="E4401" t="s">
        <v>41</v>
      </c>
      <c r="J4401" t="s">
        <v>43</v>
      </c>
      <c r="K4401" t="s">
        <v>44</v>
      </c>
      <c r="L4401">
        <v>2</v>
      </c>
      <c r="M4401" t="s">
        <v>16243</v>
      </c>
      <c r="N4401" t="s">
        <v>16012</v>
      </c>
      <c r="O4401" t="s">
        <v>47</v>
      </c>
      <c r="P4401" t="s">
        <v>47</v>
      </c>
      <c r="Y4401" t="s">
        <v>16244</v>
      </c>
      <c r="AG4401" t="s">
        <v>48</v>
      </c>
    </row>
    <row r="4402" spans="1:33">
      <c r="A4402" t="s">
        <v>16245</v>
      </c>
      <c r="B4402" t="s">
        <v>16246</v>
      </c>
      <c r="D4402" t="s">
        <v>40</v>
      </c>
      <c r="E4402" t="s">
        <v>41</v>
      </c>
      <c r="J4402" t="s">
        <v>1418</v>
      </c>
      <c r="K4402" t="s">
        <v>1419</v>
      </c>
      <c r="L4402">
        <v>2</v>
      </c>
      <c r="M4402" t="s">
        <v>16247</v>
      </c>
      <c r="N4402" t="s">
        <v>192</v>
      </c>
      <c r="O4402" t="s">
        <v>47</v>
      </c>
      <c r="P4402" t="s">
        <v>47</v>
      </c>
      <c r="Y4402" t="s">
        <v>16248</v>
      </c>
      <c r="AG4402" t="s">
        <v>48</v>
      </c>
    </row>
    <row r="4403" spans="1:33">
      <c r="A4403" t="s">
        <v>16249</v>
      </c>
      <c r="B4403" t="s">
        <v>16250</v>
      </c>
      <c r="D4403" t="s">
        <v>40</v>
      </c>
      <c r="E4403" t="s">
        <v>41</v>
      </c>
      <c r="J4403" t="s">
        <v>43</v>
      </c>
      <c r="K4403" t="s">
        <v>44</v>
      </c>
      <c r="L4403">
        <v>2</v>
      </c>
      <c r="M4403" t="s">
        <v>16251</v>
      </c>
      <c r="N4403" t="s">
        <v>192</v>
      </c>
      <c r="O4403" t="s">
        <v>47</v>
      </c>
      <c r="P4403" t="s">
        <v>47</v>
      </c>
      <c r="Y4403" t="s">
        <v>16252</v>
      </c>
      <c r="AG4403" t="s">
        <v>48</v>
      </c>
    </row>
    <row r="4404" spans="1:33">
      <c r="A4404" t="s">
        <v>16253</v>
      </c>
      <c r="B4404" t="s">
        <v>16254</v>
      </c>
      <c r="D4404" t="s">
        <v>40</v>
      </c>
      <c r="E4404" t="s">
        <v>41</v>
      </c>
      <c r="J4404" t="s">
        <v>43</v>
      </c>
      <c r="K4404" t="s">
        <v>44</v>
      </c>
      <c r="L4404">
        <v>3</v>
      </c>
      <c r="M4404" t="s">
        <v>16255</v>
      </c>
      <c r="N4404" t="s">
        <v>192</v>
      </c>
      <c r="O4404" t="s">
        <v>47</v>
      </c>
      <c r="P4404" t="s">
        <v>47</v>
      </c>
      <c r="Y4404" t="s">
        <v>16256</v>
      </c>
      <c r="AG4404" t="s">
        <v>48</v>
      </c>
    </row>
    <row r="4405" spans="1:33">
      <c r="A4405" t="s">
        <v>16257</v>
      </c>
      <c r="B4405" t="s">
        <v>16258</v>
      </c>
      <c r="D4405" t="s">
        <v>40</v>
      </c>
      <c r="E4405" t="s">
        <v>41</v>
      </c>
      <c r="J4405" t="s">
        <v>13514</v>
      </c>
      <c r="K4405" t="s">
        <v>13515</v>
      </c>
      <c r="L4405">
        <v>3</v>
      </c>
      <c r="M4405" t="s">
        <v>16259</v>
      </c>
      <c r="N4405" t="s">
        <v>59</v>
      </c>
      <c r="O4405" t="s">
        <v>47</v>
      </c>
      <c r="P4405" t="s">
        <v>47</v>
      </c>
      <c r="Y4405" t="s">
        <v>16260</v>
      </c>
      <c r="AG4405" t="s">
        <v>48</v>
      </c>
    </row>
    <row r="4406" spans="1:33">
      <c r="A4406" t="s">
        <v>16261</v>
      </c>
      <c r="B4406" t="s">
        <v>16262</v>
      </c>
      <c r="D4406" t="s">
        <v>40</v>
      </c>
      <c r="E4406" t="s">
        <v>41</v>
      </c>
      <c r="J4406" t="s">
        <v>43</v>
      </c>
      <c r="K4406" t="s">
        <v>44</v>
      </c>
      <c r="L4406">
        <v>2</v>
      </c>
      <c r="M4406" t="s">
        <v>16263</v>
      </c>
      <c r="N4406" t="s">
        <v>192</v>
      </c>
      <c r="O4406" t="s">
        <v>47</v>
      </c>
      <c r="P4406" t="s">
        <v>47</v>
      </c>
      <c r="Y4406" t="s">
        <v>16264</v>
      </c>
      <c r="AG4406" t="s">
        <v>48</v>
      </c>
    </row>
    <row r="4407" spans="1:33">
      <c r="A4407" t="s">
        <v>117</v>
      </c>
      <c r="B4407" t="s">
        <v>16265</v>
      </c>
      <c r="D4407" t="s">
        <v>40</v>
      </c>
      <c r="E4407" t="s">
        <v>41</v>
      </c>
      <c r="J4407" t="s">
        <v>86</v>
      </c>
      <c r="K4407" t="s">
        <v>87</v>
      </c>
      <c r="L4407">
        <v>2</v>
      </c>
      <c r="M4407" t="s">
        <v>16266</v>
      </c>
      <c r="N4407" t="s">
        <v>192</v>
      </c>
      <c r="O4407" t="s">
        <v>47</v>
      </c>
      <c r="P4407" t="s">
        <v>47</v>
      </c>
      <c r="Y4407" t="s">
        <v>16267</v>
      </c>
      <c r="AG4407" t="s">
        <v>48</v>
      </c>
    </row>
    <row r="4408" spans="1:33">
      <c r="A4408" t="s">
        <v>16268</v>
      </c>
      <c r="B4408" t="s">
        <v>16269</v>
      </c>
      <c r="D4408" t="s">
        <v>40</v>
      </c>
      <c r="E4408" t="s">
        <v>41</v>
      </c>
      <c r="J4408" t="s">
        <v>86</v>
      </c>
      <c r="K4408" t="s">
        <v>87</v>
      </c>
      <c r="L4408">
        <v>2</v>
      </c>
      <c r="M4408" t="s">
        <v>16270</v>
      </c>
      <c r="N4408" t="s">
        <v>192</v>
      </c>
      <c r="O4408" t="s">
        <v>47</v>
      </c>
      <c r="P4408" t="s">
        <v>47</v>
      </c>
      <c r="Y4408" t="s">
        <v>16271</v>
      </c>
      <c r="AG4408" t="s">
        <v>48</v>
      </c>
    </row>
    <row r="4409" spans="1:33">
      <c r="A4409" t="s">
        <v>16272</v>
      </c>
      <c r="B4409" t="s">
        <v>16273</v>
      </c>
      <c r="D4409" t="s">
        <v>40</v>
      </c>
      <c r="E4409" t="s">
        <v>41</v>
      </c>
      <c r="J4409" t="s">
        <v>86</v>
      </c>
      <c r="K4409" t="s">
        <v>87</v>
      </c>
      <c r="L4409">
        <v>2</v>
      </c>
      <c r="M4409" t="s">
        <v>16274</v>
      </c>
      <c r="N4409" t="s">
        <v>14024</v>
      </c>
      <c r="O4409" t="s">
        <v>47</v>
      </c>
      <c r="P4409" t="s">
        <v>47</v>
      </c>
      <c r="Y4409" t="s">
        <v>16275</v>
      </c>
      <c r="AG4409" t="s">
        <v>48</v>
      </c>
    </row>
    <row r="4410" spans="1:33">
      <c r="A4410" t="s">
        <v>16276</v>
      </c>
      <c r="B4410" t="s">
        <v>16277</v>
      </c>
      <c r="D4410" t="s">
        <v>40</v>
      </c>
      <c r="E4410" t="s">
        <v>41</v>
      </c>
      <c r="J4410" t="s">
        <v>14204</v>
      </c>
      <c r="K4410" t="s">
        <v>14205</v>
      </c>
      <c r="L4410">
        <v>2</v>
      </c>
      <c r="M4410" t="s">
        <v>16278</v>
      </c>
      <c r="N4410" t="s">
        <v>14340</v>
      </c>
      <c r="O4410" t="s">
        <v>47</v>
      </c>
      <c r="P4410" t="s">
        <v>47</v>
      </c>
      <c r="Y4410" t="s">
        <v>16279</v>
      </c>
      <c r="AG4410" t="s">
        <v>48</v>
      </c>
    </row>
    <row r="4411" spans="1:33">
      <c r="A4411" t="s">
        <v>16280</v>
      </c>
      <c r="B4411" t="s">
        <v>16281</v>
      </c>
      <c r="D4411" t="s">
        <v>40</v>
      </c>
      <c r="E4411" t="s">
        <v>41</v>
      </c>
      <c r="J4411" t="s">
        <v>14204</v>
      </c>
      <c r="K4411" t="s">
        <v>14205</v>
      </c>
      <c r="L4411">
        <v>2</v>
      </c>
      <c r="M4411" t="s">
        <v>16282</v>
      </c>
      <c r="N4411" t="s">
        <v>14340</v>
      </c>
      <c r="O4411" t="s">
        <v>47</v>
      </c>
      <c r="P4411" t="s">
        <v>47</v>
      </c>
      <c r="Y4411" t="s">
        <v>16283</v>
      </c>
      <c r="AG4411" t="s">
        <v>48</v>
      </c>
    </row>
    <row r="4412" spans="1:33">
      <c r="A4412" t="s">
        <v>16284</v>
      </c>
      <c r="B4412" t="s">
        <v>16285</v>
      </c>
      <c r="D4412" t="s">
        <v>40</v>
      </c>
      <c r="E4412" t="s">
        <v>41</v>
      </c>
      <c r="J4412" t="s">
        <v>4737</v>
      </c>
      <c r="K4412" t="s">
        <v>4738</v>
      </c>
      <c r="L4412">
        <v>2</v>
      </c>
      <c r="M4412" t="s">
        <v>16286</v>
      </c>
      <c r="N4412" t="s">
        <v>14024</v>
      </c>
      <c r="O4412" t="s">
        <v>47</v>
      </c>
      <c r="P4412" t="s">
        <v>47</v>
      </c>
      <c r="Y4412" t="s">
        <v>16287</v>
      </c>
      <c r="AG4412" t="s">
        <v>48</v>
      </c>
    </row>
    <row r="4413" spans="1:33">
      <c r="A4413" t="s">
        <v>16288</v>
      </c>
      <c r="B4413" t="s">
        <v>16289</v>
      </c>
      <c r="D4413" t="s">
        <v>40</v>
      </c>
      <c r="E4413" t="s">
        <v>41</v>
      </c>
      <c r="J4413" t="s">
        <v>4737</v>
      </c>
      <c r="K4413" t="s">
        <v>4738</v>
      </c>
      <c r="L4413">
        <v>2</v>
      </c>
      <c r="M4413" t="s">
        <v>16290</v>
      </c>
      <c r="N4413" t="s">
        <v>13978</v>
      </c>
      <c r="O4413" t="s">
        <v>47</v>
      </c>
      <c r="P4413" t="s">
        <v>47</v>
      </c>
      <c r="Y4413" t="s">
        <v>16291</v>
      </c>
      <c r="AG4413" t="s">
        <v>48</v>
      </c>
    </row>
    <row r="4414" spans="1:33">
      <c r="A4414" t="s">
        <v>16292</v>
      </c>
      <c r="B4414" t="s">
        <v>16293</v>
      </c>
      <c r="D4414" t="s">
        <v>40</v>
      </c>
      <c r="E4414" t="s">
        <v>41</v>
      </c>
      <c r="J4414" t="s">
        <v>3472</v>
      </c>
      <c r="K4414" t="s">
        <v>3473</v>
      </c>
      <c r="L4414">
        <v>3</v>
      </c>
      <c r="M4414" t="s">
        <v>16294</v>
      </c>
      <c r="N4414" t="s">
        <v>13978</v>
      </c>
      <c r="O4414" t="s">
        <v>47</v>
      </c>
      <c r="P4414" t="s">
        <v>47</v>
      </c>
      <c r="Y4414" t="s">
        <v>16295</v>
      </c>
      <c r="AG4414" t="s">
        <v>48</v>
      </c>
    </row>
    <row r="4415" spans="1:33">
      <c r="A4415" t="s">
        <v>16296</v>
      </c>
      <c r="B4415" t="s">
        <v>16297</v>
      </c>
      <c r="D4415" t="s">
        <v>40</v>
      </c>
      <c r="E4415" t="s">
        <v>41</v>
      </c>
      <c r="J4415" t="s">
        <v>43</v>
      </c>
      <c r="K4415" t="s">
        <v>44</v>
      </c>
      <c r="L4415">
        <v>2</v>
      </c>
      <c r="M4415" t="s">
        <v>16298</v>
      </c>
      <c r="N4415" t="s">
        <v>13978</v>
      </c>
      <c r="O4415" t="s">
        <v>47</v>
      </c>
      <c r="P4415" t="s">
        <v>47</v>
      </c>
      <c r="Y4415" t="s">
        <v>16299</v>
      </c>
      <c r="AG4415" t="s">
        <v>48</v>
      </c>
    </row>
    <row r="4416" spans="1:33">
      <c r="A4416" t="s">
        <v>16300</v>
      </c>
      <c r="B4416" t="s">
        <v>16301</v>
      </c>
      <c r="D4416" t="s">
        <v>40</v>
      </c>
      <c r="E4416" t="s">
        <v>41</v>
      </c>
      <c r="J4416" t="s">
        <v>4737</v>
      </c>
      <c r="K4416" t="s">
        <v>4738</v>
      </c>
      <c r="L4416">
        <v>2</v>
      </c>
      <c r="M4416" t="s">
        <v>16302</v>
      </c>
      <c r="N4416" t="s">
        <v>14024</v>
      </c>
      <c r="O4416" t="s">
        <v>47</v>
      </c>
      <c r="P4416" t="s">
        <v>47</v>
      </c>
      <c r="Y4416" t="s">
        <v>16303</v>
      </c>
      <c r="AG4416" t="s">
        <v>48</v>
      </c>
    </row>
    <row r="4417" spans="1:33">
      <c r="A4417" t="s">
        <v>16304</v>
      </c>
      <c r="B4417" t="s">
        <v>16305</v>
      </c>
      <c r="D4417" t="s">
        <v>40</v>
      </c>
      <c r="E4417" t="s">
        <v>41</v>
      </c>
      <c r="J4417" t="s">
        <v>14475</v>
      </c>
      <c r="K4417" t="s">
        <v>14476</v>
      </c>
      <c r="L4417">
        <v>2</v>
      </c>
      <c r="M4417" t="s">
        <v>16306</v>
      </c>
      <c r="N4417" t="s">
        <v>14059</v>
      </c>
      <c r="O4417" t="s">
        <v>47</v>
      </c>
      <c r="P4417" t="s">
        <v>47</v>
      </c>
      <c r="Y4417" t="s">
        <v>16307</v>
      </c>
      <c r="AG4417" t="s">
        <v>48</v>
      </c>
    </row>
    <row r="4418" spans="1:33">
      <c r="A4418" t="s">
        <v>16308</v>
      </c>
      <c r="B4418" t="s">
        <v>16309</v>
      </c>
      <c r="D4418" t="s">
        <v>40</v>
      </c>
      <c r="E4418" t="s">
        <v>41</v>
      </c>
      <c r="J4418" t="s">
        <v>86</v>
      </c>
      <c r="K4418" t="s">
        <v>87</v>
      </c>
      <c r="L4418">
        <v>2</v>
      </c>
      <c r="M4418" t="s">
        <v>16310</v>
      </c>
      <c r="N4418" t="s">
        <v>13978</v>
      </c>
      <c r="O4418" t="s">
        <v>47</v>
      </c>
      <c r="P4418" t="s">
        <v>47</v>
      </c>
      <c r="Y4418" t="s">
        <v>16311</v>
      </c>
      <c r="AG4418" t="s">
        <v>48</v>
      </c>
    </row>
    <row r="4419" spans="1:33">
      <c r="A4419" t="s">
        <v>16312</v>
      </c>
      <c r="B4419" t="s">
        <v>16313</v>
      </c>
      <c r="D4419" t="s">
        <v>40</v>
      </c>
      <c r="E4419" t="s">
        <v>41</v>
      </c>
      <c r="J4419" t="s">
        <v>86</v>
      </c>
      <c r="K4419" t="s">
        <v>87</v>
      </c>
      <c r="L4419">
        <v>2</v>
      </c>
      <c r="M4419" t="s">
        <v>16314</v>
      </c>
      <c r="N4419" t="s">
        <v>14059</v>
      </c>
      <c r="O4419" t="s">
        <v>47</v>
      </c>
      <c r="P4419" t="s">
        <v>47</v>
      </c>
      <c r="Y4419" t="s">
        <v>16315</v>
      </c>
      <c r="AG4419" t="s">
        <v>48</v>
      </c>
    </row>
    <row r="4420" spans="1:33">
      <c r="A4420" t="s">
        <v>16316</v>
      </c>
      <c r="B4420" t="s">
        <v>16317</v>
      </c>
      <c r="D4420" t="s">
        <v>40</v>
      </c>
      <c r="E4420" t="s">
        <v>41</v>
      </c>
      <c r="J4420" t="s">
        <v>13514</v>
      </c>
      <c r="K4420" t="s">
        <v>13515</v>
      </c>
      <c r="L4420">
        <v>3</v>
      </c>
      <c r="M4420" t="s">
        <v>16318</v>
      </c>
      <c r="N4420" t="s">
        <v>59</v>
      </c>
      <c r="O4420" t="s">
        <v>47</v>
      </c>
      <c r="P4420" t="s">
        <v>47</v>
      </c>
      <c r="Y4420" t="s">
        <v>16319</v>
      </c>
      <c r="AG4420" t="s">
        <v>48</v>
      </c>
    </row>
    <row r="4421" spans="1:33">
      <c r="A4421" t="s">
        <v>16320</v>
      </c>
      <c r="B4421" t="s">
        <v>16321</v>
      </c>
      <c r="D4421" t="s">
        <v>40</v>
      </c>
      <c r="E4421" t="s">
        <v>41</v>
      </c>
      <c r="J4421" t="s">
        <v>1418</v>
      </c>
      <c r="K4421" t="s">
        <v>1419</v>
      </c>
      <c r="L4421">
        <v>2</v>
      </c>
      <c r="M4421" t="s">
        <v>16322</v>
      </c>
      <c r="N4421" t="s">
        <v>14011</v>
      </c>
      <c r="O4421" t="s">
        <v>47</v>
      </c>
      <c r="P4421" t="s">
        <v>47</v>
      </c>
      <c r="Y4421" t="s">
        <v>16323</v>
      </c>
      <c r="AG4421" t="s">
        <v>48</v>
      </c>
    </row>
    <row r="4422" spans="1:33">
      <c r="A4422" t="s">
        <v>16324</v>
      </c>
      <c r="B4422" t="s">
        <v>16325</v>
      </c>
      <c r="D4422" t="s">
        <v>40</v>
      </c>
      <c r="E4422" t="s">
        <v>41</v>
      </c>
      <c r="J4422" t="s">
        <v>1052</v>
      </c>
      <c r="K4422" t="s">
        <v>1053</v>
      </c>
      <c r="L4422">
        <v>2</v>
      </c>
      <c r="M4422" t="s">
        <v>16326</v>
      </c>
      <c r="N4422" t="s">
        <v>14011</v>
      </c>
      <c r="O4422" t="s">
        <v>47</v>
      </c>
      <c r="P4422" t="s">
        <v>47</v>
      </c>
      <c r="Y4422" t="s">
        <v>16327</v>
      </c>
      <c r="AG4422" t="s">
        <v>48</v>
      </c>
    </row>
    <row r="4423" spans="1:33">
      <c r="A4423" t="s">
        <v>16328</v>
      </c>
      <c r="B4423" t="s">
        <v>16329</v>
      </c>
      <c r="D4423" t="s">
        <v>40</v>
      </c>
      <c r="E4423" t="s">
        <v>41</v>
      </c>
      <c r="J4423" t="s">
        <v>8931</v>
      </c>
      <c r="K4423" t="s">
        <v>8932</v>
      </c>
      <c r="L4423">
        <v>2</v>
      </c>
      <c r="M4423" t="s">
        <v>16330</v>
      </c>
      <c r="N4423" t="s">
        <v>14011</v>
      </c>
      <c r="O4423" t="s">
        <v>47</v>
      </c>
      <c r="P4423" t="s">
        <v>47</v>
      </c>
      <c r="Y4423" t="s">
        <v>16331</v>
      </c>
      <c r="AG4423" t="s">
        <v>48</v>
      </c>
    </row>
    <row r="4424" spans="1:33">
      <c r="A4424" t="s">
        <v>16332</v>
      </c>
      <c r="B4424" t="s">
        <v>16333</v>
      </c>
      <c r="D4424" t="s">
        <v>40</v>
      </c>
      <c r="E4424" t="s">
        <v>41</v>
      </c>
      <c r="J4424" t="s">
        <v>14204</v>
      </c>
      <c r="K4424" t="s">
        <v>14205</v>
      </c>
      <c r="L4424">
        <v>2</v>
      </c>
      <c r="M4424" t="s">
        <v>16334</v>
      </c>
      <c r="N4424" t="s">
        <v>14011</v>
      </c>
      <c r="O4424" t="s">
        <v>47</v>
      </c>
      <c r="P4424" t="s">
        <v>47</v>
      </c>
      <c r="Y4424" t="s">
        <v>16335</v>
      </c>
      <c r="AG4424" t="s">
        <v>48</v>
      </c>
    </row>
    <row r="4425" spans="1:33">
      <c r="A4425" t="s">
        <v>16336</v>
      </c>
      <c r="B4425" t="s">
        <v>16337</v>
      </c>
      <c r="D4425" t="s">
        <v>40</v>
      </c>
      <c r="E4425" t="s">
        <v>41</v>
      </c>
      <c r="J4425" t="s">
        <v>43</v>
      </c>
      <c r="K4425" t="s">
        <v>44</v>
      </c>
      <c r="L4425">
        <v>3</v>
      </c>
      <c r="M4425" t="s">
        <v>16338</v>
      </c>
      <c r="N4425" t="s">
        <v>192</v>
      </c>
      <c r="O4425" t="s">
        <v>47</v>
      </c>
      <c r="P4425" t="s">
        <v>47</v>
      </c>
      <c r="Y4425" t="s">
        <v>16339</v>
      </c>
      <c r="AG4425" t="s">
        <v>48</v>
      </c>
    </row>
    <row r="4426" spans="1:33">
      <c r="A4426" t="s">
        <v>16340</v>
      </c>
      <c r="B4426" t="s">
        <v>16341</v>
      </c>
      <c r="D4426" t="s">
        <v>40</v>
      </c>
      <c r="E4426" t="s">
        <v>41</v>
      </c>
      <c r="J4426" t="s">
        <v>86</v>
      </c>
      <c r="K4426" t="s">
        <v>87</v>
      </c>
      <c r="L4426">
        <v>2</v>
      </c>
      <c r="M4426" t="s">
        <v>16342</v>
      </c>
      <c r="N4426" t="s">
        <v>14024</v>
      </c>
      <c r="O4426" t="s">
        <v>47</v>
      </c>
      <c r="P4426" t="s">
        <v>47</v>
      </c>
      <c r="Y4426" t="s">
        <v>16343</v>
      </c>
      <c r="AG4426" t="s">
        <v>48</v>
      </c>
    </row>
    <row r="4427" spans="1:33">
      <c r="A4427" t="s">
        <v>117</v>
      </c>
      <c r="B4427" t="s">
        <v>16344</v>
      </c>
      <c r="D4427" t="s">
        <v>40</v>
      </c>
      <c r="E4427" t="s">
        <v>41</v>
      </c>
      <c r="J4427" t="s">
        <v>43</v>
      </c>
      <c r="K4427" t="s">
        <v>44</v>
      </c>
      <c r="L4427">
        <v>2</v>
      </c>
      <c r="M4427" t="s">
        <v>16345</v>
      </c>
      <c r="N4427" t="s">
        <v>192</v>
      </c>
      <c r="O4427" t="s">
        <v>47</v>
      </c>
      <c r="P4427" t="s">
        <v>47</v>
      </c>
      <c r="Y4427" t="s">
        <v>16346</v>
      </c>
      <c r="AG4427" t="s">
        <v>48</v>
      </c>
    </row>
    <row r="4428" spans="1:33">
      <c r="A4428" t="s">
        <v>16347</v>
      </c>
      <c r="B4428" t="s">
        <v>16348</v>
      </c>
      <c r="D4428" t="s">
        <v>40</v>
      </c>
      <c r="E4428" t="s">
        <v>41</v>
      </c>
      <c r="J4428" t="s">
        <v>86</v>
      </c>
      <c r="K4428" t="s">
        <v>87</v>
      </c>
      <c r="L4428">
        <v>2</v>
      </c>
      <c r="M4428" t="s">
        <v>16349</v>
      </c>
      <c r="N4428" t="s">
        <v>16012</v>
      </c>
      <c r="O4428" t="s">
        <v>47</v>
      </c>
      <c r="P4428" t="s">
        <v>47</v>
      </c>
      <c r="Y4428" t="s">
        <v>16350</v>
      </c>
      <c r="AG4428" t="s">
        <v>48</v>
      </c>
    </row>
    <row r="4429" spans="1:33">
      <c r="A4429" t="s">
        <v>16351</v>
      </c>
      <c r="B4429" t="s">
        <v>16352</v>
      </c>
      <c r="D4429" t="s">
        <v>40</v>
      </c>
      <c r="E4429" t="s">
        <v>41</v>
      </c>
      <c r="J4429" t="s">
        <v>86</v>
      </c>
      <c r="K4429" t="s">
        <v>87</v>
      </c>
      <c r="L4429">
        <v>2</v>
      </c>
      <c r="M4429" t="s">
        <v>16353</v>
      </c>
      <c r="N4429" t="s">
        <v>14024</v>
      </c>
      <c r="O4429" t="s">
        <v>47</v>
      </c>
      <c r="P4429" t="s">
        <v>47</v>
      </c>
      <c r="Y4429" t="s">
        <v>16354</v>
      </c>
      <c r="AG4429" t="s">
        <v>48</v>
      </c>
    </row>
    <row r="4430" spans="1:33">
      <c r="A4430" t="s">
        <v>16355</v>
      </c>
      <c r="B4430" t="s">
        <v>16356</v>
      </c>
      <c r="D4430" t="s">
        <v>40</v>
      </c>
      <c r="E4430" t="s">
        <v>41</v>
      </c>
      <c r="J4430" t="s">
        <v>4737</v>
      </c>
      <c r="K4430" t="s">
        <v>4738</v>
      </c>
      <c r="L4430">
        <v>2</v>
      </c>
      <c r="M4430" t="s">
        <v>16357</v>
      </c>
      <c r="N4430" t="s">
        <v>13978</v>
      </c>
      <c r="O4430" t="s">
        <v>47</v>
      </c>
      <c r="P4430" t="s">
        <v>47</v>
      </c>
      <c r="Y4430" t="s">
        <v>16358</v>
      </c>
      <c r="AG4430" t="s">
        <v>48</v>
      </c>
    </row>
    <row r="4431" spans="1:33">
      <c r="A4431" t="s">
        <v>16359</v>
      </c>
      <c r="B4431" t="s">
        <v>16360</v>
      </c>
      <c r="D4431" t="s">
        <v>40</v>
      </c>
      <c r="E4431" t="s">
        <v>41</v>
      </c>
      <c r="J4431" t="s">
        <v>1418</v>
      </c>
      <c r="K4431" t="s">
        <v>1419</v>
      </c>
      <c r="L4431">
        <v>2</v>
      </c>
      <c r="M4431" t="s">
        <v>16361</v>
      </c>
      <c r="N4431" t="s">
        <v>14340</v>
      </c>
      <c r="O4431" t="s">
        <v>47</v>
      </c>
      <c r="P4431" t="s">
        <v>47</v>
      </c>
      <c r="Y4431" t="s">
        <v>16362</v>
      </c>
      <c r="AG4431" t="s">
        <v>48</v>
      </c>
    </row>
    <row r="4432" spans="1:33">
      <c r="A4432" t="s">
        <v>16363</v>
      </c>
      <c r="B4432" t="s">
        <v>16364</v>
      </c>
      <c r="D4432" t="s">
        <v>40</v>
      </c>
      <c r="E4432" t="s">
        <v>41</v>
      </c>
      <c r="J4432" t="s">
        <v>86</v>
      </c>
      <c r="K4432" t="s">
        <v>87</v>
      </c>
      <c r="L4432">
        <v>2</v>
      </c>
      <c r="M4432" t="s">
        <v>16365</v>
      </c>
      <c r="N4432" t="s">
        <v>14024</v>
      </c>
      <c r="O4432" t="s">
        <v>47</v>
      </c>
      <c r="P4432" t="s">
        <v>47</v>
      </c>
      <c r="Y4432" t="s">
        <v>16366</v>
      </c>
      <c r="AG4432" t="s">
        <v>48</v>
      </c>
    </row>
    <row r="4433" spans="1:33">
      <c r="A4433" t="s">
        <v>16367</v>
      </c>
      <c r="B4433" t="s">
        <v>16368</v>
      </c>
      <c r="D4433" t="s">
        <v>40</v>
      </c>
      <c r="E4433" t="s">
        <v>41</v>
      </c>
      <c r="J4433" t="s">
        <v>86</v>
      </c>
      <c r="K4433" t="s">
        <v>87</v>
      </c>
      <c r="L4433">
        <v>2</v>
      </c>
      <c r="M4433" t="s">
        <v>16369</v>
      </c>
      <c r="N4433" t="s">
        <v>14059</v>
      </c>
      <c r="O4433" t="s">
        <v>47</v>
      </c>
      <c r="P4433" t="s">
        <v>47</v>
      </c>
      <c r="Y4433" t="s">
        <v>16370</v>
      </c>
      <c r="AG4433" t="s">
        <v>48</v>
      </c>
    </row>
    <row r="4434" spans="1:33">
      <c r="A4434" t="s">
        <v>16371</v>
      </c>
      <c r="B4434" t="s">
        <v>16372</v>
      </c>
      <c r="D4434" t="s">
        <v>40</v>
      </c>
      <c r="E4434" t="s">
        <v>41</v>
      </c>
      <c r="J4434" t="s">
        <v>14204</v>
      </c>
      <c r="K4434" t="s">
        <v>14205</v>
      </c>
      <c r="L4434">
        <v>2</v>
      </c>
      <c r="M4434" t="s">
        <v>16373</v>
      </c>
      <c r="N4434" t="s">
        <v>14340</v>
      </c>
      <c r="O4434" t="s">
        <v>47</v>
      </c>
      <c r="P4434" t="s">
        <v>47</v>
      </c>
      <c r="Y4434" t="s">
        <v>16374</v>
      </c>
      <c r="AG4434" t="s">
        <v>48</v>
      </c>
    </row>
    <row r="4435" spans="1:33">
      <c r="A4435" t="s">
        <v>16375</v>
      </c>
      <c r="B4435" t="s">
        <v>16376</v>
      </c>
      <c r="D4435" t="s">
        <v>40</v>
      </c>
      <c r="E4435" t="s">
        <v>41</v>
      </c>
      <c r="J4435" t="s">
        <v>86</v>
      </c>
      <c r="K4435" t="s">
        <v>87</v>
      </c>
      <c r="L4435">
        <v>2</v>
      </c>
      <c r="M4435" t="s">
        <v>16373</v>
      </c>
      <c r="N4435" t="s">
        <v>13978</v>
      </c>
      <c r="O4435" t="s">
        <v>47</v>
      </c>
      <c r="P4435" t="s">
        <v>47</v>
      </c>
      <c r="Y4435" t="s">
        <v>16377</v>
      </c>
      <c r="AG4435" t="s">
        <v>48</v>
      </c>
    </row>
    <row r="4436" spans="1:33">
      <c r="A4436" t="s">
        <v>16378</v>
      </c>
      <c r="B4436" t="s">
        <v>16379</v>
      </c>
      <c r="D4436" t="s">
        <v>40</v>
      </c>
      <c r="E4436" t="s">
        <v>41</v>
      </c>
      <c r="J4436" t="s">
        <v>1418</v>
      </c>
      <c r="K4436" t="s">
        <v>1419</v>
      </c>
      <c r="L4436">
        <v>2</v>
      </c>
      <c r="M4436" t="s">
        <v>16380</v>
      </c>
      <c r="N4436" t="s">
        <v>14024</v>
      </c>
      <c r="O4436" t="s">
        <v>47</v>
      </c>
      <c r="P4436" t="s">
        <v>47</v>
      </c>
      <c r="Y4436" t="s">
        <v>16381</v>
      </c>
      <c r="AG4436" t="s">
        <v>48</v>
      </c>
    </row>
    <row r="4437" spans="1:33">
      <c r="A4437" t="s">
        <v>16382</v>
      </c>
      <c r="B4437" t="s">
        <v>16383</v>
      </c>
      <c r="D4437" t="s">
        <v>40</v>
      </c>
      <c r="E4437" t="s">
        <v>41</v>
      </c>
      <c r="J4437" t="s">
        <v>86</v>
      </c>
      <c r="K4437" t="s">
        <v>87</v>
      </c>
      <c r="L4437">
        <v>2</v>
      </c>
      <c r="M4437" t="s">
        <v>16384</v>
      </c>
      <c r="N4437" t="s">
        <v>13978</v>
      </c>
      <c r="O4437" t="s">
        <v>47</v>
      </c>
      <c r="P4437" t="s">
        <v>47</v>
      </c>
      <c r="Y4437" t="s">
        <v>16385</v>
      </c>
      <c r="AG4437" t="s">
        <v>48</v>
      </c>
    </row>
    <row r="4438" spans="1:33">
      <c r="A4438" t="s">
        <v>16386</v>
      </c>
      <c r="B4438" t="s">
        <v>16387</v>
      </c>
      <c r="D4438" t="s">
        <v>40</v>
      </c>
      <c r="E4438" t="s">
        <v>41</v>
      </c>
      <c r="J4438" t="s">
        <v>1418</v>
      </c>
      <c r="K4438" t="s">
        <v>1419</v>
      </c>
      <c r="L4438">
        <v>2</v>
      </c>
      <c r="M4438" t="s">
        <v>16388</v>
      </c>
      <c r="N4438" t="s">
        <v>14011</v>
      </c>
      <c r="O4438" t="s">
        <v>47</v>
      </c>
      <c r="P4438" t="s">
        <v>47</v>
      </c>
      <c r="Y4438" t="s">
        <v>16389</v>
      </c>
      <c r="AG4438" t="s">
        <v>48</v>
      </c>
    </row>
    <row r="4439" spans="1:33">
      <c r="A4439" t="s">
        <v>16390</v>
      </c>
      <c r="B4439" t="s">
        <v>16391</v>
      </c>
      <c r="D4439" t="s">
        <v>40</v>
      </c>
      <c r="E4439" t="s">
        <v>41</v>
      </c>
      <c r="J4439" t="s">
        <v>86</v>
      </c>
      <c r="K4439" t="s">
        <v>87</v>
      </c>
      <c r="L4439">
        <v>2</v>
      </c>
      <c r="M4439" t="s">
        <v>16392</v>
      </c>
      <c r="N4439" t="s">
        <v>14024</v>
      </c>
      <c r="O4439" t="s">
        <v>47</v>
      </c>
      <c r="P4439" t="s">
        <v>47</v>
      </c>
      <c r="Y4439" t="s">
        <v>16393</v>
      </c>
      <c r="AG4439" t="s">
        <v>48</v>
      </c>
    </row>
    <row r="4440" spans="1:33">
      <c r="A4440" t="s">
        <v>16394</v>
      </c>
      <c r="B4440" t="s">
        <v>16395</v>
      </c>
      <c r="D4440" t="s">
        <v>40</v>
      </c>
      <c r="E4440" t="s">
        <v>41</v>
      </c>
      <c r="J4440" t="s">
        <v>129</v>
      </c>
      <c r="K4440" t="s">
        <v>130</v>
      </c>
      <c r="L4440">
        <v>9</v>
      </c>
      <c r="M4440" t="s">
        <v>16396</v>
      </c>
      <c r="N4440" t="s">
        <v>14011</v>
      </c>
      <c r="O4440" t="s">
        <v>47</v>
      </c>
      <c r="P4440" t="s">
        <v>47</v>
      </c>
      <c r="Y4440" t="s">
        <v>16397</v>
      </c>
      <c r="AG4440" t="s">
        <v>48</v>
      </c>
    </row>
    <row r="4441" spans="1:33">
      <c r="A4441" t="s">
        <v>16398</v>
      </c>
      <c r="B4441" t="s">
        <v>16399</v>
      </c>
      <c r="D4441" t="s">
        <v>40</v>
      </c>
      <c r="E4441" t="s">
        <v>41</v>
      </c>
      <c r="J4441" t="s">
        <v>86</v>
      </c>
      <c r="K4441" t="s">
        <v>87</v>
      </c>
      <c r="L4441">
        <v>2</v>
      </c>
      <c r="M4441" t="s">
        <v>16400</v>
      </c>
      <c r="N4441" t="s">
        <v>13978</v>
      </c>
      <c r="O4441" t="s">
        <v>47</v>
      </c>
      <c r="P4441" t="s">
        <v>47</v>
      </c>
      <c r="Y4441" t="s">
        <v>16401</v>
      </c>
      <c r="AG4441" t="s">
        <v>48</v>
      </c>
    </row>
    <row r="4442" spans="1:33">
      <c r="A4442" t="s">
        <v>16402</v>
      </c>
      <c r="B4442" t="s">
        <v>16403</v>
      </c>
      <c r="D4442" t="s">
        <v>40</v>
      </c>
      <c r="E4442" t="s">
        <v>41</v>
      </c>
      <c r="J4442" t="s">
        <v>1418</v>
      </c>
      <c r="K4442" t="s">
        <v>1419</v>
      </c>
      <c r="L4442">
        <v>2</v>
      </c>
      <c r="M4442" t="s">
        <v>16404</v>
      </c>
      <c r="N4442" t="s">
        <v>14011</v>
      </c>
      <c r="O4442" t="s">
        <v>47</v>
      </c>
      <c r="P4442" t="s">
        <v>47</v>
      </c>
      <c r="Y4442" t="s">
        <v>16405</v>
      </c>
      <c r="AG4442" t="s">
        <v>48</v>
      </c>
    </row>
    <row r="4443" spans="1:33">
      <c r="A4443" t="s">
        <v>16406</v>
      </c>
      <c r="B4443" t="s">
        <v>16407</v>
      </c>
      <c r="D4443" t="s">
        <v>40</v>
      </c>
      <c r="E4443" t="s">
        <v>41</v>
      </c>
      <c r="J4443" t="s">
        <v>86</v>
      </c>
      <c r="K4443" t="s">
        <v>87</v>
      </c>
      <c r="L4443">
        <v>2</v>
      </c>
      <c r="M4443" t="s">
        <v>16408</v>
      </c>
      <c r="N4443" t="s">
        <v>14024</v>
      </c>
      <c r="O4443" t="s">
        <v>47</v>
      </c>
      <c r="P4443" t="s">
        <v>47</v>
      </c>
      <c r="Y4443" t="s">
        <v>16409</v>
      </c>
      <c r="AG4443" t="s">
        <v>48</v>
      </c>
    </row>
    <row r="4444" spans="1:33">
      <c r="A4444" t="s">
        <v>16410</v>
      </c>
      <c r="B4444" t="s">
        <v>16411</v>
      </c>
      <c r="D4444" t="s">
        <v>40</v>
      </c>
      <c r="E4444" t="s">
        <v>41</v>
      </c>
      <c r="J4444" t="s">
        <v>86</v>
      </c>
      <c r="K4444" t="s">
        <v>87</v>
      </c>
      <c r="L4444">
        <v>2</v>
      </c>
      <c r="M4444" t="s">
        <v>16412</v>
      </c>
      <c r="N4444" t="s">
        <v>16012</v>
      </c>
      <c r="O4444" t="s">
        <v>47</v>
      </c>
      <c r="P4444" t="s">
        <v>47</v>
      </c>
      <c r="Y4444" t="s">
        <v>16413</v>
      </c>
      <c r="AG4444" t="s">
        <v>48</v>
      </c>
    </row>
    <row r="4445" spans="1:33">
      <c r="A4445" t="s">
        <v>16414</v>
      </c>
      <c r="B4445" t="s">
        <v>16415</v>
      </c>
      <c r="D4445" t="s">
        <v>40</v>
      </c>
      <c r="E4445" t="s">
        <v>41</v>
      </c>
      <c r="J4445" t="s">
        <v>4737</v>
      </c>
      <c r="K4445" t="s">
        <v>4738</v>
      </c>
      <c r="L4445">
        <v>2</v>
      </c>
      <c r="M4445" t="s">
        <v>16416</v>
      </c>
      <c r="N4445" t="s">
        <v>14011</v>
      </c>
      <c r="O4445" t="s">
        <v>47</v>
      </c>
      <c r="P4445" t="s">
        <v>47</v>
      </c>
      <c r="Y4445" t="s">
        <v>16417</v>
      </c>
      <c r="AG4445" t="s">
        <v>48</v>
      </c>
    </row>
    <row r="4446" spans="1:33">
      <c r="A4446" t="s">
        <v>16418</v>
      </c>
      <c r="B4446" t="s">
        <v>16419</v>
      </c>
      <c r="D4446" t="s">
        <v>40</v>
      </c>
      <c r="E4446" t="s">
        <v>41</v>
      </c>
      <c r="J4446" t="s">
        <v>86</v>
      </c>
      <c r="K4446" t="s">
        <v>87</v>
      </c>
      <c r="L4446">
        <v>2</v>
      </c>
      <c r="M4446" t="s">
        <v>16420</v>
      </c>
      <c r="N4446" t="s">
        <v>16012</v>
      </c>
      <c r="O4446" t="s">
        <v>47</v>
      </c>
      <c r="P4446" t="s">
        <v>47</v>
      </c>
      <c r="Y4446" t="s">
        <v>16421</v>
      </c>
      <c r="AG4446" t="s">
        <v>48</v>
      </c>
    </row>
    <row r="4447" spans="1:33">
      <c r="A4447" t="s">
        <v>16422</v>
      </c>
      <c r="B4447" t="s">
        <v>16423</v>
      </c>
      <c r="D4447" t="s">
        <v>40</v>
      </c>
      <c r="E4447" t="s">
        <v>41</v>
      </c>
      <c r="J4447" t="s">
        <v>86</v>
      </c>
      <c r="K4447" t="s">
        <v>87</v>
      </c>
      <c r="L4447">
        <v>2</v>
      </c>
      <c r="M4447" t="s">
        <v>16424</v>
      </c>
      <c r="N4447" t="s">
        <v>14024</v>
      </c>
      <c r="O4447" t="s">
        <v>47</v>
      </c>
      <c r="P4447" t="s">
        <v>47</v>
      </c>
      <c r="Y4447" t="s">
        <v>16425</v>
      </c>
      <c r="AG4447" t="s">
        <v>48</v>
      </c>
    </row>
    <row r="4448" spans="1:33">
      <c r="A4448" t="s">
        <v>16426</v>
      </c>
      <c r="B4448" t="s">
        <v>16427</v>
      </c>
      <c r="D4448" t="s">
        <v>40</v>
      </c>
      <c r="E4448" t="s">
        <v>41</v>
      </c>
      <c r="J4448" t="s">
        <v>86</v>
      </c>
      <c r="K4448" t="s">
        <v>87</v>
      </c>
      <c r="L4448">
        <v>2</v>
      </c>
      <c r="M4448" t="s">
        <v>16428</v>
      </c>
      <c r="N4448" t="s">
        <v>14059</v>
      </c>
      <c r="O4448" t="s">
        <v>47</v>
      </c>
      <c r="P4448" t="s">
        <v>47</v>
      </c>
      <c r="Y4448" t="s">
        <v>16429</v>
      </c>
      <c r="AG4448" t="s">
        <v>48</v>
      </c>
    </row>
    <row r="4449" spans="1:33">
      <c r="A4449" t="s">
        <v>16430</v>
      </c>
      <c r="B4449" t="s">
        <v>16431</v>
      </c>
      <c r="D4449" t="s">
        <v>40</v>
      </c>
      <c r="E4449" t="s">
        <v>41</v>
      </c>
      <c r="J4449" t="s">
        <v>86</v>
      </c>
      <c r="K4449" t="s">
        <v>87</v>
      </c>
      <c r="L4449">
        <v>2</v>
      </c>
      <c r="M4449" t="s">
        <v>16432</v>
      </c>
      <c r="N4449" t="s">
        <v>16012</v>
      </c>
      <c r="O4449" t="s">
        <v>47</v>
      </c>
      <c r="P4449" t="s">
        <v>47</v>
      </c>
      <c r="Y4449" t="s">
        <v>16433</v>
      </c>
      <c r="AG4449" t="s">
        <v>48</v>
      </c>
    </row>
    <row r="4450" spans="1:33">
      <c r="A4450" t="s">
        <v>16434</v>
      </c>
      <c r="B4450" t="s">
        <v>16435</v>
      </c>
      <c r="D4450" t="s">
        <v>40</v>
      </c>
      <c r="E4450" t="s">
        <v>41</v>
      </c>
      <c r="J4450" t="s">
        <v>43</v>
      </c>
      <c r="K4450" t="s">
        <v>44</v>
      </c>
      <c r="L4450">
        <v>2</v>
      </c>
      <c r="M4450" t="s">
        <v>16436</v>
      </c>
      <c r="N4450" t="s">
        <v>14059</v>
      </c>
      <c r="O4450" t="s">
        <v>47</v>
      </c>
      <c r="P4450" t="s">
        <v>47</v>
      </c>
      <c r="Y4450" t="s">
        <v>16437</v>
      </c>
      <c r="AG4450" t="s">
        <v>48</v>
      </c>
    </row>
    <row r="4451" spans="1:33">
      <c r="A4451" t="s">
        <v>16438</v>
      </c>
      <c r="B4451" t="s">
        <v>16439</v>
      </c>
      <c r="D4451" t="s">
        <v>40</v>
      </c>
      <c r="E4451" t="s">
        <v>41</v>
      </c>
      <c r="J4451" t="s">
        <v>1418</v>
      </c>
      <c r="K4451" t="s">
        <v>1419</v>
      </c>
      <c r="L4451">
        <v>2</v>
      </c>
      <c r="M4451" t="s">
        <v>16440</v>
      </c>
      <c r="N4451" t="s">
        <v>14011</v>
      </c>
      <c r="O4451" t="s">
        <v>47</v>
      </c>
      <c r="P4451" t="s">
        <v>47</v>
      </c>
      <c r="Y4451" t="s">
        <v>16441</v>
      </c>
      <c r="AG4451" t="s">
        <v>48</v>
      </c>
    </row>
    <row r="4452" spans="1:33">
      <c r="A4452" t="s">
        <v>16442</v>
      </c>
      <c r="B4452" t="s">
        <v>16443</v>
      </c>
      <c r="D4452" t="s">
        <v>40</v>
      </c>
      <c r="E4452" t="s">
        <v>41</v>
      </c>
      <c r="J4452" t="s">
        <v>14204</v>
      </c>
      <c r="K4452" t="s">
        <v>14205</v>
      </c>
      <c r="L4452">
        <v>2</v>
      </c>
      <c r="M4452" t="s">
        <v>16444</v>
      </c>
      <c r="N4452" t="s">
        <v>218</v>
      </c>
      <c r="O4452" t="s">
        <v>47</v>
      </c>
      <c r="P4452" t="s">
        <v>47</v>
      </c>
      <c r="Y4452" t="s">
        <v>16445</v>
      </c>
      <c r="AG4452" t="s">
        <v>48</v>
      </c>
    </row>
    <row r="4453" spans="1:33">
      <c r="A4453" t="s">
        <v>16446</v>
      </c>
      <c r="B4453" t="s">
        <v>16447</v>
      </c>
      <c r="D4453" t="s">
        <v>40</v>
      </c>
      <c r="E4453" t="s">
        <v>41</v>
      </c>
      <c r="J4453" t="s">
        <v>14337</v>
      </c>
      <c r="K4453" t="s">
        <v>14338</v>
      </c>
      <c r="L4453">
        <v>7</v>
      </c>
      <c r="M4453" t="s">
        <v>16448</v>
      </c>
      <c r="N4453" t="s">
        <v>192</v>
      </c>
      <c r="O4453" t="s">
        <v>47</v>
      </c>
      <c r="P4453" t="s">
        <v>47</v>
      </c>
      <c r="Y4453" t="s">
        <v>16449</v>
      </c>
      <c r="AG4453" t="s">
        <v>48</v>
      </c>
    </row>
    <row r="4454" spans="1:33">
      <c r="A4454" t="s">
        <v>16450</v>
      </c>
      <c r="B4454" t="s">
        <v>16451</v>
      </c>
      <c r="D4454" t="s">
        <v>40</v>
      </c>
      <c r="E4454" t="s">
        <v>41</v>
      </c>
      <c r="J4454" t="s">
        <v>86</v>
      </c>
      <c r="K4454" t="s">
        <v>87</v>
      </c>
      <c r="L4454">
        <v>2</v>
      </c>
      <c r="M4454" t="s">
        <v>16452</v>
      </c>
      <c r="N4454" t="s">
        <v>14024</v>
      </c>
      <c r="O4454" t="s">
        <v>47</v>
      </c>
      <c r="P4454" t="s">
        <v>47</v>
      </c>
      <c r="Y4454" t="s">
        <v>16453</v>
      </c>
      <c r="AG4454" t="s">
        <v>48</v>
      </c>
    </row>
    <row r="4455" spans="1:33">
      <c r="A4455" t="s">
        <v>16454</v>
      </c>
      <c r="B4455" t="s">
        <v>16455</v>
      </c>
      <c r="D4455" t="s">
        <v>40</v>
      </c>
      <c r="E4455" t="s">
        <v>41</v>
      </c>
      <c r="J4455" t="s">
        <v>10950</v>
      </c>
      <c r="K4455" t="s">
        <v>10950</v>
      </c>
      <c r="L4455">
        <v>2</v>
      </c>
      <c r="M4455" t="s">
        <v>16456</v>
      </c>
      <c r="N4455" t="s">
        <v>14059</v>
      </c>
      <c r="O4455" t="s">
        <v>47</v>
      </c>
      <c r="P4455" t="s">
        <v>47</v>
      </c>
      <c r="Y4455" t="s">
        <v>16457</v>
      </c>
      <c r="AG4455" t="s">
        <v>48</v>
      </c>
    </row>
    <row r="4456" spans="1:33">
      <c r="A4456" t="s">
        <v>16458</v>
      </c>
      <c r="B4456" t="s">
        <v>16459</v>
      </c>
      <c r="D4456" t="s">
        <v>40</v>
      </c>
      <c r="E4456" t="s">
        <v>41</v>
      </c>
      <c r="J4456" t="s">
        <v>86</v>
      </c>
      <c r="K4456" t="s">
        <v>87</v>
      </c>
      <c r="L4456">
        <v>2</v>
      </c>
      <c r="M4456" t="s">
        <v>16460</v>
      </c>
      <c r="N4456" t="s">
        <v>14024</v>
      </c>
      <c r="O4456" t="s">
        <v>47</v>
      </c>
      <c r="P4456" t="s">
        <v>47</v>
      </c>
      <c r="Y4456" t="s">
        <v>16461</v>
      </c>
      <c r="AG4456" t="s">
        <v>48</v>
      </c>
    </row>
    <row r="4457" spans="1:33">
      <c r="A4457" t="s">
        <v>16462</v>
      </c>
      <c r="B4457" t="s">
        <v>16463</v>
      </c>
      <c r="D4457" t="s">
        <v>40</v>
      </c>
      <c r="E4457" t="s">
        <v>41</v>
      </c>
      <c r="J4457" t="s">
        <v>1418</v>
      </c>
      <c r="K4457" t="s">
        <v>1419</v>
      </c>
      <c r="L4457">
        <v>2</v>
      </c>
      <c r="M4457" t="s">
        <v>16464</v>
      </c>
      <c r="N4457" t="s">
        <v>16012</v>
      </c>
      <c r="O4457" t="s">
        <v>47</v>
      </c>
      <c r="P4457" t="s">
        <v>47</v>
      </c>
      <c r="Y4457" t="s">
        <v>16465</v>
      </c>
      <c r="AG4457" t="s">
        <v>48</v>
      </c>
    </row>
    <row r="4458" spans="1:33">
      <c r="A4458" t="s">
        <v>16466</v>
      </c>
      <c r="B4458" t="s">
        <v>16467</v>
      </c>
      <c r="D4458" t="s">
        <v>40</v>
      </c>
      <c r="E4458" t="s">
        <v>41</v>
      </c>
      <c r="J4458" t="s">
        <v>14204</v>
      </c>
      <c r="K4458" t="s">
        <v>14205</v>
      </c>
      <c r="L4458">
        <v>2</v>
      </c>
      <c r="M4458" t="s">
        <v>16464</v>
      </c>
      <c r="N4458" t="s">
        <v>218</v>
      </c>
      <c r="O4458" t="s">
        <v>47</v>
      </c>
      <c r="P4458" t="s">
        <v>47</v>
      </c>
      <c r="Y4458" t="s">
        <v>16468</v>
      </c>
      <c r="AG4458" t="s">
        <v>48</v>
      </c>
    </row>
    <row r="4459" spans="1:33">
      <c r="A4459" t="s">
        <v>117</v>
      </c>
      <c r="B4459" t="s">
        <v>16469</v>
      </c>
      <c r="D4459" t="s">
        <v>40</v>
      </c>
      <c r="E4459" t="s">
        <v>41</v>
      </c>
      <c r="J4459" t="s">
        <v>86</v>
      </c>
      <c r="K4459" t="s">
        <v>87</v>
      </c>
      <c r="L4459">
        <v>2</v>
      </c>
      <c r="M4459" t="s">
        <v>16470</v>
      </c>
      <c r="N4459" t="s">
        <v>14059</v>
      </c>
      <c r="O4459" t="s">
        <v>47</v>
      </c>
      <c r="P4459" t="s">
        <v>47</v>
      </c>
      <c r="Y4459" t="s">
        <v>16471</v>
      </c>
      <c r="AG4459" t="s">
        <v>48</v>
      </c>
    </row>
    <row r="4460" spans="1:33">
      <c r="A4460" t="s">
        <v>16472</v>
      </c>
      <c r="B4460" t="s">
        <v>16473</v>
      </c>
      <c r="D4460" t="s">
        <v>40</v>
      </c>
      <c r="E4460" t="s">
        <v>41</v>
      </c>
      <c r="J4460" t="s">
        <v>43</v>
      </c>
      <c r="K4460" t="s">
        <v>44</v>
      </c>
      <c r="L4460">
        <v>2</v>
      </c>
      <c r="M4460" t="s">
        <v>16474</v>
      </c>
      <c r="N4460" t="s">
        <v>192</v>
      </c>
      <c r="O4460" t="s">
        <v>47</v>
      </c>
      <c r="P4460" t="s">
        <v>47</v>
      </c>
      <c r="Y4460" t="s">
        <v>16475</v>
      </c>
      <c r="AG4460" t="s">
        <v>48</v>
      </c>
    </row>
    <row r="4461" spans="1:33">
      <c r="A4461" t="s">
        <v>16476</v>
      </c>
      <c r="B4461" t="s">
        <v>16477</v>
      </c>
      <c r="D4461" t="s">
        <v>40</v>
      </c>
      <c r="E4461" t="s">
        <v>41</v>
      </c>
      <c r="J4461" t="s">
        <v>86</v>
      </c>
      <c r="K4461" t="s">
        <v>87</v>
      </c>
      <c r="L4461">
        <v>2</v>
      </c>
      <c r="M4461" t="s">
        <v>16478</v>
      </c>
      <c r="N4461" t="s">
        <v>14024</v>
      </c>
      <c r="O4461" t="s">
        <v>47</v>
      </c>
      <c r="P4461" t="s">
        <v>47</v>
      </c>
      <c r="Y4461" t="s">
        <v>16479</v>
      </c>
      <c r="AG4461" t="s">
        <v>48</v>
      </c>
    </row>
    <row r="4462" spans="1:33">
      <c r="A4462" t="s">
        <v>16480</v>
      </c>
      <c r="B4462" t="s">
        <v>16481</v>
      </c>
      <c r="D4462" t="s">
        <v>40</v>
      </c>
      <c r="E4462" t="s">
        <v>41</v>
      </c>
      <c r="J4462" t="s">
        <v>1418</v>
      </c>
      <c r="K4462" t="s">
        <v>1419</v>
      </c>
      <c r="L4462">
        <v>2</v>
      </c>
      <c r="M4462" t="s">
        <v>16482</v>
      </c>
      <c r="N4462" t="s">
        <v>13978</v>
      </c>
      <c r="O4462" t="s">
        <v>47</v>
      </c>
      <c r="P4462" t="s">
        <v>47</v>
      </c>
      <c r="Y4462" t="s">
        <v>16483</v>
      </c>
      <c r="AG4462" t="s">
        <v>48</v>
      </c>
    </row>
    <row r="4463" spans="1:33">
      <c r="A4463" t="s">
        <v>16484</v>
      </c>
      <c r="B4463" t="s">
        <v>16485</v>
      </c>
      <c r="D4463" t="s">
        <v>40</v>
      </c>
      <c r="E4463" t="s">
        <v>41</v>
      </c>
      <c r="J4463" t="s">
        <v>43</v>
      </c>
      <c r="K4463" t="s">
        <v>44</v>
      </c>
      <c r="L4463">
        <v>2</v>
      </c>
      <c r="M4463" t="s">
        <v>16486</v>
      </c>
      <c r="N4463" t="s">
        <v>218</v>
      </c>
      <c r="O4463" t="s">
        <v>47</v>
      </c>
      <c r="P4463" t="s">
        <v>47</v>
      </c>
      <c r="Y4463" t="s">
        <v>16487</v>
      </c>
      <c r="AG4463" t="s">
        <v>48</v>
      </c>
    </row>
    <row r="4464" spans="1:33">
      <c r="A4464" t="s">
        <v>16488</v>
      </c>
      <c r="B4464" t="s">
        <v>16489</v>
      </c>
      <c r="D4464" t="s">
        <v>40</v>
      </c>
      <c r="E4464" t="s">
        <v>41</v>
      </c>
      <c r="J4464" t="s">
        <v>43</v>
      </c>
      <c r="K4464" t="s">
        <v>44</v>
      </c>
      <c r="L4464">
        <v>2</v>
      </c>
      <c r="M4464" t="s">
        <v>16490</v>
      </c>
      <c r="N4464" t="s">
        <v>192</v>
      </c>
      <c r="O4464" t="s">
        <v>47</v>
      </c>
      <c r="P4464" t="s">
        <v>47</v>
      </c>
      <c r="Y4464" t="s">
        <v>16491</v>
      </c>
      <c r="AG4464" t="s">
        <v>48</v>
      </c>
    </row>
    <row r="4465" spans="1:33">
      <c r="A4465" t="s">
        <v>16492</v>
      </c>
      <c r="B4465" t="s">
        <v>16493</v>
      </c>
      <c r="D4465" t="s">
        <v>40</v>
      </c>
      <c r="E4465" t="s">
        <v>41</v>
      </c>
      <c r="J4465" t="s">
        <v>1418</v>
      </c>
      <c r="K4465" t="s">
        <v>1419</v>
      </c>
      <c r="L4465">
        <v>2</v>
      </c>
      <c r="M4465" t="s">
        <v>16494</v>
      </c>
      <c r="N4465" t="s">
        <v>13978</v>
      </c>
      <c r="O4465" t="s">
        <v>47</v>
      </c>
      <c r="P4465" t="s">
        <v>47</v>
      </c>
      <c r="Y4465" t="s">
        <v>16495</v>
      </c>
      <c r="AG4465" t="s">
        <v>48</v>
      </c>
    </row>
    <row r="4466" spans="1:33">
      <c r="A4466" t="s">
        <v>16496</v>
      </c>
      <c r="B4466" t="s">
        <v>16497</v>
      </c>
      <c r="D4466" t="s">
        <v>40</v>
      </c>
      <c r="E4466" t="s">
        <v>41</v>
      </c>
      <c r="J4466" t="s">
        <v>86</v>
      </c>
      <c r="K4466" t="s">
        <v>87</v>
      </c>
      <c r="L4466">
        <v>2</v>
      </c>
      <c r="M4466" t="s">
        <v>16498</v>
      </c>
      <c r="N4466" t="s">
        <v>192</v>
      </c>
      <c r="O4466" t="s">
        <v>47</v>
      </c>
      <c r="P4466" t="s">
        <v>47</v>
      </c>
      <c r="Y4466" t="s">
        <v>16499</v>
      </c>
      <c r="AG4466" t="s">
        <v>48</v>
      </c>
    </row>
    <row r="4467" spans="1:33">
      <c r="A4467" t="s">
        <v>16500</v>
      </c>
      <c r="B4467" t="s">
        <v>16501</v>
      </c>
      <c r="D4467" t="s">
        <v>40</v>
      </c>
      <c r="E4467" t="s">
        <v>41</v>
      </c>
      <c r="J4467" t="s">
        <v>43</v>
      </c>
      <c r="K4467" t="s">
        <v>44</v>
      </c>
      <c r="L4467">
        <v>2</v>
      </c>
      <c r="M4467" t="s">
        <v>16502</v>
      </c>
      <c r="N4467" t="s">
        <v>14059</v>
      </c>
      <c r="O4467" t="s">
        <v>47</v>
      </c>
      <c r="P4467" t="s">
        <v>47</v>
      </c>
      <c r="Y4467" t="s">
        <v>16503</v>
      </c>
      <c r="AG4467" t="s">
        <v>48</v>
      </c>
    </row>
    <row r="4468" spans="1:33">
      <c r="A4468" t="s">
        <v>16504</v>
      </c>
      <c r="B4468" t="s">
        <v>16505</v>
      </c>
      <c r="D4468" t="s">
        <v>40</v>
      </c>
      <c r="E4468" t="s">
        <v>41</v>
      </c>
      <c r="J4468" t="s">
        <v>86</v>
      </c>
      <c r="K4468" t="s">
        <v>87</v>
      </c>
      <c r="L4468">
        <v>2</v>
      </c>
      <c r="M4468" t="s">
        <v>16506</v>
      </c>
      <c r="N4468" t="s">
        <v>14024</v>
      </c>
      <c r="O4468" t="s">
        <v>47</v>
      </c>
      <c r="P4468" t="s">
        <v>47</v>
      </c>
      <c r="Y4468" t="s">
        <v>16507</v>
      </c>
      <c r="AG4468" t="s">
        <v>48</v>
      </c>
    </row>
    <row r="4469" spans="1:33">
      <c r="A4469" t="s">
        <v>16508</v>
      </c>
      <c r="B4469" t="s">
        <v>16509</v>
      </c>
      <c r="D4469" t="s">
        <v>40</v>
      </c>
      <c r="E4469" t="s">
        <v>41</v>
      </c>
      <c r="J4469" t="s">
        <v>1418</v>
      </c>
      <c r="K4469" t="s">
        <v>1419</v>
      </c>
      <c r="L4469">
        <v>2</v>
      </c>
      <c r="M4469" t="s">
        <v>16510</v>
      </c>
      <c r="N4469" t="s">
        <v>13978</v>
      </c>
      <c r="O4469" t="s">
        <v>47</v>
      </c>
      <c r="P4469" t="s">
        <v>47</v>
      </c>
      <c r="Y4469" t="s">
        <v>16511</v>
      </c>
      <c r="AG4469" t="s">
        <v>48</v>
      </c>
    </row>
    <row r="4470" spans="1:33">
      <c r="A4470" t="s">
        <v>16512</v>
      </c>
      <c r="B4470" t="s">
        <v>16513</v>
      </c>
      <c r="D4470" t="s">
        <v>40</v>
      </c>
      <c r="E4470" t="s">
        <v>41</v>
      </c>
      <c r="J4470" t="s">
        <v>4737</v>
      </c>
      <c r="K4470" t="s">
        <v>4738</v>
      </c>
      <c r="L4470">
        <v>2</v>
      </c>
      <c r="M4470" t="s">
        <v>16514</v>
      </c>
      <c r="N4470" t="s">
        <v>13978</v>
      </c>
      <c r="O4470" t="s">
        <v>47</v>
      </c>
      <c r="P4470" t="s">
        <v>47</v>
      </c>
      <c r="Y4470" t="s">
        <v>16515</v>
      </c>
      <c r="AG4470" t="s">
        <v>48</v>
      </c>
    </row>
    <row r="4471" spans="1:33">
      <c r="A4471" t="s">
        <v>16516</v>
      </c>
      <c r="B4471" t="s">
        <v>16517</v>
      </c>
      <c r="D4471" t="s">
        <v>40</v>
      </c>
      <c r="E4471" t="s">
        <v>41</v>
      </c>
      <c r="J4471" t="s">
        <v>86</v>
      </c>
      <c r="K4471" t="s">
        <v>87</v>
      </c>
      <c r="L4471">
        <v>2</v>
      </c>
      <c r="M4471" t="s">
        <v>16518</v>
      </c>
      <c r="N4471" t="s">
        <v>16012</v>
      </c>
      <c r="O4471" t="s">
        <v>47</v>
      </c>
      <c r="P4471" t="s">
        <v>47</v>
      </c>
      <c r="Y4471" t="s">
        <v>16519</v>
      </c>
      <c r="AG4471" t="s">
        <v>48</v>
      </c>
    </row>
    <row r="4472" spans="1:33">
      <c r="A4472" t="s">
        <v>16520</v>
      </c>
      <c r="B4472" t="s">
        <v>16521</v>
      </c>
      <c r="D4472" t="s">
        <v>40</v>
      </c>
      <c r="E4472" t="s">
        <v>41</v>
      </c>
      <c r="J4472" t="s">
        <v>13514</v>
      </c>
      <c r="K4472" t="s">
        <v>13515</v>
      </c>
      <c r="L4472">
        <v>3</v>
      </c>
      <c r="M4472" t="s">
        <v>16522</v>
      </c>
      <c r="N4472" t="s">
        <v>59</v>
      </c>
      <c r="O4472" t="s">
        <v>47</v>
      </c>
      <c r="P4472" t="s">
        <v>47</v>
      </c>
      <c r="Y4472" t="s">
        <v>16523</v>
      </c>
      <c r="AG4472" t="s">
        <v>48</v>
      </c>
    </row>
    <row r="4473" spans="1:33">
      <c r="A4473" t="s">
        <v>16524</v>
      </c>
      <c r="B4473" t="s">
        <v>16525</v>
      </c>
      <c r="D4473" t="s">
        <v>40</v>
      </c>
      <c r="E4473" t="s">
        <v>41</v>
      </c>
      <c r="J4473" t="s">
        <v>123</v>
      </c>
      <c r="K4473" t="s">
        <v>124</v>
      </c>
      <c r="L4473">
        <v>5</v>
      </c>
      <c r="M4473" t="s">
        <v>16526</v>
      </c>
      <c r="N4473" t="s">
        <v>13978</v>
      </c>
      <c r="O4473" t="s">
        <v>47</v>
      </c>
      <c r="P4473" t="s">
        <v>47</v>
      </c>
      <c r="Y4473" t="s">
        <v>16527</v>
      </c>
      <c r="AG4473" t="s">
        <v>48</v>
      </c>
    </row>
    <row r="4474" spans="1:33">
      <c r="A4474" t="s">
        <v>16528</v>
      </c>
      <c r="B4474" t="s">
        <v>16529</v>
      </c>
      <c r="D4474" t="s">
        <v>40</v>
      </c>
      <c r="E4474" t="s">
        <v>41</v>
      </c>
      <c r="J4474" t="s">
        <v>43</v>
      </c>
      <c r="K4474" t="s">
        <v>44</v>
      </c>
      <c r="L4474">
        <v>2</v>
      </c>
      <c r="M4474" t="s">
        <v>16530</v>
      </c>
      <c r="N4474" t="s">
        <v>192</v>
      </c>
      <c r="O4474" t="s">
        <v>47</v>
      </c>
      <c r="P4474" t="s">
        <v>47</v>
      </c>
      <c r="Y4474" t="s">
        <v>16531</v>
      </c>
      <c r="AG4474" t="s">
        <v>48</v>
      </c>
    </row>
    <row r="4475" spans="1:33">
      <c r="A4475" t="s">
        <v>16532</v>
      </c>
      <c r="B4475" t="s">
        <v>16533</v>
      </c>
      <c r="D4475" t="s">
        <v>40</v>
      </c>
      <c r="E4475" t="s">
        <v>41</v>
      </c>
      <c r="J4475" t="s">
        <v>86</v>
      </c>
      <c r="K4475" t="s">
        <v>87</v>
      </c>
      <c r="L4475">
        <v>2</v>
      </c>
      <c r="M4475" t="s">
        <v>16534</v>
      </c>
      <c r="N4475" t="s">
        <v>192</v>
      </c>
      <c r="O4475" t="s">
        <v>47</v>
      </c>
      <c r="P4475" t="s">
        <v>47</v>
      </c>
      <c r="Y4475" t="s">
        <v>16535</v>
      </c>
      <c r="AG4475" t="s">
        <v>48</v>
      </c>
    </row>
    <row r="4476" spans="1:33">
      <c r="A4476" t="s">
        <v>16536</v>
      </c>
      <c r="B4476" t="s">
        <v>16537</v>
      </c>
      <c r="D4476" t="s">
        <v>40</v>
      </c>
      <c r="E4476" t="s">
        <v>41</v>
      </c>
      <c r="J4476" t="s">
        <v>86</v>
      </c>
      <c r="K4476" t="s">
        <v>87</v>
      </c>
      <c r="L4476">
        <v>2</v>
      </c>
      <c r="M4476" t="s">
        <v>16538</v>
      </c>
      <c r="N4476" t="s">
        <v>14024</v>
      </c>
      <c r="O4476" t="s">
        <v>47</v>
      </c>
      <c r="P4476" t="s">
        <v>47</v>
      </c>
      <c r="Y4476" t="s">
        <v>16539</v>
      </c>
      <c r="AG4476" t="s">
        <v>48</v>
      </c>
    </row>
    <row r="4477" spans="1:33">
      <c r="A4477" t="s">
        <v>16540</v>
      </c>
      <c r="B4477" t="s">
        <v>16541</v>
      </c>
      <c r="D4477" t="s">
        <v>40</v>
      </c>
      <c r="E4477" t="s">
        <v>41</v>
      </c>
      <c r="J4477" t="s">
        <v>1052</v>
      </c>
      <c r="K4477" t="s">
        <v>1053</v>
      </c>
      <c r="L4477">
        <v>2</v>
      </c>
      <c r="M4477" t="s">
        <v>16542</v>
      </c>
      <c r="N4477" t="s">
        <v>14011</v>
      </c>
      <c r="O4477" t="s">
        <v>47</v>
      </c>
      <c r="P4477" t="s">
        <v>47</v>
      </c>
      <c r="Y4477" t="s">
        <v>16543</v>
      </c>
      <c r="AG4477" t="s">
        <v>48</v>
      </c>
    </row>
    <row r="4478" spans="1:33">
      <c r="A4478" t="s">
        <v>16544</v>
      </c>
      <c r="B4478" t="s">
        <v>16545</v>
      </c>
      <c r="D4478" t="s">
        <v>40</v>
      </c>
      <c r="E4478" t="s">
        <v>41</v>
      </c>
      <c r="J4478" t="s">
        <v>43</v>
      </c>
      <c r="K4478" t="s">
        <v>44</v>
      </c>
      <c r="L4478">
        <v>2</v>
      </c>
      <c r="M4478" t="s">
        <v>16546</v>
      </c>
      <c r="N4478" t="s">
        <v>16012</v>
      </c>
      <c r="O4478" t="s">
        <v>47</v>
      </c>
      <c r="P4478" t="s">
        <v>47</v>
      </c>
      <c r="Y4478" t="s">
        <v>16547</v>
      </c>
      <c r="AG4478" t="s">
        <v>48</v>
      </c>
    </row>
    <row r="4479" spans="1:33">
      <c r="A4479" t="s">
        <v>16548</v>
      </c>
      <c r="B4479" t="s">
        <v>16549</v>
      </c>
      <c r="D4479" t="s">
        <v>40</v>
      </c>
      <c r="E4479" t="s">
        <v>41</v>
      </c>
      <c r="J4479" t="s">
        <v>4737</v>
      </c>
      <c r="K4479" t="s">
        <v>4738</v>
      </c>
      <c r="L4479">
        <v>2</v>
      </c>
      <c r="M4479" t="s">
        <v>16550</v>
      </c>
      <c r="N4479" t="s">
        <v>16012</v>
      </c>
      <c r="O4479" t="s">
        <v>47</v>
      </c>
      <c r="P4479" t="s">
        <v>47</v>
      </c>
      <c r="Y4479" t="s">
        <v>16551</v>
      </c>
      <c r="AG4479" t="s">
        <v>48</v>
      </c>
    </row>
    <row r="4480" spans="1:33">
      <c r="A4480" t="s">
        <v>16552</v>
      </c>
      <c r="B4480" t="s">
        <v>16553</v>
      </c>
      <c r="D4480" t="s">
        <v>40</v>
      </c>
      <c r="E4480" t="s">
        <v>41</v>
      </c>
      <c r="J4480" t="s">
        <v>13514</v>
      </c>
      <c r="K4480" t="s">
        <v>13515</v>
      </c>
      <c r="L4480">
        <v>3</v>
      </c>
      <c r="M4480" t="s">
        <v>16554</v>
      </c>
      <c r="N4480" t="s">
        <v>59</v>
      </c>
      <c r="O4480" t="s">
        <v>47</v>
      </c>
      <c r="P4480" t="s">
        <v>47</v>
      </c>
      <c r="Y4480" t="s">
        <v>16555</v>
      </c>
      <c r="AG4480" t="s">
        <v>48</v>
      </c>
    </row>
    <row r="4481" spans="1:33">
      <c r="A4481" t="s">
        <v>16556</v>
      </c>
      <c r="B4481" t="s">
        <v>16557</v>
      </c>
      <c r="D4481" t="s">
        <v>40</v>
      </c>
      <c r="E4481" t="s">
        <v>41</v>
      </c>
      <c r="J4481" t="s">
        <v>15304</v>
      </c>
      <c r="K4481" t="s">
        <v>15305</v>
      </c>
      <c r="L4481">
        <v>2</v>
      </c>
      <c r="M4481" t="s">
        <v>16558</v>
      </c>
      <c r="N4481" t="s">
        <v>13978</v>
      </c>
      <c r="O4481" t="s">
        <v>47</v>
      </c>
      <c r="P4481" t="s">
        <v>47</v>
      </c>
      <c r="Y4481" t="s">
        <v>16559</v>
      </c>
      <c r="AG4481" t="s">
        <v>48</v>
      </c>
    </row>
    <row r="4482" spans="1:33">
      <c r="A4482" t="s">
        <v>16560</v>
      </c>
      <c r="B4482" t="s">
        <v>16561</v>
      </c>
      <c r="D4482" t="s">
        <v>40</v>
      </c>
      <c r="E4482" t="s">
        <v>41</v>
      </c>
      <c r="J4482" t="s">
        <v>43</v>
      </c>
      <c r="K4482" t="s">
        <v>44</v>
      </c>
      <c r="L4482">
        <v>2</v>
      </c>
      <c r="M4482" t="s">
        <v>16562</v>
      </c>
      <c r="N4482" t="s">
        <v>14059</v>
      </c>
      <c r="O4482" t="s">
        <v>47</v>
      </c>
      <c r="P4482" t="s">
        <v>47</v>
      </c>
      <c r="Y4482" t="s">
        <v>16563</v>
      </c>
      <c r="AG4482" t="s">
        <v>48</v>
      </c>
    </row>
    <row r="4483" spans="1:33">
      <c r="A4483" t="s">
        <v>16564</v>
      </c>
      <c r="B4483" t="s">
        <v>16565</v>
      </c>
      <c r="D4483" t="s">
        <v>40</v>
      </c>
      <c r="E4483" t="s">
        <v>41</v>
      </c>
      <c r="J4483" t="s">
        <v>86</v>
      </c>
      <c r="K4483" t="s">
        <v>87</v>
      </c>
      <c r="L4483">
        <v>2</v>
      </c>
      <c r="M4483" t="s">
        <v>16566</v>
      </c>
      <c r="N4483" t="s">
        <v>13978</v>
      </c>
      <c r="O4483" t="s">
        <v>47</v>
      </c>
      <c r="P4483" t="s">
        <v>47</v>
      </c>
      <c r="Y4483" t="s">
        <v>16567</v>
      </c>
      <c r="AG4483" t="s">
        <v>48</v>
      </c>
    </row>
    <row r="4484" spans="1:33">
      <c r="A4484" t="s">
        <v>16568</v>
      </c>
      <c r="B4484" t="s">
        <v>16569</v>
      </c>
      <c r="D4484" t="s">
        <v>40</v>
      </c>
      <c r="E4484" t="s">
        <v>41</v>
      </c>
      <c r="J4484" t="s">
        <v>86</v>
      </c>
      <c r="K4484" t="s">
        <v>87</v>
      </c>
      <c r="L4484">
        <v>2</v>
      </c>
      <c r="M4484" t="s">
        <v>16570</v>
      </c>
      <c r="N4484" t="s">
        <v>13978</v>
      </c>
      <c r="O4484" t="s">
        <v>47</v>
      </c>
      <c r="P4484" t="s">
        <v>47</v>
      </c>
      <c r="Y4484" t="s">
        <v>16571</v>
      </c>
      <c r="AG4484" t="s">
        <v>48</v>
      </c>
    </row>
    <row r="4485" spans="1:33">
      <c r="A4485" t="s">
        <v>16572</v>
      </c>
      <c r="B4485" t="s">
        <v>16573</v>
      </c>
      <c r="D4485" t="s">
        <v>40</v>
      </c>
      <c r="E4485" t="s">
        <v>41</v>
      </c>
      <c r="J4485" t="s">
        <v>14337</v>
      </c>
      <c r="K4485" t="s">
        <v>14338</v>
      </c>
      <c r="L4485">
        <v>2</v>
      </c>
      <c r="M4485" t="s">
        <v>16574</v>
      </c>
      <c r="N4485" t="s">
        <v>14340</v>
      </c>
      <c r="O4485" t="s">
        <v>47</v>
      </c>
      <c r="P4485" t="s">
        <v>47</v>
      </c>
      <c r="Y4485" t="s">
        <v>16575</v>
      </c>
      <c r="AG4485" t="s">
        <v>48</v>
      </c>
    </row>
    <row r="4486" spans="1:33">
      <c r="A4486" t="s">
        <v>16576</v>
      </c>
      <c r="B4486" t="s">
        <v>16577</v>
      </c>
      <c r="D4486" t="s">
        <v>40</v>
      </c>
      <c r="E4486" t="s">
        <v>41</v>
      </c>
      <c r="J4486" t="s">
        <v>43</v>
      </c>
      <c r="K4486" t="s">
        <v>44</v>
      </c>
      <c r="L4486">
        <v>2</v>
      </c>
      <c r="M4486" t="s">
        <v>16578</v>
      </c>
      <c r="N4486" t="s">
        <v>16012</v>
      </c>
      <c r="O4486" t="s">
        <v>47</v>
      </c>
      <c r="P4486" t="s">
        <v>47</v>
      </c>
      <c r="Y4486" t="s">
        <v>16579</v>
      </c>
      <c r="AG4486" t="s">
        <v>48</v>
      </c>
    </row>
    <row r="4487" spans="1:33">
      <c r="A4487" t="s">
        <v>16580</v>
      </c>
      <c r="B4487" t="s">
        <v>16581</v>
      </c>
      <c r="D4487" t="s">
        <v>40</v>
      </c>
      <c r="E4487" t="s">
        <v>41</v>
      </c>
      <c r="J4487" t="s">
        <v>43</v>
      </c>
      <c r="K4487" t="s">
        <v>44</v>
      </c>
      <c r="L4487">
        <v>3</v>
      </c>
      <c r="M4487" t="s">
        <v>16582</v>
      </c>
      <c r="N4487" t="s">
        <v>192</v>
      </c>
      <c r="O4487" t="s">
        <v>47</v>
      </c>
      <c r="P4487" t="s">
        <v>47</v>
      </c>
      <c r="Y4487" t="s">
        <v>16583</v>
      </c>
      <c r="AG4487" t="s">
        <v>48</v>
      </c>
    </row>
    <row r="4488" spans="1:33">
      <c r="A4488" t="s">
        <v>16584</v>
      </c>
      <c r="B4488" t="s">
        <v>16585</v>
      </c>
      <c r="D4488" t="s">
        <v>40</v>
      </c>
      <c r="E4488" t="s">
        <v>41</v>
      </c>
      <c r="J4488" t="s">
        <v>86</v>
      </c>
      <c r="K4488" t="s">
        <v>87</v>
      </c>
      <c r="L4488">
        <v>2</v>
      </c>
      <c r="M4488" t="s">
        <v>16586</v>
      </c>
      <c r="N4488" t="s">
        <v>13978</v>
      </c>
      <c r="O4488" t="s">
        <v>47</v>
      </c>
      <c r="P4488" t="s">
        <v>47</v>
      </c>
      <c r="Y4488" t="s">
        <v>16587</v>
      </c>
      <c r="AG4488" t="s">
        <v>48</v>
      </c>
    </row>
    <row r="4489" spans="1:33">
      <c r="A4489" t="s">
        <v>16588</v>
      </c>
      <c r="B4489" t="s">
        <v>16589</v>
      </c>
      <c r="D4489" t="s">
        <v>40</v>
      </c>
      <c r="E4489" t="s">
        <v>41</v>
      </c>
      <c r="J4489" t="s">
        <v>43</v>
      </c>
      <c r="K4489" t="s">
        <v>44</v>
      </c>
      <c r="L4489">
        <v>2</v>
      </c>
      <c r="M4489" t="s">
        <v>16590</v>
      </c>
      <c r="N4489" t="s">
        <v>192</v>
      </c>
      <c r="O4489" t="s">
        <v>47</v>
      </c>
      <c r="P4489" t="s">
        <v>47</v>
      </c>
      <c r="Y4489" t="s">
        <v>16591</v>
      </c>
      <c r="AG4489" t="s">
        <v>48</v>
      </c>
    </row>
    <row r="4490" spans="1:33">
      <c r="A4490" t="s">
        <v>16592</v>
      </c>
      <c r="B4490" t="s">
        <v>16593</v>
      </c>
      <c r="D4490" t="s">
        <v>40</v>
      </c>
      <c r="E4490" t="s">
        <v>41</v>
      </c>
      <c r="J4490" t="s">
        <v>86</v>
      </c>
      <c r="K4490" t="s">
        <v>87</v>
      </c>
      <c r="L4490">
        <v>2</v>
      </c>
      <c r="M4490" t="s">
        <v>16594</v>
      </c>
      <c r="N4490" t="s">
        <v>14059</v>
      </c>
      <c r="O4490" t="s">
        <v>47</v>
      </c>
      <c r="P4490" t="s">
        <v>47</v>
      </c>
      <c r="Y4490" t="s">
        <v>16595</v>
      </c>
      <c r="AG4490" t="s">
        <v>48</v>
      </c>
    </row>
    <row r="4491" spans="1:33">
      <c r="A4491" t="s">
        <v>16596</v>
      </c>
      <c r="B4491" t="s">
        <v>16597</v>
      </c>
      <c r="D4491" t="s">
        <v>40</v>
      </c>
      <c r="E4491" t="s">
        <v>41</v>
      </c>
      <c r="J4491" t="s">
        <v>86</v>
      </c>
      <c r="K4491" t="s">
        <v>87</v>
      </c>
      <c r="L4491">
        <v>2</v>
      </c>
      <c r="M4491" t="s">
        <v>16598</v>
      </c>
      <c r="N4491" t="s">
        <v>14059</v>
      </c>
      <c r="O4491" t="s">
        <v>47</v>
      </c>
      <c r="P4491" t="s">
        <v>47</v>
      </c>
      <c r="Y4491" t="s">
        <v>16599</v>
      </c>
      <c r="AG4491" t="s">
        <v>48</v>
      </c>
    </row>
    <row r="4492" spans="1:33">
      <c r="A4492" t="s">
        <v>16600</v>
      </c>
      <c r="B4492" t="s">
        <v>16601</v>
      </c>
      <c r="D4492" t="s">
        <v>40</v>
      </c>
      <c r="E4492" t="s">
        <v>41</v>
      </c>
      <c r="J4492" t="s">
        <v>86</v>
      </c>
      <c r="K4492" t="s">
        <v>87</v>
      </c>
      <c r="L4492">
        <v>2</v>
      </c>
      <c r="M4492" t="s">
        <v>16602</v>
      </c>
      <c r="N4492" t="s">
        <v>192</v>
      </c>
      <c r="O4492" t="s">
        <v>47</v>
      </c>
      <c r="P4492" t="s">
        <v>47</v>
      </c>
      <c r="Y4492" t="s">
        <v>16603</v>
      </c>
      <c r="AG4492" t="s">
        <v>48</v>
      </c>
    </row>
    <row r="4493" spans="1:33">
      <c r="A4493" t="s">
        <v>16604</v>
      </c>
      <c r="B4493" t="s">
        <v>16605</v>
      </c>
      <c r="D4493" t="s">
        <v>40</v>
      </c>
      <c r="E4493" t="s">
        <v>41</v>
      </c>
      <c r="J4493" t="s">
        <v>14204</v>
      </c>
      <c r="K4493" t="s">
        <v>14205</v>
      </c>
      <c r="L4493">
        <v>2</v>
      </c>
      <c r="M4493" t="s">
        <v>16606</v>
      </c>
      <c r="N4493" t="s">
        <v>14340</v>
      </c>
      <c r="O4493" t="s">
        <v>47</v>
      </c>
      <c r="P4493" t="s">
        <v>47</v>
      </c>
      <c r="Y4493" t="s">
        <v>16607</v>
      </c>
      <c r="AG4493" t="s">
        <v>48</v>
      </c>
    </row>
    <row r="4494" spans="1:33">
      <c r="A4494" t="s">
        <v>16608</v>
      </c>
      <c r="B4494" t="s">
        <v>16609</v>
      </c>
      <c r="D4494" t="s">
        <v>40</v>
      </c>
      <c r="E4494" t="s">
        <v>41</v>
      </c>
      <c r="J4494" t="s">
        <v>86</v>
      </c>
      <c r="K4494" t="s">
        <v>87</v>
      </c>
      <c r="L4494">
        <v>2</v>
      </c>
      <c r="M4494" t="s">
        <v>16610</v>
      </c>
      <c r="N4494" t="s">
        <v>14059</v>
      </c>
      <c r="O4494" t="s">
        <v>47</v>
      </c>
      <c r="P4494" t="s">
        <v>47</v>
      </c>
      <c r="Y4494" t="s">
        <v>16611</v>
      </c>
      <c r="AG4494" t="s">
        <v>48</v>
      </c>
    </row>
    <row r="4495" spans="1:33">
      <c r="A4495" t="s">
        <v>16612</v>
      </c>
      <c r="B4495" t="s">
        <v>16613</v>
      </c>
      <c r="D4495" t="s">
        <v>40</v>
      </c>
      <c r="E4495" t="s">
        <v>41</v>
      </c>
      <c r="J4495" t="s">
        <v>1418</v>
      </c>
      <c r="K4495" t="s">
        <v>1419</v>
      </c>
      <c r="L4495">
        <v>2</v>
      </c>
      <c r="M4495" t="s">
        <v>16614</v>
      </c>
      <c r="N4495" t="s">
        <v>14011</v>
      </c>
      <c r="O4495" t="s">
        <v>47</v>
      </c>
      <c r="P4495" t="s">
        <v>47</v>
      </c>
      <c r="Y4495" t="s">
        <v>16615</v>
      </c>
      <c r="AG4495" t="s">
        <v>48</v>
      </c>
    </row>
    <row r="4496" spans="1:33">
      <c r="A4496" t="s">
        <v>16616</v>
      </c>
      <c r="B4496" t="s">
        <v>16617</v>
      </c>
      <c r="D4496" t="s">
        <v>40</v>
      </c>
      <c r="E4496" t="s">
        <v>41</v>
      </c>
      <c r="J4496" t="s">
        <v>43</v>
      </c>
      <c r="K4496" t="s">
        <v>44</v>
      </c>
      <c r="L4496">
        <v>2</v>
      </c>
      <c r="M4496" t="s">
        <v>16618</v>
      </c>
      <c r="N4496" t="s">
        <v>13978</v>
      </c>
      <c r="O4496" t="s">
        <v>47</v>
      </c>
      <c r="P4496" t="s">
        <v>47</v>
      </c>
      <c r="Y4496" t="s">
        <v>16619</v>
      </c>
      <c r="AG4496" t="s">
        <v>48</v>
      </c>
    </row>
    <row r="4497" spans="1:33">
      <c r="A4497" t="s">
        <v>16620</v>
      </c>
      <c r="B4497" t="s">
        <v>16621</v>
      </c>
      <c r="D4497" t="s">
        <v>40</v>
      </c>
      <c r="E4497" t="s">
        <v>41</v>
      </c>
      <c r="J4497" t="s">
        <v>14204</v>
      </c>
      <c r="K4497" t="s">
        <v>14205</v>
      </c>
      <c r="L4497">
        <v>2</v>
      </c>
      <c r="M4497" t="s">
        <v>16622</v>
      </c>
      <c r="N4497" t="s">
        <v>14011</v>
      </c>
      <c r="O4497" t="s">
        <v>47</v>
      </c>
      <c r="P4497" t="s">
        <v>47</v>
      </c>
      <c r="Y4497" t="s">
        <v>16623</v>
      </c>
      <c r="AG4497" t="s">
        <v>48</v>
      </c>
    </row>
    <row r="4498" spans="1:33">
      <c r="A4498" t="s">
        <v>16624</v>
      </c>
      <c r="B4498" t="s">
        <v>16625</v>
      </c>
      <c r="D4498" t="s">
        <v>40</v>
      </c>
      <c r="E4498" t="s">
        <v>41</v>
      </c>
      <c r="J4498" t="s">
        <v>43</v>
      </c>
      <c r="K4498" t="s">
        <v>44</v>
      </c>
      <c r="L4498">
        <v>2</v>
      </c>
      <c r="M4498" t="s">
        <v>16626</v>
      </c>
      <c r="N4498" t="s">
        <v>192</v>
      </c>
      <c r="O4498" t="s">
        <v>47</v>
      </c>
      <c r="P4498" t="s">
        <v>47</v>
      </c>
      <c r="Y4498" t="s">
        <v>16627</v>
      </c>
      <c r="AG4498" t="s">
        <v>48</v>
      </c>
    </row>
    <row r="4499" spans="1:33">
      <c r="A4499" t="s">
        <v>16628</v>
      </c>
      <c r="B4499" t="s">
        <v>16629</v>
      </c>
      <c r="D4499" t="s">
        <v>40</v>
      </c>
      <c r="E4499" t="s">
        <v>41</v>
      </c>
      <c r="J4499" t="s">
        <v>6163</v>
      </c>
      <c r="K4499" t="s">
        <v>6164</v>
      </c>
      <c r="L4499">
        <v>3</v>
      </c>
      <c r="M4499" t="s">
        <v>16630</v>
      </c>
      <c r="N4499" t="s">
        <v>13978</v>
      </c>
      <c r="O4499" t="s">
        <v>47</v>
      </c>
      <c r="P4499" t="s">
        <v>47</v>
      </c>
      <c r="Y4499" t="s">
        <v>16631</v>
      </c>
      <c r="AG4499" t="s">
        <v>48</v>
      </c>
    </row>
    <row r="4500" spans="1:33">
      <c r="A4500" t="s">
        <v>16632</v>
      </c>
      <c r="B4500" t="s">
        <v>16633</v>
      </c>
      <c r="D4500" t="s">
        <v>40</v>
      </c>
      <c r="E4500" t="s">
        <v>41</v>
      </c>
      <c r="J4500" t="s">
        <v>43</v>
      </c>
      <c r="K4500" t="s">
        <v>44</v>
      </c>
      <c r="L4500">
        <v>2</v>
      </c>
      <c r="M4500" t="s">
        <v>16634</v>
      </c>
      <c r="N4500" t="s">
        <v>13978</v>
      </c>
      <c r="O4500" t="s">
        <v>47</v>
      </c>
      <c r="P4500" t="s">
        <v>47</v>
      </c>
      <c r="Y4500" t="s">
        <v>16635</v>
      </c>
      <c r="AG4500" t="s">
        <v>48</v>
      </c>
    </row>
    <row r="4501" spans="1:33">
      <c r="A4501" t="s">
        <v>16636</v>
      </c>
      <c r="B4501" t="s">
        <v>16637</v>
      </c>
      <c r="D4501" t="s">
        <v>40</v>
      </c>
      <c r="E4501" t="s">
        <v>41</v>
      </c>
      <c r="J4501" t="s">
        <v>43</v>
      </c>
      <c r="K4501" t="s">
        <v>44</v>
      </c>
      <c r="L4501">
        <v>2</v>
      </c>
      <c r="M4501" t="s">
        <v>16638</v>
      </c>
      <c r="N4501" t="s">
        <v>218</v>
      </c>
      <c r="O4501" t="s">
        <v>47</v>
      </c>
      <c r="P4501" t="s">
        <v>47</v>
      </c>
      <c r="Y4501" t="s">
        <v>16639</v>
      </c>
      <c r="AG4501" t="s">
        <v>48</v>
      </c>
    </row>
    <row r="4502" spans="1:33">
      <c r="A4502" t="s">
        <v>16640</v>
      </c>
      <c r="B4502" t="s">
        <v>16641</v>
      </c>
      <c r="D4502" t="s">
        <v>40</v>
      </c>
      <c r="E4502" t="s">
        <v>41</v>
      </c>
      <c r="J4502" t="s">
        <v>86</v>
      </c>
      <c r="K4502" t="s">
        <v>87</v>
      </c>
      <c r="L4502">
        <v>2</v>
      </c>
      <c r="M4502" t="s">
        <v>16642</v>
      </c>
      <c r="N4502" t="s">
        <v>13978</v>
      </c>
      <c r="O4502" t="s">
        <v>47</v>
      </c>
      <c r="P4502" t="s">
        <v>47</v>
      </c>
      <c r="Y4502" t="s">
        <v>16643</v>
      </c>
      <c r="AG4502" t="s">
        <v>48</v>
      </c>
    </row>
    <row r="4503" spans="1:33">
      <c r="A4503" t="s">
        <v>16644</v>
      </c>
      <c r="B4503" t="s">
        <v>16645</v>
      </c>
      <c r="D4503" t="s">
        <v>40</v>
      </c>
      <c r="E4503" t="s">
        <v>41</v>
      </c>
      <c r="J4503" t="s">
        <v>86</v>
      </c>
      <c r="K4503" t="s">
        <v>87</v>
      </c>
      <c r="L4503">
        <v>2</v>
      </c>
      <c r="M4503" t="s">
        <v>16646</v>
      </c>
      <c r="N4503" t="s">
        <v>192</v>
      </c>
      <c r="O4503" t="s">
        <v>47</v>
      </c>
      <c r="P4503" t="s">
        <v>47</v>
      </c>
      <c r="Y4503" t="s">
        <v>16647</v>
      </c>
      <c r="AG4503" t="s">
        <v>48</v>
      </c>
    </row>
    <row r="4504" spans="1:33">
      <c r="A4504" t="s">
        <v>16648</v>
      </c>
      <c r="B4504" t="s">
        <v>16649</v>
      </c>
      <c r="D4504" t="s">
        <v>40</v>
      </c>
      <c r="E4504" t="s">
        <v>41</v>
      </c>
      <c r="J4504" t="s">
        <v>1418</v>
      </c>
      <c r="K4504" t="s">
        <v>1419</v>
      </c>
      <c r="L4504">
        <v>2</v>
      </c>
      <c r="M4504" t="s">
        <v>16650</v>
      </c>
      <c r="N4504" t="s">
        <v>16012</v>
      </c>
      <c r="O4504" t="s">
        <v>47</v>
      </c>
      <c r="P4504" t="s">
        <v>47</v>
      </c>
      <c r="Y4504" t="s">
        <v>16651</v>
      </c>
      <c r="AG4504" t="s">
        <v>48</v>
      </c>
    </row>
    <row r="4505" spans="1:33">
      <c r="A4505" t="s">
        <v>16652</v>
      </c>
      <c r="B4505" t="s">
        <v>16653</v>
      </c>
      <c r="D4505" t="s">
        <v>40</v>
      </c>
      <c r="E4505" t="s">
        <v>41</v>
      </c>
      <c r="J4505" t="s">
        <v>43</v>
      </c>
      <c r="K4505" t="s">
        <v>44</v>
      </c>
      <c r="L4505">
        <v>2</v>
      </c>
      <c r="M4505" t="s">
        <v>16654</v>
      </c>
      <c r="N4505" t="s">
        <v>13978</v>
      </c>
      <c r="O4505" t="s">
        <v>47</v>
      </c>
      <c r="P4505" t="s">
        <v>47</v>
      </c>
      <c r="Y4505" t="s">
        <v>16655</v>
      </c>
      <c r="AG4505" t="s">
        <v>48</v>
      </c>
    </row>
    <row r="4506" spans="1:33">
      <c r="A4506" t="s">
        <v>16656</v>
      </c>
      <c r="B4506" t="s">
        <v>16657</v>
      </c>
      <c r="D4506" t="s">
        <v>40</v>
      </c>
      <c r="E4506" t="s">
        <v>41</v>
      </c>
      <c r="J4506" t="s">
        <v>43</v>
      </c>
      <c r="K4506" t="s">
        <v>44</v>
      </c>
      <c r="L4506">
        <v>2</v>
      </c>
      <c r="M4506" t="s">
        <v>16658</v>
      </c>
      <c r="N4506" t="s">
        <v>192</v>
      </c>
      <c r="O4506" t="s">
        <v>47</v>
      </c>
      <c r="P4506" t="s">
        <v>47</v>
      </c>
      <c r="Y4506" t="s">
        <v>16659</v>
      </c>
      <c r="AG4506" t="s">
        <v>48</v>
      </c>
    </row>
    <row r="4507" spans="1:33">
      <c r="A4507" t="s">
        <v>16660</v>
      </c>
      <c r="B4507" t="s">
        <v>16661</v>
      </c>
      <c r="D4507" t="s">
        <v>40</v>
      </c>
      <c r="E4507" t="s">
        <v>41</v>
      </c>
      <c r="J4507" t="s">
        <v>1418</v>
      </c>
      <c r="K4507" t="s">
        <v>1419</v>
      </c>
      <c r="L4507">
        <v>2</v>
      </c>
      <c r="M4507" t="s">
        <v>16662</v>
      </c>
      <c r="N4507" t="s">
        <v>14011</v>
      </c>
      <c r="O4507" t="s">
        <v>47</v>
      </c>
      <c r="P4507" t="s">
        <v>47</v>
      </c>
      <c r="Y4507" t="s">
        <v>16663</v>
      </c>
      <c r="AG4507" t="s">
        <v>48</v>
      </c>
    </row>
    <row r="4508" spans="1:33">
      <c r="A4508" t="s">
        <v>16664</v>
      </c>
      <c r="B4508" t="s">
        <v>16665</v>
      </c>
      <c r="D4508" t="s">
        <v>40</v>
      </c>
      <c r="E4508" t="s">
        <v>41</v>
      </c>
      <c r="J4508" t="s">
        <v>1052</v>
      </c>
      <c r="K4508" t="s">
        <v>1053</v>
      </c>
      <c r="L4508">
        <v>2</v>
      </c>
      <c r="M4508" t="s">
        <v>16666</v>
      </c>
      <c r="N4508" t="s">
        <v>14340</v>
      </c>
      <c r="O4508" t="s">
        <v>47</v>
      </c>
      <c r="P4508" t="s">
        <v>47</v>
      </c>
      <c r="Y4508" t="s">
        <v>16667</v>
      </c>
      <c r="AG4508" t="s">
        <v>48</v>
      </c>
    </row>
    <row r="4509" spans="1:33">
      <c r="A4509" t="s">
        <v>16668</v>
      </c>
      <c r="B4509" t="s">
        <v>16669</v>
      </c>
      <c r="D4509" t="s">
        <v>40</v>
      </c>
      <c r="E4509" t="s">
        <v>41</v>
      </c>
      <c r="J4509" t="s">
        <v>14204</v>
      </c>
      <c r="K4509" t="s">
        <v>14205</v>
      </c>
      <c r="L4509">
        <v>2</v>
      </c>
      <c r="M4509" t="s">
        <v>16670</v>
      </c>
      <c r="N4509" t="s">
        <v>14340</v>
      </c>
      <c r="O4509" t="s">
        <v>47</v>
      </c>
      <c r="P4509" t="s">
        <v>47</v>
      </c>
      <c r="Y4509" t="s">
        <v>16671</v>
      </c>
      <c r="AG4509" t="s">
        <v>48</v>
      </c>
    </row>
    <row r="4510" spans="1:33">
      <c r="A4510" t="s">
        <v>16672</v>
      </c>
      <c r="B4510" t="s">
        <v>16673</v>
      </c>
      <c r="D4510" t="s">
        <v>40</v>
      </c>
      <c r="E4510" t="s">
        <v>41</v>
      </c>
      <c r="J4510" t="s">
        <v>14475</v>
      </c>
      <c r="K4510" t="s">
        <v>14476</v>
      </c>
      <c r="L4510">
        <v>2</v>
      </c>
      <c r="M4510" t="s">
        <v>16674</v>
      </c>
      <c r="N4510" t="s">
        <v>14059</v>
      </c>
      <c r="O4510" t="s">
        <v>47</v>
      </c>
      <c r="P4510" t="s">
        <v>47</v>
      </c>
      <c r="Y4510" t="s">
        <v>16675</v>
      </c>
      <c r="AG4510" t="s">
        <v>48</v>
      </c>
    </row>
    <row r="4511" spans="1:33">
      <c r="A4511" t="s">
        <v>16676</v>
      </c>
      <c r="B4511" t="s">
        <v>16677</v>
      </c>
      <c r="D4511" t="s">
        <v>40</v>
      </c>
      <c r="E4511" t="s">
        <v>41</v>
      </c>
      <c r="J4511" t="s">
        <v>13514</v>
      </c>
      <c r="K4511" t="s">
        <v>13515</v>
      </c>
      <c r="L4511">
        <v>3</v>
      </c>
      <c r="M4511" t="s">
        <v>16678</v>
      </c>
      <c r="N4511" t="s">
        <v>59</v>
      </c>
      <c r="O4511" t="s">
        <v>47</v>
      </c>
      <c r="P4511" t="s">
        <v>47</v>
      </c>
      <c r="Y4511" t="s">
        <v>16679</v>
      </c>
      <c r="AG4511" t="s">
        <v>48</v>
      </c>
    </row>
    <row r="4512" spans="1:33">
      <c r="A4512" t="s">
        <v>16680</v>
      </c>
      <c r="B4512" t="s">
        <v>16681</v>
      </c>
      <c r="D4512" t="s">
        <v>40</v>
      </c>
      <c r="E4512" t="s">
        <v>41</v>
      </c>
      <c r="J4512" t="s">
        <v>1418</v>
      </c>
      <c r="K4512" t="s">
        <v>1419</v>
      </c>
      <c r="L4512">
        <v>2</v>
      </c>
      <c r="M4512" t="s">
        <v>16682</v>
      </c>
      <c r="N4512" t="s">
        <v>218</v>
      </c>
      <c r="O4512" t="s">
        <v>47</v>
      </c>
      <c r="P4512" t="s">
        <v>47</v>
      </c>
      <c r="Y4512" t="s">
        <v>16683</v>
      </c>
      <c r="AG4512" t="s">
        <v>48</v>
      </c>
    </row>
    <row r="4513" spans="1:33">
      <c r="A4513" t="s">
        <v>16684</v>
      </c>
      <c r="B4513" t="s">
        <v>16685</v>
      </c>
      <c r="D4513" t="s">
        <v>40</v>
      </c>
      <c r="E4513" t="s">
        <v>41</v>
      </c>
      <c r="J4513" t="s">
        <v>43</v>
      </c>
      <c r="K4513" t="s">
        <v>44</v>
      </c>
      <c r="L4513">
        <v>2</v>
      </c>
      <c r="M4513" t="s">
        <v>16686</v>
      </c>
      <c r="N4513" t="s">
        <v>192</v>
      </c>
      <c r="O4513" t="s">
        <v>47</v>
      </c>
      <c r="P4513" t="s">
        <v>47</v>
      </c>
      <c r="Y4513" t="s">
        <v>16687</v>
      </c>
      <c r="AG4513" t="s">
        <v>48</v>
      </c>
    </row>
    <row r="4514" spans="1:33">
      <c r="A4514" t="s">
        <v>16688</v>
      </c>
      <c r="B4514" t="s">
        <v>16689</v>
      </c>
      <c r="D4514" t="s">
        <v>40</v>
      </c>
      <c r="E4514" t="s">
        <v>41</v>
      </c>
      <c r="J4514" t="s">
        <v>86</v>
      </c>
      <c r="K4514" t="s">
        <v>87</v>
      </c>
      <c r="L4514">
        <v>2</v>
      </c>
      <c r="M4514" t="s">
        <v>16690</v>
      </c>
      <c r="N4514" t="s">
        <v>14059</v>
      </c>
      <c r="O4514" t="s">
        <v>47</v>
      </c>
      <c r="P4514" t="s">
        <v>47</v>
      </c>
      <c r="Y4514" t="s">
        <v>16691</v>
      </c>
      <c r="AG4514" t="s">
        <v>48</v>
      </c>
    </row>
    <row r="4515" spans="1:33">
      <c r="A4515" t="s">
        <v>16692</v>
      </c>
      <c r="B4515" t="s">
        <v>16693</v>
      </c>
      <c r="D4515" t="s">
        <v>40</v>
      </c>
      <c r="E4515" t="s">
        <v>41</v>
      </c>
      <c r="J4515" t="s">
        <v>86</v>
      </c>
      <c r="K4515" t="s">
        <v>87</v>
      </c>
      <c r="L4515">
        <v>2</v>
      </c>
      <c r="M4515" t="s">
        <v>16694</v>
      </c>
      <c r="N4515" t="s">
        <v>13978</v>
      </c>
      <c r="O4515" t="s">
        <v>47</v>
      </c>
      <c r="P4515" t="s">
        <v>47</v>
      </c>
      <c r="Y4515" t="s">
        <v>16695</v>
      </c>
      <c r="AG4515" t="s">
        <v>48</v>
      </c>
    </row>
    <row r="4516" spans="1:33">
      <c r="A4516" t="s">
        <v>16696</v>
      </c>
      <c r="B4516" t="s">
        <v>16697</v>
      </c>
      <c r="D4516" t="s">
        <v>40</v>
      </c>
      <c r="E4516" t="s">
        <v>41</v>
      </c>
      <c r="J4516" t="s">
        <v>43</v>
      </c>
      <c r="K4516" t="s">
        <v>44</v>
      </c>
      <c r="L4516">
        <v>2</v>
      </c>
      <c r="M4516" t="s">
        <v>16698</v>
      </c>
      <c r="N4516" t="s">
        <v>13978</v>
      </c>
      <c r="O4516" t="s">
        <v>47</v>
      </c>
      <c r="P4516" t="s">
        <v>47</v>
      </c>
      <c r="Y4516" t="s">
        <v>16699</v>
      </c>
      <c r="AG4516" t="s">
        <v>48</v>
      </c>
    </row>
    <row r="4517" spans="1:33">
      <c r="A4517" t="s">
        <v>16700</v>
      </c>
      <c r="B4517" t="s">
        <v>16701</v>
      </c>
      <c r="D4517" t="s">
        <v>40</v>
      </c>
      <c r="E4517" t="s">
        <v>41</v>
      </c>
      <c r="J4517" t="s">
        <v>86</v>
      </c>
      <c r="K4517" t="s">
        <v>87</v>
      </c>
      <c r="L4517">
        <v>2</v>
      </c>
      <c r="M4517" t="s">
        <v>16702</v>
      </c>
      <c r="N4517" t="s">
        <v>14024</v>
      </c>
      <c r="O4517" t="s">
        <v>47</v>
      </c>
      <c r="P4517" t="s">
        <v>47</v>
      </c>
      <c r="Y4517" t="s">
        <v>16703</v>
      </c>
      <c r="AG4517" t="s">
        <v>48</v>
      </c>
    </row>
    <row r="4518" spans="1:33">
      <c r="A4518" t="s">
        <v>16704</v>
      </c>
      <c r="B4518" t="s">
        <v>16705</v>
      </c>
      <c r="D4518" t="s">
        <v>40</v>
      </c>
      <c r="E4518" t="s">
        <v>41</v>
      </c>
      <c r="J4518" t="s">
        <v>1418</v>
      </c>
      <c r="K4518" t="s">
        <v>1419</v>
      </c>
      <c r="L4518">
        <v>2</v>
      </c>
      <c r="M4518" t="s">
        <v>16706</v>
      </c>
      <c r="N4518" t="s">
        <v>14011</v>
      </c>
      <c r="O4518" t="s">
        <v>47</v>
      </c>
      <c r="P4518" t="s">
        <v>47</v>
      </c>
      <c r="Y4518" t="s">
        <v>16707</v>
      </c>
      <c r="AG4518" t="s">
        <v>48</v>
      </c>
    </row>
    <row r="4519" spans="1:33">
      <c r="A4519" t="s">
        <v>16708</v>
      </c>
      <c r="B4519" t="s">
        <v>16709</v>
      </c>
      <c r="D4519" t="s">
        <v>40</v>
      </c>
      <c r="E4519" t="s">
        <v>41</v>
      </c>
      <c r="J4519" t="s">
        <v>1418</v>
      </c>
      <c r="K4519" t="s">
        <v>1419</v>
      </c>
      <c r="L4519">
        <v>2</v>
      </c>
      <c r="M4519" t="s">
        <v>16710</v>
      </c>
      <c r="N4519" t="s">
        <v>14024</v>
      </c>
      <c r="O4519" t="s">
        <v>47</v>
      </c>
      <c r="P4519" t="s">
        <v>47</v>
      </c>
      <c r="Y4519" t="s">
        <v>16711</v>
      </c>
      <c r="AG4519" t="s">
        <v>48</v>
      </c>
    </row>
    <row r="4520" spans="1:33">
      <c r="A4520" t="s">
        <v>16712</v>
      </c>
      <c r="B4520" t="s">
        <v>16713</v>
      </c>
      <c r="D4520" t="s">
        <v>40</v>
      </c>
      <c r="E4520" t="s">
        <v>41</v>
      </c>
      <c r="J4520" t="s">
        <v>86</v>
      </c>
      <c r="K4520" t="s">
        <v>87</v>
      </c>
      <c r="L4520">
        <v>2</v>
      </c>
      <c r="M4520" t="s">
        <v>16714</v>
      </c>
      <c r="N4520" t="s">
        <v>13978</v>
      </c>
      <c r="O4520" t="s">
        <v>47</v>
      </c>
      <c r="P4520" t="s">
        <v>47</v>
      </c>
      <c r="Y4520" t="s">
        <v>16715</v>
      </c>
      <c r="AG4520" t="s">
        <v>48</v>
      </c>
    </row>
    <row r="4521" spans="1:33">
      <c r="A4521" t="s">
        <v>16716</v>
      </c>
      <c r="B4521" t="s">
        <v>16717</v>
      </c>
      <c r="D4521" t="s">
        <v>40</v>
      </c>
      <c r="E4521" t="s">
        <v>41</v>
      </c>
      <c r="J4521" t="s">
        <v>86</v>
      </c>
      <c r="K4521" t="s">
        <v>87</v>
      </c>
      <c r="L4521">
        <v>2</v>
      </c>
      <c r="M4521" t="s">
        <v>16718</v>
      </c>
      <c r="N4521" t="s">
        <v>14024</v>
      </c>
      <c r="O4521" t="s">
        <v>47</v>
      </c>
      <c r="P4521" t="s">
        <v>47</v>
      </c>
      <c r="Y4521" t="s">
        <v>16719</v>
      </c>
      <c r="AG4521" t="s">
        <v>48</v>
      </c>
    </row>
    <row r="4522" spans="1:33">
      <c r="A4522" t="s">
        <v>16720</v>
      </c>
      <c r="B4522" t="s">
        <v>16721</v>
      </c>
      <c r="D4522" t="s">
        <v>40</v>
      </c>
      <c r="E4522" t="s">
        <v>41</v>
      </c>
      <c r="J4522" t="s">
        <v>4737</v>
      </c>
      <c r="K4522" t="s">
        <v>4738</v>
      </c>
      <c r="L4522">
        <v>2</v>
      </c>
      <c r="M4522" t="s">
        <v>16722</v>
      </c>
      <c r="N4522" t="s">
        <v>13978</v>
      </c>
      <c r="O4522" t="s">
        <v>47</v>
      </c>
      <c r="P4522" t="s">
        <v>47</v>
      </c>
      <c r="Y4522" t="s">
        <v>16723</v>
      </c>
      <c r="AG4522" t="s">
        <v>48</v>
      </c>
    </row>
    <row r="4523" spans="1:33">
      <c r="A4523" t="s">
        <v>16724</v>
      </c>
      <c r="B4523" t="s">
        <v>16725</v>
      </c>
      <c r="D4523" t="s">
        <v>40</v>
      </c>
      <c r="E4523" t="s">
        <v>41</v>
      </c>
      <c r="J4523" t="s">
        <v>86</v>
      </c>
      <c r="K4523" t="s">
        <v>87</v>
      </c>
      <c r="L4523">
        <v>2</v>
      </c>
      <c r="M4523" t="s">
        <v>16726</v>
      </c>
      <c r="N4523" t="s">
        <v>14024</v>
      </c>
      <c r="O4523" t="s">
        <v>47</v>
      </c>
      <c r="P4523" t="s">
        <v>47</v>
      </c>
      <c r="Y4523" t="s">
        <v>16727</v>
      </c>
      <c r="AG4523" t="s">
        <v>48</v>
      </c>
    </row>
    <row r="4524" spans="1:33">
      <c r="A4524" t="s">
        <v>16728</v>
      </c>
      <c r="B4524" t="s">
        <v>16729</v>
      </c>
      <c r="D4524" t="s">
        <v>40</v>
      </c>
      <c r="E4524" t="s">
        <v>41</v>
      </c>
      <c r="J4524" t="s">
        <v>43</v>
      </c>
      <c r="K4524" t="s">
        <v>44</v>
      </c>
      <c r="L4524">
        <v>2</v>
      </c>
      <c r="M4524" t="s">
        <v>16730</v>
      </c>
      <c r="N4524" t="s">
        <v>14024</v>
      </c>
      <c r="O4524" t="s">
        <v>47</v>
      </c>
      <c r="P4524" t="s">
        <v>47</v>
      </c>
      <c r="Y4524" t="s">
        <v>16731</v>
      </c>
      <c r="AG4524" t="s">
        <v>48</v>
      </c>
    </row>
    <row r="4525" spans="1:33">
      <c r="A4525" t="s">
        <v>16732</v>
      </c>
      <c r="B4525" t="s">
        <v>16733</v>
      </c>
      <c r="D4525" t="s">
        <v>40</v>
      </c>
      <c r="E4525" t="s">
        <v>41</v>
      </c>
      <c r="J4525" t="s">
        <v>14337</v>
      </c>
      <c r="K4525" t="s">
        <v>14338</v>
      </c>
      <c r="L4525">
        <v>6</v>
      </c>
      <c r="M4525" t="s">
        <v>16734</v>
      </c>
      <c r="N4525" t="s">
        <v>13978</v>
      </c>
      <c r="O4525" t="s">
        <v>47</v>
      </c>
      <c r="P4525" t="s">
        <v>47</v>
      </c>
      <c r="Y4525" t="s">
        <v>16735</v>
      </c>
      <c r="AG4525" t="s">
        <v>48</v>
      </c>
    </row>
    <row r="4526" spans="1:33">
      <c r="A4526" t="s">
        <v>16736</v>
      </c>
      <c r="B4526" t="s">
        <v>16737</v>
      </c>
      <c r="D4526" t="s">
        <v>40</v>
      </c>
      <c r="E4526" t="s">
        <v>41</v>
      </c>
      <c r="J4526" t="s">
        <v>13514</v>
      </c>
      <c r="K4526" t="s">
        <v>13515</v>
      </c>
      <c r="L4526">
        <v>3</v>
      </c>
      <c r="M4526" t="s">
        <v>16738</v>
      </c>
      <c r="N4526" t="s">
        <v>59</v>
      </c>
      <c r="O4526" t="s">
        <v>47</v>
      </c>
      <c r="P4526" t="s">
        <v>47</v>
      </c>
      <c r="Y4526" t="s">
        <v>16739</v>
      </c>
      <c r="AG4526" t="s">
        <v>48</v>
      </c>
    </row>
    <row r="4527" spans="1:33">
      <c r="A4527" t="s">
        <v>16740</v>
      </c>
      <c r="B4527" t="s">
        <v>16741</v>
      </c>
      <c r="D4527" t="s">
        <v>40</v>
      </c>
      <c r="E4527" t="s">
        <v>41</v>
      </c>
      <c r="J4527" t="s">
        <v>1052</v>
      </c>
      <c r="K4527" t="s">
        <v>1053</v>
      </c>
      <c r="L4527">
        <v>2</v>
      </c>
      <c r="M4527" t="s">
        <v>16742</v>
      </c>
      <c r="N4527" t="s">
        <v>14024</v>
      </c>
      <c r="O4527" t="s">
        <v>47</v>
      </c>
      <c r="P4527" t="s">
        <v>47</v>
      </c>
      <c r="Y4527" t="s">
        <v>16743</v>
      </c>
      <c r="AG4527" t="s">
        <v>48</v>
      </c>
    </row>
    <row r="4528" spans="1:33">
      <c r="A4528" t="s">
        <v>16744</v>
      </c>
      <c r="B4528" t="s">
        <v>16745</v>
      </c>
      <c r="D4528" t="s">
        <v>40</v>
      </c>
      <c r="E4528" t="s">
        <v>41</v>
      </c>
      <c r="J4528" t="s">
        <v>43</v>
      </c>
      <c r="K4528" t="s">
        <v>44</v>
      </c>
      <c r="L4528">
        <v>2</v>
      </c>
      <c r="M4528" t="s">
        <v>16746</v>
      </c>
      <c r="N4528" t="s">
        <v>13978</v>
      </c>
      <c r="O4528" t="s">
        <v>47</v>
      </c>
      <c r="P4528" t="s">
        <v>47</v>
      </c>
      <c r="Y4528" t="s">
        <v>16747</v>
      </c>
      <c r="AG4528" t="s">
        <v>48</v>
      </c>
    </row>
    <row r="4529" spans="1:33">
      <c r="A4529" t="s">
        <v>16748</v>
      </c>
      <c r="B4529" t="s">
        <v>16749</v>
      </c>
      <c r="D4529" t="s">
        <v>40</v>
      </c>
      <c r="E4529" t="s">
        <v>41</v>
      </c>
      <c r="J4529" t="s">
        <v>86</v>
      </c>
      <c r="K4529" t="s">
        <v>87</v>
      </c>
      <c r="L4529">
        <v>2</v>
      </c>
      <c r="M4529" t="s">
        <v>16750</v>
      </c>
      <c r="N4529" t="s">
        <v>16012</v>
      </c>
      <c r="O4529" t="s">
        <v>47</v>
      </c>
      <c r="P4529" t="s">
        <v>47</v>
      </c>
      <c r="Y4529" t="s">
        <v>16751</v>
      </c>
      <c r="AG4529" t="s">
        <v>48</v>
      </c>
    </row>
    <row r="4530" spans="1:33">
      <c r="A4530" t="s">
        <v>16752</v>
      </c>
      <c r="B4530" t="s">
        <v>16753</v>
      </c>
      <c r="D4530" t="s">
        <v>40</v>
      </c>
      <c r="E4530" t="s">
        <v>41</v>
      </c>
      <c r="J4530" t="s">
        <v>1418</v>
      </c>
      <c r="K4530" t="s">
        <v>1419</v>
      </c>
      <c r="L4530">
        <v>2</v>
      </c>
      <c r="M4530" t="s">
        <v>16754</v>
      </c>
      <c r="N4530" t="s">
        <v>218</v>
      </c>
      <c r="O4530" t="s">
        <v>47</v>
      </c>
      <c r="P4530" t="s">
        <v>47</v>
      </c>
      <c r="Y4530" t="s">
        <v>16755</v>
      </c>
      <c r="AG4530" t="s">
        <v>48</v>
      </c>
    </row>
    <row r="4531" spans="1:33">
      <c r="A4531" t="s">
        <v>16756</v>
      </c>
      <c r="B4531" t="s">
        <v>16757</v>
      </c>
      <c r="D4531" t="s">
        <v>40</v>
      </c>
      <c r="E4531" t="s">
        <v>41</v>
      </c>
      <c r="J4531" t="s">
        <v>1418</v>
      </c>
      <c r="K4531" t="s">
        <v>1419</v>
      </c>
      <c r="L4531">
        <v>2</v>
      </c>
      <c r="M4531" t="s">
        <v>16758</v>
      </c>
      <c r="N4531" t="s">
        <v>13978</v>
      </c>
      <c r="O4531" t="s">
        <v>47</v>
      </c>
      <c r="P4531" t="s">
        <v>47</v>
      </c>
      <c r="Y4531" t="s">
        <v>16759</v>
      </c>
      <c r="AG4531" t="s">
        <v>48</v>
      </c>
    </row>
    <row r="4532" spans="1:33">
      <c r="A4532" t="s">
        <v>16760</v>
      </c>
      <c r="B4532" t="s">
        <v>16761</v>
      </c>
      <c r="D4532" t="s">
        <v>40</v>
      </c>
      <c r="E4532" t="s">
        <v>41</v>
      </c>
      <c r="J4532" t="s">
        <v>86</v>
      </c>
      <c r="K4532" t="s">
        <v>87</v>
      </c>
      <c r="L4532">
        <v>3</v>
      </c>
      <c r="M4532" t="s">
        <v>16762</v>
      </c>
      <c r="N4532" t="s">
        <v>14024</v>
      </c>
      <c r="O4532" t="s">
        <v>47</v>
      </c>
      <c r="P4532" t="s">
        <v>47</v>
      </c>
      <c r="Y4532" t="s">
        <v>16763</v>
      </c>
      <c r="AG4532" t="s">
        <v>48</v>
      </c>
    </row>
    <row r="4533" spans="1:33">
      <c r="A4533" t="s">
        <v>16764</v>
      </c>
      <c r="B4533" t="s">
        <v>16765</v>
      </c>
      <c r="D4533" t="s">
        <v>40</v>
      </c>
      <c r="E4533" t="s">
        <v>41</v>
      </c>
      <c r="J4533" t="s">
        <v>13514</v>
      </c>
      <c r="K4533" t="s">
        <v>13515</v>
      </c>
      <c r="L4533">
        <v>3</v>
      </c>
      <c r="M4533" t="s">
        <v>16766</v>
      </c>
      <c r="N4533" t="s">
        <v>14024</v>
      </c>
      <c r="O4533" t="s">
        <v>47</v>
      </c>
      <c r="P4533" t="s">
        <v>47</v>
      </c>
      <c r="Y4533" t="s">
        <v>16767</v>
      </c>
      <c r="AG4533" t="s">
        <v>48</v>
      </c>
    </row>
    <row r="4534" spans="1:33">
      <c r="A4534" t="s">
        <v>16768</v>
      </c>
      <c r="B4534" t="s">
        <v>16769</v>
      </c>
      <c r="D4534" t="s">
        <v>40</v>
      </c>
      <c r="E4534" t="s">
        <v>41</v>
      </c>
      <c r="J4534" t="s">
        <v>86</v>
      </c>
      <c r="K4534" t="s">
        <v>87</v>
      </c>
      <c r="L4534">
        <v>2</v>
      </c>
      <c r="M4534" t="s">
        <v>16770</v>
      </c>
      <c r="N4534" t="s">
        <v>13978</v>
      </c>
      <c r="O4534" t="s">
        <v>47</v>
      </c>
      <c r="P4534" t="s">
        <v>47</v>
      </c>
      <c r="Y4534" t="s">
        <v>16771</v>
      </c>
      <c r="AG4534" t="s">
        <v>48</v>
      </c>
    </row>
    <row r="4535" spans="1:33">
      <c r="A4535" t="s">
        <v>16772</v>
      </c>
      <c r="B4535" t="s">
        <v>16773</v>
      </c>
      <c r="D4535" t="s">
        <v>40</v>
      </c>
      <c r="E4535" t="s">
        <v>41</v>
      </c>
      <c r="J4535" t="s">
        <v>86</v>
      </c>
      <c r="K4535" t="s">
        <v>87</v>
      </c>
      <c r="L4535">
        <v>2</v>
      </c>
      <c r="M4535" t="s">
        <v>16774</v>
      </c>
      <c r="N4535" t="s">
        <v>16012</v>
      </c>
      <c r="O4535" t="s">
        <v>47</v>
      </c>
      <c r="P4535" t="s">
        <v>47</v>
      </c>
      <c r="Y4535" t="s">
        <v>16775</v>
      </c>
      <c r="AG4535" t="s">
        <v>48</v>
      </c>
    </row>
    <row r="4536" spans="1:33">
      <c r="A4536" t="s">
        <v>16776</v>
      </c>
      <c r="B4536" t="s">
        <v>16777</v>
      </c>
      <c r="D4536" t="s">
        <v>40</v>
      </c>
      <c r="E4536" t="s">
        <v>41</v>
      </c>
      <c r="J4536" t="s">
        <v>3472</v>
      </c>
      <c r="K4536" t="s">
        <v>3473</v>
      </c>
      <c r="L4536">
        <v>2</v>
      </c>
      <c r="M4536" t="s">
        <v>16778</v>
      </c>
      <c r="N4536" t="s">
        <v>13978</v>
      </c>
      <c r="O4536" t="s">
        <v>47</v>
      </c>
      <c r="P4536" t="s">
        <v>47</v>
      </c>
      <c r="Y4536" t="s">
        <v>16779</v>
      </c>
      <c r="AG4536" t="s">
        <v>48</v>
      </c>
    </row>
    <row r="4537" spans="1:33">
      <c r="A4537" t="s">
        <v>117</v>
      </c>
      <c r="B4537" t="s">
        <v>16780</v>
      </c>
      <c r="D4537" t="s">
        <v>40</v>
      </c>
      <c r="E4537" t="s">
        <v>41</v>
      </c>
      <c r="J4537" t="s">
        <v>14337</v>
      </c>
      <c r="K4537" t="s">
        <v>14338</v>
      </c>
      <c r="L4537">
        <v>2</v>
      </c>
      <c r="M4537" t="s">
        <v>16781</v>
      </c>
      <c r="N4537" t="s">
        <v>192</v>
      </c>
      <c r="O4537" t="s">
        <v>47</v>
      </c>
      <c r="P4537" t="s">
        <v>47</v>
      </c>
      <c r="Y4537" t="s">
        <v>16782</v>
      </c>
      <c r="AG4537" t="s">
        <v>48</v>
      </c>
    </row>
    <row r="4538" spans="1:33">
      <c r="A4538" t="s">
        <v>117</v>
      </c>
      <c r="B4538" t="s">
        <v>16783</v>
      </c>
      <c r="D4538" t="s">
        <v>40</v>
      </c>
      <c r="E4538" t="s">
        <v>41</v>
      </c>
      <c r="J4538" t="s">
        <v>86</v>
      </c>
      <c r="K4538" t="s">
        <v>87</v>
      </c>
      <c r="L4538">
        <v>2</v>
      </c>
      <c r="M4538" t="s">
        <v>16784</v>
      </c>
      <c r="N4538" t="s">
        <v>13978</v>
      </c>
      <c r="O4538" t="s">
        <v>47</v>
      </c>
      <c r="P4538" t="s">
        <v>47</v>
      </c>
      <c r="Y4538" t="s">
        <v>16785</v>
      </c>
      <c r="AG4538" t="s">
        <v>48</v>
      </c>
    </row>
    <row r="4539" spans="1:33">
      <c r="A4539" t="s">
        <v>16786</v>
      </c>
      <c r="B4539" t="s">
        <v>16787</v>
      </c>
      <c r="D4539" t="s">
        <v>40</v>
      </c>
      <c r="E4539" t="s">
        <v>41</v>
      </c>
      <c r="J4539" t="s">
        <v>86</v>
      </c>
      <c r="K4539" t="s">
        <v>87</v>
      </c>
      <c r="L4539">
        <v>2</v>
      </c>
      <c r="M4539" t="s">
        <v>16788</v>
      </c>
      <c r="N4539" t="s">
        <v>192</v>
      </c>
      <c r="O4539" t="s">
        <v>47</v>
      </c>
      <c r="P4539" t="s">
        <v>47</v>
      </c>
      <c r="Y4539" t="s">
        <v>16789</v>
      </c>
      <c r="AG4539" t="s">
        <v>48</v>
      </c>
    </row>
    <row r="4540" spans="1:33">
      <c r="A4540" t="s">
        <v>16790</v>
      </c>
      <c r="B4540" t="s">
        <v>16791</v>
      </c>
      <c r="D4540" t="s">
        <v>40</v>
      </c>
      <c r="E4540" t="s">
        <v>41</v>
      </c>
      <c r="J4540" t="s">
        <v>1052</v>
      </c>
      <c r="K4540" t="s">
        <v>1053</v>
      </c>
      <c r="L4540">
        <v>3</v>
      </c>
      <c r="M4540" t="s">
        <v>16792</v>
      </c>
      <c r="N4540" t="s">
        <v>13978</v>
      </c>
      <c r="O4540" t="s">
        <v>47</v>
      </c>
      <c r="P4540" t="s">
        <v>47</v>
      </c>
      <c r="Y4540" t="s">
        <v>16793</v>
      </c>
      <c r="AG4540" t="s">
        <v>48</v>
      </c>
    </row>
    <row r="4541" spans="1:33">
      <c r="A4541" t="s">
        <v>117</v>
      </c>
      <c r="B4541" t="s">
        <v>16794</v>
      </c>
      <c r="D4541" t="s">
        <v>40</v>
      </c>
      <c r="E4541" t="s">
        <v>41</v>
      </c>
      <c r="J4541" t="s">
        <v>86</v>
      </c>
      <c r="K4541" t="s">
        <v>87</v>
      </c>
      <c r="L4541">
        <v>2</v>
      </c>
      <c r="M4541" t="s">
        <v>16795</v>
      </c>
      <c r="N4541" t="s">
        <v>192</v>
      </c>
      <c r="O4541" t="s">
        <v>47</v>
      </c>
      <c r="P4541" t="s">
        <v>47</v>
      </c>
      <c r="Y4541" t="s">
        <v>16796</v>
      </c>
      <c r="AG4541" t="s">
        <v>48</v>
      </c>
    </row>
    <row r="4542" spans="1:33">
      <c r="A4542" t="s">
        <v>16797</v>
      </c>
      <c r="B4542" t="s">
        <v>16798</v>
      </c>
      <c r="D4542" t="s">
        <v>40</v>
      </c>
      <c r="E4542" t="s">
        <v>41</v>
      </c>
      <c r="J4542" t="s">
        <v>43</v>
      </c>
      <c r="K4542" t="s">
        <v>44</v>
      </c>
      <c r="L4542">
        <v>2</v>
      </c>
      <c r="M4542" t="s">
        <v>16799</v>
      </c>
      <c r="N4542" t="s">
        <v>192</v>
      </c>
      <c r="O4542" t="s">
        <v>47</v>
      </c>
      <c r="P4542" t="s">
        <v>47</v>
      </c>
      <c r="Y4542" t="s">
        <v>16800</v>
      </c>
      <c r="AG4542" t="s">
        <v>48</v>
      </c>
    </row>
    <row r="4543" spans="1:33">
      <c r="A4543" t="s">
        <v>16801</v>
      </c>
      <c r="B4543" t="s">
        <v>16802</v>
      </c>
      <c r="D4543" t="s">
        <v>40</v>
      </c>
      <c r="E4543" t="s">
        <v>41</v>
      </c>
      <c r="J4543" t="s">
        <v>1418</v>
      </c>
      <c r="K4543" t="s">
        <v>1419</v>
      </c>
      <c r="L4543">
        <v>2</v>
      </c>
      <c r="M4543" t="s">
        <v>16803</v>
      </c>
      <c r="N4543" t="s">
        <v>13978</v>
      </c>
      <c r="O4543" t="s">
        <v>47</v>
      </c>
      <c r="P4543" t="s">
        <v>47</v>
      </c>
      <c r="Y4543" t="s">
        <v>16804</v>
      </c>
      <c r="AG4543" t="s">
        <v>48</v>
      </c>
    </row>
    <row r="4544" spans="1:33">
      <c r="A4544" t="s">
        <v>16805</v>
      </c>
      <c r="B4544" t="s">
        <v>16806</v>
      </c>
      <c r="D4544" t="s">
        <v>40</v>
      </c>
      <c r="E4544" t="s">
        <v>41</v>
      </c>
      <c r="J4544" t="s">
        <v>86</v>
      </c>
      <c r="K4544" t="s">
        <v>87</v>
      </c>
      <c r="L4544">
        <v>2</v>
      </c>
      <c r="M4544" t="s">
        <v>16807</v>
      </c>
      <c r="N4544" t="s">
        <v>13978</v>
      </c>
      <c r="O4544" t="s">
        <v>47</v>
      </c>
      <c r="P4544" t="s">
        <v>47</v>
      </c>
      <c r="Y4544" t="s">
        <v>16808</v>
      </c>
      <c r="AG4544" t="s">
        <v>48</v>
      </c>
    </row>
    <row r="4545" spans="1:33">
      <c r="A4545" t="s">
        <v>16809</v>
      </c>
      <c r="B4545" t="s">
        <v>16810</v>
      </c>
      <c r="D4545" t="s">
        <v>40</v>
      </c>
      <c r="E4545" t="s">
        <v>41</v>
      </c>
      <c r="J4545" t="s">
        <v>13514</v>
      </c>
      <c r="K4545" t="s">
        <v>13515</v>
      </c>
      <c r="L4545">
        <v>3</v>
      </c>
      <c r="M4545" t="s">
        <v>16811</v>
      </c>
      <c r="N4545" t="s">
        <v>59</v>
      </c>
      <c r="O4545" t="s">
        <v>47</v>
      </c>
      <c r="P4545" t="s">
        <v>47</v>
      </c>
      <c r="Y4545" t="s">
        <v>16812</v>
      </c>
      <c r="AG4545" t="s">
        <v>48</v>
      </c>
    </row>
    <row r="4546" spans="1:33">
      <c r="A4546" t="s">
        <v>16813</v>
      </c>
      <c r="B4546" t="s">
        <v>16814</v>
      </c>
      <c r="D4546" t="s">
        <v>40</v>
      </c>
      <c r="E4546" t="s">
        <v>41</v>
      </c>
      <c r="J4546" t="s">
        <v>86</v>
      </c>
      <c r="K4546" t="s">
        <v>87</v>
      </c>
      <c r="L4546">
        <v>2</v>
      </c>
      <c r="M4546" t="s">
        <v>16815</v>
      </c>
      <c r="N4546" t="s">
        <v>16012</v>
      </c>
      <c r="O4546" t="s">
        <v>47</v>
      </c>
      <c r="P4546" t="s">
        <v>47</v>
      </c>
      <c r="Y4546" t="s">
        <v>16816</v>
      </c>
      <c r="AG4546" t="s">
        <v>48</v>
      </c>
    </row>
    <row r="4547" spans="1:33">
      <c r="A4547" t="s">
        <v>16817</v>
      </c>
      <c r="B4547" t="s">
        <v>16818</v>
      </c>
      <c r="D4547" t="s">
        <v>40</v>
      </c>
      <c r="E4547" t="s">
        <v>41</v>
      </c>
      <c r="J4547" t="s">
        <v>1418</v>
      </c>
      <c r="K4547" t="s">
        <v>1419</v>
      </c>
      <c r="L4547">
        <v>2</v>
      </c>
      <c r="M4547" t="s">
        <v>16819</v>
      </c>
      <c r="N4547" t="s">
        <v>14340</v>
      </c>
      <c r="O4547" t="s">
        <v>47</v>
      </c>
      <c r="P4547" t="s">
        <v>47</v>
      </c>
      <c r="Y4547" t="s">
        <v>16820</v>
      </c>
      <c r="AG4547" t="s">
        <v>48</v>
      </c>
    </row>
    <row r="4548" spans="1:33">
      <c r="A4548" t="s">
        <v>16821</v>
      </c>
      <c r="B4548" t="s">
        <v>16822</v>
      </c>
      <c r="D4548" t="s">
        <v>40</v>
      </c>
      <c r="E4548" t="s">
        <v>41</v>
      </c>
      <c r="J4548" t="s">
        <v>86</v>
      </c>
      <c r="K4548" t="s">
        <v>87</v>
      </c>
      <c r="L4548">
        <v>2</v>
      </c>
      <c r="M4548" t="s">
        <v>16823</v>
      </c>
      <c r="N4548" t="s">
        <v>13978</v>
      </c>
      <c r="O4548" t="s">
        <v>47</v>
      </c>
      <c r="P4548" t="s">
        <v>47</v>
      </c>
      <c r="Y4548" t="s">
        <v>16824</v>
      </c>
      <c r="AG4548" t="s">
        <v>48</v>
      </c>
    </row>
    <row r="4549" spans="1:33">
      <c r="A4549" t="s">
        <v>16825</v>
      </c>
      <c r="B4549" t="s">
        <v>16826</v>
      </c>
      <c r="D4549" t="s">
        <v>40</v>
      </c>
      <c r="E4549" t="s">
        <v>41</v>
      </c>
      <c r="J4549" t="s">
        <v>43</v>
      </c>
      <c r="K4549" t="s">
        <v>44</v>
      </c>
      <c r="L4549">
        <v>2</v>
      </c>
      <c r="M4549" t="s">
        <v>16827</v>
      </c>
      <c r="N4549" t="s">
        <v>16012</v>
      </c>
      <c r="O4549" t="s">
        <v>47</v>
      </c>
      <c r="P4549" t="s">
        <v>47</v>
      </c>
      <c r="Y4549" t="s">
        <v>16828</v>
      </c>
      <c r="AG4549" t="s">
        <v>48</v>
      </c>
    </row>
    <row r="4550" spans="1:33">
      <c r="A4550" t="s">
        <v>16829</v>
      </c>
      <c r="B4550" t="s">
        <v>16830</v>
      </c>
      <c r="D4550" t="s">
        <v>40</v>
      </c>
      <c r="E4550" t="s">
        <v>41</v>
      </c>
      <c r="J4550" t="s">
        <v>86</v>
      </c>
      <c r="K4550" t="s">
        <v>87</v>
      </c>
      <c r="L4550">
        <v>2</v>
      </c>
      <c r="M4550" t="s">
        <v>16831</v>
      </c>
      <c r="N4550" t="s">
        <v>16012</v>
      </c>
      <c r="O4550" t="s">
        <v>47</v>
      </c>
      <c r="P4550" t="s">
        <v>47</v>
      </c>
      <c r="Y4550" t="s">
        <v>16832</v>
      </c>
      <c r="AG4550" t="s">
        <v>48</v>
      </c>
    </row>
    <row r="4551" spans="1:33">
      <c r="A4551" t="s">
        <v>16833</v>
      </c>
      <c r="B4551" t="s">
        <v>16834</v>
      </c>
      <c r="D4551" t="s">
        <v>40</v>
      </c>
      <c r="E4551" t="s">
        <v>41</v>
      </c>
      <c r="J4551" t="s">
        <v>86</v>
      </c>
      <c r="K4551" t="s">
        <v>87</v>
      </c>
      <c r="L4551">
        <v>2</v>
      </c>
      <c r="M4551" t="s">
        <v>16835</v>
      </c>
      <c r="N4551" t="s">
        <v>13978</v>
      </c>
      <c r="O4551" t="s">
        <v>47</v>
      </c>
      <c r="P4551" t="s">
        <v>47</v>
      </c>
      <c r="Y4551" t="s">
        <v>16836</v>
      </c>
      <c r="AG4551" t="s">
        <v>48</v>
      </c>
    </row>
    <row r="4552" spans="1:33">
      <c r="A4552" t="s">
        <v>16837</v>
      </c>
      <c r="B4552" t="s">
        <v>16838</v>
      </c>
      <c r="D4552" t="s">
        <v>40</v>
      </c>
      <c r="E4552" t="s">
        <v>41</v>
      </c>
      <c r="J4552" t="s">
        <v>86</v>
      </c>
      <c r="K4552" t="s">
        <v>87</v>
      </c>
      <c r="L4552">
        <v>2</v>
      </c>
      <c r="M4552" t="s">
        <v>16839</v>
      </c>
      <c r="N4552" t="s">
        <v>13978</v>
      </c>
      <c r="O4552" t="s">
        <v>47</v>
      </c>
      <c r="P4552" t="s">
        <v>47</v>
      </c>
      <c r="Y4552" t="s">
        <v>16840</v>
      </c>
      <c r="AG4552" t="s">
        <v>48</v>
      </c>
    </row>
    <row r="4553" spans="1:33">
      <c r="A4553" t="s">
        <v>16841</v>
      </c>
      <c r="B4553" t="s">
        <v>16842</v>
      </c>
      <c r="D4553" t="s">
        <v>40</v>
      </c>
      <c r="E4553" t="s">
        <v>41</v>
      </c>
      <c r="J4553" t="s">
        <v>86</v>
      </c>
      <c r="K4553" t="s">
        <v>87</v>
      </c>
      <c r="L4553">
        <v>2</v>
      </c>
      <c r="M4553" t="s">
        <v>16843</v>
      </c>
      <c r="N4553" t="s">
        <v>16012</v>
      </c>
      <c r="O4553" t="s">
        <v>47</v>
      </c>
      <c r="P4553" t="s">
        <v>47</v>
      </c>
      <c r="Y4553" t="s">
        <v>16844</v>
      </c>
      <c r="AG4553" t="s">
        <v>48</v>
      </c>
    </row>
    <row r="4554" spans="1:33">
      <c r="A4554" t="s">
        <v>16845</v>
      </c>
      <c r="B4554" t="s">
        <v>16846</v>
      </c>
      <c r="D4554" t="s">
        <v>40</v>
      </c>
      <c r="E4554" t="s">
        <v>41</v>
      </c>
      <c r="J4554" t="s">
        <v>86</v>
      </c>
      <c r="K4554" t="s">
        <v>87</v>
      </c>
      <c r="L4554">
        <v>2</v>
      </c>
      <c r="M4554" t="s">
        <v>16847</v>
      </c>
      <c r="N4554" t="s">
        <v>192</v>
      </c>
      <c r="O4554" t="s">
        <v>47</v>
      </c>
      <c r="P4554" t="s">
        <v>47</v>
      </c>
      <c r="Y4554" t="s">
        <v>16848</v>
      </c>
      <c r="AG4554" t="s">
        <v>48</v>
      </c>
    </row>
    <row r="4555" spans="1:33">
      <c r="A4555" t="s">
        <v>16849</v>
      </c>
      <c r="B4555" t="s">
        <v>16850</v>
      </c>
      <c r="D4555" t="s">
        <v>40</v>
      </c>
      <c r="E4555" t="s">
        <v>41</v>
      </c>
      <c r="J4555" t="s">
        <v>86</v>
      </c>
      <c r="K4555" t="s">
        <v>87</v>
      </c>
      <c r="L4555">
        <v>2</v>
      </c>
      <c r="M4555" t="s">
        <v>16851</v>
      </c>
      <c r="N4555" t="s">
        <v>14024</v>
      </c>
      <c r="O4555" t="s">
        <v>47</v>
      </c>
      <c r="P4555" t="s">
        <v>47</v>
      </c>
      <c r="Y4555" t="s">
        <v>16852</v>
      </c>
      <c r="AG4555" t="s">
        <v>48</v>
      </c>
    </row>
    <row r="4556" spans="1:33">
      <c r="A4556" t="s">
        <v>16853</v>
      </c>
      <c r="B4556" t="s">
        <v>16854</v>
      </c>
      <c r="D4556" t="s">
        <v>40</v>
      </c>
      <c r="E4556" t="s">
        <v>41</v>
      </c>
      <c r="J4556" t="s">
        <v>86</v>
      </c>
      <c r="K4556" t="s">
        <v>87</v>
      </c>
      <c r="L4556">
        <v>2</v>
      </c>
      <c r="M4556" t="s">
        <v>16851</v>
      </c>
      <c r="N4556" t="s">
        <v>13978</v>
      </c>
      <c r="O4556" t="s">
        <v>47</v>
      </c>
      <c r="P4556" t="s">
        <v>47</v>
      </c>
      <c r="Y4556" t="s">
        <v>16855</v>
      </c>
      <c r="AG4556" t="s">
        <v>48</v>
      </c>
    </row>
    <row r="4557" spans="1:33">
      <c r="A4557" t="s">
        <v>16856</v>
      </c>
      <c r="B4557" t="s">
        <v>16857</v>
      </c>
      <c r="D4557" t="s">
        <v>40</v>
      </c>
      <c r="E4557" t="s">
        <v>41</v>
      </c>
      <c r="J4557" t="s">
        <v>86</v>
      </c>
      <c r="K4557" t="s">
        <v>87</v>
      </c>
      <c r="L4557">
        <v>3</v>
      </c>
      <c r="M4557" t="s">
        <v>16858</v>
      </c>
      <c r="N4557" t="s">
        <v>13978</v>
      </c>
      <c r="O4557" t="s">
        <v>47</v>
      </c>
      <c r="P4557" t="s">
        <v>47</v>
      </c>
      <c r="Y4557" t="s">
        <v>16859</v>
      </c>
      <c r="AG4557" t="s">
        <v>48</v>
      </c>
    </row>
    <row r="4558" spans="1:33">
      <c r="A4558" t="s">
        <v>16860</v>
      </c>
      <c r="B4558" t="s">
        <v>16861</v>
      </c>
      <c r="D4558" t="s">
        <v>40</v>
      </c>
      <c r="E4558" t="s">
        <v>41</v>
      </c>
      <c r="J4558" t="s">
        <v>86</v>
      </c>
      <c r="K4558" t="s">
        <v>87</v>
      </c>
      <c r="L4558">
        <v>2</v>
      </c>
      <c r="M4558" t="s">
        <v>16862</v>
      </c>
      <c r="N4558" t="s">
        <v>14024</v>
      </c>
      <c r="O4558" t="s">
        <v>47</v>
      </c>
      <c r="P4558" t="s">
        <v>47</v>
      </c>
      <c r="Y4558" t="s">
        <v>16863</v>
      </c>
      <c r="AG4558" t="s">
        <v>48</v>
      </c>
    </row>
    <row r="4559" spans="1:33">
      <c r="A4559" t="s">
        <v>16864</v>
      </c>
      <c r="B4559" t="s">
        <v>16865</v>
      </c>
      <c r="D4559" t="s">
        <v>40</v>
      </c>
      <c r="E4559" t="s">
        <v>41</v>
      </c>
      <c r="J4559" t="s">
        <v>43</v>
      </c>
      <c r="K4559" t="s">
        <v>44</v>
      </c>
      <c r="L4559">
        <v>2</v>
      </c>
      <c r="M4559" t="s">
        <v>16866</v>
      </c>
      <c r="N4559" t="s">
        <v>13978</v>
      </c>
      <c r="O4559" t="s">
        <v>47</v>
      </c>
      <c r="P4559" t="s">
        <v>47</v>
      </c>
      <c r="Y4559" t="s">
        <v>16867</v>
      </c>
      <c r="AG4559" t="s">
        <v>48</v>
      </c>
    </row>
    <row r="4560" spans="1:33">
      <c r="A4560" t="s">
        <v>16868</v>
      </c>
      <c r="B4560" t="s">
        <v>16869</v>
      </c>
      <c r="D4560" t="s">
        <v>40</v>
      </c>
      <c r="E4560" t="s">
        <v>41</v>
      </c>
      <c r="J4560" t="s">
        <v>86</v>
      </c>
      <c r="K4560" t="s">
        <v>87</v>
      </c>
      <c r="L4560">
        <v>3</v>
      </c>
      <c r="M4560" t="s">
        <v>16870</v>
      </c>
      <c r="N4560" t="s">
        <v>13978</v>
      </c>
      <c r="O4560" t="s">
        <v>47</v>
      </c>
      <c r="P4560" t="s">
        <v>47</v>
      </c>
      <c r="Y4560" t="s">
        <v>16871</v>
      </c>
      <c r="AG4560" t="s">
        <v>48</v>
      </c>
    </row>
    <row r="4561" spans="1:33">
      <c r="A4561" t="s">
        <v>16872</v>
      </c>
      <c r="B4561" t="s">
        <v>16873</v>
      </c>
      <c r="D4561" t="s">
        <v>40</v>
      </c>
      <c r="E4561" t="s">
        <v>41</v>
      </c>
      <c r="J4561" t="s">
        <v>86</v>
      </c>
      <c r="K4561" t="s">
        <v>87</v>
      </c>
      <c r="L4561">
        <v>3</v>
      </c>
      <c r="M4561" t="s">
        <v>16874</v>
      </c>
      <c r="N4561" t="s">
        <v>13978</v>
      </c>
      <c r="O4561" t="s">
        <v>47</v>
      </c>
      <c r="P4561" t="s">
        <v>47</v>
      </c>
      <c r="Y4561" t="s">
        <v>16875</v>
      </c>
      <c r="AG4561" t="s">
        <v>48</v>
      </c>
    </row>
    <row r="4562" spans="1:33">
      <c r="A4562" t="s">
        <v>16876</v>
      </c>
      <c r="B4562" t="s">
        <v>16877</v>
      </c>
      <c r="D4562" t="s">
        <v>40</v>
      </c>
      <c r="E4562" t="s">
        <v>41</v>
      </c>
      <c r="J4562" t="s">
        <v>981</v>
      </c>
      <c r="K4562" t="s">
        <v>982</v>
      </c>
      <c r="L4562">
        <v>2</v>
      </c>
      <c r="M4562" t="s">
        <v>16878</v>
      </c>
      <c r="N4562" t="s">
        <v>13978</v>
      </c>
      <c r="O4562" t="s">
        <v>47</v>
      </c>
      <c r="P4562" t="s">
        <v>47</v>
      </c>
      <c r="Y4562" t="s">
        <v>16879</v>
      </c>
      <c r="AG4562" t="s">
        <v>48</v>
      </c>
    </row>
    <row r="4563" spans="1:33">
      <c r="A4563" t="s">
        <v>16880</v>
      </c>
      <c r="B4563" t="s">
        <v>16881</v>
      </c>
      <c r="D4563" t="s">
        <v>40</v>
      </c>
      <c r="E4563" t="s">
        <v>41</v>
      </c>
      <c r="J4563" t="s">
        <v>86</v>
      </c>
      <c r="K4563" t="s">
        <v>87</v>
      </c>
      <c r="L4563">
        <v>2</v>
      </c>
      <c r="M4563" t="s">
        <v>16882</v>
      </c>
      <c r="N4563" t="s">
        <v>13978</v>
      </c>
      <c r="O4563" t="s">
        <v>47</v>
      </c>
      <c r="P4563" t="s">
        <v>47</v>
      </c>
      <c r="Y4563" t="s">
        <v>16883</v>
      </c>
      <c r="AG4563" t="s">
        <v>48</v>
      </c>
    </row>
    <row r="4564" spans="1:33">
      <c r="A4564" t="s">
        <v>16884</v>
      </c>
      <c r="B4564" t="s">
        <v>16885</v>
      </c>
      <c r="D4564" t="s">
        <v>40</v>
      </c>
      <c r="E4564" t="s">
        <v>41</v>
      </c>
      <c r="J4564" t="s">
        <v>86</v>
      </c>
      <c r="K4564" t="s">
        <v>87</v>
      </c>
      <c r="L4564">
        <v>2</v>
      </c>
      <c r="M4564" t="s">
        <v>16886</v>
      </c>
      <c r="N4564" t="s">
        <v>13978</v>
      </c>
      <c r="O4564" t="s">
        <v>47</v>
      </c>
      <c r="P4564" t="s">
        <v>47</v>
      </c>
      <c r="Y4564" t="s">
        <v>16887</v>
      </c>
      <c r="AG4564" t="s">
        <v>48</v>
      </c>
    </row>
    <row r="4565" spans="1:33">
      <c r="A4565" t="s">
        <v>16888</v>
      </c>
      <c r="B4565" t="s">
        <v>16889</v>
      </c>
      <c r="D4565" t="s">
        <v>40</v>
      </c>
      <c r="E4565" t="s">
        <v>41</v>
      </c>
      <c r="J4565" t="s">
        <v>86</v>
      </c>
      <c r="K4565" t="s">
        <v>87</v>
      </c>
      <c r="L4565">
        <v>2</v>
      </c>
      <c r="M4565" t="s">
        <v>16890</v>
      </c>
      <c r="N4565" t="s">
        <v>13978</v>
      </c>
      <c r="O4565" t="s">
        <v>47</v>
      </c>
      <c r="P4565" t="s">
        <v>47</v>
      </c>
      <c r="Y4565" t="s">
        <v>16891</v>
      </c>
      <c r="AG4565" t="s">
        <v>48</v>
      </c>
    </row>
    <row r="4566" spans="1:33">
      <c r="A4566" t="s">
        <v>16892</v>
      </c>
      <c r="B4566" t="s">
        <v>16893</v>
      </c>
      <c r="D4566" t="s">
        <v>40</v>
      </c>
      <c r="E4566" t="s">
        <v>41</v>
      </c>
      <c r="J4566" t="s">
        <v>43</v>
      </c>
      <c r="K4566" t="s">
        <v>44</v>
      </c>
      <c r="L4566">
        <v>2</v>
      </c>
      <c r="M4566" t="s">
        <v>16894</v>
      </c>
      <c r="N4566" t="s">
        <v>192</v>
      </c>
      <c r="O4566" t="s">
        <v>47</v>
      </c>
      <c r="P4566" t="s">
        <v>47</v>
      </c>
      <c r="Y4566" t="s">
        <v>16895</v>
      </c>
      <c r="AG4566" t="s">
        <v>48</v>
      </c>
    </row>
    <row r="4567" spans="1:33">
      <c r="A4567" t="s">
        <v>16896</v>
      </c>
      <c r="B4567" t="s">
        <v>16897</v>
      </c>
      <c r="D4567" t="s">
        <v>40</v>
      </c>
      <c r="E4567" t="s">
        <v>41</v>
      </c>
      <c r="J4567" t="s">
        <v>43</v>
      </c>
      <c r="K4567" t="s">
        <v>44</v>
      </c>
      <c r="L4567">
        <v>2</v>
      </c>
      <c r="M4567" t="s">
        <v>16898</v>
      </c>
      <c r="N4567" t="s">
        <v>13978</v>
      </c>
      <c r="O4567" t="s">
        <v>47</v>
      </c>
      <c r="P4567" t="s">
        <v>47</v>
      </c>
      <c r="Y4567" t="s">
        <v>16899</v>
      </c>
      <c r="AG4567" t="s">
        <v>48</v>
      </c>
    </row>
    <row r="4568" spans="1:33">
      <c r="A4568" t="s">
        <v>16900</v>
      </c>
      <c r="B4568" t="s">
        <v>16901</v>
      </c>
      <c r="D4568" t="s">
        <v>40</v>
      </c>
      <c r="E4568" t="s">
        <v>41</v>
      </c>
      <c r="J4568" t="s">
        <v>4737</v>
      </c>
      <c r="K4568" t="s">
        <v>4738</v>
      </c>
      <c r="L4568">
        <v>2</v>
      </c>
      <c r="M4568" t="s">
        <v>16902</v>
      </c>
      <c r="N4568" t="s">
        <v>192</v>
      </c>
      <c r="O4568" t="s">
        <v>47</v>
      </c>
      <c r="P4568" t="s">
        <v>47</v>
      </c>
      <c r="Y4568" t="s">
        <v>16903</v>
      </c>
      <c r="AG4568" t="s">
        <v>48</v>
      </c>
    </row>
    <row r="4569" spans="1:33">
      <c r="A4569" t="s">
        <v>16904</v>
      </c>
      <c r="B4569" t="s">
        <v>16905</v>
      </c>
      <c r="D4569" t="s">
        <v>40</v>
      </c>
      <c r="E4569" t="s">
        <v>41</v>
      </c>
      <c r="J4569" t="s">
        <v>14204</v>
      </c>
      <c r="K4569" t="s">
        <v>14205</v>
      </c>
      <c r="L4569">
        <v>2</v>
      </c>
      <c r="M4569" t="s">
        <v>16906</v>
      </c>
      <c r="N4569" t="s">
        <v>14340</v>
      </c>
      <c r="O4569" t="s">
        <v>47</v>
      </c>
      <c r="P4569" t="s">
        <v>47</v>
      </c>
      <c r="Y4569" t="s">
        <v>16907</v>
      </c>
      <c r="AG4569" t="s">
        <v>48</v>
      </c>
    </row>
    <row r="4570" spans="1:33">
      <c r="A4570" t="s">
        <v>16908</v>
      </c>
      <c r="B4570" t="s">
        <v>16909</v>
      </c>
      <c r="D4570" t="s">
        <v>40</v>
      </c>
      <c r="E4570" t="s">
        <v>41</v>
      </c>
      <c r="J4570" t="s">
        <v>86</v>
      </c>
      <c r="K4570" t="s">
        <v>87</v>
      </c>
      <c r="L4570">
        <v>2</v>
      </c>
      <c r="M4570" t="s">
        <v>16910</v>
      </c>
      <c r="N4570" t="s">
        <v>13978</v>
      </c>
      <c r="O4570" t="s">
        <v>47</v>
      </c>
      <c r="P4570" t="s">
        <v>47</v>
      </c>
      <c r="Y4570" t="s">
        <v>16911</v>
      </c>
      <c r="AG4570" t="s">
        <v>48</v>
      </c>
    </row>
    <row r="4571" spans="1:33">
      <c r="A4571" t="s">
        <v>16912</v>
      </c>
      <c r="B4571" t="s">
        <v>16913</v>
      </c>
      <c r="D4571" t="s">
        <v>40</v>
      </c>
      <c r="E4571" t="s">
        <v>41</v>
      </c>
      <c r="J4571" t="s">
        <v>86</v>
      </c>
      <c r="K4571" t="s">
        <v>87</v>
      </c>
      <c r="L4571">
        <v>3</v>
      </c>
      <c r="M4571" t="s">
        <v>16914</v>
      </c>
      <c r="N4571" t="s">
        <v>13978</v>
      </c>
      <c r="O4571" t="s">
        <v>47</v>
      </c>
      <c r="P4571" t="s">
        <v>47</v>
      </c>
      <c r="Y4571" t="s">
        <v>16915</v>
      </c>
      <c r="AG4571" t="s">
        <v>48</v>
      </c>
    </row>
    <row r="4572" spans="1:33">
      <c r="A4572" t="s">
        <v>16916</v>
      </c>
      <c r="B4572" t="s">
        <v>16917</v>
      </c>
      <c r="D4572" t="s">
        <v>40</v>
      </c>
      <c r="E4572" t="s">
        <v>41</v>
      </c>
      <c r="J4572" t="s">
        <v>6163</v>
      </c>
      <c r="K4572" t="s">
        <v>6164</v>
      </c>
      <c r="L4572">
        <v>3</v>
      </c>
      <c r="M4572" t="s">
        <v>16918</v>
      </c>
      <c r="N4572" t="s">
        <v>13978</v>
      </c>
      <c r="O4572" t="s">
        <v>47</v>
      </c>
      <c r="P4572" t="s">
        <v>47</v>
      </c>
      <c r="Y4572" t="s">
        <v>16919</v>
      </c>
      <c r="AG4572" t="s">
        <v>48</v>
      </c>
    </row>
    <row r="4573" spans="1:33">
      <c r="A4573" t="s">
        <v>16920</v>
      </c>
      <c r="B4573" t="s">
        <v>16921</v>
      </c>
      <c r="D4573" t="s">
        <v>40</v>
      </c>
      <c r="E4573" t="s">
        <v>41</v>
      </c>
      <c r="J4573" t="s">
        <v>43</v>
      </c>
      <c r="K4573" t="s">
        <v>44</v>
      </c>
      <c r="L4573">
        <v>2</v>
      </c>
      <c r="M4573" t="s">
        <v>16922</v>
      </c>
      <c r="N4573" t="s">
        <v>13978</v>
      </c>
      <c r="O4573" t="s">
        <v>47</v>
      </c>
      <c r="P4573" t="s">
        <v>47</v>
      </c>
      <c r="Y4573" t="s">
        <v>16923</v>
      </c>
      <c r="AG4573" t="s">
        <v>48</v>
      </c>
    </row>
    <row r="4574" spans="1:33">
      <c r="A4574" t="s">
        <v>16924</v>
      </c>
      <c r="B4574" t="s">
        <v>16925</v>
      </c>
      <c r="D4574" t="s">
        <v>40</v>
      </c>
      <c r="E4574" t="s">
        <v>41</v>
      </c>
      <c r="J4574" t="s">
        <v>1566</v>
      </c>
      <c r="K4574" t="s">
        <v>1567</v>
      </c>
      <c r="L4574">
        <v>4</v>
      </c>
      <c r="M4574" t="s">
        <v>16926</v>
      </c>
      <c r="N4574" t="s">
        <v>13978</v>
      </c>
      <c r="O4574" t="s">
        <v>47</v>
      </c>
      <c r="P4574" t="s">
        <v>47</v>
      </c>
      <c r="Y4574" t="s">
        <v>16927</v>
      </c>
      <c r="AG4574" t="s">
        <v>48</v>
      </c>
    </row>
    <row r="4575" spans="1:33">
      <c r="A4575" t="s">
        <v>16928</v>
      </c>
      <c r="B4575" t="s">
        <v>16929</v>
      </c>
      <c r="D4575" t="s">
        <v>40</v>
      </c>
      <c r="E4575" t="s">
        <v>41</v>
      </c>
      <c r="J4575" t="s">
        <v>3472</v>
      </c>
      <c r="K4575" t="s">
        <v>3473</v>
      </c>
      <c r="L4575">
        <v>2</v>
      </c>
      <c r="M4575" t="s">
        <v>16930</v>
      </c>
      <c r="N4575" t="s">
        <v>13978</v>
      </c>
      <c r="O4575" t="s">
        <v>47</v>
      </c>
      <c r="P4575" t="s">
        <v>47</v>
      </c>
      <c r="Y4575" t="s">
        <v>16931</v>
      </c>
      <c r="AG4575" t="s">
        <v>48</v>
      </c>
    </row>
    <row r="4576" spans="1:33">
      <c r="A4576" t="s">
        <v>16932</v>
      </c>
      <c r="B4576" t="s">
        <v>16933</v>
      </c>
      <c r="D4576" t="s">
        <v>40</v>
      </c>
      <c r="E4576" t="s">
        <v>41</v>
      </c>
      <c r="J4576" t="s">
        <v>14475</v>
      </c>
      <c r="K4576" t="s">
        <v>14476</v>
      </c>
      <c r="L4576">
        <v>2</v>
      </c>
      <c r="M4576" t="s">
        <v>16934</v>
      </c>
      <c r="N4576" t="s">
        <v>14059</v>
      </c>
      <c r="O4576" t="s">
        <v>47</v>
      </c>
      <c r="P4576" t="s">
        <v>47</v>
      </c>
      <c r="Y4576" t="s">
        <v>16935</v>
      </c>
      <c r="AG4576" t="s">
        <v>48</v>
      </c>
    </row>
    <row r="4577" spans="1:33">
      <c r="A4577" t="s">
        <v>16936</v>
      </c>
      <c r="B4577" t="s">
        <v>16937</v>
      </c>
      <c r="D4577" t="s">
        <v>40</v>
      </c>
      <c r="E4577" t="s">
        <v>41</v>
      </c>
      <c r="J4577" t="s">
        <v>123</v>
      </c>
      <c r="K4577" t="s">
        <v>124</v>
      </c>
      <c r="L4577">
        <v>5</v>
      </c>
      <c r="M4577" t="s">
        <v>16938</v>
      </c>
      <c r="N4577" t="s">
        <v>13978</v>
      </c>
      <c r="O4577" t="s">
        <v>47</v>
      </c>
      <c r="P4577" t="s">
        <v>47</v>
      </c>
      <c r="Y4577" t="s">
        <v>16939</v>
      </c>
      <c r="AG4577" t="s">
        <v>48</v>
      </c>
    </row>
    <row r="4578" spans="1:33">
      <c r="A4578" t="s">
        <v>16940</v>
      </c>
      <c r="B4578" t="s">
        <v>16941</v>
      </c>
      <c r="D4578" t="s">
        <v>40</v>
      </c>
      <c r="E4578" t="s">
        <v>41</v>
      </c>
      <c r="J4578" t="s">
        <v>43</v>
      </c>
      <c r="K4578" t="s">
        <v>44</v>
      </c>
      <c r="L4578">
        <v>6</v>
      </c>
      <c r="M4578" t="s">
        <v>16942</v>
      </c>
      <c r="N4578" t="s">
        <v>13978</v>
      </c>
      <c r="O4578" t="s">
        <v>47</v>
      </c>
      <c r="P4578" t="s">
        <v>47</v>
      </c>
      <c r="Y4578" t="s">
        <v>16943</v>
      </c>
      <c r="AG4578" t="s">
        <v>48</v>
      </c>
    </row>
    <row r="4579" spans="1:33">
      <c r="A4579" t="s">
        <v>16944</v>
      </c>
      <c r="B4579" t="s">
        <v>16945</v>
      </c>
      <c r="D4579" t="s">
        <v>40</v>
      </c>
      <c r="E4579" t="s">
        <v>41</v>
      </c>
      <c r="J4579" t="s">
        <v>15420</v>
      </c>
      <c r="K4579" t="s">
        <v>15421</v>
      </c>
      <c r="L4579">
        <v>5</v>
      </c>
      <c r="M4579" t="s">
        <v>16946</v>
      </c>
      <c r="N4579" t="s">
        <v>192</v>
      </c>
      <c r="O4579" t="s">
        <v>47</v>
      </c>
      <c r="P4579" t="s">
        <v>47</v>
      </c>
      <c r="Y4579" t="s">
        <v>16947</v>
      </c>
      <c r="AG4579" t="s">
        <v>48</v>
      </c>
    </row>
    <row r="4580" spans="1:33">
      <c r="A4580" t="s">
        <v>16948</v>
      </c>
      <c r="B4580" t="s">
        <v>16949</v>
      </c>
      <c r="D4580" t="s">
        <v>40</v>
      </c>
      <c r="E4580" t="s">
        <v>41</v>
      </c>
      <c r="J4580" t="s">
        <v>43</v>
      </c>
      <c r="K4580" t="s">
        <v>44</v>
      </c>
      <c r="L4580">
        <v>1</v>
      </c>
      <c r="M4580" t="s">
        <v>16950</v>
      </c>
      <c r="N4580" t="s">
        <v>14059</v>
      </c>
      <c r="O4580" t="s">
        <v>47</v>
      </c>
      <c r="P4580" t="s">
        <v>47</v>
      </c>
      <c r="Y4580" t="s">
        <v>16951</v>
      </c>
      <c r="AG4580" t="s">
        <v>48</v>
      </c>
    </row>
    <row r="4581" spans="1:33">
      <c r="A4581" t="s">
        <v>16952</v>
      </c>
      <c r="B4581" t="s">
        <v>16953</v>
      </c>
      <c r="D4581" t="s">
        <v>40</v>
      </c>
      <c r="E4581" t="s">
        <v>41</v>
      </c>
      <c r="J4581" t="s">
        <v>1418</v>
      </c>
      <c r="K4581" t="s">
        <v>1419</v>
      </c>
      <c r="L4581">
        <v>1</v>
      </c>
      <c r="M4581" t="s">
        <v>16954</v>
      </c>
      <c r="N4581" t="s">
        <v>192</v>
      </c>
      <c r="O4581" t="s">
        <v>47</v>
      </c>
      <c r="P4581" t="s">
        <v>47</v>
      </c>
      <c r="Y4581" t="s">
        <v>16955</v>
      </c>
      <c r="AG4581" t="s">
        <v>48</v>
      </c>
    </row>
    <row r="4582" spans="1:33">
      <c r="A4582" t="s">
        <v>117</v>
      </c>
      <c r="B4582" t="s">
        <v>16956</v>
      </c>
      <c r="D4582" t="s">
        <v>40</v>
      </c>
      <c r="E4582" t="s">
        <v>41</v>
      </c>
      <c r="J4582" t="s">
        <v>14204</v>
      </c>
      <c r="K4582" t="s">
        <v>14205</v>
      </c>
      <c r="L4582">
        <v>1</v>
      </c>
      <c r="M4582" t="s">
        <v>16957</v>
      </c>
      <c r="N4582" t="s">
        <v>14011</v>
      </c>
      <c r="O4582" t="s">
        <v>47</v>
      </c>
      <c r="P4582" t="s">
        <v>47</v>
      </c>
      <c r="Y4582" t="s">
        <v>16958</v>
      </c>
      <c r="AG4582" t="s">
        <v>48</v>
      </c>
    </row>
    <row r="4583" spans="1:33">
      <c r="A4583" t="s">
        <v>16959</v>
      </c>
      <c r="B4583" t="s">
        <v>16960</v>
      </c>
      <c r="D4583" t="s">
        <v>40</v>
      </c>
      <c r="E4583" t="s">
        <v>41</v>
      </c>
      <c r="J4583" t="s">
        <v>86</v>
      </c>
      <c r="K4583" t="s">
        <v>87</v>
      </c>
      <c r="L4583">
        <v>1</v>
      </c>
      <c r="M4583" t="s">
        <v>16961</v>
      </c>
      <c r="N4583" t="s">
        <v>192</v>
      </c>
      <c r="O4583" t="s">
        <v>47</v>
      </c>
      <c r="P4583" t="s">
        <v>47</v>
      </c>
      <c r="Y4583" t="s">
        <v>16962</v>
      </c>
      <c r="AG4583" t="s">
        <v>48</v>
      </c>
    </row>
    <row r="4584" spans="1:33">
      <c r="A4584" t="s">
        <v>16963</v>
      </c>
      <c r="B4584" t="s">
        <v>16964</v>
      </c>
      <c r="D4584" t="s">
        <v>40</v>
      </c>
      <c r="E4584" t="s">
        <v>41</v>
      </c>
      <c r="J4584" t="s">
        <v>86</v>
      </c>
      <c r="K4584" t="s">
        <v>87</v>
      </c>
      <c r="L4584">
        <v>1</v>
      </c>
      <c r="M4584" t="s">
        <v>16961</v>
      </c>
      <c r="N4584" t="s">
        <v>14059</v>
      </c>
      <c r="O4584" t="s">
        <v>47</v>
      </c>
      <c r="P4584" t="s">
        <v>47</v>
      </c>
      <c r="Y4584" t="s">
        <v>16965</v>
      </c>
      <c r="AG4584" t="s">
        <v>48</v>
      </c>
    </row>
    <row r="4585" spans="1:33">
      <c r="A4585" t="s">
        <v>16966</v>
      </c>
      <c r="B4585" t="s">
        <v>16967</v>
      </c>
      <c r="D4585" t="s">
        <v>40</v>
      </c>
      <c r="E4585" t="s">
        <v>41</v>
      </c>
      <c r="J4585" t="s">
        <v>86</v>
      </c>
      <c r="K4585" t="s">
        <v>87</v>
      </c>
      <c r="L4585">
        <v>2</v>
      </c>
      <c r="M4585" t="s">
        <v>16968</v>
      </c>
      <c r="N4585" t="s">
        <v>192</v>
      </c>
      <c r="O4585" t="s">
        <v>47</v>
      </c>
      <c r="P4585" t="s">
        <v>47</v>
      </c>
      <c r="Y4585" t="s">
        <v>16969</v>
      </c>
      <c r="AG4585" t="s">
        <v>48</v>
      </c>
    </row>
    <row r="4586" spans="1:33">
      <c r="A4586" t="s">
        <v>16970</v>
      </c>
      <c r="B4586" t="s">
        <v>16971</v>
      </c>
      <c r="D4586" t="s">
        <v>40</v>
      </c>
      <c r="E4586" t="s">
        <v>41</v>
      </c>
      <c r="J4586" t="s">
        <v>43</v>
      </c>
      <c r="K4586" t="s">
        <v>44</v>
      </c>
      <c r="L4586">
        <v>2</v>
      </c>
      <c r="M4586" t="s">
        <v>16972</v>
      </c>
      <c r="N4586" t="s">
        <v>13978</v>
      </c>
      <c r="O4586" t="s">
        <v>47</v>
      </c>
      <c r="P4586" t="s">
        <v>47</v>
      </c>
      <c r="Y4586" t="s">
        <v>16973</v>
      </c>
      <c r="AG4586" t="s">
        <v>48</v>
      </c>
    </row>
    <row r="4587" spans="1:33">
      <c r="A4587" t="s">
        <v>16974</v>
      </c>
      <c r="B4587" t="s">
        <v>16975</v>
      </c>
      <c r="D4587" t="s">
        <v>40</v>
      </c>
      <c r="E4587" t="s">
        <v>41</v>
      </c>
      <c r="J4587" t="s">
        <v>43</v>
      </c>
      <c r="K4587" t="s">
        <v>44</v>
      </c>
      <c r="L4587">
        <v>2</v>
      </c>
      <c r="M4587" t="s">
        <v>16976</v>
      </c>
      <c r="N4587" t="s">
        <v>13978</v>
      </c>
      <c r="O4587" t="s">
        <v>47</v>
      </c>
      <c r="P4587" t="s">
        <v>47</v>
      </c>
      <c r="Y4587" t="s">
        <v>16977</v>
      </c>
      <c r="AG4587" t="s">
        <v>48</v>
      </c>
    </row>
    <row r="4588" spans="1:33">
      <c r="A4588" t="s">
        <v>16978</v>
      </c>
      <c r="B4588" t="s">
        <v>16979</v>
      </c>
      <c r="D4588" t="s">
        <v>40</v>
      </c>
      <c r="E4588" t="s">
        <v>41</v>
      </c>
      <c r="J4588" t="s">
        <v>123</v>
      </c>
      <c r="K4588" t="s">
        <v>124</v>
      </c>
      <c r="L4588">
        <v>19</v>
      </c>
      <c r="M4588" t="s">
        <v>16980</v>
      </c>
      <c r="N4588" t="s">
        <v>14011</v>
      </c>
      <c r="O4588" t="s">
        <v>47</v>
      </c>
      <c r="P4588" t="s">
        <v>47</v>
      </c>
      <c r="Y4588" t="s">
        <v>16981</v>
      </c>
      <c r="AG4588" t="s">
        <v>48</v>
      </c>
    </row>
    <row r="4589" spans="1:33">
      <c r="A4589" t="s">
        <v>16982</v>
      </c>
      <c r="B4589" t="s">
        <v>16983</v>
      </c>
      <c r="D4589" t="s">
        <v>40</v>
      </c>
      <c r="E4589" t="s">
        <v>41</v>
      </c>
      <c r="J4589" t="s">
        <v>86</v>
      </c>
      <c r="K4589" t="s">
        <v>87</v>
      </c>
      <c r="L4589">
        <v>2</v>
      </c>
      <c r="M4589" t="s">
        <v>16984</v>
      </c>
      <c r="N4589" t="s">
        <v>13978</v>
      </c>
      <c r="O4589" t="s">
        <v>47</v>
      </c>
      <c r="P4589" t="s">
        <v>47</v>
      </c>
      <c r="Y4589" t="s">
        <v>16985</v>
      </c>
      <c r="AG4589" t="s">
        <v>48</v>
      </c>
    </row>
    <row r="4590" spans="1:33">
      <c r="A4590" t="s">
        <v>16986</v>
      </c>
      <c r="B4590" t="s">
        <v>16987</v>
      </c>
      <c r="D4590" t="s">
        <v>40</v>
      </c>
      <c r="E4590" t="s">
        <v>41</v>
      </c>
      <c r="J4590" t="s">
        <v>123</v>
      </c>
      <c r="K4590" t="s">
        <v>124</v>
      </c>
      <c r="L4590">
        <v>5</v>
      </c>
      <c r="M4590" t="s">
        <v>16988</v>
      </c>
      <c r="N4590" t="s">
        <v>13978</v>
      </c>
      <c r="O4590" t="s">
        <v>47</v>
      </c>
      <c r="P4590" t="s">
        <v>47</v>
      </c>
      <c r="Y4590" t="s">
        <v>16989</v>
      </c>
      <c r="AG4590" t="s">
        <v>48</v>
      </c>
    </row>
    <row r="4591" spans="1:33">
      <c r="A4591" t="s">
        <v>16990</v>
      </c>
      <c r="B4591" t="s">
        <v>16991</v>
      </c>
      <c r="D4591" t="s">
        <v>40</v>
      </c>
      <c r="E4591" t="s">
        <v>41</v>
      </c>
      <c r="J4591" t="s">
        <v>86</v>
      </c>
      <c r="K4591" t="s">
        <v>87</v>
      </c>
      <c r="L4591">
        <v>2</v>
      </c>
      <c r="M4591" t="s">
        <v>16992</v>
      </c>
      <c r="N4591" t="s">
        <v>13978</v>
      </c>
      <c r="O4591" t="s">
        <v>47</v>
      </c>
      <c r="P4591" t="s">
        <v>47</v>
      </c>
      <c r="Y4591" t="s">
        <v>16993</v>
      </c>
      <c r="AG4591" t="s">
        <v>48</v>
      </c>
    </row>
    <row r="4592" spans="1:33">
      <c r="A4592" t="s">
        <v>16994</v>
      </c>
      <c r="B4592" t="s">
        <v>16995</v>
      </c>
      <c r="D4592" t="s">
        <v>40</v>
      </c>
      <c r="E4592" t="s">
        <v>41</v>
      </c>
      <c r="J4592" t="s">
        <v>86</v>
      </c>
      <c r="K4592" t="s">
        <v>87</v>
      </c>
      <c r="L4592">
        <v>2</v>
      </c>
      <c r="M4592" t="s">
        <v>16996</v>
      </c>
      <c r="N4592" t="s">
        <v>13978</v>
      </c>
      <c r="O4592" t="s">
        <v>47</v>
      </c>
      <c r="P4592" t="s">
        <v>47</v>
      </c>
      <c r="Y4592" t="s">
        <v>16997</v>
      </c>
      <c r="AG4592" t="s">
        <v>48</v>
      </c>
    </row>
    <row r="4593" spans="1:33">
      <c r="A4593" t="s">
        <v>16998</v>
      </c>
      <c r="B4593" t="s">
        <v>16999</v>
      </c>
      <c r="D4593" t="s">
        <v>40</v>
      </c>
      <c r="E4593" t="s">
        <v>41</v>
      </c>
      <c r="J4593" t="s">
        <v>43</v>
      </c>
      <c r="K4593" t="s">
        <v>44</v>
      </c>
      <c r="L4593">
        <v>1</v>
      </c>
      <c r="M4593" t="s">
        <v>17000</v>
      </c>
      <c r="N4593" t="s">
        <v>192</v>
      </c>
      <c r="O4593" t="s">
        <v>47</v>
      </c>
      <c r="P4593" t="s">
        <v>47</v>
      </c>
      <c r="Y4593" t="s">
        <v>17001</v>
      </c>
      <c r="AG4593" t="s">
        <v>48</v>
      </c>
    </row>
    <row r="4594" spans="1:33">
      <c r="A4594" t="s">
        <v>17002</v>
      </c>
      <c r="B4594" t="s">
        <v>17003</v>
      </c>
      <c r="D4594" t="s">
        <v>40</v>
      </c>
      <c r="E4594" t="s">
        <v>41</v>
      </c>
      <c r="J4594" t="s">
        <v>86</v>
      </c>
      <c r="K4594" t="s">
        <v>87</v>
      </c>
      <c r="L4594">
        <v>2</v>
      </c>
      <c r="M4594" t="s">
        <v>17004</v>
      </c>
      <c r="N4594" t="s">
        <v>192</v>
      </c>
      <c r="O4594" t="s">
        <v>47</v>
      </c>
      <c r="P4594" t="s">
        <v>47</v>
      </c>
      <c r="Y4594" t="s">
        <v>17005</v>
      </c>
      <c r="AG4594" t="s">
        <v>48</v>
      </c>
    </row>
    <row r="4595" spans="1:33">
      <c r="A4595" t="s">
        <v>17006</v>
      </c>
      <c r="B4595" t="s">
        <v>17007</v>
      </c>
      <c r="D4595" t="s">
        <v>40</v>
      </c>
      <c r="E4595" t="s">
        <v>41</v>
      </c>
      <c r="J4595" t="s">
        <v>86</v>
      </c>
      <c r="K4595" t="s">
        <v>87</v>
      </c>
      <c r="L4595">
        <v>4</v>
      </c>
      <c r="M4595" t="s">
        <v>17008</v>
      </c>
      <c r="N4595" t="s">
        <v>13978</v>
      </c>
      <c r="O4595" t="s">
        <v>47</v>
      </c>
      <c r="P4595" t="s">
        <v>47</v>
      </c>
      <c r="Y4595" t="s">
        <v>17009</v>
      </c>
      <c r="AG4595" t="s">
        <v>48</v>
      </c>
    </row>
    <row r="4596" spans="1:33">
      <c r="A4596" t="s">
        <v>17010</v>
      </c>
      <c r="B4596" t="s">
        <v>17011</v>
      </c>
      <c r="D4596" t="s">
        <v>40</v>
      </c>
      <c r="E4596" t="s">
        <v>41</v>
      </c>
      <c r="J4596" t="s">
        <v>86</v>
      </c>
      <c r="K4596" t="s">
        <v>87</v>
      </c>
      <c r="L4596">
        <v>1</v>
      </c>
      <c r="M4596" t="s">
        <v>17012</v>
      </c>
      <c r="N4596" t="s">
        <v>192</v>
      </c>
      <c r="O4596" t="s">
        <v>47</v>
      </c>
      <c r="P4596" t="s">
        <v>47</v>
      </c>
      <c r="Y4596" t="s">
        <v>17013</v>
      </c>
      <c r="AG4596" t="s">
        <v>48</v>
      </c>
    </row>
    <row r="4597" spans="1:33">
      <c r="A4597" t="s">
        <v>17014</v>
      </c>
      <c r="B4597" t="s">
        <v>17015</v>
      </c>
      <c r="D4597" t="s">
        <v>40</v>
      </c>
      <c r="E4597" t="s">
        <v>41</v>
      </c>
      <c r="J4597" t="s">
        <v>43</v>
      </c>
      <c r="K4597" t="s">
        <v>44</v>
      </c>
      <c r="L4597">
        <v>1</v>
      </c>
      <c r="M4597" t="s">
        <v>17016</v>
      </c>
      <c r="N4597" t="s">
        <v>14340</v>
      </c>
      <c r="O4597" t="s">
        <v>47</v>
      </c>
      <c r="P4597" t="s">
        <v>47</v>
      </c>
      <c r="Y4597" t="s">
        <v>17017</v>
      </c>
      <c r="AG4597" t="s">
        <v>48</v>
      </c>
    </row>
    <row r="4598" spans="1:33">
      <c r="A4598" t="s">
        <v>17018</v>
      </c>
      <c r="B4598" t="s">
        <v>17019</v>
      </c>
      <c r="D4598" t="s">
        <v>40</v>
      </c>
      <c r="E4598" t="s">
        <v>41</v>
      </c>
      <c r="J4598" t="s">
        <v>43</v>
      </c>
      <c r="K4598" t="s">
        <v>44</v>
      </c>
      <c r="L4598">
        <v>1</v>
      </c>
      <c r="M4598" t="s">
        <v>17020</v>
      </c>
      <c r="N4598" t="s">
        <v>14340</v>
      </c>
      <c r="O4598" t="s">
        <v>47</v>
      </c>
      <c r="P4598" t="s">
        <v>47</v>
      </c>
      <c r="Y4598" t="s">
        <v>17021</v>
      </c>
      <c r="AG4598" t="s">
        <v>48</v>
      </c>
    </row>
    <row r="4599" spans="1:33">
      <c r="A4599" t="s">
        <v>17022</v>
      </c>
      <c r="B4599" t="s">
        <v>17023</v>
      </c>
      <c r="D4599" t="s">
        <v>40</v>
      </c>
      <c r="E4599" t="s">
        <v>41</v>
      </c>
      <c r="J4599" t="s">
        <v>6163</v>
      </c>
      <c r="K4599" t="s">
        <v>6164</v>
      </c>
      <c r="L4599">
        <v>2</v>
      </c>
      <c r="M4599" t="s">
        <v>17024</v>
      </c>
      <c r="N4599" t="s">
        <v>13978</v>
      </c>
      <c r="O4599" t="s">
        <v>47</v>
      </c>
      <c r="P4599" t="s">
        <v>47</v>
      </c>
      <c r="Y4599" t="s">
        <v>17025</v>
      </c>
      <c r="AG4599" t="s">
        <v>48</v>
      </c>
    </row>
    <row r="4600" spans="1:33">
      <c r="A4600" t="s">
        <v>17026</v>
      </c>
      <c r="B4600" t="s">
        <v>17027</v>
      </c>
      <c r="D4600" t="s">
        <v>40</v>
      </c>
      <c r="E4600" t="s">
        <v>41</v>
      </c>
      <c r="J4600" t="s">
        <v>1418</v>
      </c>
      <c r="K4600" t="s">
        <v>1419</v>
      </c>
      <c r="L4600">
        <v>1</v>
      </c>
      <c r="M4600" t="s">
        <v>17028</v>
      </c>
      <c r="N4600" t="s">
        <v>13978</v>
      </c>
      <c r="O4600" t="s">
        <v>47</v>
      </c>
      <c r="P4600" t="s">
        <v>47</v>
      </c>
      <c r="Y4600" t="s">
        <v>17029</v>
      </c>
      <c r="AG4600" t="s">
        <v>48</v>
      </c>
    </row>
    <row r="4601" spans="1:33">
      <c r="A4601" t="s">
        <v>17030</v>
      </c>
      <c r="B4601" t="s">
        <v>17031</v>
      </c>
      <c r="D4601" t="s">
        <v>40</v>
      </c>
      <c r="E4601" t="s">
        <v>41</v>
      </c>
      <c r="J4601" t="s">
        <v>43</v>
      </c>
      <c r="K4601" t="s">
        <v>44</v>
      </c>
      <c r="L4601">
        <v>1</v>
      </c>
      <c r="M4601" t="s">
        <v>17032</v>
      </c>
      <c r="N4601" t="s">
        <v>192</v>
      </c>
      <c r="O4601" t="s">
        <v>47</v>
      </c>
      <c r="P4601" t="s">
        <v>47</v>
      </c>
      <c r="Y4601" t="s">
        <v>17033</v>
      </c>
      <c r="AG4601" t="s">
        <v>48</v>
      </c>
    </row>
    <row r="4602" spans="1:33">
      <c r="A4602" t="s">
        <v>17034</v>
      </c>
      <c r="B4602" t="s">
        <v>17035</v>
      </c>
      <c r="D4602" t="s">
        <v>40</v>
      </c>
      <c r="E4602" t="s">
        <v>41</v>
      </c>
      <c r="J4602" t="s">
        <v>1418</v>
      </c>
      <c r="K4602" t="s">
        <v>1419</v>
      </c>
      <c r="L4602">
        <v>1</v>
      </c>
      <c r="M4602" t="s">
        <v>17036</v>
      </c>
      <c r="N4602" t="s">
        <v>13978</v>
      </c>
      <c r="O4602" t="s">
        <v>47</v>
      </c>
      <c r="P4602" t="s">
        <v>47</v>
      </c>
      <c r="Y4602" t="s">
        <v>17037</v>
      </c>
      <c r="AG4602" t="s">
        <v>48</v>
      </c>
    </row>
    <row r="4603" spans="1:33">
      <c r="A4603" t="s">
        <v>17038</v>
      </c>
      <c r="B4603" t="s">
        <v>17039</v>
      </c>
      <c r="D4603" t="s">
        <v>40</v>
      </c>
      <c r="E4603" t="s">
        <v>41</v>
      </c>
      <c r="J4603" t="s">
        <v>1418</v>
      </c>
      <c r="K4603" t="s">
        <v>1419</v>
      </c>
      <c r="L4603">
        <v>2</v>
      </c>
      <c r="M4603" t="s">
        <v>17040</v>
      </c>
      <c r="N4603" t="s">
        <v>192</v>
      </c>
      <c r="O4603" t="s">
        <v>47</v>
      </c>
      <c r="P4603" t="s">
        <v>47</v>
      </c>
      <c r="Y4603" t="s">
        <v>17041</v>
      </c>
      <c r="AG4603" t="s">
        <v>48</v>
      </c>
    </row>
    <row r="4604" spans="1:33">
      <c r="A4604" t="s">
        <v>17042</v>
      </c>
      <c r="B4604" t="s">
        <v>17043</v>
      </c>
      <c r="D4604" t="s">
        <v>40</v>
      </c>
      <c r="E4604" t="s">
        <v>41</v>
      </c>
      <c r="J4604" t="s">
        <v>86</v>
      </c>
      <c r="K4604" t="s">
        <v>87</v>
      </c>
      <c r="L4604">
        <v>1</v>
      </c>
      <c r="M4604" t="s">
        <v>17044</v>
      </c>
      <c r="N4604" t="s">
        <v>13978</v>
      </c>
      <c r="O4604" t="s">
        <v>47</v>
      </c>
      <c r="P4604" t="s">
        <v>47</v>
      </c>
      <c r="Y4604" t="s">
        <v>17045</v>
      </c>
      <c r="AG4604" t="s">
        <v>48</v>
      </c>
    </row>
    <row r="4605" spans="1:33">
      <c r="A4605" t="s">
        <v>17046</v>
      </c>
      <c r="B4605" t="s">
        <v>17047</v>
      </c>
      <c r="D4605" t="s">
        <v>40</v>
      </c>
      <c r="E4605" t="s">
        <v>41</v>
      </c>
      <c r="J4605" t="s">
        <v>14204</v>
      </c>
      <c r="K4605" t="s">
        <v>14205</v>
      </c>
      <c r="L4605">
        <v>1</v>
      </c>
      <c r="M4605" t="s">
        <v>17048</v>
      </c>
      <c r="N4605" t="s">
        <v>14011</v>
      </c>
      <c r="O4605" t="s">
        <v>47</v>
      </c>
      <c r="P4605" t="s">
        <v>47</v>
      </c>
      <c r="Y4605" t="s">
        <v>17049</v>
      </c>
      <c r="AG4605" t="s">
        <v>48</v>
      </c>
    </row>
    <row r="4606" spans="1:33">
      <c r="A4606" t="s">
        <v>17050</v>
      </c>
      <c r="B4606" t="s">
        <v>17051</v>
      </c>
      <c r="D4606" t="s">
        <v>40</v>
      </c>
      <c r="E4606" t="s">
        <v>41</v>
      </c>
      <c r="J4606" t="s">
        <v>43</v>
      </c>
      <c r="K4606" t="s">
        <v>44</v>
      </c>
      <c r="L4606">
        <v>1</v>
      </c>
      <c r="M4606" t="s">
        <v>17052</v>
      </c>
      <c r="N4606" t="s">
        <v>13978</v>
      </c>
      <c r="O4606" t="s">
        <v>47</v>
      </c>
      <c r="P4606" t="s">
        <v>47</v>
      </c>
      <c r="Y4606" t="s">
        <v>17053</v>
      </c>
      <c r="AG4606" t="s">
        <v>48</v>
      </c>
    </row>
    <row r="4607" spans="1:33">
      <c r="A4607" t="s">
        <v>17054</v>
      </c>
      <c r="B4607" t="s">
        <v>17055</v>
      </c>
      <c r="D4607" t="s">
        <v>40</v>
      </c>
      <c r="E4607" t="s">
        <v>41</v>
      </c>
      <c r="J4607" t="s">
        <v>3472</v>
      </c>
      <c r="K4607" t="s">
        <v>3473</v>
      </c>
      <c r="L4607">
        <v>1</v>
      </c>
      <c r="M4607" t="s">
        <v>17056</v>
      </c>
      <c r="N4607" t="s">
        <v>14011</v>
      </c>
      <c r="O4607" t="s">
        <v>47</v>
      </c>
      <c r="P4607" t="s">
        <v>47</v>
      </c>
      <c r="Y4607" t="s">
        <v>17057</v>
      </c>
      <c r="AG4607" t="s">
        <v>48</v>
      </c>
    </row>
    <row r="4608" spans="1:33">
      <c r="A4608" t="s">
        <v>17058</v>
      </c>
      <c r="B4608" t="s">
        <v>17059</v>
      </c>
      <c r="D4608" t="s">
        <v>40</v>
      </c>
      <c r="E4608" t="s">
        <v>41</v>
      </c>
      <c r="J4608" t="s">
        <v>14204</v>
      </c>
      <c r="K4608" t="s">
        <v>14205</v>
      </c>
      <c r="L4608">
        <v>1</v>
      </c>
      <c r="M4608" t="s">
        <v>17060</v>
      </c>
      <c r="N4608" t="s">
        <v>14011</v>
      </c>
      <c r="O4608" t="s">
        <v>47</v>
      </c>
      <c r="P4608" t="s">
        <v>47</v>
      </c>
      <c r="Y4608" t="s">
        <v>17061</v>
      </c>
      <c r="AG4608" t="s">
        <v>48</v>
      </c>
    </row>
    <row r="4609" spans="1:33">
      <c r="A4609" t="s">
        <v>17062</v>
      </c>
      <c r="B4609" t="s">
        <v>17063</v>
      </c>
      <c r="D4609" t="s">
        <v>40</v>
      </c>
      <c r="E4609" t="s">
        <v>41</v>
      </c>
      <c r="J4609" t="s">
        <v>13514</v>
      </c>
      <c r="K4609" t="s">
        <v>13515</v>
      </c>
      <c r="L4609">
        <v>2</v>
      </c>
      <c r="M4609" t="s">
        <v>17064</v>
      </c>
      <c r="N4609" t="s">
        <v>59</v>
      </c>
      <c r="O4609" t="s">
        <v>47</v>
      </c>
      <c r="P4609" t="s">
        <v>47</v>
      </c>
      <c r="Y4609" t="s">
        <v>17065</v>
      </c>
      <c r="AG4609" t="s">
        <v>48</v>
      </c>
    </row>
    <row r="4610" spans="1:33">
      <c r="A4610" t="s">
        <v>17066</v>
      </c>
      <c r="B4610" t="s">
        <v>17067</v>
      </c>
      <c r="D4610" t="s">
        <v>40</v>
      </c>
      <c r="E4610" t="s">
        <v>41</v>
      </c>
      <c r="J4610" t="s">
        <v>4737</v>
      </c>
      <c r="K4610" t="s">
        <v>4738</v>
      </c>
      <c r="L4610">
        <v>1</v>
      </c>
      <c r="M4610" t="s">
        <v>17068</v>
      </c>
      <c r="N4610" t="s">
        <v>13978</v>
      </c>
      <c r="O4610" t="s">
        <v>47</v>
      </c>
      <c r="P4610" t="s">
        <v>47</v>
      </c>
      <c r="Y4610" t="s">
        <v>17069</v>
      </c>
      <c r="AG4610" t="s">
        <v>48</v>
      </c>
    </row>
    <row r="4611" spans="1:33">
      <c r="A4611" t="s">
        <v>17070</v>
      </c>
      <c r="B4611" t="s">
        <v>17071</v>
      </c>
      <c r="D4611" t="s">
        <v>40</v>
      </c>
      <c r="E4611" t="s">
        <v>41</v>
      </c>
      <c r="J4611" t="s">
        <v>86</v>
      </c>
      <c r="K4611" t="s">
        <v>87</v>
      </c>
      <c r="L4611">
        <v>1</v>
      </c>
      <c r="M4611" t="s">
        <v>17072</v>
      </c>
      <c r="N4611" t="s">
        <v>14024</v>
      </c>
      <c r="O4611" t="s">
        <v>47</v>
      </c>
      <c r="P4611" t="s">
        <v>47</v>
      </c>
      <c r="Y4611" t="s">
        <v>17073</v>
      </c>
      <c r="AG4611" t="s">
        <v>48</v>
      </c>
    </row>
    <row r="4612" spans="1:33">
      <c r="A4612" t="s">
        <v>17074</v>
      </c>
      <c r="B4612" t="s">
        <v>17075</v>
      </c>
      <c r="D4612" t="s">
        <v>40</v>
      </c>
      <c r="E4612" t="s">
        <v>41</v>
      </c>
      <c r="J4612" t="s">
        <v>4737</v>
      </c>
      <c r="K4612" t="s">
        <v>4738</v>
      </c>
      <c r="L4612">
        <v>2</v>
      </c>
      <c r="M4612" t="s">
        <v>17076</v>
      </c>
      <c r="N4612" t="s">
        <v>14011</v>
      </c>
      <c r="O4612" t="s">
        <v>47</v>
      </c>
      <c r="P4612" t="s">
        <v>47</v>
      </c>
      <c r="Y4612" t="s">
        <v>17077</v>
      </c>
      <c r="AG4612" t="s">
        <v>48</v>
      </c>
    </row>
    <row r="4613" spans="1:33">
      <c r="A4613" t="s">
        <v>17078</v>
      </c>
      <c r="B4613" t="s">
        <v>17079</v>
      </c>
      <c r="D4613" t="s">
        <v>40</v>
      </c>
      <c r="E4613" t="s">
        <v>41</v>
      </c>
      <c r="J4613" t="s">
        <v>43</v>
      </c>
      <c r="K4613" t="s">
        <v>44</v>
      </c>
      <c r="L4613">
        <v>2</v>
      </c>
      <c r="M4613" t="s">
        <v>17080</v>
      </c>
      <c r="N4613" t="s">
        <v>14340</v>
      </c>
      <c r="O4613" t="s">
        <v>47</v>
      </c>
      <c r="P4613" t="s">
        <v>47</v>
      </c>
      <c r="Y4613" t="s">
        <v>17081</v>
      </c>
      <c r="AG4613" t="s">
        <v>48</v>
      </c>
    </row>
    <row r="4614" spans="1:33">
      <c r="A4614" t="s">
        <v>17082</v>
      </c>
      <c r="B4614" t="s">
        <v>17083</v>
      </c>
      <c r="D4614" t="s">
        <v>40</v>
      </c>
      <c r="E4614" t="s">
        <v>41</v>
      </c>
      <c r="J4614" t="s">
        <v>86</v>
      </c>
      <c r="K4614" t="s">
        <v>87</v>
      </c>
      <c r="L4614">
        <v>1</v>
      </c>
      <c r="M4614" t="s">
        <v>17084</v>
      </c>
      <c r="N4614" t="s">
        <v>192</v>
      </c>
      <c r="O4614" t="s">
        <v>47</v>
      </c>
      <c r="P4614" t="s">
        <v>47</v>
      </c>
      <c r="Y4614" t="s">
        <v>17085</v>
      </c>
      <c r="AG4614" t="s">
        <v>48</v>
      </c>
    </row>
    <row r="4615" spans="1:33">
      <c r="A4615" t="s">
        <v>17086</v>
      </c>
      <c r="B4615" t="s">
        <v>17087</v>
      </c>
      <c r="D4615" t="s">
        <v>40</v>
      </c>
      <c r="E4615" t="s">
        <v>41</v>
      </c>
      <c r="J4615" t="s">
        <v>86</v>
      </c>
      <c r="K4615" t="s">
        <v>87</v>
      </c>
      <c r="L4615">
        <v>1</v>
      </c>
      <c r="M4615" t="s">
        <v>17088</v>
      </c>
      <c r="N4615" t="s">
        <v>13978</v>
      </c>
      <c r="O4615" t="s">
        <v>47</v>
      </c>
      <c r="P4615" t="s">
        <v>47</v>
      </c>
      <c r="Y4615" t="s">
        <v>17089</v>
      </c>
      <c r="AG4615" t="s">
        <v>48</v>
      </c>
    </row>
    <row r="4616" spans="1:33">
      <c r="A4616" t="s">
        <v>17090</v>
      </c>
      <c r="B4616" t="s">
        <v>17091</v>
      </c>
      <c r="D4616" t="s">
        <v>40</v>
      </c>
      <c r="E4616" t="s">
        <v>41</v>
      </c>
      <c r="J4616" t="s">
        <v>14204</v>
      </c>
      <c r="K4616" t="s">
        <v>14205</v>
      </c>
      <c r="L4616">
        <v>1</v>
      </c>
      <c r="M4616" t="s">
        <v>17092</v>
      </c>
      <c r="N4616" t="s">
        <v>14340</v>
      </c>
      <c r="O4616" t="s">
        <v>47</v>
      </c>
      <c r="P4616" t="s">
        <v>47</v>
      </c>
      <c r="Y4616" t="s">
        <v>17093</v>
      </c>
      <c r="AG4616" t="s">
        <v>48</v>
      </c>
    </row>
    <row r="4617" spans="1:33">
      <c r="A4617" t="s">
        <v>17094</v>
      </c>
      <c r="B4617" t="s">
        <v>17095</v>
      </c>
      <c r="D4617" t="s">
        <v>40</v>
      </c>
      <c r="E4617" t="s">
        <v>41</v>
      </c>
      <c r="J4617" t="s">
        <v>43</v>
      </c>
      <c r="K4617" t="s">
        <v>44</v>
      </c>
      <c r="L4617">
        <v>1</v>
      </c>
      <c r="M4617" t="s">
        <v>17096</v>
      </c>
      <c r="N4617" t="s">
        <v>13978</v>
      </c>
      <c r="O4617" t="s">
        <v>47</v>
      </c>
      <c r="P4617" t="s">
        <v>47</v>
      </c>
      <c r="Y4617" t="s">
        <v>17097</v>
      </c>
      <c r="AG4617" t="s">
        <v>48</v>
      </c>
    </row>
    <row r="4618" spans="1:33">
      <c r="A4618" t="s">
        <v>17098</v>
      </c>
      <c r="B4618" t="s">
        <v>17099</v>
      </c>
      <c r="D4618" t="s">
        <v>40</v>
      </c>
      <c r="E4618" t="s">
        <v>41</v>
      </c>
      <c r="J4618" t="s">
        <v>1418</v>
      </c>
      <c r="K4618" t="s">
        <v>1419</v>
      </c>
      <c r="L4618">
        <v>4</v>
      </c>
      <c r="M4618" t="s">
        <v>17100</v>
      </c>
      <c r="N4618" t="s">
        <v>14011</v>
      </c>
      <c r="O4618" t="s">
        <v>47</v>
      </c>
      <c r="P4618" t="s">
        <v>47</v>
      </c>
      <c r="Y4618" t="s">
        <v>17101</v>
      </c>
      <c r="AG4618" t="s">
        <v>48</v>
      </c>
    </row>
    <row r="4619" spans="1:33">
      <c r="A4619" t="s">
        <v>17102</v>
      </c>
      <c r="B4619" t="s">
        <v>17103</v>
      </c>
      <c r="D4619" t="s">
        <v>40</v>
      </c>
      <c r="E4619" t="s">
        <v>41</v>
      </c>
      <c r="J4619" t="s">
        <v>86</v>
      </c>
      <c r="K4619" t="s">
        <v>87</v>
      </c>
      <c r="L4619">
        <v>2</v>
      </c>
      <c r="M4619" t="s">
        <v>17104</v>
      </c>
      <c r="N4619" t="s">
        <v>13978</v>
      </c>
      <c r="O4619" t="s">
        <v>47</v>
      </c>
      <c r="P4619" t="s">
        <v>47</v>
      </c>
      <c r="Y4619" t="s">
        <v>17105</v>
      </c>
      <c r="AG4619" t="s">
        <v>48</v>
      </c>
    </row>
    <row r="4620" spans="1:33">
      <c r="A4620" t="s">
        <v>17106</v>
      </c>
      <c r="B4620" t="s">
        <v>17107</v>
      </c>
      <c r="D4620" t="s">
        <v>40</v>
      </c>
      <c r="E4620" t="s">
        <v>41</v>
      </c>
      <c r="J4620" t="s">
        <v>1052</v>
      </c>
      <c r="K4620" t="s">
        <v>1053</v>
      </c>
      <c r="L4620">
        <v>2</v>
      </c>
      <c r="M4620" t="s">
        <v>17108</v>
      </c>
      <c r="N4620" t="s">
        <v>14011</v>
      </c>
      <c r="O4620" t="s">
        <v>47</v>
      </c>
      <c r="P4620" t="s">
        <v>47</v>
      </c>
      <c r="Y4620" t="s">
        <v>17109</v>
      </c>
      <c r="AG4620" t="s">
        <v>48</v>
      </c>
    </row>
    <row r="4621" spans="1:33">
      <c r="A4621" t="s">
        <v>17110</v>
      </c>
      <c r="B4621" t="s">
        <v>17111</v>
      </c>
      <c r="D4621" t="s">
        <v>40</v>
      </c>
      <c r="E4621" t="s">
        <v>41</v>
      </c>
      <c r="J4621" t="s">
        <v>86</v>
      </c>
      <c r="K4621" t="s">
        <v>87</v>
      </c>
      <c r="L4621">
        <v>2</v>
      </c>
      <c r="M4621" t="s">
        <v>17112</v>
      </c>
      <c r="N4621" t="s">
        <v>14024</v>
      </c>
      <c r="O4621" t="s">
        <v>47</v>
      </c>
      <c r="P4621" t="s">
        <v>47</v>
      </c>
      <c r="Y4621" t="s">
        <v>17113</v>
      </c>
      <c r="AG4621" t="s">
        <v>48</v>
      </c>
    </row>
    <row r="4622" spans="1:33">
      <c r="A4622" t="s">
        <v>17114</v>
      </c>
      <c r="B4622" t="s">
        <v>17115</v>
      </c>
      <c r="D4622" t="s">
        <v>40</v>
      </c>
      <c r="E4622" t="s">
        <v>41</v>
      </c>
      <c r="J4622" t="s">
        <v>69</v>
      </c>
      <c r="K4622" t="s">
        <v>70</v>
      </c>
      <c r="L4622">
        <v>5</v>
      </c>
      <c r="M4622" t="s">
        <v>17116</v>
      </c>
      <c r="N4622" t="s">
        <v>14024</v>
      </c>
      <c r="O4622" t="s">
        <v>47</v>
      </c>
      <c r="P4622" t="s">
        <v>47</v>
      </c>
      <c r="Y4622" t="s">
        <v>17117</v>
      </c>
      <c r="AG4622" t="s">
        <v>48</v>
      </c>
    </row>
    <row r="4623" spans="1:33">
      <c r="A4623" t="s">
        <v>17118</v>
      </c>
      <c r="B4623" t="s">
        <v>17119</v>
      </c>
      <c r="D4623" t="s">
        <v>40</v>
      </c>
      <c r="E4623" t="s">
        <v>41</v>
      </c>
      <c r="J4623" t="s">
        <v>1418</v>
      </c>
      <c r="K4623" t="s">
        <v>1419</v>
      </c>
      <c r="L4623">
        <v>3</v>
      </c>
      <c r="M4623" t="s">
        <v>17120</v>
      </c>
      <c r="N4623" t="s">
        <v>14011</v>
      </c>
      <c r="O4623" t="s">
        <v>47</v>
      </c>
      <c r="P4623" t="s">
        <v>47</v>
      </c>
      <c r="Y4623" t="s">
        <v>17121</v>
      </c>
      <c r="AG4623" t="s">
        <v>48</v>
      </c>
    </row>
    <row r="4624" spans="1:33">
      <c r="A4624" t="s">
        <v>17122</v>
      </c>
      <c r="B4624" t="s">
        <v>17123</v>
      </c>
      <c r="D4624" t="s">
        <v>40</v>
      </c>
      <c r="E4624" t="s">
        <v>41</v>
      </c>
      <c r="J4624" t="s">
        <v>43</v>
      </c>
      <c r="K4624" t="s">
        <v>44</v>
      </c>
      <c r="L4624">
        <v>2</v>
      </c>
      <c r="M4624" t="s">
        <v>17124</v>
      </c>
      <c r="N4624" t="s">
        <v>192</v>
      </c>
      <c r="O4624" t="s">
        <v>47</v>
      </c>
      <c r="P4624" t="s">
        <v>47</v>
      </c>
      <c r="Y4624" t="s">
        <v>17125</v>
      </c>
      <c r="AG4624" t="s">
        <v>48</v>
      </c>
    </row>
    <row r="4625" spans="1:33">
      <c r="A4625" t="s">
        <v>17126</v>
      </c>
      <c r="B4625" t="s">
        <v>17127</v>
      </c>
      <c r="D4625" t="s">
        <v>40</v>
      </c>
      <c r="E4625" t="s">
        <v>41</v>
      </c>
      <c r="J4625" t="s">
        <v>86</v>
      </c>
      <c r="K4625" t="s">
        <v>87</v>
      </c>
      <c r="L4625">
        <v>2</v>
      </c>
      <c r="M4625" t="s">
        <v>17128</v>
      </c>
      <c r="N4625" t="s">
        <v>14024</v>
      </c>
      <c r="O4625" t="s">
        <v>47</v>
      </c>
      <c r="P4625" t="s">
        <v>47</v>
      </c>
      <c r="Y4625" t="s">
        <v>17129</v>
      </c>
      <c r="AG4625" t="s">
        <v>48</v>
      </c>
    </row>
    <row r="4626" spans="1:33">
      <c r="A4626" t="s">
        <v>17130</v>
      </c>
      <c r="B4626" t="s">
        <v>17131</v>
      </c>
      <c r="D4626" t="s">
        <v>40</v>
      </c>
      <c r="E4626" t="s">
        <v>41</v>
      </c>
      <c r="J4626" t="s">
        <v>86</v>
      </c>
      <c r="K4626" t="s">
        <v>87</v>
      </c>
      <c r="L4626">
        <v>1</v>
      </c>
      <c r="M4626" t="s">
        <v>17132</v>
      </c>
      <c r="N4626" t="s">
        <v>13978</v>
      </c>
      <c r="O4626" t="s">
        <v>47</v>
      </c>
      <c r="P4626" t="s">
        <v>47</v>
      </c>
      <c r="Y4626" t="s">
        <v>17133</v>
      </c>
      <c r="AG4626" t="s">
        <v>48</v>
      </c>
    </row>
    <row r="4627" spans="1:33">
      <c r="A4627" t="s">
        <v>17134</v>
      </c>
      <c r="B4627" t="s">
        <v>17135</v>
      </c>
      <c r="D4627" t="s">
        <v>40</v>
      </c>
      <c r="E4627" t="s">
        <v>41</v>
      </c>
      <c r="J4627" t="s">
        <v>43</v>
      </c>
      <c r="K4627" t="s">
        <v>44</v>
      </c>
      <c r="L4627">
        <v>1</v>
      </c>
      <c r="M4627" t="s">
        <v>17136</v>
      </c>
      <c r="N4627" t="s">
        <v>192</v>
      </c>
      <c r="O4627" t="s">
        <v>47</v>
      </c>
      <c r="P4627" t="s">
        <v>47</v>
      </c>
      <c r="Y4627" t="s">
        <v>17137</v>
      </c>
      <c r="AG4627" t="s">
        <v>48</v>
      </c>
    </row>
    <row r="4628" spans="1:33">
      <c r="A4628" t="s">
        <v>17138</v>
      </c>
      <c r="B4628" t="s">
        <v>17139</v>
      </c>
      <c r="D4628" t="s">
        <v>40</v>
      </c>
      <c r="E4628" t="s">
        <v>41</v>
      </c>
      <c r="J4628" t="s">
        <v>1052</v>
      </c>
      <c r="K4628" t="s">
        <v>1053</v>
      </c>
      <c r="L4628">
        <v>1</v>
      </c>
      <c r="M4628" t="s">
        <v>17140</v>
      </c>
      <c r="N4628" t="s">
        <v>14024</v>
      </c>
      <c r="O4628" t="s">
        <v>47</v>
      </c>
      <c r="P4628" t="s">
        <v>47</v>
      </c>
      <c r="Y4628" t="s">
        <v>17141</v>
      </c>
      <c r="AG4628" t="s">
        <v>48</v>
      </c>
    </row>
    <row r="4629" spans="1:33">
      <c r="A4629" t="s">
        <v>17142</v>
      </c>
      <c r="B4629" t="s">
        <v>17143</v>
      </c>
      <c r="D4629" t="s">
        <v>40</v>
      </c>
      <c r="E4629" t="s">
        <v>41</v>
      </c>
      <c r="J4629" t="s">
        <v>86</v>
      </c>
      <c r="K4629" t="s">
        <v>87</v>
      </c>
      <c r="L4629">
        <v>1</v>
      </c>
      <c r="M4629" t="s">
        <v>17144</v>
      </c>
      <c r="N4629" t="s">
        <v>192</v>
      </c>
      <c r="O4629" t="s">
        <v>47</v>
      </c>
      <c r="P4629" t="s">
        <v>47</v>
      </c>
      <c r="Y4629" t="s">
        <v>17145</v>
      </c>
      <c r="AG4629" t="s">
        <v>48</v>
      </c>
    </row>
    <row r="4630" spans="1:33">
      <c r="A4630" t="s">
        <v>17146</v>
      </c>
      <c r="B4630" t="s">
        <v>17147</v>
      </c>
      <c r="D4630" t="s">
        <v>40</v>
      </c>
      <c r="E4630" t="s">
        <v>41</v>
      </c>
      <c r="J4630" t="s">
        <v>1418</v>
      </c>
      <c r="K4630" t="s">
        <v>1419</v>
      </c>
      <c r="L4630">
        <v>1</v>
      </c>
      <c r="M4630" t="s">
        <v>17148</v>
      </c>
      <c r="N4630" t="s">
        <v>14024</v>
      </c>
      <c r="O4630" t="s">
        <v>47</v>
      </c>
      <c r="P4630" t="s">
        <v>47</v>
      </c>
      <c r="Y4630" t="s">
        <v>17149</v>
      </c>
      <c r="AG4630" t="s">
        <v>48</v>
      </c>
    </row>
    <row r="4631" spans="1:33">
      <c r="A4631" t="s">
        <v>17150</v>
      </c>
      <c r="B4631" t="s">
        <v>17151</v>
      </c>
      <c r="D4631" t="s">
        <v>40</v>
      </c>
      <c r="E4631" t="s">
        <v>41</v>
      </c>
      <c r="J4631" t="s">
        <v>86</v>
      </c>
      <c r="K4631" t="s">
        <v>87</v>
      </c>
      <c r="L4631">
        <v>2</v>
      </c>
      <c r="M4631" t="s">
        <v>17152</v>
      </c>
      <c r="N4631" t="s">
        <v>14024</v>
      </c>
      <c r="O4631" t="s">
        <v>47</v>
      </c>
      <c r="P4631" t="s">
        <v>47</v>
      </c>
      <c r="Y4631" t="s">
        <v>17153</v>
      </c>
      <c r="AG4631" t="s">
        <v>48</v>
      </c>
    </row>
    <row r="4632" spans="1:33">
      <c r="A4632" t="s">
        <v>17154</v>
      </c>
      <c r="B4632" t="s">
        <v>17155</v>
      </c>
      <c r="D4632" t="s">
        <v>40</v>
      </c>
      <c r="E4632" t="s">
        <v>41</v>
      </c>
      <c r="J4632" t="s">
        <v>86</v>
      </c>
      <c r="K4632" t="s">
        <v>87</v>
      </c>
      <c r="L4632">
        <v>1</v>
      </c>
      <c r="M4632" t="s">
        <v>17156</v>
      </c>
      <c r="N4632" t="s">
        <v>14340</v>
      </c>
      <c r="O4632" t="s">
        <v>47</v>
      </c>
      <c r="P4632" t="s">
        <v>47</v>
      </c>
      <c r="Y4632" t="s">
        <v>17157</v>
      </c>
      <c r="AG4632" t="s">
        <v>48</v>
      </c>
    </row>
    <row r="4633" spans="1:33">
      <c r="A4633" t="s">
        <v>17158</v>
      </c>
      <c r="B4633" t="s">
        <v>17159</v>
      </c>
      <c r="D4633" t="s">
        <v>40</v>
      </c>
      <c r="E4633" t="s">
        <v>41</v>
      </c>
      <c r="J4633" t="s">
        <v>14204</v>
      </c>
      <c r="K4633" t="s">
        <v>14205</v>
      </c>
      <c r="L4633">
        <v>1</v>
      </c>
      <c r="M4633" t="s">
        <v>17160</v>
      </c>
      <c r="N4633" t="s">
        <v>14340</v>
      </c>
      <c r="O4633" t="s">
        <v>47</v>
      </c>
      <c r="P4633" t="s">
        <v>47</v>
      </c>
      <c r="Y4633" t="s">
        <v>17161</v>
      </c>
      <c r="AG4633" t="s">
        <v>48</v>
      </c>
    </row>
    <row r="4634" spans="1:33">
      <c r="A4634" t="s">
        <v>17162</v>
      </c>
      <c r="B4634" t="s">
        <v>17163</v>
      </c>
      <c r="D4634" t="s">
        <v>40</v>
      </c>
      <c r="E4634" t="s">
        <v>41</v>
      </c>
      <c r="J4634" t="s">
        <v>1418</v>
      </c>
      <c r="K4634" t="s">
        <v>1419</v>
      </c>
      <c r="L4634">
        <v>2</v>
      </c>
      <c r="M4634" t="s">
        <v>17164</v>
      </c>
      <c r="N4634" t="s">
        <v>14011</v>
      </c>
      <c r="O4634" t="s">
        <v>47</v>
      </c>
      <c r="P4634" t="s">
        <v>47</v>
      </c>
      <c r="Y4634" t="s">
        <v>17165</v>
      </c>
      <c r="AG4634" t="s">
        <v>48</v>
      </c>
    </row>
    <row r="4635" spans="1:33">
      <c r="A4635" t="s">
        <v>17166</v>
      </c>
      <c r="B4635" t="s">
        <v>17167</v>
      </c>
      <c r="D4635" t="s">
        <v>40</v>
      </c>
      <c r="E4635" t="s">
        <v>41</v>
      </c>
      <c r="J4635" t="s">
        <v>6163</v>
      </c>
      <c r="K4635" t="s">
        <v>6164</v>
      </c>
      <c r="L4635">
        <v>1</v>
      </c>
      <c r="M4635" t="s">
        <v>17168</v>
      </c>
      <c r="N4635" t="s">
        <v>14059</v>
      </c>
      <c r="O4635" t="s">
        <v>47</v>
      </c>
      <c r="P4635" t="s">
        <v>47</v>
      </c>
      <c r="Y4635" t="s">
        <v>17169</v>
      </c>
      <c r="AG4635" t="s">
        <v>48</v>
      </c>
    </row>
    <row r="4636" spans="1:33">
      <c r="A4636" t="s">
        <v>17170</v>
      </c>
      <c r="B4636" t="s">
        <v>17171</v>
      </c>
      <c r="D4636" t="s">
        <v>40</v>
      </c>
      <c r="E4636" t="s">
        <v>41</v>
      </c>
      <c r="J4636" t="s">
        <v>86</v>
      </c>
      <c r="K4636" t="s">
        <v>87</v>
      </c>
      <c r="L4636">
        <v>1</v>
      </c>
      <c r="M4636" t="s">
        <v>17172</v>
      </c>
      <c r="N4636" t="s">
        <v>14059</v>
      </c>
      <c r="O4636" t="s">
        <v>47</v>
      </c>
      <c r="P4636" t="s">
        <v>47</v>
      </c>
      <c r="Y4636" t="s">
        <v>17173</v>
      </c>
      <c r="AG4636" t="s">
        <v>48</v>
      </c>
    </row>
    <row r="4637" spans="1:33">
      <c r="A4637" t="s">
        <v>17174</v>
      </c>
      <c r="B4637" t="s">
        <v>17175</v>
      </c>
      <c r="D4637" t="s">
        <v>40</v>
      </c>
      <c r="E4637" t="s">
        <v>41</v>
      </c>
      <c r="J4637" t="s">
        <v>86</v>
      </c>
      <c r="K4637" t="s">
        <v>87</v>
      </c>
      <c r="L4637">
        <v>1</v>
      </c>
      <c r="M4637" t="s">
        <v>17176</v>
      </c>
      <c r="N4637" t="s">
        <v>192</v>
      </c>
      <c r="O4637" t="s">
        <v>47</v>
      </c>
      <c r="P4637" t="s">
        <v>47</v>
      </c>
      <c r="Y4637" t="s">
        <v>17177</v>
      </c>
      <c r="AG4637" t="s">
        <v>48</v>
      </c>
    </row>
    <row r="4638" spans="1:33">
      <c r="A4638" t="s">
        <v>17178</v>
      </c>
      <c r="B4638" t="s">
        <v>17179</v>
      </c>
      <c r="D4638" t="s">
        <v>40</v>
      </c>
      <c r="E4638" t="s">
        <v>41</v>
      </c>
      <c r="J4638" t="s">
        <v>86</v>
      </c>
      <c r="K4638" t="s">
        <v>87</v>
      </c>
      <c r="L4638">
        <v>1</v>
      </c>
      <c r="M4638" t="s">
        <v>17180</v>
      </c>
      <c r="N4638" t="s">
        <v>14011</v>
      </c>
      <c r="O4638" t="s">
        <v>47</v>
      </c>
      <c r="P4638" t="s">
        <v>47</v>
      </c>
      <c r="Y4638" t="s">
        <v>17181</v>
      </c>
      <c r="AG4638" t="s">
        <v>48</v>
      </c>
    </row>
    <row r="4639" spans="1:33">
      <c r="A4639" t="s">
        <v>17182</v>
      </c>
      <c r="B4639" t="s">
        <v>17183</v>
      </c>
      <c r="D4639" t="s">
        <v>40</v>
      </c>
      <c r="E4639" t="s">
        <v>41</v>
      </c>
      <c r="J4639" t="s">
        <v>1418</v>
      </c>
      <c r="K4639" t="s">
        <v>1419</v>
      </c>
      <c r="L4639">
        <v>1</v>
      </c>
      <c r="M4639" t="s">
        <v>17184</v>
      </c>
      <c r="N4639" t="s">
        <v>192</v>
      </c>
      <c r="O4639" t="s">
        <v>47</v>
      </c>
      <c r="P4639" t="s">
        <v>47</v>
      </c>
      <c r="Y4639" t="s">
        <v>17185</v>
      </c>
      <c r="AG4639" t="s">
        <v>48</v>
      </c>
    </row>
    <row r="4640" spans="1:33">
      <c r="A4640" t="s">
        <v>17186</v>
      </c>
      <c r="B4640" t="s">
        <v>17187</v>
      </c>
      <c r="D4640" t="s">
        <v>40</v>
      </c>
      <c r="E4640" t="s">
        <v>41</v>
      </c>
      <c r="J4640" t="s">
        <v>6163</v>
      </c>
      <c r="K4640" t="s">
        <v>6164</v>
      </c>
      <c r="L4640">
        <v>1</v>
      </c>
      <c r="M4640" t="s">
        <v>17188</v>
      </c>
      <c r="N4640" t="s">
        <v>14059</v>
      </c>
      <c r="O4640" t="s">
        <v>47</v>
      </c>
      <c r="P4640" t="s">
        <v>47</v>
      </c>
      <c r="Y4640" t="s">
        <v>17189</v>
      </c>
      <c r="AG4640" t="s">
        <v>48</v>
      </c>
    </row>
    <row r="4641" spans="1:33">
      <c r="A4641" t="s">
        <v>17190</v>
      </c>
      <c r="B4641" t="s">
        <v>17191</v>
      </c>
      <c r="D4641" t="s">
        <v>40</v>
      </c>
      <c r="E4641" t="s">
        <v>41</v>
      </c>
      <c r="J4641" t="s">
        <v>10950</v>
      </c>
      <c r="K4641" t="s">
        <v>10950</v>
      </c>
      <c r="L4641">
        <v>1</v>
      </c>
      <c r="M4641" t="s">
        <v>17192</v>
      </c>
      <c r="N4641" t="s">
        <v>192</v>
      </c>
      <c r="O4641" t="s">
        <v>47</v>
      </c>
      <c r="P4641" t="s">
        <v>47</v>
      </c>
      <c r="Y4641" t="s">
        <v>17193</v>
      </c>
      <c r="AG4641" t="s">
        <v>48</v>
      </c>
    </row>
    <row r="4642" spans="1:33">
      <c r="A4642" t="s">
        <v>17194</v>
      </c>
      <c r="B4642" t="s">
        <v>17195</v>
      </c>
      <c r="D4642" t="s">
        <v>40</v>
      </c>
      <c r="E4642" t="s">
        <v>41</v>
      </c>
      <c r="J4642" t="s">
        <v>86</v>
      </c>
      <c r="K4642" t="s">
        <v>87</v>
      </c>
      <c r="L4642">
        <v>1</v>
      </c>
      <c r="M4642" t="s">
        <v>17196</v>
      </c>
      <c r="N4642" t="s">
        <v>13978</v>
      </c>
      <c r="O4642" t="s">
        <v>47</v>
      </c>
      <c r="P4642" t="s">
        <v>47</v>
      </c>
      <c r="Y4642" t="s">
        <v>17197</v>
      </c>
      <c r="AG4642" t="s">
        <v>48</v>
      </c>
    </row>
    <row r="4643" spans="1:33">
      <c r="A4643" t="s">
        <v>17198</v>
      </c>
      <c r="B4643" t="s">
        <v>17199</v>
      </c>
      <c r="D4643" t="s">
        <v>40</v>
      </c>
      <c r="E4643" t="s">
        <v>41</v>
      </c>
      <c r="J4643" t="s">
        <v>43</v>
      </c>
      <c r="K4643" t="s">
        <v>44</v>
      </c>
      <c r="L4643">
        <v>1</v>
      </c>
      <c r="M4643" t="s">
        <v>17200</v>
      </c>
      <c r="N4643" t="s">
        <v>14340</v>
      </c>
      <c r="O4643" t="s">
        <v>47</v>
      </c>
      <c r="P4643" t="s">
        <v>47</v>
      </c>
      <c r="Y4643" t="s">
        <v>17201</v>
      </c>
      <c r="AG4643" t="s">
        <v>48</v>
      </c>
    </row>
    <row r="4644" spans="1:33">
      <c r="A4644" t="s">
        <v>17202</v>
      </c>
      <c r="B4644" t="s">
        <v>17203</v>
      </c>
      <c r="D4644" t="s">
        <v>40</v>
      </c>
      <c r="E4644" t="s">
        <v>41</v>
      </c>
      <c r="J4644" t="s">
        <v>1418</v>
      </c>
      <c r="K4644" t="s">
        <v>1419</v>
      </c>
      <c r="L4644">
        <v>2</v>
      </c>
      <c r="M4644" t="s">
        <v>17204</v>
      </c>
      <c r="N4644" t="s">
        <v>13978</v>
      </c>
      <c r="O4644" t="s">
        <v>47</v>
      </c>
      <c r="P4644" t="s">
        <v>47</v>
      </c>
      <c r="Y4644" t="s">
        <v>17205</v>
      </c>
      <c r="AG4644" t="s">
        <v>48</v>
      </c>
    </row>
    <row r="4645" spans="1:33">
      <c r="A4645" t="s">
        <v>17206</v>
      </c>
      <c r="B4645" t="s">
        <v>17207</v>
      </c>
      <c r="D4645" t="s">
        <v>40</v>
      </c>
      <c r="E4645" t="s">
        <v>41</v>
      </c>
      <c r="J4645" t="s">
        <v>3472</v>
      </c>
      <c r="K4645" t="s">
        <v>3473</v>
      </c>
      <c r="L4645">
        <v>1</v>
      </c>
      <c r="M4645" t="s">
        <v>17208</v>
      </c>
      <c r="N4645" t="s">
        <v>14011</v>
      </c>
      <c r="O4645" t="s">
        <v>47</v>
      </c>
      <c r="P4645" t="s">
        <v>47</v>
      </c>
      <c r="Y4645" t="s">
        <v>17209</v>
      </c>
      <c r="AG4645" t="s">
        <v>48</v>
      </c>
    </row>
    <row r="4646" spans="1:33">
      <c r="A4646" t="s">
        <v>17210</v>
      </c>
      <c r="B4646" t="s">
        <v>17211</v>
      </c>
      <c r="D4646" t="s">
        <v>40</v>
      </c>
      <c r="E4646" t="s">
        <v>41</v>
      </c>
      <c r="J4646" t="s">
        <v>86</v>
      </c>
      <c r="K4646" t="s">
        <v>87</v>
      </c>
      <c r="L4646">
        <v>1</v>
      </c>
      <c r="M4646" t="s">
        <v>17212</v>
      </c>
      <c r="N4646" t="s">
        <v>192</v>
      </c>
      <c r="O4646" t="s">
        <v>47</v>
      </c>
      <c r="P4646" t="s">
        <v>47</v>
      </c>
      <c r="Y4646" t="s">
        <v>17213</v>
      </c>
      <c r="AG4646" t="s">
        <v>48</v>
      </c>
    </row>
    <row r="4647" spans="1:33">
      <c r="A4647" t="s">
        <v>117</v>
      </c>
      <c r="B4647" t="s">
        <v>17214</v>
      </c>
      <c r="D4647" t="s">
        <v>40</v>
      </c>
      <c r="E4647" t="s">
        <v>41</v>
      </c>
      <c r="J4647" t="s">
        <v>14204</v>
      </c>
      <c r="K4647" t="s">
        <v>14205</v>
      </c>
      <c r="L4647">
        <v>1</v>
      </c>
      <c r="M4647" t="s">
        <v>17215</v>
      </c>
      <c r="N4647" t="s">
        <v>14011</v>
      </c>
      <c r="O4647" t="s">
        <v>47</v>
      </c>
      <c r="P4647" t="s">
        <v>47</v>
      </c>
      <c r="Y4647" t="s">
        <v>17216</v>
      </c>
      <c r="AG4647" t="s">
        <v>48</v>
      </c>
    </row>
    <row r="4648" spans="1:33">
      <c r="A4648" t="s">
        <v>17217</v>
      </c>
      <c r="B4648" t="s">
        <v>17218</v>
      </c>
      <c r="D4648" t="s">
        <v>40</v>
      </c>
      <c r="E4648" t="s">
        <v>41</v>
      </c>
      <c r="J4648" t="s">
        <v>1418</v>
      </c>
      <c r="K4648" t="s">
        <v>1419</v>
      </c>
      <c r="L4648">
        <v>1</v>
      </c>
      <c r="M4648" t="s">
        <v>17219</v>
      </c>
      <c r="N4648" t="s">
        <v>14011</v>
      </c>
      <c r="O4648" t="s">
        <v>47</v>
      </c>
      <c r="P4648" t="s">
        <v>47</v>
      </c>
      <c r="Y4648" t="s">
        <v>17220</v>
      </c>
      <c r="AG4648" t="s">
        <v>48</v>
      </c>
    </row>
    <row r="4649" spans="1:33">
      <c r="A4649" t="s">
        <v>17221</v>
      </c>
      <c r="B4649" t="s">
        <v>17222</v>
      </c>
      <c r="D4649" t="s">
        <v>40</v>
      </c>
      <c r="E4649" t="s">
        <v>41</v>
      </c>
      <c r="J4649" t="s">
        <v>43</v>
      </c>
      <c r="K4649" t="s">
        <v>44</v>
      </c>
      <c r="L4649">
        <v>1</v>
      </c>
      <c r="M4649" t="s">
        <v>17223</v>
      </c>
      <c r="N4649" t="s">
        <v>192</v>
      </c>
      <c r="O4649" t="s">
        <v>47</v>
      </c>
      <c r="P4649" t="s">
        <v>47</v>
      </c>
      <c r="Y4649" t="s">
        <v>17224</v>
      </c>
      <c r="AG4649" t="s">
        <v>48</v>
      </c>
    </row>
    <row r="4650" spans="1:33">
      <c r="A4650" t="s">
        <v>17225</v>
      </c>
      <c r="B4650" t="s">
        <v>17226</v>
      </c>
      <c r="D4650" t="s">
        <v>40</v>
      </c>
      <c r="E4650" t="s">
        <v>41</v>
      </c>
      <c r="J4650" t="s">
        <v>86</v>
      </c>
      <c r="K4650" t="s">
        <v>87</v>
      </c>
      <c r="L4650">
        <v>1</v>
      </c>
      <c r="M4650" t="s">
        <v>17227</v>
      </c>
      <c r="N4650" t="s">
        <v>192</v>
      </c>
      <c r="O4650" t="s">
        <v>47</v>
      </c>
      <c r="P4650" t="s">
        <v>47</v>
      </c>
      <c r="Y4650" t="s">
        <v>17228</v>
      </c>
      <c r="AG4650" t="s">
        <v>48</v>
      </c>
    </row>
    <row r="4651" spans="1:33">
      <c r="A4651" t="s">
        <v>17229</v>
      </c>
      <c r="B4651" t="s">
        <v>17230</v>
      </c>
      <c r="D4651" t="s">
        <v>40</v>
      </c>
      <c r="E4651" t="s">
        <v>41</v>
      </c>
      <c r="J4651" t="s">
        <v>86</v>
      </c>
      <c r="K4651" t="s">
        <v>87</v>
      </c>
      <c r="L4651">
        <v>1</v>
      </c>
      <c r="M4651" t="s">
        <v>17231</v>
      </c>
      <c r="N4651" t="s">
        <v>14059</v>
      </c>
      <c r="O4651" t="s">
        <v>47</v>
      </c>
      <c r="P4651" t="s">
        <v>47</v>
      </c>
      <c r="Y4651" t="s">
        <v>17232</v>
      </c>
      <c r="AG4651" t="s">
        <v>48</v>
      </c>
    </row>
    <row r="4652" spans="1:33">
      <c r="A4652" t="s">
        <v>17233</v>
      </c>
      <c r="B4652" t="s">
        <v>17234</v>
      </c>
      <c r="D4652" t="s">
        <v>40</v>
      </c>
      <c r="E4652" t="s">
        <v>41</v>
      </c>
      <c r="J4652" t="s">
        <v>6163</v>
      </c>
      <c r="K4652" t="s">
        <v>6164</v>
      </c>
      <c r="L4652">
        <v>2</v>
      </c>
      <c r="M4652" t="s">
        <v>17235</v>
      </c>
      <c r="N4652" t="s">
        <v>14011</v>
      </c>
      <c r="O4652" t="s">
        <v>47</v>
      </c>
      <c r="P4652" t="s">
        <v>47</v>
      </c>
      <c r="Y4652" t="s">
        <v>17236</v>
      </c>
      <c r="AG4652" t="s">
        <v>48</v>
      </c>
    </row>
    <row r="4653" spans="1:33">
      <c r="A4653" t="s">
        <v>17237</v>
      </c>
      <c r="B4653" t="s">
        <v>17238</v>
      </c>
      <c r="D4653" t="s">
        <v>40</v>
      </c>
      <c r="E4653" t="s">
        <v>41</v>
      </c>
      <c r="J4653" t="s">
        <v>43</v>
      </c>
      <c r="K4653" t="s">
        <v>44</v>
      </c>
      <c r="L4653">
        <v>1</v>
      </c>
      <c r="M4653" t="s">
        <v>17239</v>
      </c>
      <c r="N4653" t="s">
        <v>14340</v>
      </c>
      <c r="O4653" t="s">
        <v>47</v>
      </c>
      <c r="P4653" t="s">
        <v>47</v>
      </c>
      <c r="Y4653" t="s">
        <v>17240</v>
      </c>
      <c r="AG4653" t="s">
        <v>48</v>
      </c>
    </row>
    <row r="4654" spans="1:33">
      <c r="A4654" t="s">
        <v>17241</v>
      </c>
      <c r="B4654" t="s">
        <v>17242</v>
      </c>
      <c r="D4654" t="s">
        <v>40</v>
      </c>
      <c r="E4654" t="s">
        <v>41</v>
      </c>
      <c r="J4654" t="s">
        <v>43</v>
      </c>
      <c r="K4654" t="s">
        <v>44</v>
      </c>
      <c r="L4654">
        <v>1</v>
      </c>
      <c r="M4654" t="s">
        <v>17243</v>
      </c>
      <c r="N4654" t="s">
        <v>14340</v>
      </c>
      <c r="O4654" t="s">
        <v>47</v>
      </c>
      <c r="P4654" t="s">
        <v>47</v>
      </c>
      <c r="Y4654" t="s">
        <v>17244</v>
      </c>
      <c r="AG4654" t="s">
        <v>48</v>
      </c>
    </row>
    <row r="4655" spans="1:33">
      <c r="A4655" t="s">
        <v>17245</v>
      </c>
      <c r="B4655" t="s">
        <v>17246</v>
      </c>
      <c r="D4655" t="s">
        <v>40</v>
      </c>
      <c r="E4655" t="s">
        <v>41</v>
      </c>
      <c r="J4655" t="s">
        <v>86</v>
      </c>
      <c r="K4655" t="s">
        <v>87</v>
      </c>
      <c r="L4655">
        <v>1</v>
      </c>
      <c r="M4655" t="s">
        <v>17247</v>
      </c>
      <c r="N4655" t="s">
        <v>13978</v>
      </c>
      <c r="O4655" t="s">
        <v>47</v>
      </c>
      <c r="P4655" t="s">
        <v>47</v>
      </c>
      <c r="Y4655" t="s">
        <v>17248</v>
      </c>
      <c r="AG4655" t="s">
        <v>48</v>
      </c>
    </row>
    <row r="4656" spans="1:33">
      <c r="A4656" t="s">
        <v>17249</v>
      </c>
      <c r="B4656" t="s">
        <v>17250</v>
      </c>
      <c r="D4656" t="s">
        <v>40</v>
      </c>
      <c r="E4656" t="s">
        <v>41</v>
      </c>
      <c r="J4656" t="s">
        <v>3472</v>
      </c>
      <c r="K4656" t="s">
        <v>3473</v>
      </c>
      <c r="L4656">
        <v>1</v>
      </c>
      <c r="M4656" t="s">
        <v>17247</v>
      </c>
      <c r="N4656" t="s">
        <v>14011</v>
      </c>
      <c r="O4656" t="s">
        <v>47</v>
      </c>
      <c r="P4656" t="s">
        <v>47</v>
      </c>
      <c r="Y4656" t="s">
        <v>17251</v>
      </c>
      <c r="AG4656" t="s">
        <v>48</v>
      </c>
    </row>
    <row r="4657" spans="1:33">
      <c r="A4657" t="s">
        <v>17252</v>
      </c>
      <c r="B4657" t="s">
        <v>17253</v>
      </c>
      <c r="D4657" t="s">
        <v>40</v>
      </c>
      <c r="E4657" t="s">
        <v>41</v>
      </c>
      <c r="J4657" t="s">
        <v>1566</v>
      </c>
      <c r="K4657" t="s">
        <v>1567</v>
      </c>
      <c r="L4657">
        <v>1</v>
      </c>
      <c r="M4657" t="s">
        <v>17254</v>
      </c>
      <c r="N4657" t="s">
        <v>14340</v>
      </c>
      <c r="O4657" t="s">
        <v>47</v>
      </c>
      <c r="P4657" t="s">
        <v>47</v>
      </c>
      <c r="Y4657" t="s">
        <v>17255</v>
      </c>
      <c r="AG4657" t="s">
        <v>48</v>
      </c>
    </row>
    <row r="4658" spans="1:33">
      <c r="A4658" t="s">
        <v>17256</v>
      </c>
      <c r="B4658" t="s">
        <v>17257</v>
      </c>
      <c r="D4658" t="s">
        <v>40</v>
      </c>
      <c r="E4658" t="s">
        <v>41</v>
      </c>
      <c r="J4658" t="s">
        <v>43</v>
      </c>
      <c r="K4658" t="s">
        <v>44</v>
      </c>
      <c r="L4658">
        <v>1</v>
      </c>
      <c r="M4658" t="s">
        <v>17258</v>
      </c>
      <c r="N4658" t="s">
        <v>14059</v>
      </c>
      <c r="O4658" t="s">
        <v>47</v>
      </c>
      <c r="P4658" t="s">
        <v>47</v>
      </c>
      <c r="Y4658" t="s">
        <v>17259</v>
      </c>
      <c r="AG4658" t="s">
        <v>48</v>
      </c>
    </row>
    <row r="4659" spans="1:33">
      <c r="A4659" t="s">
        <v>17260</v>
      </c>
      <c r="B4659" t="s">
        <v>17261</v>
      </c>
      <c r="D4659" t="s">
        <v>40</v>
      </c>
      <c r="E4659" t="s">
        <v>41</v>
      </c>
      <c r="J4659" t="s">
        <v>86</v>
      </c>
      <c r="K4659" t="s">
        <v>87</v>
      </c>
      <c r="L4659">
        <v>1</v>
      </c>
      <c r="M4659" t="s">
        <v>17262</v>
      </c>
      <c r="N4659" t="s">
        <v>14024</v>
      </c>
      <c r="O4659" t="s">
        <v>47</v>
      </c>
      <c r="P4659" t="s">
        <v>47</v>
      </c>
      <c r="Y4659" t="s">
        <v>17263</v>
      </c>
      <c r="AG4659" t="s">
        <v>48</v>
      </c>
    </row>
    <row r="4660" spans="1:33">
      <c r="A4660" t="s">
        <v>17264</v>
      </c>
      <c r="B4660" t="s">
        <v>17265</v>
      </c>
      <c r="D4660" t="s">
        <v>40</v>
      </c>
      <c r="E4660" t="s">
        <v>41</v>
      </c>
      <c r="J4660" t="s">
        <v>4737</v>
      </c>
      <c r="K4660" t="s">
        <v>4738</v>
      </c>
      <c r="L4660">
        <v>1</v>
      </c>
      <c r="M4660" t="s">
        <v>17266</v>
      </c>
      <c r="N4660" t="s">
        <v>14340</v>
      </c>
      <c r="O4660" t="s">
        <v>47</v>
      </c>
      <c r="P4660" t="s">
        <v>47</v>
      </c>
      <c r="Y4660" t="s">
        <v>17267</v>
      </c>
      <c r="AG4660" t="s">
        <v>48</v>
      </c>
    </row>
    <row r="4661" spans="1:33">
      <c r="A4661" t="s">
        <v>17268</v>
      </c>
      <c r="B4661" t="s">
        <v>17269</v>
      </c>
      <c r="D4661" t="s">
        <v>40</v>
      </c>
      <c r="E4661" t="s">
        <v>41</v>
      </c>
      <c r="J4661" t="s">
        <v>86</v>
      </c>
      <c r="K4661" t="s">
        <v>87</v>
      </c>
      <c r="L4661">
        <v>1</v>
      </c>
      <c r="M4661" t="s">
        <v>17270</v>
      </c>
      <c r="N4661" t="s">
        <v>13978</v>
      </c>
      <c r="O4661" t="s">
        <v>47</v>
      </c>
      <c r="P4661" t="s">
        <v>47</v>
      </c>
      <c r="Y4661" t="s">
        <v>17271</v>
      </c>
      <c r="AG4661" t="s">
        <v>48</v>
      </c>
    </row>
    <row r="4662" spans="1:33">
      <c r="A4662" t="s">
        <v>17272</v>
      </c>
      <c r="B4662" t="s">
        <v>17273</v>
      </c>
      <c r="D4662" t="s">
        <v>40</v>
      </c>
      <c r="E4662" t="s">
        <v>41</v>
      </c>
      <c r="J4662" t="s">
        <v>8931</v>
      </c>
      <c r="K4662" t="s">
        <v>8932</v>
      </c>
      <c r="L4662">
        <v>1</v>
      </c>
      <c r="M4662" t="s">
        <v>17274</v>
      </c>
      <c r="N4662" t="s">
        <v>14024</v>
      </c>
      <c r="O4662" t="s">
        <v>47</v>
      </c>
      <c r="P4662" t="s">
        <v>47</v>
      </c>
      <c r="Y4662" t="s">
        <v>17275</v>
      </c>
      <c r="AG4662" t="s">
        <v>48</v>
      </c>
    </row>
    <row r="4663" spans="1:33">
      <c r="A4663" t="s">
        <v>17276</v>
      </c>
      <c r="B4663" t="s">
        <v>17277</v>
      </c>
      <c r="D4663" t="s">
        <v>40</v>
      </c>
      <c r="E4663" t="s">
        <v>41</v>
      </c>
      <c r="J4663" t="s">
        <v>86</v>
      </c>
      <c r="K4663" t="s">
        <v>87</v>
      </c>
      <c r="L4663">
        <v>1</v>
      </c>
      <c r="M4663" t="s">
        <v>17278</v>
      </c>
      <c r="N4663" t="s">
        <v>13978</v>
      </c>
      <c r="O4663" t="s">
        <v>47</v>
      </c>
      <c r="P4663" t="s">
        <v>47</v>
      </c>
      <c r="Y4663" t="s">
        <v>17279</v>
      </c>
      <c r="AG4663" t="s">
        <v>48</v>
      </c>
    </row>
    <row r="4664" spans="1:33">
      <c r="A4664" t="s">
        <v>17280</v>
      </c>
      <c r="B4664" t="s">
        <v>17281</v>
      </c>
      <c r="D4664" t="s">
        <v>40</v>
      </c>
      <c r="E4664" t="s">
        <v>41</v>
      </c>
      <c r="J4664" t="s">
        <v>86</v>
      </c>
      <c r="K4664" t="s">
        <v>87</v>
      </c>
      <c r="L4664">
        <v>1</v>
      </c>
      <c r="M4664" t="s">
        <v>17278</v>
      </c>
      <c r="N4664" t="s">
        <v>14340</v>
      </c>
      <c r="O4664" t="s">
        <v>47</v>
      </c>
      <c r="P4664" t="s">
        <v>47</v>
      </c>
      <c r="Y4664" t="s">
        <v>17282</v>
      </c>
      <c r="AG4664" t="s">
        <v>48</v>
      </c>
    </row>
    <row r="4665" spans="1:33">
      <c r="A4665" t="s">
        <v>17283</v>
      </c>
      <c r="B4665" t="s">
        <v>17284</v>
      </c>
      <c r="D4665" t="s">
        <v>40</v>
      </c>
      <c r="E4665" t="s">
        <v>41</v>
      </c>
      <c r="J4665" t="s">
        <v>86</v>
      </c>
      <c r="K4665" t="s">
        <v>87</v>
      </c>
      <c r="L4665">
        <v>1</v>
      </c>
      <c r="M4665" t="s">
        <v>17285</v>
      </c>
      <c r="N4665" t="s">
        <v>13978</v>
      </c>
      <c r="O4665" t="s">
        <v>47</v>
      </c>
      <c r="P4665" t="s">
        <v>47</v>
      </c>
      <c r="Y4665" t="s">
        <v>17286</v>
      </c>
      <c r="AG4665" t="s">
        <v>48</v>
      </c>
    </row>
    <row r="4666" spans="1:33">
      <c r="A4666" t="s">
        <v>17287</v>
      </c>
      <c r="B4666" t="s">
        <v>17288</v>
      </c>
      <c r="D4666" t="s">
        <v>40</v>
      </c>
      <c r="E4666" t="s">
        <v>41</v>
      </c>
      <c r="J4666" t="s">
        <v>14475</v>
      </c>
      <c r="K4666" t="s">
        <v>14476</v>
      </c>
      <c r="L4666">
        <v>1</v>
      </c>
      <c r="M4666" t="s">
        <v>17289</v>
      </c>
      <c r="N4666" t="s">
        <v>14059</v>
      </c>
      <c r="O4666" t="s">
        <v>47</v>
      </c>
      <c r="P4666" t="s">
        <v>47</v>
      </c>
      <c r="Y4666" t="s">
        <v>17290</v>
      </c>
      <c r="AG4666" t="s">
        <v>48</v>
      </c>
    </row>
    <row r="4667" spans="1:33">
      <c r="A4667" t="s">
        <v>17291</v>
      </c>
      <c r="B4667" t="s">
        <v>17292</v>
      </c>
      <c r="D4667" t="s">
        <v>40</v>
      </c>
      <c r="E4667" t="s">
        <v>41</v>
      </c>
      <c r="J4667" t="s">
        <v>86</v>
      </c>
      <c r="K4667" t="s">
        <v>87</v>
      </c>
      <c r="L4667">
        <v>1</v>
      </c>
      <c r="M4667" t="s">
        <v>17293</v>
      </c>
      <c r="N4667" t="s">
        <v>13978</v>
      </c>
      <c r="O4667" t="s">
        <v>47</v>
      </c>
      <c r="P4667" t="s">
        <v>47</v>
      </c>
      <c r="Y4667" t="s">
        <v>17294</v>
      </c>
      <c r="AG4667" t="s">
        <v>48</v>
      </c>
    </row>
    <row r="4668" spans="1:33">
      <c r="A4668" t="s">
        <v>17295</v>
      </c>
      <c r="B4668" t="s">
        <v>17296</v>
      </c>
      <c r="D4668" t="s">
        <v>40</v>
      </c>
      <c r="E4668" t="s">
        <v>41</v>
      </c>
      <c r="J4668" t="s">
        <v>86</v>
      </c>
      <c r="K4668" t="s">
        <v>87</v>
      </c>
      <c r="L4668">
        <v>1</v>
      </c>
      <c r="M4668" t="s">
        <v>17297</v>
      </c>
      <c r="N4668" t="s">
        <v>14059</v>
      </c>
      <c r="O4668" t="s">
        <v>47</v>
      </c>
      <c r="P4668" t="s">
        <v>47</v>
      </c>
      <c r="Y4668" t="s">
        <v>17298</v>
      </c>
      <c r="AG4668" t="s">
        <v>48</v>
      </c>
    </row>
    <row r="4669" spans="1:33">
      <c r="A4669" t="s">
        <v>17299</v>
      </c>
      <c r="B4669" t="s">
        <v>17300</v>
      </c>
      <c r="D4669" t="s">
        <v>40</v>
      </c>
      <c r="E4669" t="s">
        <v>41</v>
      </c>
      <c r="J4669" t="s">
        <v>86</v>
      </c>
      <c r="K4669" t="s">
        <v>87</v>
      </c>
      <c r="L4669">
        <v>2</v>
      </c>
      <c r="M4669" t="s">
        <v>17301</v>
      </c>
      <c r="N4669" t="s">
        <v>14024</v>
      </c>
      <c r="O4669" t="s">
        <v>47</v>
      </c>
      <c r="P4669" t="s">
        <v>47</v>
      </c>
      <c r="Y4669" t="s">
        <v>17302</v>
      </c>
      <c r="AG4669" t="s">
        <v>48</v>
      </c>
    </row>
    <row r="4670" spans="1:33">
      <c r="A4670" t="s">
        <v>17303</v>
      </c>
      <c r="B4670" t="s">
        <v>17304</v>
      </c>
      <c r="D4670" t="s">
        <v>40</v>
      </c>
      <c r="E4670" t="s">
        <v>41</v>
      </c>
      <c r="J4670" t="s">
        <v>1418</v>
      </c>
      <c r="K4670" t="s">
        <v>1419</v>
      </c>
      <c r="L4670">
        <v>1</v>
      </c>
      <c r="M4670" t="s">
        <v>17305</v>
      </c>
      <c r="N4670" t="s">
        <v>14011</v>
      </c>
      <c r="O4670" t="s">
        <v>47</v>
      </c>
      <c r="P4670" t="s">
        <v>47</v>
      </c>
      <c r="Y4670" t="s">
        <v>17306</v>
      </c>
      <c r="AG4670" t="s">
        <v>48</v>
      </c>
    </row>
    <row r="4671" spans="1:33">
      <c r="A4671" t="s">
        <v>17307</v>
      </c>
      <c r="B4671" t="s">
        <v>17308</v>
      </c>
      <c r="D4671" t="s">
        <v>40</v>
      </c>
      <c r="E4671" t="s">
        <v>41</v>
      </c>
      <c r="J4671" t="s">
        <v>3472</v>
      </c>
      <c r="K4671" t="s">
        <v>3473</v>
      </c>
      <c r="L4671">
        <v>1</v>
      </c>
      <c r="M4671" t="s">
        <v>17309</v>
      </c>
      <c r="N4671" t="s">
        <v>14011</v>
      </c>
      <c r="O4671" t="s">
        <v>47</v>
      </c>
      <c r="P4671" t="s">
        <v>47</v>
      </c>
      <c r="Y4671" t="s">
        <v>17310</v>
      </c>
      <c r="AG4671" t="s">
        <v>48</v>
      </c>
    </row>
    <row r="4672" spans="1:33">
      <c r="A4672" t="s">
        <v>17311</v>
      </c>
      <c r="B4672" t="s">
        <v>17312</v>
      </c>
      <c r="D4672" t="s">
        <v>40</v>
      </c>
      <c r="E4672" t="s">
        <v>41</v>
      </c>
      <c r="J4672" t="s">
        <v>86</v>
      </c>
      <c r="K4672" t="s">
        <v>87</v>
      </c>
      <c r="L4672">
        <v>1</v>
      </c>
      <c r="M4672" t="s">
        <v>17313</v>
      </c>
      <c r="N4672" t="s">
        <v>14340</v>
      </c>
      <c r="O4672" t="s">
        <v>47</v>
      </c>
      <c r="P4672" t="s">
        <v>47</v>
      </c>
      <c r="Y4672" t="s">
        <v>17314</v>
      </c>
      <c r="AG4672" t="s">
        <v>48</v>
      </c>
    </row>
    <row r="4673" spans="1:33">
      <c r="A4673" t="s">
        <v>17315</v>
      </c>
      <c r="B4673" t="s">
        <v>17316</v>
      </c>
      <c r="D4673" t="s">
        <v>40</v>
      </c>
      <c r="E4673" t="s">
        <v>41</v>
      </c>
      <c r="J4673" t="s">
        <v>3472</v>
      </c>
      <c r="K4673" t="s">
        <v>3473</v>
      </c>
      <c r="L4673">
        <v>1</v>
      </c>
      <c r="M4673" t="s">
        <v>17317</v>
      </c>
      <c r="N4673" t="s">
        <v>13978</v>
      </c>
      <c r="O4673" t="s">
        <v>47</v>
      </c>
      <c r="P4673" t="s">
        <v>47</v>
      </c>
      <c r="Y4673" t="s">
        <v>17318</v>
      </c>
      <c r="AG4673" t="s">
        <v>48</v>
      </c>
    </row>
    <row r="4674" spans="1:33">
      <c r="A4674" t="s">
        <v>17319</v>
      </c>
      <c r="B4674" t="s">
        <v>17320</v>
      </c>
      <c r="D4674" t="s">
        <v>40</v>
      </c>
      <c r="E4674" t="s">
        <v>41</v>
      </c>
      <c r="J4674" t="s">
        <v>14204</v>
      </c>
      <c r="K4674" t="s">
        <v>14205</v>
      </c>
      <c r="L4674">
        <v>1</v>
      </c>
      <c r="M4674" t="s">
        <v>17321</v>
      </c>
      <c r="N4674" t="s">
        <v>14340</v>
      </c>
      <c r="O4674" t="s">
        <v>47</v>
      </c>
      <c r="P4674" t="s">
        <v>47</v>
      </c>
      <c r="Y4674" t="s">
        <v>17322</v>
      </c>
      <c r="AG4674" t="s">
        <v>48</v>
      </c>
    </row>
    <row r="4675" spans="1:33">
      <c r="A4675" t="s">
        <v>17323</v>
      </c>
      <c r="B4675" t="s">
        <v>17324</v>
      </c>
      <c r="D4675" t="s">
        <v>40</v>
      </c>
      <c r="E4675" t="s">
        <v>41</v>
      </c>
      <c r="J4675" t="s">
        <v>43</v>
      </c>
      <c r="K4675" t="s">
        <v>44</v>
      </c>
      <c r="L4675">
        <v>1</v>
      </c>
      <c r="M4675" t="s">
        <v>17325</v>
      </c>
      <c r="N4675" t="s">
        <v>13978</v>
      </c>
      <c r="O4675" t="s">
        <v>47</v>
      </c>
      <c r="P4675" t="s">
        <v>47</v>
      </c>
      <c r="Y4675" t="s">
        <v>17326</v>
      </c>
      <c r="AG4675" t="s">
        <v>48</v>
      </c>
    </row>
    <row r="4676" spans="1:33">
      <c r="A4676" t="s">
        <v>17327</v>
      </c>
      <c r="B4676" t="s">
        <v>17328</v>
      </c>
      <c r="D4676" t="s">
        <v>40</v>
      </c>
      <c r="E4676" t="s">
        <v>41</v>
      </c>
      <c r="J4676" t="s">
        <v>13514</v>
      </c>
      <c r="K4676" t="s">
        <v>13515</v>
      </c>
      <c r="L4676">
        <v>2</v>
      </c>
      <c r="M4676" t="s">
        <v>17329</v>
      </c>
      <c r="N4676" t="s">
        <v>218</v>
      </c>
      <c r="O4676" t="s">
        <v>47</v>
      </c>
      <c r="P4676" t="s">
        <v>47</v>
      </c>
      <c r="Y4676" t="s">
        <v>17330</v>
      </c>
      <c r="AG4676" t="s">
        <v>48</v>
      </c>
    </row>
    <row r="4677" spans="1:33">
      <c r="A4677" t="s">
        <v>17331</v>
      </c>
      <c r="B4677" t="s">
        <v>17332</v>
      </c>
      <c r="D4677" t="s">
        <v>40</v>
      </c>
      <c r="E4677" t="s">
        <v>41</v>
      </c>
      <c r="J4677" t="s">
        <v>1418</v>
      </c>
      <c r="K4677" t="s">
        <v>1419</v>
      </c>
      <c r="L4677">
        <v>1</v>
      </c>
      <c r="M4677" t="s">
        <v>17333</v>
      </c>
      <c r="N4677" t="s">
        <v>14059</v>
      </c>
      <c r="O4677" t="s">
        <v>47</v>
      </c>
      <c r="P4677" t="s">
        <v>47</v>
      </c>
      <c r="Y4677" t="s">
        <v>17334</v>
      </c>
      <c r="AG4677" t="s">
        <v>48</v>
      </c>
    </row>
    <row r="4678" spans="1:33">
      <c r="A4678" t="s">
        <v>17335</v>
      </c>
      <c r="B4678" t="s">
        <v>17336</v>
      </c>
      <c r="D4678" t="s">
        <v>40</v>
      </c>
      <c r="E4678" t="s">
        <v>41</v>
      </c>
      <c r="J4678" t="s">
        <v>1418</v>
      </c>
      <c r="K4678" t="s">
        <v>1419</v>
      </c>
      <c r="L4678">
        <v>1</v>
      </c>
      <c r="M4678" t="s">
        <v>17337</v>
      </c>
      <c r="N4678" t="s">
        <v>13978</v>
      </c>
      <c r="O4678" t="s">
        <v>47</v>
      </c>
      <c r="P4678" t="s">
        <v>47</v>
      </c>
      <c r="Y4678" t="s">
        <v>17338</v>
      </c>
      <c r="AG4678" t="s">
        <v>48</v>
      </c>
    </row>
    <row r="4679" spans="1:33">
      <c r="A4679" t="s">
        <v>17339</v>
      </c>
      <c r="B4679" t="s">
        <v>17340</v>
      </c>
      <c r="D4679" t="s">
        <v>40</v>
      </c>
      <c r="E4679" t="s">
        <v>41</v>
      </c>
      <c r="J4679" t="s">
        <v>3472</v>
      </c>
      <c r="K4679" t="s">
        <v>3473</v>
      </c>
      <c r="L4679">
        <v>1</v>
      </c>
      <c r="M4679" t="s">
        <v>17341</v>
      </c>
      <c r="N4679" t="s">
        <v>14011</v>
      </c>
      <c r="O4679" t="s">
        <v>47</v>
      </c>
      <c r="P4679" t="s">
        <v>47</v>
      </c>
      <c r="Y4679" t="s">
        <v>17342</v>
      </c>
      <c r="AG4679" t="s">
        <v>48</v>
      </c>
    </row>
    <row r="4680" spans="1:33">
      <c r="A4680" t="s">
        <v>17343</v>
      </c>
      <c r="B4680" t="s">
        <v>17344</v>
      </c>
      <c r="D4680" t="s">
        <v>40</v>
      </c>
      <c r="E4680" t="s">
        <v>41</v>
      </c>
      <c r="J4680" t="s">
        <v>43</v>
      </c>
      <c r="K4680" t="s">
        <v>44</v>
      </c>
      <c r="L4680">
        <v>1</v>
      </c>
      <c r="M4680" t="s">
        <v>17345</v>
      </c>
      <c r="N4680" t="s">
        <v>14340</v>
      </c>
      <c r="O4680" t="s">
        <v>47</v>
      </c>
      <c r="P4680" t="s">
        <v>47</v>
      </c>
      <c r="Y4680" t="s">
        <v>17346</v>
      </c>
      <c r="AG4680" t="s">
        <v>48</v>
      </c>
    </row>
    <row r="4681" spans="1:33">
      <c r="A4681" t="s">
        <v>17347</v>
      </c>
      <c r="B4681" t="s">
        <v>17348</v>
      </c>
      <c r="D4681" t="s">
        <v>40</v>
      </c>
      <c r="E4681" t="s">
        <v>41</v>
      </c>
      <c r="J4681" t="s">
        <v>86</v>
      </c>
      <c r="K4681" t="s">
        <v>87</v>
      </c>
      <c r="L4681">
        <v>1</v>
      </c>
      <c r="M4681" t="s">
        <v>17345</v>
      </c>
      <c r="N4681" t="s">
        <v>13978</v>
      </c>
      <c r="O4681" t="s">
        <v>47</v>
      </c>
      <c r="P4681" t="s">
        <v>47</v>
      </c>
      <c r="Y4681" t="s">
        <v>17349</v>
      </c>
      <c r="AG4681" t="s">
        <v>48</v>
      </c>
    </row>
    <row r="4682" spans="1:33">
      <c r="A4682" t="s">
        <v>17350</v>
      </c>
      <c r="B4682" t="s">
        <v>17351</v>
      </c>
      <c r="D4682" t="s">
        <v>40</v>
      </c>
      <c r="E4682" t="s">
        <v>41</v>
      </c>
      <c r="J4682" t="s">
        <v>3472</v>
      </c>
      <c r="K4682" t="s">
        <v>3473</v>
      </c>
      <c r="L4682">
        <v>1</v>
      </c>
      <c r="M4682" t="s">
        <v>17352</v>
      </c>
      <c r="N4682" t="s">
        <v>14011</v>
      </c>
      <c r="O4682" t="s">
        <v>47</v>
      </c>
      <c r="P4682" t="s">
        <v>47</v>
      </c>
      <c r="Y4682" t="s">
        <v>17353</v>
      </c>
      <c r="AG4682" t="s">
        <v>48</v>
      </c>
    </row>
    <row r="4683" spans="1:33">
      <c r="A4683" t="s">
        <v>17354</v>
      </c>
      <c r="B4683" t="s">
        <v>17355</v>
      </c>
      <c r="D4683" t="s">
        <v>40</v>
      </c>
      <c r="E4683" t="s">
        <v>41</v>
      </c>
      <c r="J4683" t="s">
        <v>1418</v>
      </c>
      <c r="K4683" t="s">
        <v>1419</v>
      </c>
      <c r="L4683">
        <v>1</v>
      </c>
      <c r="M4683" t="s">
        <v>17356</v>
      </c>
      <c r="N4683" t="s">
        <v>14059</v>
      </c>
      <c r="O4683" t="s">
        <v>47</v>
      </c>
      <c r="P4683" t="s">
        <v>47</v>
      </c>
      <c r="Y4683" t="s">
        <v>17357</v>
      </c>
      <c r="AG4683" t="s">
        <v>48</v>
      </c>
    </row>
    <row r="4684" spans="1:33">
      <c r="A4684" t="s">
        <v>17358</v>
      </c>
      <c r="B4684" t="s">
        <v>17359</v>
      </c>
      <c r="D4684" t="s">
        <v>40</v>
      </c>
      <c r="E4684" t="s">
        <v>41</v>
      </c>
      <c r="J4684" t="s">
        <v>86</v>
      </c>
      <c r="K4684" t="s">
        <v>87</v>
      </c>
      <c r="L4684">
        <v>1</v>
      </c>
      <c r="M4684" t="s">
        <v>17360</v>
      </c>
      <c r="N4684" t="s">
        <v>14024</v>
      </c>
      <c r="O4684" t="s">
        <v>47</v>
      </c>
      <c r="P4684" t="s">
        <v>47</v>
      </c>
      <c r="Y4684" t="s">
        <v>17361</v>
      </c>
      <c r="AG4684" t="s">
        <v>48</v>
      </c>
    </row>
    <row r="4685" spans="1:33">
      <c r="A4685" t="s">
        <v>17362</v>
      </c>
      <c r="B4685" t="s">
        <v>17363</v>
      </c>
      <c r="D4685" t="s">
        <v>40</v>
      </c>
      <c r="E4685" t="s">
        <v>41</v>
      </c>
      <c r="J4685" t="s">
        <v>14204</v>
      </c>
      <c r="K4685" t="s">
        <v>14205</v>
      </c>
      <c r="L4685">
        <v>1</v>
      </c>
      <c r="M4685" t="s">
        <v>17364</v>
      </c>
      <c r="N4685" t="s">
        <v>14340</v>
      </c>
      <c r="O4685" t="s">
        <v>47</v>
      </c>
      <c r="P4685" t="s">
        <v>47</v>
      </c>
      <c r="Y4685" t="s">
        <v>17365</v>
      </c>
      <c r="AG4685" t="s">
        <v>48</v>
      </c>
    </row>
    <row r="4686" spans="1:33">
      <c r="A4686" t="s">
        <v>17366</v>
      </c>
      <c r="B4686" t="s">
        <v>17367</v>
      </c>
      <c r="D4686" t="s">
        <v>40</v>
      </c>
      <c r="E4686" t="s">
        <v>41</v>
      </c>
      <c r="J4686" t="s">
        <v>1418</v>
      </c>
      <c r="K4686" t="s">
        <v>1419</v>
      </c>
      <c r="L4686">
        <v>1</v>
      </c>
      <c r="M4686" t="s">
        <v>17368</v>
      </c>
      <c r="N4686" t="s">
        <v>14011</v>
      </c>
      <c r="O4686" t="s">
        <v>47</v>
      </c>
      <c r="P4686" t="s">
        <v>47</v>
      </c>
      <c r="Y4686" t="s">
        <v>17369</v>
      </c>
      <c r="AG4686" t="s">
        <v>48</v>
      </c>
    </row>
    <row r="4687" spans="1:33">
      <c r="A4687" t="s">
        <v>17370</v>
      </c>
      <c r="B4687" t="s">
        <v>17371</v>
      </c>
      <c r="D4687" t="s">
        <v>40</v>
      </c>
      <c r="E4687" t="s">
        <v>41</v>
      </c>
      <c r="J4687" t="s">
        <v>86</v>
      </c>
      <c r="K4687" t="s">
        <v>87</v>
      </c>
      <c r="L4687">
        <v>1</v>
      </c>
      <c r="M4687" t="s">
        <v>17372</v>
      </c>
      <c r="N4687" t="s">
        <v>13978</v>
      </c>
      <c r="O4687" t="s">
        <v>47</v>
      </c>
      <c r="P4687" t="s">
        <v>47</v>
      </c>
      <c r="Y4687" t="s">
        <v>17373</v>
      </c>
      <c r="AG4687" t="s">
        <v>48</v>
      </c>
    </row>
    <row r="4688" spans="1:33">
      <c r="A4688" t="s">
        <v>17374</v>
      </c>
      <c r="B4688" t="s">
        <v>17375</v>
      </c>
      <c r="D4688" t="s">
        <v>40</v>
      </c>
      <c r="E4688" t="s">
        <v>41</v>
      </c>
      <c r="J4688" t="s">
        <v>1418</v>
      </c>
      <c r="K4688" t="s">
        <v>1419</v>
      </c>
      <c r="L4688">
        <v>1</v>
      </c>
      <c r="M4688" t="s">
        <v>17376</v>
      </c>
      <c r="N4688" t="s">
        <v>14059</v>
      </c>
      <c r="O4688" t="s">
        <v>47</v>
      </c>
      <c r="P4688" t="s">
        <v>47</v>
      </c>
      <c r="Y4688" t="s">
        <v>17377</v>
      </c>
      <c r="AG4688" t="s">
        <v>48</v>
      </c>
    </row>
    <row r="4689" spans="1:33">
      <c r="A4689" t="s">
        <v>17378</v>
      </c>
      <c r="B4689" t="s">
        <v>17379</v>
      </c>
      <c r="D4689" t="s">
        <v>40</v>
      </c>
      <c r="E4689" t="s">
        <v>41</v>
      </c>
      <c r="J4689" t="s">
        <v>14204</v>
      </c>
      <c r="K4689" t="s">
        <v>14205</v>
      </c>
      <c r="L4689">
        <v>1</v>
      </c>
      <c r="M4689" t="s">
        <v>17380</v>
      </c>
      <c r="N4689" t="s">
        <v>14011</v>
      </c>
      <c r="O4689" t="s">
        <v>47</v>
      </c>
      <c r="P4689" t="s">
        <v>47</v>
      </c>
      <c r="Y4689" t="s">
        <v>17381</v>
      </c>
      <c r="AG4689" t="s">
        <v>48</v>
      </c>
    </row>
    <row r="4690" spans="1:33">
      <c r="A4690" t="s">
        <v>17382</v>
      </c>
      <c r="B4690" t="s">
        <v>17383</v>
      </c>
      <c r="D4690" t="s">
        <v>40</v>
      </c>
      <c r="E4690" t="s">
        <v>41</v>
      </c>
      <c r="J4690" t="s">
        <v>43</v>
      </c>
      <c r="K4690" t="s">
        <v>44</v>
      </c>
      <c r="L4690">
        <v>1</v>
      </c>
      <c r="M4690" t="s">
        <v>17384</v>
      </c>
      <c r="N4690" t="s">
        <v>14340</v>
      </c>
      <c r="O4690" t="s">
        <v>47</v>
      </c>
      <c r="P4690" t="s">
        <v>47</v>
      </c>
      <c r="Y4690" t="s">
        <v>17385</v>
      </c>
      <c r="AG4690" t="s">
        <v>48</v>
      </c>
    </row>
    <row r="4691" spans="1:33">
      <c r="A4691" t="s">
        <v>17386</v>
      </c>
      <c r="B4691" t="s">
        <v>17387</v>
      </c>
      <c r="D4691" t="s">
        <v>40</v>
      </c>
      <c r="E4691" t="s">
        <v>41</v>
      </c>
      <c r="J4691" t="s">
        <v>86</v>
      </c>
      <c r="K4691" t="s">
        <v>87</v>
      </c>
      <c r="L4691">
        <v>1</v>
      </c>
      <c r="M4691" t="s">
        <v>17388</v>
      </c>
      <c r="N4691" t="s">
        <v>14024</v>
      </c>
      <c r="O4691" t="s">
        <v>47</v>
      </c>
      <c r="P4691" t="s">
        <v>47</v>
      </c>
      <c r="Y4691" t="s">
        <v>17389</v>
      </c>
      <c r="AG4691" t="s">
        <v>48</v>
      </c>
    </row>
    <row r="4692" spans="1:33">
      <c r="A4692" t="s">
        <v>17390</v>
      </c>
      <c r="B4692" t="s">
        <v>17391</v>
      </c>
      <c r="D4692" t="s">
        <v>40</v>
      </c>
      <c r="E4692" t="s">
        <v>41</v>
      </c>
      <c r="J4692" t="s">
        <v>43</v>
      </c>
      <c r="K4692" t="s">
        <v>44</v>
      </c>
      <c r="L4692">
        <v>1</v>
      </c>
      <c r="M4692" t="s">
        <v>17392</v>
      </c>
      <c r="N4692" t="s">
        <v>218</v>
      </c>
      <c r="O4692" t="s">
        <v>47</v>
      </c>
      <c r="P4692" t="s">
        <v>47</v>
      </c>
      <c r="Y4692" t="s">
        <v>17393</v>
      </c>
      <c r="AG4692" t="s">
        <v>48</v>
      </c>
    </row>
    <row r="4693" spans="1:33">
      <c r="A4693" t="s">
        <v>17394</v>
      </c>
      <c r="B4693" t="s">
        <v>17395</v>
      </c>
      <c r="D4693" t="s">
        <v>40</v>
      </c>
      <c r="E4693" t="s">
        <v>41</v>
      </c>
      <c r="J4693" t="s">
        <v>86</v>
      </c>
      <c r="K4693" t="s">
        <v>87</v>
      </c>
      <c r="L4693">
        <v>1</v>
      </c>
      <c r="M4693" t="s">
        <v>17396</v>
      </c>
      <c r="N4693" t="s">
        <v>14024</v>
      </c>
      <c r="O4693" t="s">
        <v>47</v>
      </c>
      <c r="P4693" t="s">
        <v>47</v>
      </c>
      <c r="Y4693" t="s">
        <v>17397</v>
      </c>
      <c r="AG4693" t="s">
        <v>48</v>
      </c>
    </row>
    <row r="4694" spans="1:33">
      <c r="A4694" t="s">
        <v>17398</v>
      </c>
      <c r="B4694" t="s">
        <v>17399</v>
      </c>
      <c r="D4694" t="s">
        <v>40</v>
      </c>
      <c r="E4694" t="s">
        <v>41</v>
      </c>
      <c r="J4694" t="s">
        <v>43</v>
      </c>
      <c r="K4694" t="s">
        <v>44</v>
      </c>
      <c r="L4694">
        <v>1</v>
      </c>
      <c r="M4694" t="s">
        <v>17400</v>
      </c>
      <c r="N4694" t="s">
        <v>218</v>
      </c>
      <c r="O4694" t="s">
        <v>47</v>
      </c>
      <c r="P4694" t="s">
        <v>47</v>
      </c>
      <c r="Y4694" t="s">
        <v>17401</v>
      </c>
      <c r="AG4694" t="s">
        <v>48</v>
      </c>
    </row>
    <row r="4695" spans="1:33">
      <c r="A4695" t="s">
        <v>17402</v>
      </c>
      <c r="B4695" t="s">
        <v>17403</v>
      </c>
      <c r="D4695" t="s">
        <v>40</v>
      </c>
      <c r="E4695" t="s">
        <v>41</v>
      </c>
      <c r="J4695" t="s">
        <v>43</v>
      </c>
      <c r="K4695" t="s">
        <v>44</v>
      </c>
      <c r="L4695">
        <v>1</v>
      </c>
      <c r="M4695" t="s">
        <v>17404</v>
      </c>
      <c r="N4695" t="s">
        <v>14340</v>
      </c>
      <c r="O4695" t="s">
        <v>47</v>
      </c>
      <c r="P4695" t="s">
        <v>47</v>
      </c>
      <c r="Y4695" t="s">
        <v>17405</v>
      </c>
      <c r="AG4695" t="s">
        <v>48</v>
      </c>
    </row>
    <row r="4696" spans="1:33">
      <c r="A4696" t="s">
        <v>17406</v>
      </c>
      <c r="B4696" t="s">
        <v>17407</v>
      </c>
      <c r="D4696" t="s">
        <v>40</v>
      </c>
      <c r="E4696" t="s">
        <v>41</v>
      </c>
      <c r="J4696" t="s">
        <v>86</v>
      </c>
      <c r="K4696" t="s">
        <v>87</v>
      </c>
      <c r="L4696">
        <v>1</v>
      </c>
      <c r="M4696" t="s">
        <v>17408</v>
      </c>
      <c r="N4696" t="s">
        <v>13978</v>
      </c>
      <c r="O4696" t="s">
        <v>47</v>
      </c>
      <c r="P4696" t="s">
        <v>47</v>
      </c>
      <c r="Y4696" t="s">
        <v>17409</v>
      </c>
      <c r="AG4696" t="s">
        <v>48</v>
      </c>
    </row>
    <row r="4697" spans="1:33">
      <c r="A4697" t="s">
        <v>17410</v>
      </c>
      <c r="B4697" t="s">
        <v>17411</v>
      </c>
      <c r="D4697" t="s">
        <v>40</v>
      </c>
      <c r="E4697" t="s">
        <v>41</v>
      </c>
      <c r="J4697" t="s">
        <v>86</v>
      </c>
      <c r="K4697" t="s">
        <v>87</v>
      </c>
      <c r="L4697">
        <v>1</v>
      </c>
      <c r="M4697" t="s">
        <v>17412</v>
      </c>
      <c r="N4697" t="s">
        <v>13978</v>
      </c>
      <c r="O4697" t="s">
        <v>47</v>
      </c>
      <c r="P4697" t="s">
        <v>47</v>
      </c>
      <c r="Y4697" t="s">
        <v>17413</v>
      </c>
      <c r="AG4697" t="s">
        <v>48</v>
      </c>
    </row>
    <row r="4698" spans="1:33">
      <c r="A4698" t="s">
        <v>17414</v>
      </c>
      <c r="B4698" t="s">
        <v>17415</v>
      </c>
      <c r="D4698" t="s">
        <v>40</v>
      </c>
      <c r="E4698" t="s">
        <v>41</v>
      </c>
      <c r="J4698" t="s">
        <v>86</v>
      </c>
      <c r="K4698" t="s">
        <v>87</v>
      </c>
      <c r="L4698">
        <v>1</v>
      </c>
      <c r="M4698" t="s">
        <v>17416</v>
      </c>
      <c r="N4698" t="s">
        <v>14059</v>
      </c>
      <c r="O4698" t="s">
        <v>47</v>
      </c>
      <c r="P4698" t="s">
        <v>47</v>
      </c>
      <c r="Y4698" t="s">
        <v>17417</v>
      </c>
      <c r="AG4698" t="s">
        <v>48</v>
      </c>
    </row>
    <row r="4699" spans="1:33">
      <c r="A4699" t="s">
        <v>17418</v>
      </c>
      <c r="B4699" t="s">
        <v>17419</v>
      </c>
      <c r="D4699" t="s">
        <v>40</v>
      </c>
      <c r="E4699" t="s">
        <v>41</v>
      </c>
      <c r="J4699" t="s">
        <v>86</v>
      </c>
      <c r="K4699" t="s">
        <v>87</v>
      </c>
      <c r="L4699">
        <v>1</v>
      </c>
      <c r="M4699" t="s">
        <v>17420</v>
      </c>
      <c r="N4699" t="s">
        <v>14024</v>
      </c>
      <c r="O4699" t="s">
        <v>47</v>
      </c>
      <c r="P4699" t="s">
        <v>47</v>
      </c>
      <c r="Y4699" t="s">
        <v>17421</v>
      </c>
      <c r="AG4699" t="s">
        <v>48</v>
      </c>
    </row>
    <row r="4700" spans="1:33">
      <c r="A4700" t="s">
        <v>17422</v>
      </c>
      <c r="B4700" t="s">
        <v>17423</v>
      </c>
      <c r="D4700" t="s">
        <v>40</v>
      </c>
      <c r="E4700" t="s">
        <v>41</v>
      </c>
      <c r="J4700" t="s">
        <v>1418</v>
      </c>
      <c r="K4700" t="s">
        <v>1419</v>
      </c>
      <c r="L4700">
        <v>1</v>
      </c>
      <c r="M4700" t="s">
        <v>17424</v>
      </c>
      <c r="N4700" t="s">
        <v>14011</v>
      </c>
      <c r="O4700" t="s">
        <v>47</v>
      </c>
      <c r="P4700" t="s">
        <v>47</v>
      </c>
      <c r="Y4700" t="s">
        <v>17425</v>
      </c>
      <c r="AG4700" t="s">
        <v>48</v>
      </c>
    </row>
    <row r="4701" spans="1:33">
      <c r="A4701" t="s">
        <v>17426</v>
      </c>
      <c r="B4701" t="s">
        <v>17427</v>
      </c>
      <c r="D4701" t="s">
        <v>40</v>
      </c>
      <c r="E4701" t="s">
        <v>41</v>
      </c>
      <c r="J4701" t="s">
        <v>14204</v>
      </c>
      <c r="K4701" t="s">
        <v>14205</v>
      </c>
      <c r="L4701">
        <v>1</v>
      </c>
      <c r="M4701" t="s">
        <v>17428</v>
      </c>
      <c r="N4701" t="s">
        <v>14340</v>
      </c>
      <c r="O4701" t="s">
        <v>47</v>
      </c>
      <c r="P4701" t="s">
        <v>47</v>
      </c>
      <c r="Y4701" t="s">
        <v>17429</v>
      </c>
      <c r="AG4701" t="s">
        <v>48</v>
      </c>
    </row>
    <row r="4702" spans="1:33">
      <c r="A4702" t="s">
        <v>17430</v>
      </c>
      <c r="B4702" t="s">
        <v>17431</v>
      </c>
      <c r="D4702" t="s">
        <v>40</v>
      </c>
      <c r="E4702" t="s">
        <v>41</v>
      </c>
      <c r="J4702" t="s">
        <v>1418</v>
      </c>
      <c r="K4702" t="s">
        <v>1419</v>
      </c>
      <c r="L4702">
        <v>2</v>
      </c>
      <c r="M4702" t="s">
        <v>17432</v>
      </c>
      <c r="N4702" t="s">
        <v>192</v>
      </c>
      <c r="O4702" t="s">
        <v>47</v>
      </c>
      <c r="P4702" t="s">
        <v>47</v>
      </c>
      <c r="Y4702" t="s">
        <v>17433</v>
      </c>
      <c r="AG4702" t="s">
        <v>48</v>
      </c>
    </row>
    <row r="4703" spans="1:33">
      <c r="A4703" t="s">
        <v>17434</v>
      </c>
      <c r="B4703" t="s">
        <v>17435</v>
      </c>
      <c r="D4703" t="s">
        <v>40</v>
      </c>
      <c r="E4703" t="s">
        <v>41</v>
      </c>
      <c r="J4703" t="s">
        <v>86</v>
      </c>
      <c r="K4703" t="s">
        <v>87</v>
      </c>
      <c r="L4703">
        <v>1</v>
      </c>
      <c r="M4703" t="s">
        <v>17436</v>
      </c>
      <c r="N4703" t="s">
        <v>192</v>
      </c>
      <c r="O4703" t="s">
        <v>47</v>
      </c>
      <c r="P4703" t="s">
        <v>47</v>
      </c>
      <c r="Y4703" t="s">
        <v>17437</v>
      </c>
      <c r="AG4703" t="s">
        <v>48</v>
      </c>
    </row>
    <row r="4704" spans="1:33">
      <c r="A4704" t="s">
        <v>17438</v>
      </c>
      <c r="B4704" t="s">
        <v>17439</v>
      </c>
      <c r="D4704" t="s">
        <v>40</v>
      </c>
      <c r="E4704" t="s">
        <v>41</v>
      </c>
      <c r="J4704" t="s">
        <v>15304</v>
      </c>
      <c r="K4704" t="s">
        <v>15305</v>
      </c>
      <c r="L4704">
        <v>1</v>
      </c>
      <c r="M4704" t="s">
        <v>17440</v>
      </c>
      <c r="N4704" t="s">
        <v>13978</v>
      </c>
      <c r="O4704" t="s">
        <v>47</v>
      </c>
      <c r="P4704" t="s">
        <v>47</v>
      </c>
      <c r="Y4704" t="s">
        <v>17441</v>
      </c>
      <c r="AG4704" t="s">
        <v>48</v>
      </c>
    </row>
    <row r="4705" spans="1:33">
      <c r="A4705" t="s">
        <v>17442</v>
      </c>
      <c r="B4705" t="s">
        <v>17443</v>
      </c>
      <c r="D4705" t="s">
        <v>40</v>
      </c>
      <c r="E4705" t="s">
        <v>41</v>
      </c>
      <c r="J4705" t="s">
        <v>10950</v>
      </c>
      <c r="K4705" t="s">
        <v>10950</v>
      </c>
      <c r="L4705">
        <v>1</v>
      </c>
      <c r="M4705" t="s">
        <v>17444</v>
      </c>
      <c r="N4705" t="s">
        <v>192</v>
      </c>
      <c r="O4705" t="s">
        <v>47</v>
      </c>
      <c r="P4705" t="s">
        <v>47</v>
      </c>
      <c r="Y4705" t="s">
        <v>17445</v>
      </c>
      <c r="AG4705" t="s">
        <v>48</v>
      </c>
    </row>
    <row r="4706" spans="1:33">
      <c r="A4706" t="s">
        <v>17446</v>
      </c>
      <c r="B4706" t="s">
        <v>17447</v>
      </c>
      <c r="D4706" t="s">
        <v>40</v>
      </c>
      <c r="E4706" t="s">
        <v>41</v>
      </c>
      <c r="J4706" t="s">
        <v>43</v>
      </c>
      <c r="K4706" t="s">
        <v>44</v>
      </c>
      <c r="L4706">
        <v>1</v>
      </c>
      <c r="M4706" t="s">
        <v>17448</v>
      </c>
      <c r="N4706" t="s">
        <v>218</v>
      </c>
      <c r="O4706" t="s">
        <v>47</v>
      </c>
      <c r="P4706" t="s">
        <v>47</v>
      </c>
      <c r="Y4706" t="s">
        <v>17449</v>
      </c>
      <c r="AG4706" t="s">
        <v>48</v>
      </c>
    </row>
    <row r="4707" spans="1:33">
      <c r="A4707" t="s">
        <v>17450</v>
      </c>
      <c r="B4707" t="s">
        <v>17451</v>
      </c>
      <c r="D4707" t="s">
        <v>40</v>
      </c>
      <c r="E4707" t="s">
        <v>41</v>
      </c>
      <c r="J4707" t="s">
        <v>86</v>
      </c>
      <c r="K4707" t="s">
        <v>87</v>
      </c>
      <c r="L4707">
        <v>1</v>
      </c>
      <c r="M4707" t="s">
        <v>17452</v>
      </c>
      <c r="N4707" t="s">
        <v>13978</v>
      </c>
      <c r="O4707" t="s">
        <v>47</v>
      </c>
      <c r="P4707" t="s">
        <v>47</v>
      </c>
      <c r="Y4707" t="s">
        <v>17453</v>
      </c>
      <c r="AG4707" t="s">
        <v>48</v>
      </c>
    </row>
    <row r="4708" spans="1:33">
      <c r="A4708" t="s">
        <v>17454</v>
      </c>
      <c r="B4708" t="s">
        <v>17455</v>
      </c>
      <c r="D4708" t="s">
        <v>40</v>
      </c>
      <c r="E4708" t="s">
        <v>41</v>
      </c>
      <c r="J4708" t="s">
        <v>1418</v>
      </c>
      <c r="K4708" t="s">
        <v>1419</v>
      </c>
      <c r="L4708">
        <v>1</v>
      </c>
      <c r="M4708" t="s">
        <v>17456</v>
      </c>
      <c r="N4708" t="s">
        <v>192</v>
      </c>
      <c r="O4708" t="s">
        <v>47</v>
      </c>
      <c r="P4708" t="s">
        <v>47</v>
      </c>
      <c r="Y4708" t="s">
        <v>17457</v>
      </c>
      <c r="AG4708" t="s">
        <v>48</v>
      </c>
    </row>
    <row r="4709" spans="1:33">
      <c r="A4709" t="s">
        <v>17458</v>
      </c>
      <c r="B4709" t="s">
        <v>17459</v>
      </c>
      <c r="D4709" t="s">
        <v>40</v>
      </c>
      <c r="E4709" t="s">
        <v>41</v>
      </c>
      <c r="J4709" t="s">
        <v>14204</v>
      </c>
      <c r="K4709" t="s">
        <v>14205</v>
      </c>
      <c r="L4709">
        <v>1</v>
      </c>
      <c r="M4709" t="s">
        <v>17460</v>
      </c>
      <c r="N4709" t="s">
        <v>14340</v>
      </c>
      <c r="O4709" t="s">
        <v>47</v>
      </c>
      <c r="P4709" t="s">
        <v>47</v>
      </c>
      <c r="Y4709" t="s">
        <v>17461</v>
      </c>
      <c r="AG4709" t="s">
        <v>48</v>
      </c>
    </row>
    <row r="4710" spans="1:33">
      <c r="A4710" t="s">
        <v>17462</v>
      </c>
      <c r="B4710" t="s">
        <v>17463</v>
      </c>
      <c r="D4710" t="s">
        <v>40</v>
      </c>
      <c r="E4710" t="s">
        <v>41</v>
      </c>
      <c r="J4710" t="s">
        <v>86</v>
      </c>
      <c r="K4710" t="s">
        <v>87</v>
      </c>
      <c r="L4710">
        <v>1</v>
      </c>
      <c r="M4710" t="s">
        <v>17464</v>
      </c>
      <c r="N4710" t="s">
        <v>13978</v>
      </c>
      <c r="O4710" t="s">
        <v>47</v>
      </c>
      <c r="P4710" t="s">
        <v>47</v>
      </c>
      <c r="Y4710" t="s">
        <v>17465</v>
      </c>
      <c r="AG4710" t="s">
        <v>48</v>
      </c>
    </row>
    <row r="4711" spans="1:33">
      <c r="A4711" t="s">
        <v>17466</v>
      </c>
      <c r="B4711" t="s">
        <v>17467</v>
      </c>
      <c r="D4711" t="s">
        <v>40</v>
      </c>
      <c r="E4711" t="s">
        <v>41</v>
      </c>
      <c r="J4711" t="s">
        <v>86</v>
      </c>
      <c r="K4711" t="s">
        <v>87</v>
      </c>
      <c r="L4711">
        <v>2</v>
      </c>
      <c r="M4711" t="s">
        <v>17468</v>
      </c>
      <c r="N4711" t="s">
        <v>192</v>
      </c>
      <c r="O4711" t="s">
        <v>47</v>
      </c>
      <c r="P4711" t="s">
        <v>47</v>
      </c>
      <c r="Y4711" t="s">
        <v>17469</v>
      </c>
      <c r="AG4711" t="s">
        <v>48</v>
      </c>
    </row>
    <row r="4712" spans="1:33">
      <c r="A4712" t="s">
        <v>17470</v>
      </c>
      <c r="B4712" t="s">
        <v>17471</v>
      </c>
      <c r="D4712" t="s">
        <v>40</v>
      </c>
      <c r="E4712" t="s">
        <v>41</v>
      </c>
      <c r="J4712" t="s">
        <v>17472</v>
      </c>
      <c r="K4712" t="s">
        <v>17473</v>
      </c>
      <c r="L4712">
        <v>1</v>
      </c>
      <c r="M4712" t="s">
        <v>17474</v>
      </c>
      <c r="N4712" t="s">
        <v>13978</v>
      </c>
      <c r="O4712" t="s">
        <v>47</v>
      </c>
      <c r="P4712" t="s">
        <v>47</v>
      </c>
      <c r="Y4712" t="s">
        <v>17475</v>
      </c>
      <c r="AG4712" t="s">
        <v>48</v>
      </c>
    </row>
    <row r="4713" spans="1:33">
      <c r="A4713" t="s">
        <v>17476</v>
      </c>
      <c r="B4713" t="s">
        <v>17477</v>
      </c>
      <c r="D4713" t="s">
        <v>40</v>
      </c>
      <c r="E4713" t="s">
        <v>41</v>
      </c>
      <c r="J4713" t="s">
        <v>86</v>
      </c>
      <c r="K4713" t="s">
        <v>87</v>
      </c>
      <c r="L4713">
        <v>1</v>
      </c>
      <c r="M4713" t="s">
        <v>17478</v>
      </c>
      <c r="N4713" t="s">
        <v>13978</v>
      </c>
      <c r="O4713" t="s">
        <v>47</v>
      </c>
      <c r="P4713" t="s">
        <v>47</v>
      </c>
      <c r="Y4713" t="s">
        <v>17479</v>
      </c>
      <c r="AG4713" t="s">
        <v>48</v>
      </c>
    </row>
    <row r="4714" spans="1:33">
      <c r="A4714" t="s">
        <v>17480</v>
      </c>
      <c r="B4714" t="s">
        <v>17481</v>
      </c>
      <c r="D4714" t="s">
        <v>40</v>
      </c>
      <c r="E4714" t="s">
        <v>41</v>
      </c>
      <c r="J4714" t="s">
        <v>1418</v>
      </c>
      <c r="K4714" t="s">
        <v>1419</v>
      </c>
      <c r="L4714">
        <v>2</v>
      </c>
      <c r="M4714" t="s">
        <v>17482</v>
      </c>
      <c r="N4714" t="s">
        <v>218</v>
      </c>
      <c r="O4714" t="s">
        <v>47</v>
      </c>
      <c r="P4714" t="s">
        <v>47</v>
      </c>
      <c r="Y4714" t="s">
        <v>17483</v>
      </c>
      <c r="AG4714" t="s">
        <v>48</v>
      </c>
    </row>
    <row r="4715" spans="1:33">
      <c r="A4715" t="s">
        <v>17484</v>
      </c>
      <c r="B4715" t="s">
        <v>17485</v>
      </c>
      <c r="D4715" t="s">
        <v>40</v>
      </c>
      <c r="E4715" t="s">
        <v>41</v>
      </c>
      <c r="J4715" t="s">
        <v>1418</v>
      </c>
      <c r="K4715" t="s">
        <v>1419</v>
      </c>
      <c r="L4715">
        <v>1</v>
      </c>
      <c r="M4715" t="s">
        <v>17486</v>
      </c>
      <c r="N4715" t="s">
        <v>13978</v>
      </c>
      <c r="O4715" t="s">
        <v>47</v>
      </c>
      <c r="P4715" t="s">
        <v>47</v>
      </c>
      <c r="Y4715" t="s">
        <v>17487</v>
      </c>
      <c r="AG4715" t="s">
        <v>48</v>
      </c>
    </row>
    <row r="4716" spans="1:33">
      <c r="A4716" t="s">
        <v>17488</v>
      </c>
      <c r="B4716" t="s">
        <v>17489</v>
      </c>
      <c r="D4716" t="s">
        <v>40</v>
      </c>
      <c r="E4716" t="s">
        <v>41</v>
      </c>
      <c r="J4716" t="s">
        <v>1052</v>
      </c>
      <c r="K4716" t="s">
        <v>1053</v>
      </c>
      <c r="L4716">
        <v>1</v>
      </c>
      <c r="M4716" t="s">
        <v>17490</v>
      </c>
      <c r="N4716" t="s">
        <v>13978</v>
      </c>
      <c r="O4716" t="s">
        <v>47</v>
      </c>
      <c r="P4716" t="s">
        <v>47</v>
      </c>
      <c r="Y4716" t="s">
        <v>17491</v>
      </c>
      <c r="AG4716" t="s">
        <v>48</v>
      </c>
    </row>
    <row r="4717" spans="1:33">
      <c r="A4717" t="s">
        <v>17492</v>
      </c>
      <c r="B4717" t="s">
        <v>17493</v>
      </c>
      <c r="D4717" t="s">
        <v>40</v>
      </c>
      <c r="E4717" t="s">
        <v>41</v>
      </c>
      <c r="J4717" t="s">
        <v>86</v>
      </c>
      <c r="K4717" t="s">
        <v>87</v>
      </c>
      <c r="L4717">
        <v>1</v>
      </c>
      <c r="M4717" t="s">
        <v>17494</v>
      </c>
      <c r="N4717" t="s">
        <v>13978</v>
      </c>
      <c r="O4717" t="s">
        <v>47</v>
      </c>
      <c r="P4717" t="s">
        <v>47</v>
      </c>
      <c r="Y4717" t="s">
        <v>17495</v>
      </c>
      <c r="AG4717" t="s">
        <v>48</v>
      </c>
    </row>
    <row r="4718" spans="1:33">
      <c r="A4718" t="s">
        <v>17496</v>
      </c>
      <c r="B4718" t="s">
        <v>17497</v>
      </c>
      <c r="D4718" t="s">
        <v>40</v>
      </c>
      <c r="E4718" t="s">
        <v>41</v>
      </c>
      <c r="J4718" t="s">
        <v>86</v>
      </c>
      <c r="K4718" t="s">
        <v>87</v>
      </c>
      <c r="L4718">
        <v>1</v>
      </c>
      <c r="M4718" t="s">
        <v>17498</v>
      </c>
      <c r="N4718" t="s">
        <v>14024</v>
      </c>
      <c r="O4718" t="s">
        <v>47</v>
      </c>
      <c r="P4718" t="s">
        <v>47</v>
      </c>
      <c r="Y4718" t="s">
        <v>17499</v>
      </c>
      <c r="AG4718" t="s">
        <v>48</v>
      </c>
    </row>
    <row r="4719" spans="1:33">
      <c r="A4719" t="s">
        <v>17500</v>
      </c>
      <c r="B4719" t="s">
        <v>17501</v>
      </c>
      <c r="D4719" t="s">
        <v>40</v>
      </c>
      <c r="E4719" t="s">
        <v>41</v>
      </c>
      <c r="J4719" t="s">
        <v>1418</v>
      </c>
      <c r="K4719" t="s">
        <v>1419</v>
      </c>
      <c r="L4719">
        <v>1</v>
      </c>
      <c r="M4719" t="s">
        <v>17502</v>
      </c>
      <c r="N4719" t="s">
        <v>13978</v>
      </c>
      <c r="O4719" t="s">
        <v>47</v>
      </c>
      <c r="P4719" t="s">
        <v>47</v>
      </c>
      <c r="Y4719" t="s">
        <v>17503</v>
      </c>
      <c r="AG4719" t="s">
        <v>48</v>
      </c>
    </row>
    <row r="4720" spans="1:33">
      <c r="A4720" t="s">
        <v>17504</v>
      </c>
      <c r="B4720" t="s">
        <v>17505</v>
      </c>
      <c r="D4720" t="s">
        <v>40</v>
      </c>
      <c r="E4720" t="s">
        <v>41</v>
      </c>
      <c r="J4720" t="s">
        <v>86</v>
      </c>
      <c r="K4720" t="s">
        <v>87</v>
      </c>
      <c r="L4720">
        <v>1</v>
      </c>
      <c r="M4720" t="s">
        <v>17506</v>
      </c>
      <c r="N4720" t="s">
        <v>14024</v>
      </c>
      <c r="O4720" t="s">
        <v>47</v>
      </c>
      <c r="P4720" t="s">
        <v>47</v>
      </c>
      <c r="Y4720" t="s">
        <v>17507</v>
      </c>
      <c r="AG4720" t="s">
        <v>48</v>
      </c>
    </row>
    <row r="4721" spans="1:33">
      <c r="A4721" t="s">
        <v>17508</v>
      </c>
      <c r="B4721" t="s">
        <v>17509</v>
      </c>
      <c r="D4721" t="s">
        <v>40</v>
      </c>
      <c r="E4721" t="s">
        <v>41</v>
      </c>
      <c r="J4721" t="s">
        <v>86</v>
      </c>
      <c r="K4721" t="s">
        <v>87</v>
      </c>
      <c r="L4721">
        <v>1</v>
      </c>
      <c r="M4721" t="s">
        <v>17510</v>
      </c>
      <c r="N4721" t="s">
        <v>14024</v>
      </c>
      <c r="O4721" t="s">
        <v>47</v>
      </c>
      <c r="P4721" t="s">
        <v>47</v>
      </c>
      <c r="Y4721" t="s">
        <v>17511</v>
      </c>
      <c r="AG4721" t="s">
        <v>48</v>
      </c>
    </row>
    <row r="4722" spans="1:33">
      <c r="A4722" t="s">
        <v>17512</v>
      </c>
      <c r="B4722" t="s">
        <v>17513</v>
      </c>
      <c r="D4722" t="s">
        <v>40</v>
      </c>
      <c r="E4722" t="s">
        <v>41</v>
      </c>
      <c r="J4722" t="s">
        <v>13514</v>
      </c>
      <c r="K4722" t="s">
        <v>13515</v>
      </c>
      <c r="L4722">
        <v>2</v>
      </c>
      <c r="M4722" t="s">
        <v>17514</v>
      </c>
      <c r="N4722" t="s">
        <v>59</v>
      </c>
      <c r="O4722" t="s">
        <v>47</v>
      </c>
      <c r="P4722" t="s">
        <v>47</v>
      </c>
      <c r="Y4722" t="s">
        <v>17515</v>
      </c>
      <c r="AG4722" t="s">
        <v>48</v>
      </c>
    </row>
    <row r="4723" spans="1:33">
      <c r="A4723" t="s">
        <v>17516</v>
      </c>
      <c r="B4723" t="s">
        <v>17517</v>
      </c>
      <c r="D4723" t="s">
        <v>40</v>
      </c>
      <c r="E4723" t="s">
        <v>41</v>
      </c>
      <c r="J4723" t="s">
        <v>1418</v>
      </c>
      <c r="K4723" t="s">
        <v>1419</v>
      </c>
      <c r="L4723">
        <v>1</v>
      </c>
      <c r="M4723" t="s">
        <v>17518</v>
      </c>
      <c r="N4723" t="s">
        <v>14059</v>
      </c>
      <c r="O4723" t="s">
        <v>47</v>
      </c>
      <c r="P4723" t="s">
        <v>47</v>
      </c>
      <c r="Y4723" t="s">
        <v>17519</v>
      </c>
      <c r="AG4723" t="s">
        <v>48</v>
      </c>
    </row>
    <row r="4724" spans="1:33">
      <c r="A4724" t="s">
        <v>17520</v>
      </c>
      <c r="B4724" t="s">
        <v>17521</v>
      </c>
      <c r="D4724" t="s">
        <v>40</v>
      </c>
      <c r="E4724" t="s">
        <v>41</v>
      </c>
      <c r="J4724" t="s">
        <v>86</v>
      </c>
      <c r="K4724" t="s">
        <v>87</v>
      </c>
      <c r="L4724">
        <v>1</v>
      </c>
      <c r="M4724" t="s">
        <v>17522</v>
      </c>
      <c r="N4724" t="s">
        <v>14024</v>
      </c>
      <c r="O4724" t="s">
        <v>47</v>
      </c>
      <c r="P4724" t="s">
        <v>47</v>
      </c>
      <c r="Y4724" t="s">
        <v>17523</v>
      </c>
      <c r="AG4724" t="s">
        <v>48</v>
      </c>
    </row>
    <row r="4725" spans="1:33">
      <c r="A4725" t="s">
        <v>17524</v>
      </c>
      <c r="B4725" t="s">
        <v>17525</v>
      </c>
      <c r="D4725" t="s">
        <v>40</v>
      </c>
      <c r="E4725" t="s">
        <v>41</v>
      </c>
      <c r="J4725" t="s">
        <v>86</v>
      </c>
      <c r="K4725" t="s">
        <v>87</v>
      </c>
      <c r="L4725">
        <v>1</v>
      </c>
      <c r="M4725" t="s">
        <v>17526</v>
      </c>
      <c r="N4725" t="s">
        <v>14024</v>
      </c>
      <c r="O4725" t="s">
        <v>47</v>
      </c>
      <c r="P4725" t="s">
        <v>47</v>
      </c>
      <c r="Y4725" t="s">
        <v>17527</v>
      </c>
      <c r="AG4725" t="s">
        <v>48</v>
      </c>
    </row>
    <row r="4726" spans="1:33">
      <c r="A4726" t="s">
        <v>17528</v>
      </c>
      <c r="B4726" t="s">
        <v>17529</v>
      </c>
      <c r="D4726" t="s">
        <v>40</v>
      </c>
      <c r="E4726" t="s">
        <v>41</v>
      </c>
      <c r="J4726" t="s">
        <v>86</v>
      </c>
      <c r="K4726" t="s">
        <v>87</v>
      </c>
      <c r="L4726">
        <v>1</v>
      </c>
      <c r="M4726" t="s">
        <v>17530</v>
      </c>
      <c r="N4726" t="s">
        <v>14059</v>
      </c>
      <c r="O4726" t="s">
        <v>47</v>
      </c>
      <c r="P4726" t="s">
        <v>47</v>
      </c>
      <c r="Y4726" t="s">
        <v>17531</v>
      </c>
      <c r="AG4726" t="s">
        <v>48</v>
      </c>
    </row>
    <row r="4727" spans="1:33">
      <c r="A4727" t="s">
        <v>17532</v>
      </c>
      <c r="B4727" t="s">
        <v>17533</v>
      </c>
      <c r="D4727" t="s">
        <v>40</v>
      </c>
      <c r="E4727" t="s">
        <v>41</v>
      </c>
      <c r="J4727" t="s">
        <v>14204</v>
      </c>
      <c r="K4727" t="s">
        <v>14205</v>
      </c>
      <c r="L4727">
        <v>1</v>
      </c>
      <c r="M4727" t="s">
        <v>17534</v>
      </c>
      <c r="N4727" t="s">
        <v>14340</v>
      </c>
      <c r="O4727" t="s">
        <v>47</v>
      </c>
      <c r="P4727" t="s">
        <v>47</v>
      </c>
      <c r="Y4727" t="s">
        <v>17535</v>
      </c>
      <c r="AG4727" t="s">
        <v>48</v>
      </c>
    </row>
    <row r="4728" spans="1:33">
      <c r="A4728" t="s">
        <v>17536</v>
      </c>
      <c r="B4728" t="s">
        <v>17537</v>
      </c>
      <c r="D4728" t="s">
        <v>40</v>
      </c>
      <c r="E4728" t="s">
        <v>41</v>
      </c>
      <c r="J4728" t="s">
        <v>1052</v>
      </c>
      <c r="K4728" t="s">
        <v>1053</v>
      </c>
      <c r="L4728">
        <v>1</v>
      </c>
      <c r="M4728" t="s">
        <v>17538</v>
      </c>
      <c r="N4728" t="s">
        <v>14024</v>
      </c>
      <c r="O4728" t="s">
        <v>47</v>
      </c>
      <c r="P4728" t="s">
        <v>47</v>
      </c>
      <c r="Y4728" t="s">
        <v>17539</v>
      </c>
      <c r="AG4728" t="s">
        <v>48</v>
      </c>
    </row>
    <row r="4729" spans="1:33">
      <c r="A4729" t="s">
        <v>17540</v>
      </c>
      <c r="B4729" t="s">
        <v>17541</v>
      </c>
      <c r="D4729" t="s">
        <v>40</v>
      </c>
      <c r="E4729" t="s">
        <v>41</v>
      </c>
      <c r="J4729" t="s">
        <v>13514</v>
      </c>
      <c r="K4729" t="s">
        <v>13515</v>
      </c>
      <c r="L4729">
        <v>2</v>
      </c>
      <c r="M4729" t="s">
        <v>17542</v>
      </c>
      <c r="N4729" t="s">
        <v>14011</v>
      </c>
      <c r="O4729" t="s">
        <v>47</v>
      </c>
      <c r="P4729" t="s">
        <v>47</v>
      </c>
      <c r="Y4729" t="s">
        <v>17543</v>
      </c>
      <c r="AG4729" t="s">
        <v>48</v>
      </c>
    </row>
    <row r="4730" spans="1:33">
      <c r="A4730" t="s">
        <v>17544</v>
      </c>
      <c r="B4730" t="s">
        <v>17545</v>
      </c>
      <c r="D4730" t="s">
        <v>40</v>
      </c>
      <c r="E4730" t="s">
        <v>41</v>
      </c>
      <c r="J4730" t="s">
        <v>3472</v>
      </c>
      <c r="K4730" t="s">
        <v>3473</v>
      </c>
      <c r="L4730">
        <v>1</v>
      </c>
      <c r="M4730" t="s">
        <v>17546</v>
      </c>
      <c r="N4730" t="s">
        <v>14011</v>
      </c>
      <c r="O4730" t="s">
        <v>47</v>
      </c>
      <c r="P4730" t="s">
        <v>47</v>
      </c>
      <c r="Y4730" t="s">
        <v>17547</v>
      </c>
      <c r="AG4730" t="s">
        <v>48</v>
      </c>
    </row>
    <row r="4731" spans="1:33">
      <c r="A4731" t="s">
        <v>117</v>
      </c>
      <c r="B4731" t="s">
        <v>17548</v>
      </c>
      <c r="D4731" t="s">
        <v>40</v>
      </c>
      <c r="E4731" t="s">
        <v>41</v>
      </c>
      <c r="J4731" t="s">
        <v>86</v>
      </c>
      <c r="K4731" t="s">
        <v>87</v>
      </c>
      <c r="L4731">
        <v>1</v>
      </c>
      <c r="M4731" t="s">
        <v>17549</v>
      </c>
      <c r="N4731" t="s">
        <v>13978</v>
      </c>
      <c r="O4731" t="s">
        <v>47</v>
      </c>
      <c r="P4731" t="s">
        <v>47</v>
      </c>
      <c r="Y4731" t="s">
        <v>17550</v>
      </c>
      <c r="AG4731" t="s">
        <v>48</v>
      </c>
    </row>
    <row r="4732" spans="1:33">
      <c r="A4732" t="s">
        <v>17551</v>
      </c>
      <c r="B4732" t="s">
        <v>17552</v>
      </c>
      <c r="D4732" t="s">
        <v>40</v>
      </c>
      <c r="E4732" t="s">
        <v>41</v>
      </c>
      <c r="J4732" t="s">
        <v>14475</v>
      </c>
      <c r="K4732" t="s">
        <v>14476</v>
      </c>
      <c r="L4732">
        <v>1</v>
      </c>
      <c r="M4732" t="s">
        <v>17553</v>
      </c>
      <c r="N4732" t="s">
        <v>14059</v>
      </c>
      <c r="O4732" t="s">
        <v>47</v>
      </c>
      <c r="P4732" t="s">
        <v>47</v>
      </c>
      <c r="Y4732" t="s">
        <v>17554</v>
      </c>
      <c r="AG4732" t="s">
        <v>48</v>
      </c>
    </row>
    <row r="4733" spans="1:33">
      <c r="A4733" t="s">
        <v>17555</v>
      </c>
      <c r="B4733" t="s">
        <v>17556</v>
      </c>
      <c r="D4733" t="s">
        <v>40</v>
      </c>
      <c r="E4733" t="s">
        <v>41</v>
      </c>
      <c r="J4733" t="s">
        <v>4737</v>
      </c>
      <c r="K4733" t="s">
        <v>4738</v>
      </c>
      <c r="L4733">
        <v>1</v>
      </c>
      <c r="M4733" t="s">
        <v>17557</v>
      </c>
      <c r="N4733" t="s">
        <v>14340</v>
      </c>
      <c r="O4733" t="s">
        <v>47</v>
      </c>
      <c r="P4733" t="s">
        <v>47</v>
      </c>
      <c r="Y4733" t="s">
        <v>17558</v>
      </c>
      <c r="AG4733" t="s">
        <v>48</v>
      </c>
    </row>
    <row r="4734" spans="1:33">
      <c r="A4734" t="s">
        <v>17559</v>
      </c>
      <c r="B4734" t="s">
        <v>17560</v>
      </c>
      <c r="D4734" t="s">
        <v>40</v>
      </c>
      <c r="E4734" t="s">
        <v>41</v>
      </c>
      <c r="J4734" t="s">
        <v>86</v>
      </c>
      <c r="K4734" t="s">
        <v>87</v>
      </c>
      <c r="L4734">
        <v>1</v>
      </c>
      <c r="M4734" t="s">
        <v>17561</v>
      </c>
      <c r="N4734" t="s">
        <v>192</v>
      </c>
      <c r="O4734" t="s">
        <v>47</v>
      </c>
      <c r="P4734" t="s">
        <v>47</v>
      </c>
      <c r="Y4734" t="s">
        <v>17562</v>
      </c>
      <c r="AG4734" t="s">
        <v>48</v>
      </c>
    </row>
    <row r="4735" spans="1:33">
      <c r="A4735" t="s">
        <v>17563</v>
      </c>
      <c r="B4735" t="s">
        <v>17564</v>
      </c>
      <c r="D4735" t="s">
        <v>40</v>
      </c>
      <c r="E4735" t="s">
        <v>41</v>
      </c>
      <c r="J4735" t="s">
        <v>43</v>
      </c>
      <c r="K4735" t="s">
        <v>44</v>
      </c>
      <c r="L4735">
        <v>1</v>
      </c>
      <c r="M4735" t="s">
        <v>17565</v>
      </c>
      <c r="N4735" t="s">
        <v>14340</v>
      </c>
      <c r="O4735" t="s">
        <v>47</v>
      </c>
      <c r="P4735" t="s">
        <v>47</v>
      </c>
      <c r="Y4735" t="s">
        <v>17566</v>
      </c>
      <c r="AG4735" t="s">
        <v>48</v>
      </c>
    </row>
    <row r="4736" spans="1:33">
      <c r="A4736" t="s">
        <v>17567</v>
      </c>
      <c r="B4736" t="s">
        <v>17568</v>
      </c>
      <c r="D4736" t="s">
        <v>40</v>
      </c>
      <c r="E4736" t="s">
        <v>41</v>
      </c>
      <c r="J4736" t="s">
        <v>6163</v>
      </c>
      <c r="K4736" t="s">
        <v>6164</v>
      </c>
      <c r="L4736">
        <v>1</v>
      </c>
      <c r="M4736" t="s">
        <v>17569</v>
      </c>
      <c r="N4736" t="s">
        <v>13978</v>
      </c>
      <c r="O4736" t="s">
        <v>47</v>
      </c>
      <c r="P4736" t="s">
        <v>47</v>
      </c>
      <c r="Y4736" t="s">
        <v>17570</v>
      </c>
      <c r="AG4736" t="s">
        <v>48</v>
      </c>
    </row>
    <row r="4737" spans="1:33">
      <c r="A4737" t="s">
        <v>17571</v>
      </c>
      <c r="B4737" t="s">
        <v>17572</v>
      </c>
      <c r="D4737" t="s">
        <v>40</v>
      </c>
      <c r="E4737" t="s">
        <v>41</v>
      </c>
      <c r="J4737" t="s">
        <v>43</v>
      </c>
      <c r="K4737" t="s">
        <v>44</v>
      </c>
      <c r="L4737">
        <v>1</v>
      </c>
      <c r="M4737" t="s">
        <v>17573</v>
      </c>
      <c r="N4737" t="s">
        <v>14340</v>
      </c>
      <c r="O4737" t="s">
        <v>47</v>
      </c>
      <c r="P4737" t="s">
        <v>47</v>
      </c>
      <c r="Y4737" t="s">
        <v>17574</v>
      </c>
      <c r="AG4737" t="s">
        <v>48</v>
      </c>
    </row>
    <row r="4738" spans="1:33">
      <c r="A4738" t="s">
        <v>17575</v>
      </c>
      <c r="B4738" t="s">
        <v>17576</v>
      </c>
      <c r="D4738" t="s">
        <v>40</v>
      </c>
      <c r="E4738" t="s">
        <v>41</v>
      </c>
      <c r="J4738" t="s">
        <v>86</v>
      </c>
      <c r="K4738" t="s">
        <v>87</v>
      </c>
      <c r="L4738">
        <v>1</v>
      </c>
      <c r="M4738" t="s">
        <v>17577</v>
      </c>
      <c r="N4738" t="s">
        <v>13978</v>
      </c>
      <c r="O4738" t="s">
        <v>47</v>
      </c>
      <c r="P4738" t="s">
        <v>47</v>
      </c>
      <c r="Y4738" t="s">
        <v>17578</v>
      </c>
      <c r="AG4738" t="s">
        <v>48</v>
      </c>
    </row>
    <row r="4739" spans="1:33">
      <c r="A4739" t="s">
        <v>17579</v>
      </c>
      <c r="B4739" t="s">
        <v>17580</v>
      </c>
      <c r="D4739" t="s">
        <v>40</v>
      </c>
      <c r="E4739" t="s">
        <v>41</v>
      </c>
      <c r="J4739" t="s">
        <v>86</v>
      </c>
      <c r="K4739" t="s">
        <v>87</v>
      </c>
      <c r="L4739">
        <v>1</v>
      </c>
      <c r="M4739" t="s">
        <v>17581</v>
      </c>
      <c r="N4739" t="s">
        <v>14024</v>
      </c>
      <c r="O4739" t="s">
        <v>47</v>
      </c>
      <c r="P4739" t="s">
        <v>47</v>
      </c>
      <c r="Y4739" t="s">
        <v>17582</v>
      </c>
      <c r="AG4739" t="s">
        <v>48</v>
      </c>
    </row>
    <row r="4740" spans="1:33">
      <c r="A4740" t="s">
        <v>17583</v>
      </c>
      <c r="B4740" t="s">
        <v>17584</v>
      </c>
      <c r="D4740" t="s">
        <v>40</v>
      </c>
      <c r="E4740" t="s">
        <v>41</v>
      </c>
      <c r="J4740" t="s">
        <v>43</v>
      </c>
      <c r="K4740" t="s">
        <v>44</v>
      </c>
      <c r="L4740">
        <v>1</v>
      </c>
      <c r="M4740" t="s">
        <v>17581</v>
      </c>
      <c r="N4740" t="s">
        <v>192</v>
      </c>
      <c r="O4740" t="s">
        <v>47</v>
      </c>
      <c r="P4740" t="s">
        <v>47</v>
      </c>
      <c r="Y4740" t="s">
        <v>17585</v>
      </c>
      <c r="AG4740" t="s">
        <v>48</v>
      </c>
    </row>
    <row r="4741" spans="1:33">
      <c r="A4741" t="s">
        <v>17586</v>
      </c>
      <c r="B4741" t="s">
        <v>17587</v>
      </c>
      <c r="D4741" t="s">
        <v>40</v>
      </c>
      <c r="E4741" t="s">
        <v>41</v>
      </c>
      <c r="J4741" t="s">
        <v>86</v>
      </c>
      <c r="K4741" t="s">
        <v>87</v>
      </c>
      <c r="L4741">
        <v>1</v>
      </c>
      <c r="M4741" t="s">
        <v>17588</v>
      </c>
      <c r="N4741" t="s">
        <v>13978</v>
      </c>
      <c r="O4741" t="s">
        <v>47</v>
      </c>
      <c r="P4741" t="s">
        <v>47</v>
      </c>
      <c r="Y4741" t="s">
        <v>17589</v>
      </c>
      <c r="AG4741" t="s">
        <v>48</v>
      </c>
    </row>
    <row r="4742" spans="1:33">
      <c r="A4742" t="s">
        <v>17590</v>
      </c>
      <c r="B4742" t="s">
        <v>17591</v>
      </c>
      <c r="D4742" t="s">
        <v>40</v>
      </c>
      <c r="E4742" t="s">
        <v>41</v>
      </c>
      <c r="J4742" t="s">
        <v>86</v>
      </c>
      <c r="K4742" t="s">
        <v>87</v>
      </c>
      <c r="L4742">
        <v>1</v>
      </c>
      <c r="M4742" t="s">
        <v>17592</v>
      </c>
      <c r="N4742" t="s">
        <v>14011</v>
      </c>
      <c r="O4742" t="s">
        <v>47</v>
      </c>
      <c r="P4742" t="s">
        <v>47</v>
      </c>
      <c r="Y4742" t="s">
        <v>17593</v>
      </c>
      <c r="AG4742" t="s">
        <v>48</v>
      </c>
    </row>
    <row r="4743" spans="1:33">
      <c r="A4743" t="s">
        <v>17594</v>
      </c>
      <c r="B4743" t="s">
        <v>17595</v>
      </c>
      <c r="D4743" t="s">
        <v>40</v>
      </c>
      <c r="E4743" t="s">
        <v>41</v>
      </c>
      <c r="J4743" t="s">
        <v>86</v>
      </c>
      <c r="K4743" t="s">
        <v>87</v>
      </c>
      <c r="L4743">
        <v>1</v>
      </c>
      <c r="M4743" t="s">
        <v>17596</v>
      </c>
      <c r="N4743" t="s">
        <v>192</v>
      </c>
      <c r="O4743" t="s">
        <v>47</v>
      </c>
      <c r="P4743" t="s">
        <v>47</v>
      </c>
      <c r="Y4743" t="s">
        <v>17597</v>
      </c>
      <c r="AG4743" t="s">
        <v>48</v>
      </c>
    </row>
    <row r="4744" spans="1:33">
      <c r="A4744" t="s">
        <v>17598</v>
      </c>
      <c r="B4744" t="s">
        <v>17599</v>
      </c>
      <c r="D4744" t="s">
        <v>40</v>
      </c>
      <c r="E4744" t="s">
        <v>41</v>
      </c>
      <c r="J4744" t="s">
        <v>43</v>
      </c>
      <c r="K4744" t="s">
        <v>44</v>
      </c>
      <c r="L4744">
        <v>1</v>
      </c>
      <c r="M4744" t="s">
        <v>17600</v>
      </c>
      <c r="N4744" t="s">
        <v>14340</v>
      </c>
      <c r="O4744" t="s">
        <v>47</v>
      </c>
      <c r="P4744" t="s">
        <v>47</v>
      </c>
      <c r="Y4744" t="s">
        <v>17601</v>
      </c>
      <c r="AG4744" t="s">
        <v>48</v>
      </c>
    </row>
    <row r="4745" spans="1:33">
      <c r="A4745" t="s">
        <v>17602</v>
      </c>
      <c r="B4745" t="s">
        <v>17603</v>
      </c>
      <c r="D4745" t="s">
        <v>40</v>
      </c>
      <c r="E4745" t="s">
        <v>41</v>
      </c>
      <c r="J4745" t="s">
        <v>43</v>
      </c>
      <c r="K4745" t="s">
        <v>44</v>
      </c>
      <c r="L4745">
        <v>1</v>
      </c>
      <c r="M4745" t="s">
        <v>17604</v>
      </c>
      <c r="N4745" t="s">
        <v>13978</v>
      </c>
      <c r="O4745" t="s">
        <v>47</v>
      </c>
      <c r="P4745" t="s">
        <v>47</v>
      </c>
      <c r="Y4745" t="s">
        <v>17605</v>
      </c>
      <c r="AG4745" t="s">
        <v>48</v>
      </c>
    </row>
    <row r="4746" spans="1:33">
      <c r="A4746" t="s">
        <v>17606</v>
      </c>
      <c r="B4746" t="s">
        <v>17607</v>
      </c>
      <c r="D4746" t="s">
        <v>40</v>
      </c>
      <c r="E4746" t="s">
        <v>41</v>
      </c>
      <c r="J4746" t="s">
        <v>3472</v>
      </c>
      <c r="K4746" t="s">
        <v>3473</v>
      </c>
      <c r="L4746">
        <v>2</v>
      </c>
      <c r="M4746" t="s">
        <v>17608</v>
      </c>
      <c r="N4746" t="s">
        <v>14011</v>
      </c>
      <c r="O4746" t="s">
        <v>47</v>
      </c>
      <c r="P4746" t="s">
        <v>47</v>
      </c>
      <c r="Y4746" t="s">
        <v>17609</v>
      </c>
      <c r="AG4746" t="s">
        <v>48</v>
      </c>
    </row>
    <row r="4747" spans="1:33">
      <c r="A4747" t="s">
        <v>17610</v>
      </c>
      <c r="B4747" t="s">
        <v>17611</v>
      </c>
      <c r="D4747" t="s">
        <v>40</v>
      </c>
      <c r="E4747" t="s">
        <v>41</v>
      </c>
      <c r="J4747" t="s">
        <v>86</v>
      </c>
      <c r="K4747" t="s">
        <v>87</v>
      </c>
      <c r="L4747">
        <v>3</v>
      </c>
      <c r="M4747" t="s">
        <v>17612</v>
      </c>
      <c r="N4747" t="s">
        <v>13978</v>
      </c>
      <c r="O4747" t="s">
        <v>47</v>
      </c>
      <c r="P4747" t="s">
        <v>47</v>
      </c>
      <c r="Y4747" t="s">
        <v>17613</v>
      </c>
      <c r="AG4747" t="s">
        <v>48</v>
      </c>
    </row>
    <row r="4748" spans="1:33">
      <c r="A4748" t="s">
        <v>17614</v>
      </c>
      <c r="B4748" t="s">
        <v>17615</v>
      </c>
      <c r="D4748" t="s">
        <v>40</v>
      </c>
      <c r="E4748" t="s">
        <v>41</v>
      </c>
      <c r="J4748" t="s">
        <v>86</v>
      </c>
      <c r="K4748" t="s">
        <v>87</v>
      </c>
      <c r="L4748">
        <v>2</v>
      </c>
      <c r="M4748" t="s">
        <v>17616</v>
      </c>
      <c r="N4748" t="s">
        <v>192</v>
      </c>
      <c r="O4748" t="s">
        <v>47</v>
      </c>
      <c r="P4748" t="s">
        <v>47</v>
      </c>
      <c r="Y4748" t="s">
        <v>17617</v>
      </c>
      <c r="AG4748" t="s">
        <v>48</v>
      </c>
    </row>
    <row r="4749" spans="1:33">
      <c r="A4749" t="s">
        <v>17618</v>
      </c>
      <c r="B4749" t="s">
        <v>17619</v>
      </c>
      <c r="D4749" t="s">
        <v>40</v>
      </c>
      <c r="E4749" t="s">
        <v>41</v>
      </c>
      <c r="J4749" t="s">
        <v>86</v>
      </c>
      <c r="K4749" t="s">
        <v>87</v>
      </c>
      <c r="L4749">
        <v>2</v>
      </c>
      <c r="M4749" t="s">
        <v>17620</v>
      </c>
      <c r="N4749" t="s">
        <v>13978</v>
      </c>
      <c r="O4749" t="s">
        <v>47</v>
      </c>
      <c r="P4749" t="s">
        <v>47</v>
      </c>
      <c r="Y4749" t="s">
        <v>17621</v>
      </c>
      <c r="AG4749" t="s">
        <v>48</v>
      </c>
    </row>
    <row r="4750" spans="1:33">
      <c r="A4750" t="s">
        <v>17622</v>
      </c>
      <c r="B4750" t="s">
        <v>17623</v>
      </c>
      <c r="D4750" t="s">
        <v>40</v>
      </c>
      <c r="E4750" t="s">
        <v>41</v>
      </c>
      <c r="J4750" t="s">
        <v>86</v>
      </c>
      <c r="K4750" t="s">
        <v>87</v>
      </c>
      <c r="L4750">
        <v>1</v>
      </c>
      <c r="M4750" t="s">
        <v>17624</v>
      </c>
      <c r="N4750" t="s">
        <v>13978</v>
      </c>
      <c r="O4750" t="s">
        <v>47</v>
      </c>
      <c r="P4750" t="s">
        <v>47</v>
      </c>
      <c r="Y4750" t="s">
        <v>17625</v>
      </c>
      <c r="AG4750" t="s">
        <v>48</v>
      </c>
    </row>
    <row r="4751" spans="1:33">
      <c r="A4751" t="s">
        <v>17626</v>
      </c>
      <c r="B4751" t="s">
        <v>17627</v>
      </c>
      <c r="D4751" t="s">
        <v>40</v>
      </c>
      <c r="E4751" t="s">
        <v>41</v>
      </c>
      <c r="J4751" t="s">
        <v>123</v>
      </c>
      <c r="K4751" t="s">
        <v>124</v>
      </c>
      <c r="L4751">
        <v>5</v>
      </c>
      <c r="M4751" t="s">
        <v>17628</v>
      </c>
      <c r="N4751" t="s">
        <v>13978</v>
      </c>
      <c r="O4751" t="s">
        <v>47</v>
      </c>
      <c r="P4751" t="s">
        <v>47</v>
      </c>
      <c r="Y4751" t="s">
        <v>17629</v>
      </c>
      <c r="AG4751" t="s">
        <v>48</v>
      </c>
    </row>
    <row r="4752" spans="1:33">
      <c r="A4752" t="s">
        <v>17630</v>
      </c>
      <c r="B4752" t="s">
        <v>17631</v>
      </c>
      <c r="D4752" t="s">
        <v>40</v>
      </c>
      <c r="E4752" t="s">
        <v>41</v>
      </c>
      <c r="J4752" t="s">
        <v>86</v>
      </c>
      <c r="K4752" t="s">
        <v>87</v>
      </c>
      <c r="L4752">
        <v>1</v>
      </c>
      <c r="M4752" t="s">
        <v>17632</v>
      </c>
      <c r="N4752" t="s">
        <v>13978</v>
      </c>
      <c r="O4752" t="s">
        <v>47</v>
      </c>
      <c r="P4752" t="s">
        <v>47</v>
      </c>
      <c r="Y4752" t="s">
        <v>17633</v>
      </c>
      <c r="AG4752" t="s">
        <v>48</v>
      </c>
    </row>
    <row r="4753" spans="1:33">
      <c r="A4753" t="s">
        <v>17634</v>
      </c>
      <c r="B4753" t="s">
        <v>17635</v>
      </c>
      <c r="D4753" t="s">
        <v>40</v>
      </c>
      <c r="E4753" t="s">
        <v>41</v>
      </c>
      <c r="J4753" t="s">
        <v>86</v>
      </c>
      <c r="K4753" t="s">
        <v>87</v>
      </c>
      <c r="L4753">
        <v>3</v>
      </c>
      <c r="M4753" t="s">
        <v>17636</v>
      </c>
      <c r="N4753" t="s">
        <v>14024</v>
      </c>
      <c r="O4753" t="s">
        <v>47</v>
      </c>
      <c r="P4753" t="s">
        <v>47</v>
      </c>
      <c r="Y4753" t="s">
        <v>17637</v>
      </c>
      <c r="AG4753" t="s">
        <v>48</v>
      </c>
    </row>
    <row r="4754" spans="1:33">
      <c r="A4754" t="s">
        <v>17638</v>
      </c>
      <c r="B4754" t="s">
        <v>17639</v>
      </c>
      <c r="D4754" t="s">
        <v>40</v>
      </c>
      <c r="E4754" t="s">
        <v>41</v>
      </c>
      <c r="J4754" t="s">
        <v>14475</v>
      </c>
      <c r="K4754" t="s">
        <v>14476</v>
      </c>
      <c r="L4754">
        <v>1</v>
      </c>
      <c r="M4754" t="s">
        <v>17640</v>
      </c>
      <c r="N4754" t="s">
        <v>14059</v>
      </c>
      <c r="O4754" t="s">
        <v>47</v>
      </c>
      <c r="P4754" t="s">
        <v>47</v>
      </c>
      <c r="Y4754" t="s">
        <v>17641</v>
      </c>
      <c r="AG4754" t="s">
        <v>48</v>
      </c>
    </row>
    <row r="4755" spans="1:33">
      <c r="A4755" t="s">
        <v>17642</v>
      </c>
      <c r="B4755" t="s">
        <v>17643</v>
      </c>
      <c r="D4755" t="s">
        <v>40</v>
      </c>
      <c r="E4755" t="s">
        <v>41</v>
      </c>
      <c r="J4755" t="s">
        <v>43</v>
      </c>
      <c r="K4755" t="s">
        <v>44</v>
      </c>
      <c r="L4755">
        <v>2</v>
      </c>
      <c r="M4755" t="s">
        <v>17644</v>
      </c>
      <c r="N4755" t="s">
        <v>14340</v>
      </c>
      <c r="O4755" t="s">
        <v>47</v>
      </c>
      <c r="P4755" t="s">
        <v>47</v>
      </c>
      <c r="Y4755" t="s">
        <v>17645</v>
      </c>
      <c r="AG4755" t="s">
        <v>48</v>
      </c>
    </row>
    <row r="4756" spans="1:33">
      <c r="A4756" t="s">
        <v>17646</v>
      </c>
      <c r="B4756" t="s">
        <v>17647</v>
      </c>
      <c r="D4756" t="s">
        <v>40</v>
      </c>
      <c r="E4756" t="s">
        <v>41</v>
      </c>
      <c r="J4756" t="s">
        <v>86</v>
      </c>
      <c r="K4756" t="s">
        <v>87</v>
      </c>
      <c r="L4756">
        <v>1</v>
      </c>
      <c r="M4756" t="s">
        <v>17648</v>
      </c>
      <c r="N4756" t="s">
        <v>192</v>
      </c>
      <c r="O4756" t="s">
        <v>47</v>
      </c>
      <c r="P4756" t="s">
        <v>47</v>
      </c>
      <c r="Y4756" t="s">
        <v>17649</v>
      </c>
      <c r="AG4756" t="s">
        <v>48</v>
      </c>
    </row>
    <row r="4757" spans="1:33">
      <c r="A4757" t="s">
        <v>17650</v>
      </c>
      <c r="B4757" t="s">
        <v>17651</v>
      </c>
      <c r="D4757" t="s">
        <v>40</v>
      </c>
      <c r="E4757" t="s">
        <v>41</v>
      </c>
      <c r="J4757" t="s">
        <v>8931</v>
      </c>
      <c r="K4757" t="s">
        <v>8932</v>
      </c>
      <c r="L4757">
        <v>1</v>
      </c>
      <c r="M4757" t="s">
        <v>17652</v>
      </c>
      <c r="N4757" t="s">
        <v>218</v>
      </c>
      <c r="O4757" t="s">
        <v>47</v>
      </c>
      <c r="P4757" t="s">
        <v>47</v>
      </c>
      <c r="Y4757" t="s">
        <v>17653</v>
      </c>
      <c r="AG4757" t="s">
        <v>48</v>
      </c>
    </row>
    <row r="4758" spans="1:33">
      <c r="A4758" t="s">
        <v>17654</v>
      </c>
      <c r="B4758" t="s">
        <v>17655</v>
      </c>
      <c r="D4758" t="s">
        <v>40</v>
      </c>
      <c r="E4758" t="s">
        <v>41</v>
      </c>
      <c r="J4758" t="s">
        <v>1418</v>
      </c>
      <c r="K4758" t="s">
        <v>1419</v>
      </c>
      <c r="L4758">
        <v>3</v>
      </c>
      <c r="M4758" t="s">
        <v>17656</v>
      </c>
      <c r="N4758" t="s">
        <v>14024</v>
      </c>
      <c r="O4758" t="s">
        <v>47</v>
      </c>
      <c r="P4758" t="s">
        <v>47</v>
      </c>
      <c r="Y4758" t="s">
        <v>17657</v>
      </c>
      <c r="AG4758" t="s">
        <v>48</v>
      </c>
    </row>
    <row r="4759" spans="1:33">
      <c r="A4759" t="s">
        <v>17658</v>
      </c>
      <c r="B4759" t="s">
        <v>17659</v>
      </c>
      <c r="D4759" t="s">
        <v>40</v>
      </c>
      <c r="E4759" t="s">
        <v>41</v>
      </c>
      <c r="J4759" t="s">
        <v>86</v>
      </c>
      <c r="K4759" t="s">
        <v>87</v>
      </c>
      <c r="L4759">
        <v>1</v>
      </c>
      <c r="M4759" t="s">
        <v>17660</v>
      </c>
      <c r="N4759" t="s">
        <v>13978</v>
      </c>
      <c r="O4759" t="s">
        <v>47</v>
      </c>
      <c r="P4759" t="s">
        <v>47</v>
      </c>
      <c r="Y4759" t="s">
        <v>17661</v>
      </c>
      <c r="AG4759" t="s">
        <v>48</v>
      </c>
    </row>
    <row r="4760" spans="1:33">
      <c r="A4760" t="s">
        <v>117</v>
      </c>
      <c r="B4760" t="s">
        <v>17662</v>
      </c>
      <c r="D4760" t="s">
        <v>40</v>
      </c>
      <c r="E4760" t="s">
        <v>41</v>
      </c>
      <c r="J4760" t="s">
        <v>14475</v>
      </c>
      <c r="K4760" t="s">
        <v>14476</v>
      </c>
      <c r="L4760">
        <v>1</v>
      </c>
      <c r="M4760" t="s">
        <v>17663</v>
      </c>
      <c r="N4760" t="s">
        <v>14059</v>
      </c>
      <c r="O4760" t="s">
        <v>47</v>
      </c>
      <c r="P4760" t="s">
        <v>47</v>
      </c>
      <c r="Y4760" t="s">
        <v>17664</v>
      </c>
      <c r="AG4760" t="s">
        <v>48</v>
      </c>
    </row>
    <row r="4761" spans="1:33">
      <c r="A4761" t="s">
        <v>17665</v>
      </c>
      <c r="B4761" t="s">
        <v>17666</v>
      </c>
      <c r="D4761" t="s">
        <v>40</v>
      </c>
      <c r="E4761" t="s">
        <v>41</v>
      </c>
      <c r="J4761" t="s">
        <v>1418</v>
      </c>
      <c r="K4761" t="s">
        <v>1419</v>
      </c>
      <c r="L4761">
        <v>1</v>
      </c>
      <c r="M4761" t="s">
        <v>17667</v>
      </c>
      <c r="N4761" t="s">
        <v>192</v>
      </c>
      <c r="O4761" t="s">
        <v>47</v>
      </c>
      <c r="P4761" t="s">
        <v>47</v>
      </c>
      <c r="Y4761" t="s">
        <v>17668</v>
      </c>
      <c r="AG4761" t="s">
        <v>48</v>
      </c>
    </row>
    <row r="4762" spans="1:33">
      <c r="A4762" t="s">
        <v>17669</v>
      </c>
      <c r="B4762" t="s">
        <v>17670</v>
      </c>
      <c r="D4762" t="s">
        <v>40</v>
      </c>
      <c r="E4762" t="s">
        <v>41</v>
      </c>
      <c r="J4762" t="s">
        <v>3472</v>
      </c>
      <c r="K4762" t="s">
        <v>3473</v>
      </c>
      <c r="L4762">
        <v>1</v>
      </c>
      <c r="M4762" t="s">
        <v>17671</v>
      </c>
      <c r="N4762" t="s">
        <v>14011</v>
      </c>
      <c r="O4762" t="s">
        <v>47</v>
      </c>
      <c r="P4762" t="s">
        <v>47</v>
      </c>
      <c r="Y4762" t="s">
        <v>17672</v>
      </c>
      <c r="AG4762" t="s">
        <v>48</v>
      </c>
    </row>
    <row r="4763" spans="1:33">
      <c r="A4763" t="s">
        <v>17673</v>
      </c>
      <c r="B4763" t="s">
        <v>17674</v>
      </c>
      <c r="D4763" t="s">
        <v>40</v>
      </c>
      <c r="E4763" t="s">
        <v>41</v>
      </c>
      <c r="J4763" t="s">
        <v>6025</v>
      </c>
      <c r="K4763" t="s">
        <v>6026</v>
      </c>
      <c r="L4763">
        <v>1</v>
      </c>
      <c r="M4763" t="s">
        <v>17675</v>
      </c>
      <c r="N4763" t="s">
        <v>13978</v>
      </c>
      <c r="O4763" t="s">
        <v>47</v>
      </c>
      <c r="P4763" t="s">
        <v>47</v>
      </c>
      <c r="Y4763" t="s">
        <v>17676</v>
      </c>
      <c r="AG4763" t="s">
        <v>48</v>
      </c>
    </row>
    <row r="4764" spans="1:33">
      <c r="A4764" t="s">
        <v>17677</v>
      </c>
      <c r="B4764" t="s">
        <v>17678</v>
      </c>
      <c r="D4764" t="s">
        <v>40</v>
      </c>
      <c r="E4764" t="s">
        <v>41</v>
      </c>
      <c r="J4764" t="s">
        <v>14475</v>
      </c>
      <c r="K4764" t="s">
        <v>14476</v>
      </c>
      <c r="L4764">
        <v>1</v>
      </c>
      <c r="M4764" t="s">
        <v>17679</v>
      </c>
      <c r="N4764" t="s">
        <v>13978</v>
      </c>
      <c r="O4764" t="s">
        <v>47</v>
      </c>
      <c r="P4764" t="s">
        <v>47</v>
      </c>
      <c r="Y4764" t="s">
        <v>17680</v>
      </c>
      <c r="AG4764" t="s">
        <v>48</v>
      </c>
    </row>
    <row r="4765" spans="1:33">
      <c r="A4765" t="s">
        <v>17681</v>
      </c>
      <c r="B4765" t="s">
        <v>17682</v>
      </c>
      <c r="D4765" t="s">
        <v>40</v>
      </c>
      <c r="E4765" t="s">
        <v>41</v>
      </c>
      <c r="J4765" t="s">
        <v>14204</v>
      </c>
      <c r="K4765" t="s">
        <v>14205</v>
      </c>
      <c r="L4765">
        <v>1</v>
      </c>
      <c r="M4765" t="s">
        <v>17683</v>
      </c>
      <c r="N4765" t="s">
        <v>14011</v>
      </c>
      <c r="O4765" t="s">
        <v>47</v>
      </c>
      <c r="P4765" t="s">
        <v>47</v>
      </c>
      <c r="Y4765" t="s">
        <v>17684</v>
      </c>
      <c r="AG4765" t="s">
        <v>48</v>
      </c>
    </row>
    <row r="4766" spans="1:33">
      <c r="A4766" t="s">
        <v>17685</v>
      </c>
      <c r="B4766" t="s">
        <v>17686</v>
      </c>
      <c r="D4766" t="s">
        <v>40</v>
      </c>
      <c r="E4766" t="s">
        <v>41</v>
      </c>
      <c r="J4766" t="s">
        <v>14204</v>
      </c>
      <c r="K4766" t="s">
        <v>14205</v>
      </c>
      <c r="L4766">
        <v>1</v>
      </c>
      <c r="M4766" t="s">
        <v>17687</v>
      </c>
      <c r="N4766" t="s">
        <v>13978</v>
      </c>
      <c r="O4766" t="s">
        <v>47</v>
      </c>
      <c r="P4766" t="s">
        <v>47</v>
      </c>
      <c r="Y4766" t="s">
        <v>17688</v>
      </c>
      <c r="AG4766" t="s">
        <v>48</v>
      </c>
    </row>
    <row r="4767" spans="1:33">
      <c r="A4767" t="s">
        <v>17689</v>
      </c>
      <c r="B4767" t="s">
        <v>17690</v>
      </c>
      <c r="D4767" t="s">
        <v>40</v>
      </c>
      <c r="E4767" t="s">
        <v>41</v>
      </c>
      <c r="J4767" t="s">
        <v>86</v>
      </c>
      <c r="K4767" t="s">
        <v>87</v>
      </c>
      <c r="L4767">
        <v>1</v>
      </c>
      <c r="M4767" t="s">
        <v>17691</v>
      </c>
      <c r="N4767" t="s">
        <v>192</v>
      </c>
      <c r="O4767" t="s">
        <v>47</v>
      </c>
      <c r="P4767" t="s">
        <v>47</v>
      </c>
      <c r="Y4767" t="s">
        <v>17692</v>
      </c>
      <c r="AG4767" t="s">
        <v>48</v>
      </c>
    </row>
    <row r="4768" spans="1:33">
      <c r="A4768" t="s">
        <v>17693</v>
      </c>
      <c r="B4768" t="s">
        <v>17694</v>
      </c>
      <c r="D4768" t="s">
        <v>40</v>
      </c>
      <c r="E4768" t="s">
        <v>41</v>
      </c>
      <c r="J4768" t="s">
        <v>86</v>
      </c>
      <c r="K4768" t="s">
        <v>87</v>
      </c>
      <c r="L4768">
        <v>2</v>
      </c>
      <c r="M4768" t="s">
        <v>17695</v>
      </c>
      <c r="N4768" t="s">
        <v>13978</v>
      </c>
      <c r="O4768" t="s">
        <v>47</v>
      </c>
      <c r="P4768" t="s">
        <v>47</v>
      </c>
      <c r="Y4768" t="s">
        <v>17696</v>
      </c>
      <c r="AG4768" t="s">
        <v>48</v>
      </c>
    </row>
    <row r="4769" spans="1:33">
      <c r="A4769" t="s">
        <v>17697</v>
      </c>
      <c r="B4769" t="s">
        <v>17698</v>
      </c>
      <c r="D4769" t="s">
        <v>40</v>
      </c>
      <c r="E4769" t="s">
        <v>41</v>
      </c>
      <c r="J4769" t="s">
        <v>86</v>
      </c>
      <c r="K4769" t="s">
        <v>87</v>
      </c>
      <c r="L4769">
        <v>1</v>
      </c>
      <c r="M4769" t="s">
        <v>17699</v>
      </c>
      <c r="N4769" t="s">
        <v>192</v>
      </c>
      <c r="O4769" t="s">
        <v>47</v>
      </c>
      <c r="P4769" t="s">
        <v>47</v>
      </c>
      <c r="Y4769" t="s">
        <v>17700</v>
      </c>
      <c r="AG4769" t="s">
        <v>48</v>
      </c>
    </row>
    <row r="4770" spans="1:33">
      <c r="A4770" t="s">
        <v>17701</v>
      </c>
      <c r="B4770" t="s">
        <v>17702</v>
      </c>
      <c r="D4770" t="s">
        <v>40</v>
      </c>
      <c r="E4770" t="s">
        <v>41</v>
      </c>
      <c r="J4770" t="s">
        <v>86</v>
      </c>
      <c r="K4770" t="s">
        <v>87</v>
      </c>
      <c r="L4770">
        <v>1</v>
      </c>
      <c r="M4770" t="s">
        <v>17703</v>
      </c>
      <c r="N4770" t="s">
        <v>14024</v>
      </c>
      <c r="O4770" t="s">
        <v>47</v>
      </c>
      <c r="P4770" t="s">
        <v>47</v>
      </c>
      <c r="Y4770" t="s">
        <v>17704</v>
      </c>
      <c r="AG4770" t="s">
        <v>48</v>
      </c>
    </row>
    <row r="4771" spans="1:33">
      <c r="A4771" t="s">
        <v>17705</v>
      </c>
      <c r="B4771" t="s">
        <v>17706</v>
      </c>
      <c r="D4771" t="s">
        <v>40</v>
      </c>
      <c r="E4771" t="s">
        <v>41</v>
      </c>
      <c r="J4771" t="s">
        <v>14475</v>
      </c>
      <c r="K4771" t="s">
        <v>14476</v>
      </c>
      <c r="L4771">
        <v>1</v>
      </c>
      <c r="M4771" t="s">
        <v>17707</v>
      </c>
      <c r="N4771" t="s">
        <v>14059</v>
      </c>
      <c r="O4771" t="s">
        <v>47</v>
      </c>
      <c r="P4771" t="s">
        <v>47</v>
      </c>
      <c r="Y4771" t="s">
        <v>17708</v>
      </c>
      <c r="AG4771" t="s">
        <v>48</v>
      </c>
    </row>
    <row r="4772" spans="1:33">
      <c r="A4772" t="s">
        <v>17709</v>
      </c>
      <c r="B4772" t="s">
        <v>17710</v>
      </c>
      <c r="D4772" t="s">
        <v>40</v>
      </c>
      <c r="E4772" t="s">
        <v>41</v>
      </c>
      <c r="J4772" t="s">
        <v>4737</v>
      </c>
      <c r="K4772" t="s">
        <v>4738</v>
      </c>
      <c r="L4772">
        <v>1</v>
      </c>
      <c r="M4772" t="s">
        <v>17711</v>
      </c>
      <c r="N4772" t="s">
        <v>13978</v>
      </c>
      <c r="O4772" t="s">
        <v>47</v>
      </c>
      <c r="P4772" t="s">
        <v>47</v>
      </c>
      <c r="Y4772" t="s">
        <v>17712</v>
      </c>
      <c r="AG4772" t="s">
        <v>48</v>
      </c>
    </row>
    <row r="4773" spans="1:33">
      <c r="A4773" t="s">
        <v>17713</v>
      </c>
      <c r="B4773" t="s">
        <v>17714</v>
      </c>
      <c r="D4773" t="s">
        <v>40</v>
      </c>
      <c r="E4773" t="s">
        <v>41</v>
      </c>
      <c r="J4773" t="s">
        <v>86</v>
      </c>
      <c r="K4773" t="s">
        <v>87</v>
      </c>
      <c r="L4773">
        <v>1</v>
      </c>
      <c r="M4773" t="s">
        <v>17715</v>
      </c>
      <c r="N4773" t="s">
        <v>13978</v>
      </c>
      <c r="O4773" t="s">
        <v>47</v>
      </c>
      <c r="P4773" t="s">
        <v>47</v>
      </c>
      <c r="Y4773" t="s">
        <v>17716</v>
      </c>
      <c r="AG4773" t="s">
        <v>48</v>
      </c>
    </row>
    <row r="4774" spans="1:33">
      <c r="A4774" t="s">
        <v>17717</v>
      </c>
      <c r="B4774" t="s">
        <v>17718</v>
      </c>
      <c r="D4774" t="s">
        <v>40</v>
      </c>
      <c r="E4774" t="s">
        <v>41</v>
      </c>
      <c r="J4774" t="s">
        <v>4737</v>
      </c>
      <c r="K4774" t="s">
        <v>4738</v>
      </c>
      <c r="L4774">
        <v>1</v>
      </c>
      <c r="M4774" t="s">
        <v>17719</v>
      </c>
      <c r="N4774" t="s">
        <v>14340</v>
      </c>
      <c r="O4774" t="s">
        <v>47</v>
      </c>
      <c r="P4774" t="s">
        <v>47</v>
      </c>
      <c r="Y4774" t="s">
        <v>17720</v>
      </c>
      <c r="AG4774" t="s">
        <v>48</v>
      </c>
    </row>
    <row r="4775" spans="1:33">
      <c r="A4775" t="s">
        <v>17721</v>
      </c>
      <c r="B4775" t="s">
        <v>17722</v>
      </c>
      <c r="D4775" t="s">
        <v>40</v>
      </c>
      <c r="E4775" t="s">
        <v>41</v>
      </c>
      <c r="J4775" t="s">
        <v>14475</v>
      </c>
      <c r="K4775" t="s">
        <v>14476</v>
      </c>
      <c r="L4775">
        <v>1</v>
      </c>
      <c r="M4775" t="s">
        <v>17723</v>
      </c>
      <c r="N4775" t="s">
        <v>14011</v>
      </c>
      <c r="O4775" t="s">
        <v>47</v>
      </c>
      <c r="P4775" t="s">
        <v>47</v>
      </c>
      <c r="Y4775" t="s">
        <v>17724</v>
      </c>
      <c r="AG4775" t="s">
        <v>48</v>
      </c>
    </row>
    <row r="4776" spans="1:33">
      <c r="A4776" t="s">
        <v>17725</v>
      </c>
      <c r="B4776" t="s">
        <v>17726</v>
      </c>
      <c r="D4776" t="s">
        <v>40</v>
      </c>
      <c r="E4776" t="s">
        <v>41</v>
      </c>
      <c r="J4776" t="s">
        <v>86</v>
      </c>
      <c r="K4776" t="s">
        <v>87</v>
      </c>
      <c r="L4776">
        <v>1</v>
      </c>
      <c r="M4776" t="s">
        <v>17727</v>
      </c>
      <c r="N4776" t="s">
        <v>14024</v>
      </c>
      <c r="O4776" t="s">
        <v>47</v>
      </c>
      <c r="P4776" t="s">
        <v>47</v>
      </c>
      <c r="Y4776" t="s">
        <v>17728</v>
      </c>
      <c r="AG4776" t="s">
        <v>48</v>
      </c>
    </row>
    <row r="4777" spans="1:33">
      <c r="A4777" t="s">
        <v>17729</v>
      </c>
      <c r="B4777" t="s">
        <v>17730</v>
      </c>
      <c r="D4777" t="s">
        <v>40</v>
      </c>
      <c r="E4777" t="s">
        <v>41</v>
      </c>
      <c r="J4777" t="s">
        <v>86</v>
      </c>
      <c r="K4777" t="s">
        <v>87</v>
      </c>
      <c r="L4777">
        <v>1</v>
      </c>
      <c r="M4777" t="s">
        <v>17731</v>
      </c>
      <c r="N4777" t="s">
        <v>14024</v>
      </c>
      <c r="O4777" t="s">
        <v>47</v>
      </c>
      <c r="P4777" t="s">
        <v>47</v>
      </c>
      <c r="Y4777" t="s">
        <v>17732</v>
      </c>
      <c r="AG4777" t="s">
        <v>48</v>
      </c>
    </row>
    <row r="4778" spans="1:33">
      <c r="A4778" t="s">
        <v>17733</v>
      </c>
      <c r="B4778" t="s">
        <v>17734</v>
      </c>
      <c r="D4778" t="s">
        <v>40</v>
      </c>
      <c r="E4778" t="s">
        <v>41</v>
      </c>
      <c r="J4778" t="s">
        <v>86</v>
      </c>
      <c r="K4778" t="s">
        <v>87</v>
      </c>
      <c r="L4778">
        <v>1</v>
      </c>
      <c r="M4778" t="s">
        <v>17735</v>
      </c>
      <c r="N4778" t="s">
        <v>14024</v>
      </c>
      <c r="O4778" t="s">
        <v>47</v>
      </c>
      <c r="P4778" t="s">
        <v>47</v>
      </c>
      <c r="Y4778" t="s">
        <v>17736</v>
      </c>
      <c r="AG4778" t="s">
        <v>48</v>
      </c>
    </row>
    <row r="4779" spans="1:33">
      <c r="A4779" t="s">
        <v>17737</v>
      </c>
      <c r="B4779" t="s">
        <v>17738</v>
      </c>
      <c r="D4779" t="s">
        <v>40</v>
      </c>
      <c r="E4779" t="s">
        <v>41</v>
      </c>
      <c r="J4779" t="s">
        <v>14204</v>
      </c>
      <c r="K4779" t="s">
        <v>14205</v>
      </c>
      <c r="L4779">
        <v>1</v>
      </c>
      <c r="M4779" t="s">
        <v>17739</v>
      </c>
      <c r="N4779" t="s">
        <v>14340</v>
      </c>
      <c r="O4779" t="s">
        <v>47</v>
      </c>
      <c r="P4779" t="s">
        <v>47</v>
      </c>
      <c r="Y4779" t="s">
        <v>17740</v>
      </c>
      <c r="AG4779" t="s">
        <v>48</v>
      </c>
    </row>
    <row r="4780" spans="1:33">
      <c r="A4780" t="s">
        <v>17741</v>
      </c>
      <c r="B4780" t="s">
        <v>17742</v>
      </c>
      <c r="D4780" t="s">
        <v>40</v>
      </c>
      <c r="E4780" t="s">
        <v>41</v>
      </c>
      <c r="J4780" t="s">
        <v>86</v>
      </c>
      <c r="K4780" t="s">
        <v>87</v>
      </c>
      <c r="L4780">
        <v>1</v>
      </c>
      <c r="M4780" t="s">
        <v>17743</v>
      </c>
      <c r="N4780" t="s">
        <v>14024</v>
      </c>
      <c r="O4780" t="s">
        <v>47</v>
      </c>
      <c r="P4780" t="s">
        <v>47</v>
      </c>
      <c r="Y4780" t="s">
        <v>17744</v>
      </c>
      <c r="AG4780" t="s">
        <v>48</v>
      </c>
    </row>
    <row r="4781" spans="1:33">
      <c r="A4781" t="s">
        <v>17745</v>
      </c>
      <c r="B4781" t="s">
        <v>17746</v>
      </c>
      <c r="D4781" t="s">
        <v>40</v>
      </c>
      <c r="E4781" t="s">
        <v>41</v>
      </c>
      <c r="J4781" t="s">
        <v>10950</v>
      </c>
      <c r="K4781" t="s">
        <v>10950</v>
      </c>
      <c r="L4781">
        <v>1</v>
      </c>
      <c r="M4781" t="s">
        <v>17747</v>
      </c>
      <c r="N4781" t="s">
        <v>14024</v>
      </c>
      <c r="O4781" t="s">
        <v>47</v>
      </c>
      <c r="P4781" t="s">
        <v>47</v>
      </c>
      <c r="Y4781" t="s">
        <v>17748</v>
      </c>
      <c r="AG4781" t="s">
        <v>48</v>
      </c>
    </row>
    <row r="4782" spans="1:33">
      <c r="A4782" t="s">
        <v>17749</v>
      </c>
      <c r="B4782" t="s">
        <v>17750</v>
      </c>
      <c r="D4782" t="s">
        <v>40</v>
      </c>
      <c r="E4782" t="s">
        <v>41</v>
      </c>
      <c r="J4782" t="s">
        <v>1418</v>
      </c>
      <c r="K4782" t="s">
        <v>1419</v>
      </c>
      <c r="L4782">
        <v>1</v>
      </c>
      <c r="M4782" t="s">
        <v>17751</v>
      </c>
      <c r="N4782" t="s">
        <v>14059</v>
      </c>
      <c r="O4782" t="s">
        <v>47</v>
      </c>
      <c r="P4782" t="s">
        <v>47</v>
      </c>
      <c r="Y4782" t="s">
        <v>17752</v>
      </c>
      <c r="AG4782" t="s">
        <v>48</v>
      </c>
    </row>
    <row r="4783" spans="1:33">
      <c r="A4783" t="s">
        <v>17753</v>
      </c>
      <c r="B4783" t="s">
        <v>17754</v>
      </c>
      <c r="D4783" t="s">
        <v>40</v>
      </c>
      <c r="E4783" t="s">
        <v>41</v>
      </c>
      <c r="J4783" t="s">
        <v>13777</v>
      </c>
      <c r="K4783" t="s">
        <v>13778</v>
      </c>
      <c r="L4783">
        <v>1</v>
      </c>
      <c r="M4783" t="s">
        <v>17755</v>
      </c>
      <c r="N4783" t="s">
        <v>14024</v>
      </c>
      <c r="O4783" t="s">
        <v>47</v>
      </c>
      <c r="P4783" t="s">
        <v>47</v>
      </c>
      <c r="Y4783" t="s">
        <v>17756</v>
      </c>
      <c r="AG4783" t="s">
        <v>48</v>
      </c>
    </row>
    <row r="4784" spans="1:33">
      <c r="A4784" t="s">
        <v>17757</v>
      </c>
      <c r="B4784" t="s">
        <v>17758</v>
      </c>
      <c r="D4784" t="s">
        <v>40</v>
      </c>
      <c r="E4784" t="s">
        <v>41</v>
      </c>
      <c r="J4784" t="s">
        <v>86</v>
      </c>
      <c r="K4784" t="s">
        <v>87</v>
      </c>
      <c r="L4784">
        <v>1</v>
      </c>
      <c r="M4784" t="s">
        <v>17759</v>
      </c>
      <c r="N4784" t="s">
        <v>192</v>
      </c>
      <c r="O4784" t="s">
        <v>47</v>
      </c>
      <c r="P4784" t="s">
        <v>47</v>
      </c>
      <c r="Y4784" t="s">
        <v>17760</v>
      </c>
      <c r="AG4784" t="s">
        <v>48</v>
      </c>
    </row>
    <row r="4785" spans="1:33">
      <c r="A4785" t="s">
        <v>17761</v>
      </c>
      <c r="B4785" t="s">
        <v>17762</v>
      </c>
      <c r="D4785" t="s">
        <v>40</v>
      </c>
      <c r="E4785" t="s">
        <v>41</v>
      </c>
      <c r="J4785" t="s">
        <v>86</v>
      </c>
      <c r="K4785" t="s">
        <v>87</v>
      </c>
      <c r="L4785">
        <v>1</v>
      </c>
      <c r="M4785" t="s">
        <v>17763</v>
      </c>
      <c r="N4785" t="s">
        <v>13978</v>
      </c>
      <c r="O4785" t="s">
        <v>47</v>
      </c>
      <c r="P4785" t="s">
        <v>47</v>
      </c>
      <c r="Y4785" t="s">
        <v>17764</v>
      </c>
      <c r="AG4785" t="s">
        <v>48</v>
      </c>
    </row>
    <row r="4786" spans="1:33">
      <c r="A4786" t="s">
        <v>17765</v>
      </c>
      <c r="B4786" t="s">
        <v>17766</v>
      </c>
      <c r="D4786" t="s">
        <v>40</v>
      </c>
      <c r="E4786" t="s">
        <v>41</v>
      </c>
      <c r="J4786" t="s">
        <v>14475</v>
      </c>
      <c r="K4786" t="s">
        <v>14476</v>
      </c>
      <c r="L4786">
        <v>1</v>
      </c>
      <c r="M4786" t="s">
        <v>17767</v>
      </c>
      <c r="N4786" t="s">
        <v>14059</v>
      </c>
      <c r="O4786" t="s">
        <v>47</v>
      </c>
      <c r="P4786" t="s">
        <v>47</v>
      </c>
      <c r="Y4786" t="s">
        <v>17768</v>
      </c>
      <c r="AG4786" t="s">
        <v>48</v>
      </c>
    </row>
    <row r="4787" spans="1:33">
      <c r="A4787" t="s">
        <v>17769</v>
      </c>
      <c r="B4787" t="s">
        <v>17770</v>
      </c>
      <c r="D4787" t="s">
        <v>40</v>
      </c>
      <c r="E4787" t="s">
        <v>41</v>
      </c>
      <c r="J4787" t="s">
        <v>43</v>
      </c>
      <c r="K4787" t="s">
        <v>44</v>
      </c>
      <c r="L4787">
        <v>5</v>
      </c>
      <c r="M4787" t="s">
        <v>17771</v>
      </c>
      <c r="N4787" t="s">
        <v>14011</v>
      </c>
      <c r="O4787" t="s">
        <v>47</v>
      </c>
      <c r="P4787" t="s">
        <v>47</v>
      </c>
      <c r="Y4787" t="s">
        <v>17772</v>
      </c>
      <c r="AG4787" t="s">
        <v>48</v>
      </c>
    </row>
    <row r="4788" spans="1:33">
      <c r="A4788" t="s">
        <v>17773</v>
      </c>
      <c r="B4788" t="s">
        <v>17774</v>
      </c>
      <c r="D4788" t="s">
        <v>40</v>
      </c>
      <c r="E4788" t="s">
        <v>41</v>
      </c>
      <c r="J4788" t="s">
        <v>86</v>
      </c>
      <c r="K4788" t="s">
        <v>87</v>
      </c>
      <c r="L4788">
        <v>2</v>
      </c>
      <c r="M4788" t="s">
        <v>17775</v>
      </c>
      <c r="N4788" t="s">
        <v>16012</v>
      </c>
      <c r="O4788" t="s">
        <v>47</v>
      </c>
      <c r="P4788" t="s">
        <v>47</v>
      </c>
      <c r="Y4788" t="s">
        <v>17776</v>
      </c>
      <c r="AG4788" t="s">
        <v>48</v>
      </c>
    </row>
    <row r="4789" spans="1:33">
      <c r="A4789" t="s">
        <v>17777</v>
      </c>
      <c r="B4789" t="s">
        <v>17778</v>
      </c>
      <c r="D4789" t="s">
        <v>40</v>
      </c>
      <c r="E4789" t="s">
        <v>41</v>
      </c>
      <c r="J4789" t="s">
        <v>10950</v>
      </c>
      <c r="K4789" t="s">
        <v>10950</v>
      </c>
      <c r="L4789">
        <v>3</v>
      </c>
      <c r="M4789" t="s">
        <v>17779</v>
      </c>
      <c r="N4789" t="s">
        <v>14340</v>
      </c>
      <c r="O4789" t="s">
        <v>47</v>
      </c>
      <c r="P4789" t="s">
        <v>47</v>
      </c>
      <c r="Y4789" t="s">
        <v>17780</v>
      </c>
      <c r="AG4789" t="s">
        <v>48</v>
      </c>
    </row>
    <row r="4790" spans="1:33">
      <c r="A4790" t="s">
        <v>17781</v>
      </c>
      <c r="B4790" t="s">
        <v>17782</v>
      </c>
      <c r="D4790" t="s">
        <v>40</v>
      </c>
      <c r="E4790" t="s">
        <v>41</v>
      </c>
      <c r="J4790" t="s">
        <v>43</v>
      </c>
      <c r="K4790" t="s">
        <v>44</v>
      </c>
      <c r="L4790">
        <v>2</v>
      </c>
      <c r="M4790" t="s">
        <v>17783</v>
      </c>
      <c r="N4790" t="s">
        <v>192</v>
      </c>
      <c r="O4790" t="s">
        <v>47</v>
      </c>
      <c r="P4790" t="s">
        <v>47</v>
      </c>
      <c r="Y4790" t="s">
        <v>17784</v>
      </c>
      <c r="AG4790" t="s">
        <v>48</v>
      </c>
    </row>
    <row r="4791" spans="1:33">
      <c r="A4791" t="s">
        <v>17785</v>
      </c>
      <c r="B4791" t="s">
        <v>17786</v>
      </c>
      <c r="D4791" t="s">
        <v>40</v>
      </c>
      <c r="E4791" t="s">
        <v>41</v>
      </c>
      <c r="J4791" t="s">
        <v>1418</v>
      </c>
      <c r="K4791" t="s">
        <v>1419</v>
      </c>
      <c r="L4791">
        <v>1</v>
      </c>
      <c r="M4791" t="s">
        <v>17787</v>
      </c>
      <c r="N4791" t="s">
        <v>14024</v>
      </c>
      <c r="O4791" t="s">
        <v>47</v>
      </c>
      <c r="P4791" t="s">
        <v>47</v>
      </c>
      <c r="Y4791" t="s">
        <v>17788</v>
      </c>
      <c r="AG4791" t="s">
        <v>48</v>
      </c>
    </row>
    <row r="4792" spans="1:33">
      <c r="A4792" t="s">
        <v>17789</v>
      </c>
      <c r="B4792" t="s">
        <v>17790</v>
      </c>
      <c r="D4792" t="s">
        <v>40</v>
      </c>
      <c r="E4792" t="s">
        <v>41</v>
      </c>
      <c r="J4792" t="s">
        <v>4737</v>
      </c>
      <c r="K4792" t="s">
        <v>4738</v>
      </c>
      <c r="L4792">
        <v>1</v>
      </c>
      <c r="M4792" t="s">
        <v>17791</v>
      </c>
      <c r="N4792" t="s">
        <v>218</v>
      </c>
      <c r="O4792" t="s">
        <v>47</v>
      </c>
      <c r="P4792" t="s">
        <v>47</v>
      </c>
      <c r="Y4792" t="s">
        <v>17792</v>
      </c>
      <c r="AG4792" t="s">
        <v>48</v>
      </c>
    </row>
    <row r="4793" spans="1:33">
      <c r="A4793" t="s">
        <v>17793</v>
      </c>
      <c r="B4793" t="s">
        <v>17794</v>
      </c>
      <c r="D4793" t="s">
        <v>40</v>
      </c>
      <c r="E4793" t="s">
        <v>41</v>
      </c>
      <c r="J4793" t="s">
        <v>43</v>
      </c>
      <c r="K4793" t="s">
        <v>44</v>
      </c>
      <c r="L4793">
        <v>2</v>
      </c>
      <c r="M4793" t="s">
        <v>17795</v>
      </c>
      <c r="N4793" t="s">
        <v>192</v>
      </c>
      <c r="O4793" t="s">
        <v>47</v>
      </c>
      <c r="P4793" t="s">
        <v>47</v>
      </c>
      <c r="Y4793" t="s">
        <v>17796</v>
      </c>
      <c r="AG4793" t="s">
        <v>48</v>
      </c>
    </row>
    <row r="4794" spans="1:33">
      <c r="A4794" t="s">
        <v>17797</v>
      </c>
      <c r="B4794" t="s">
        <v>17798</v>
      </c>
      <c r="D4794" t="s">
        <v>40</v>
      </c>
      <c r="E4794" t="s">
        <v>41</v>
      </c>
      <c r="J4794" t="s">
        <v>14204</v>
      </c>
      <c r="K4794" t="s">
        <v>14205</v>
      </c>
      <c r="L4794">
        <v>1</v>
      </c>
      <c r="M4794" t="s">
        <v>17799</v>
      </c>
      <c r="N4794" t="s">
        <v>14011</v>
      </c>
      <c r="O4794" t="s">
        <v>47</v>
      </c>
      <c r="P4794" t="s">
        <v>47</v>
      </c>
      <c r="Y4794" t="s">
        <v>17800</v>
      </c>
      <c r="AG4794" t="s">
        <v>48</v>
      </c>
    </row>
    <row r="4795" spans="1:33">
      <c r="A4795" t="s">
        <v>17801</v>
      </c>
      <c r="B4795" t="s">
        <v>17802</v>
      </c>
      <c r="D4795" t="s">
        <v>40</v>
      </c>
      <c r="E4795" t="s">
        <v>41</v>
      </c>
      <c r="J4795" t="s">
        <v>215</v>
      </c>
      <c r="K4795" t="s">
        <v>216</v>
      </c>
      <c r="L4795">
        <v>12</v>
      </c>
      <c r="M4795" t="s">
        <v>17803</v>
      </c>
      <c r="N4795" t="s">
        <v>218</v>
      </c>
      <c r="O4795" t="s">
        <v>47</v>
      </c>
      <c r="P4795" t="s">
        <v>47</v>
      </c>
      <c r="Y4795" t="s">
        <v>17804</v>
      </c>
      <c r="AG4795" t="s">
        <v>48</v>
      </c>
    </row>
    <row r="4796" spans="1:33">
      <c r="A4796" t="s">
        <v>17805</v>
      </c>
      <c r="B4796" t="s">
        <v>17806</v>
      </c>
      <c r="D4796" t="s">
        <v>40</v>
      </c>
      <c r="E4796" t="s">
        <v>41</v>
      </c>
      <c r="J4796" t="s">
        <v>14337</v>
      </c>
      <c r="K4796" t="s">
        <v>14338</v>
      </c>
      <c r="L4796">
        <v>3</v>
      </c>
      <c r="M4796" t="s">
        <v>17807</v>
      </c>
      <c r="N4796" t="s">
        <v>14024</v>
      </c>
      <c r="O4796" t="s">
        <v>47</v>
      </c>
      <c r="P4796" t="s">
        <v>47</v>
      </c>
      <c r="Y4796" t="s">
        <v>17808</v>
      </c>
      <c r="AG4796" t="s">
        <v>48</v>
      </c>
    </row>
    <row r="4797" spans="1:33">
      <c r="A4797" t="s">
        <v>117</v>
      </c>
      <c r="B4797" t="s">
        <v>17809</v>
      </c>
      <c r="D4797" t="s">
        <v>40</v>
      </c>
      <c r="E4797" t="s">
        <v>41</v>
      </c>
      <c r="J4797" t="s">
        <v>86</v>
      </c>
      <c r="K4797" t="s">
        <v>87</v>
      </c>
      <c r="L4797">
        <v>2</v>
      </c>
      <c r="M4797" t="s">
        <v>17810</v>
      </c>
      <c r="N4797" t="s">
        <v>13978</v>
      </c>
      <c r="O4797" t="s">
        <v>47</v>
      </c>
      <c r="P4797" t="s">
        <v>47</v>
      </c>
      <c r="Y4797" t="s">
        <v>17811</v>
      </c>
      <c r="AG4797" t="s">
        <v>48</v>
      </c>
    </row>
    <row r="4798" spans="1:33">
      <c r="A4798" t="s">
        <v>17812</v>
      </c>
      <c r="B4798" t="s">
        <v>17813</v>
      </c>
      <c r="D4798" t="s">
        <v>40</v>
      </c>
      <c r="E4798" t="s">
        <v>41</v>
      </c>
      <c r="J4798" t="s">
        <v>86</v>
      </c>
      <c r="K4798" t="s">
        <v>87</v>
      </c>
      <c r="L4798">
        <v>6</v>
      </c>
      <c r="M4798" t="s">
        <v>17814</v>
      </c>
      <c r="N4798" t="s">
        <v>13978</v>
      </c>
      <c r="O4798" t="s">
        <v>47</v>
      </c>
      <c r="P4798" t="s">
        <v>47</v>
      </c>
      <c r="Y4798" t="s">
        <v>17815</v>
      </c>
      <c r="AG4798" t="s">
        <v>48</v>
      </c>
    </row>
    <row r="4799" spans="1:33">
      <c r="A4799" t="s">
        <v>17816</v>
      </c>
      <c r="B4799" t="s">
        <v>17817</v>
      </c>
      <c r="D4799" t="s">
        <v>40</v>
      </c>
      <c r="E4799" t="s">
        <v>41</v>
      </c>
      <c r="J4799" t="s">
        <v>86</v>
      </c>
      <c r="K4799" t="s">
        <v>87</v>
      </c>
      <c r="L4799">
        <v>2</v>
      </c>
      <c r="M4799" t="s">
        <v>17818</v>
      </c>
      <c r="N4799" t="s">
        <v>16012</v>
      </c>
      <c r="O4799" t="s">
        <v>47</v>
      </c>
      <c r="P4799" t="s">
        <v>47</v>
      </c>
      <c r="Y4799" t="s">
        <v>17819</v>
      </c>
      <c r="AG4799" t="s">
        <v>48</v>
      </c>
    </row>
    <row r="4800" spans="1:33">
      <c r="A4800" t="s">
        <v>17820</v>
      </c>
      <c r="B4800" t="s">
        <v>17821</v>
      </c>
      <c r="D4800" t="s">
        <v>40</v>
      </c>
      <c r="E4800" t="s">
        <v>41</v>
      </c>
      <c r="J4800" t="s">
        <v>1418</v>
      </c>
      <c r="K4800" t="s">
        <v>1419</v>
      </c>
      <c r="L4800">
        <v>2</v>
      </c>
      <c r="M4800" t="s">
        <v>17822</v>
      </c>
      <c r="N4800" t="s">
        <v>14059</v>
      </c>
      <c r="O4800" t="s">
        <v>47</v>
      </c>
      <c r="P4800" t="s">
        <v>47</v>
      </c>
      <c r="Y4800" t="s">
        <v>17823</v>
      </c>
      <c r="AG4800" t="s">
        <v>48</v>
      </c>
    </row>
    <row r="4801" spans="1:33">
      <c r="A4801" t="s">
        <v>17824</v>
      </c>
      <c r="B4801" t="s">
        <v>17825</v>
      </c>
      <c r="D4801" t="s">
        <v>40</v>
      </c>
      <c r="E4801" t="s">
        <v>41</v>
      </c>
      <c r="J4801" t="s">
        <v>14204</v>
      </c>
      <c r="K4801" t="s">
        <v>14205</v>
      </c>
      <c r="L4801">
        <v>1</v>
      </c>
      <c r="M4801" t="s">
        <v>17826</v>
      </c>
      <c r="N4801" t="s">
        <v>14011</v>
      </c>
      <c r="O4801" t="s">
        <v>47</v>
      </c>
      <c r="P4801" t="s">
        <v>47</v>
      </c>
      <c r="Y4801" t="s">
        <v>17827</v>
      </c>
      <c r="AG4801" t="s">
        <v>48</v>
      </c>
    </row>
    <row r="4802" spans="1:33">
      <c r="A4802" t="s">
        <v>17828</v>
      </c>
      <c r="B4802" t="s">
        <v>17829</v>
      </c>
      <c r="D4802" t="s">
        <v>40</v>
      </c>
      <c r="E4802" t="s">
        <v>41</v>
      </c>
      <c r="J4802" t="s">
        <v>86</v>
      </c>
      <c r="K4802" t="s">
        <v>87</v>
      </c>
      <c r="L4802">
        <v>2</v>
      </c>
      <c r="M4802" t="s">
        <v>17830</v>
      </c>
      <c r="N4802" t="s">
        <v>13978</v>
      </c>
      <c r="O4802" t="s">
        <v>47</v>
      </c>
      <c r="P4802" t="s">
        <v>47</v>
      </c>
      <c r="Y4802" t="s">
        <v>17831</v>
      </c>
      <c r="AG4802" t="s">
        <v>48</v>
      </c>
    </row>
    <row r="4803" spans="1:33">
      <c r="A4803" t="s">
        <v>17832</v>
      </c>
      <c r="B4803" t="s">
        <v>17833</v>
      </c>
      <c r="D4803" t="s">
        <v>40</v>
      </c>
      <c r="E4803" t="s">
        <v>41</v>
      </c>
      <c r="J4803" t="s">
        <v>14204</v>
      </c>
      <c r="K4803" t="s">
        <v>14205</v>
      </c>
      <c r="L4803">
        <v>1</v>
      </c>
      <c r="M4803" t="s">
        <v>17834</v>
      </c>
      <c r="N4803" t="s">
        <v>13978</v>
      </c>
      <c r="O4803" t="s">
        <v>47</v>
      </c>
      <c r="P4803" t="s">
        <v>47</v>
      </c>
      <c r="Y4803" t="s">
        <v>17835</v>
      </c>
      <c r="AG4803" t="s">
        <v>48</v>
      </c>
    </row>
    <row r="4804" spans="1:33">
      <c r="A4804" t="s">
        <v>17836</v>
      </c>
      <c r="B4804" t="s">
        <v>17837</v>
      </c>
      <c r="D4804" t="s">
        <v>40</v>
      </c>
      <c r="E4804" t="s">
        <v>41</v>
      </c>
      <c r="J4804" t="s">
        <v>86</v>
      </c>
      <c r="K4804" t="s">
        <v>87</v>
      </c>
      <c r="L4804">
        <v>2</v>
      </c>
      <c r="M4804" t="s">
        <v>17838</v>
      </c>
      <c r="N4804" t="s">
        <v>13978</v>
      </c>
      <c r="O4804" t="s">
        <v>47</v>
      </c>
      <c r="P4804" t="s">
        <v>47</v>
      </c>
      <c r="Y4804" t="s">
        <v>17839</v>
      </c>
      <c r="AG4804" t="s">
        <v>48</v>
      </c>
    </row>
    <row r="4805" spans="1:33">
      <c r="A4805" t="s">
        <v>17840</v>
      </c>
      <c r="B4805" t="s">
        <v>17841</v>
      </c>
      <c r="D4805" t="s">
        <v>40</v>
      </c>
      <c r="E4805" t="s">
        <v>41</v>
      </c>
      <c r="J4805" t="s">
        <v>86</v>
      </c>
      <c r="K4805" t="s">
        <v>87</v>
      </c>
      <c r="L4805">
        <v>1</v>
      </c>
      <c r="M4805" t="s">
        <v>17842</v>
      </c>
      <c r="N4805" t="s">
        <v>13978</v>
      </c>
      <c r="O4805" t="s">
        <v>47</v>
      </c>
      <c r="P4805" t="s">
        <v>47</v>
      </c>
      <c r="Y4805" t="s">
        <v>17843</v>
      </c>
      <c r="AG4805" t="s">
        <v>48</v>
      </c>
    </row>
    <row r="4806" spans="1:33">
      <c r="A4806" t="s">
        <v>17844</v>
      </c>
      <c r="B4806" t="s">
        <v>17845</v>
      </c>
      <c r="D4806" t="s">
        <v>40</v>
      </c>
      <c r="E4806" t="s">
        <v>41</v>
      </c>
      <c r="J4806" t="s">
        <v>14204</v>
      </c>
      <c r="K4806" t="s">
        <v>14205</v>
      </c>
      <c r="L4806">
        <v>1</v>
      </c>
      <c r="M4806" t="s">
        <v>17846</v>
      </c>
      <c r="N4806" t="s">
        <v>14340</v>
      </c>
      <c r="O4806" t="s">
        <v>47</v>
      </c>
      <c r="P4806" t="s">
        <v>47</v>
      </c>
      <c r="Y4806" t="s">
        <v>17847</v>
      </c>
      <c r="AG4806" t="s">
        <v>48</v>
      </c>
    </row>
    <row r="4807" spans="1:33">
      <c r="A4807" t="s">
        <v>17848</v>
      </c>
      <c r="B4807" t="s">
        <v>17849</v>
      </c>
      <c r="D4807" t="s">
        <v>40</v>
      </c>
      <c r="E4807" t="s">
        <v>41</v>
      </c>
      <c r="J4807" t="s">
        <v>1052</v>
      </c>
      <c r="K4807" t="s">
        <v>1053</v>
      </c>
      <c r="L4807">
        <v>1</v>
      </c>
      <c r="M4807" t="s">
        <v>17850</v>
      </c>
      <c r="N4807" t="s">
        <v>16012</v>
      </c>
      <c r="O4807" t="s">
        <v>47</v>
      </c>
      <c r="P4807" t="s">
        <v>47</v>
      </c>
      <c r="Y4807" t="s">
        <v>17851</v>
      </c>
      <c r="AG4807" t="s">
        <v>48</v>
      </c>
    </row>
    <row r="4808" spans="1:33">
      <c r="A4808" t="s">
        <v>17852</v>
      </c>
      <c r="B4808" t="s">
        <v>17853</v>
      </c>
      <c r="D4808" t="s">
        <v>40</v>
      </c>
      <c r="E4808" t="s">
        <v>41</v>
      </c>
      <c r="J4808" t="s">
        <v>86</v>
      </c>
      <c r="K4808" t="s">
        <v>87</v>
      </c>
      <c r="L4808">
        <v>2</v>
      </c>
      <c r="M4808" t="s">
        <v>17854</v>
      </c>
      <c r="N4808" t="s">
        <v>192</v>
      </c>
      <c r="O4808" t="s">
        <v>47</v>
      </c>
      <c r="P4808" t="s">
        <v>47</v>
      </c>
      <c r="Y4808" t="s">
        <v>17855</v>
      </c>
      <c r="AG4808" t="s">
        <v>48</v>
      </c>
    </row>
    <row r="4809" spans="1:33">
      <c r="A4809" t="s">
        <v>17856</v>
      </c>
      <c r="B4809" t="s">
        <v>17857</v>
      </c>
      <c r="D4809" t="s">
        <v>40</v>
      </c>
      <c r="E4809" t="s">
        <v>41</v>
      </c>
      <c r="J4809" t="s">
        <v>13514</v>
      </c>
      <c r="K4809" t="s">
        <v>13515</v>
      </c>
      <c r="L4809">
        <v>2</v>
      </c>
      <c r="M4809" t="s">
        <v>17858</v>
      </c>
      <c r="N4809" t="s">
        <v>59</v>
      </c>
      <c r="O4809" t="s">
        <v>47</v>
      </c>
      <c r="P4809" t="s">
        <v>47</v>
      </c>
      <c r="Y4809" t="s">
        <v>17859</v>
      </c>
      <c r="AG4809" t="s">
        <v>48</v>
      </c>
    </row>
    <row r="4810" spans="1:33">
      <c r="A4810" t="s">
        <v>17860</v>
      </c>
      <c r="B4810" t="s">
        <v>17861</v>
      </c>
      <c r="D4810" t="s">
        <v>40</v>
      </c>
      <c r="E4810" t="s">
        <v>41</v>
      </c>
      <c r="J4810" t="s">
        <v>1052</v>
      </c>
      <c r="K4810" t="s">
        <v>1053</v>
      </c>
      <c r="L4810">
        <v>1</v>
      </c>
      <c r="M4810" t="s">
        <v>17862</v>
      </c>
      <c r="N4810" t="s">
        <v>14011</v>
      </c>
      <c r="O4810" t="s">
        <v>47</v>
      </c>
      <c r="P4810" t="s">
        <v>47</v>
      </c>
      <c r="Y4810" t="s">
        <v>17863</v>
      </c>
      <c r="AG4810" t="s">
        <v>48</v>
      </c>
    </row>
    <row r="4811" spans="1:33">
      <c r="A4811" t="s">
        <v>117</v>
      </c>
      <c r="B4811" t="s">
        <v>17864</v>
      </c>
      <c r="D4811" t="s">
        <v>40</v>
      </c>
      <c r="E4811" t="s">
        <v>41</v>
      </c>
      <c r="J4811" t="s">
        <v>1418</v>
      </c>
      <c r="K4811" t="s">
        <v>1419</v>
      </c>
      <c r="L4811">
        <v>1</v>
      </c>
      <c r="M4811" t="s">
        <v>17862</v>
      </c>
      <c r="N4811" t="s">
        <v>16012</v>
      </c>
      <c r="O4811" t="s">
        <v>47</v>
      </c>
      <c r="P4811" t="s">
        <v>47</v>
      </c>
      <c r="Y4811" t="s">
        <v>17865</v>
      </c>
      <c r="AG4811" t="s">
        <v>48</v>
      </c>
    </row>
    <row r="4812" spans="1:33">
      <c r="A4812" t="s">
        <v>17866</v>
      </c>
      <c r="B4812" t="s">
        <v>17867</v>
      </c>
      <c r="D4812" t="s">
        <v>40</v>
      </c>
      <c r="E4812" t="s">
        <v>41</v>
      </c>
      <c r="J4812" t="s">
        <v>1418</v>
      </c>
      <c r="K4812" t="s">
        <v>1419</v>
      </c>
      <c r="L4812">
        <v>1</v>
      </c>
      <c r="M4812" t="s">
        <v>17868</v>
      </c>
      <c r="N4812" t="s">
        <v>218</v>
      </c>
      <c r="O4812" t="s">
        <v>47</v>
      </c>
      <c r="P4812" t="s">
        <v>47</v>
      </c>
      <c r="Y4812" t="s">
        <v>17869</v>
      </c>
      <c r="AG4812" t="s">
        <v>48</v>
      </c>
    </row>
    <row r="4813" spans="1:33">
      <c r="A4813" t="s">
        <v>17870</v>
      </c>
      <c r="B4813" t="s">
        <v>17871</v>
      </c>
      <c r="D4813" t="s">
        <v>40</v>
      </c>
      <c r="E4813" t="s">
        <v>41</v>
      </c>
      <c r="J4813" t="s">
        <v>86</v>
      </c>
      <c r="K4813" t="s">
        <v>87</v>
      </c>
      <c r="L4813">
        <v>1</v>
      </c>
      <c r="M4813" t="s">
        <v>17872</v>
      </c>
      <c r="N4813" t="s">
        <v>16012</v>
      </c>
      <c r="O4813" t="s">
        <v>47</v>
      </c>
      <c r="P4813" t="s">
        <v>47</v>
      </c>
      <c r="Y4813" t="s">
        <v>17873</v>
      </c>
      <c r="AG4813" t="s">
        <v>48</v>
      </c>
    </row>
    <row r="4814" spans="1:33">
      <c r="A4814" t="s">
        <v>17874</v>
      </c>
      <c r="B4814" t="s">
        <v>17875</v>
      </c>
      <c r="D4814" t="s">
        <v>40</v>
      </c>
      <c r="E4814" t="s">
        <v>41</v>
      </c>
      <c r="J4814" t="s">
        <v>14475</v>
      </c>
      <c r="K4814" t="s">
        <v>14476</v>
      </c>
      <c r="L4814">
        <v>1</v>
      </c>
      <c r="M4814" t="s">
        <v>17876</v>
      </c>
      <c r="N4814" t="s">
        <v>14059</v>
      </c>
      <c r="O4814" t="s">
        <v>47</v>
      </c>
      <c r="P4814" t="s">
        <v>47</v>
      </c>
      <c r="Y4814" t="s">
        <v>17877</v>
      </c>
      <c r="AG4814" t="s">
        <v>48</v>
      </c>
    </row>
    <row r="4815" spans="1:33">
      <c r="A4815" t="s">
        <v>17878</v>
      </c>
      <c r="B4815" t="s">
        <v>17879</v>
      </c>
      <c r="D4815" t="s">
        <v>40</v>
      </c>
      <c r="E4815" t="s">
        <v>41</v>
      </c>
      <c r="J4815" t="s">
        <v>86</v>
      </c>
      <c r="K4815" t="s">
        <v>87</v>
      </c>
      <c r="L4815">
        <v>1</v>
      </c>
      <c r="M4815" t="s">
        <v>17880</v>
      </c>
      <c r="N4815" t="s">
        <v>13978</v>
      </c>
      <c r="O4815" t="s">
        <v>47</v>
      </c>
      <c r="P4815" t="s">
        <v>47</v>
      </c>
      <c r="Y4815" t="s">
        <v>17881</v>
      </c>
      <c r="AG4815" t="s">
        <v>48</v>
      </c>
    </row>
    <row r="4816" spans="1:33">
      <c r="A4816" t="s">
        <v>17882</v>
      </c>
      <c r="B4816" t="s">
        <v>17883</v>
      </c>
      <c r="D4816" t="s">
        <v>40</v>
      </c>
      <c r="E4816" t="s">
        <v>41</v>
      </c>
      <c r="J4816" t="s">
        <v>1418</v>
      </c>
      <c r="K4816" t="s">
        <v>1419</v>
      </c>
      <c r="L4816">
        <v>1</v>
      </c>
      <c r="M4816" t="s">
        <v>17884</v>
      </c>
      <c r="N4816" t="s">
        <v>218</v>
      </c>
      <c r="O4816" t="s">
        <v>47</v>
      </c>
      <c r="P4816" t="s">
        <v>47</v>
      </c>
      <c r="Y4816" t="s">
        <v>17885</v>
      </c>
      <c r="AG4816" t="s">
        <v>48</v>
      </c>
    </row>
    <row r="4817" spans="1:33">
      <c r="A4817" t="s">
        <v>17886</v>
      </c>
      <c r="B4817" t="s">
        <v>17887</v>
      </c>
      <c r="D4817" t="s">
        <v>40</v>
      </c>
      <c r="E4817" t="s">
        <v>41</v>
      </c>
      <c r="J4817" t="s">
        <v>1052</v>
      </c>
      <c r="K4817" t="s">
        <v>1053</v>
      </c>
      <c r="L4817">
        <v>2</v>
      </c>
      <c r="M4817" t="s">
        <v>17888</v>
      </c>
      <c r="N4817" t="s">
        <v>14011</v>
      </c>
      <c r="O4817" t="s">
        <v>47</v>
      </c>
      <c r="P4817" t="s">
        <v>47</v>
      </c>
      <c r="Y4817" t="s">
        <v>17889</v>
      </c>
      <c r="AG4817" t="s">
        <v>48</v>
      </c>
    </row>
    <row r="4818" spans="1:33">
      <c r="A4818" t="s">
        <v>17890</v>
      </c>
      <c r="B4818" t="s">
        <v>17891</v>
      </c>
      <c r="D4818" t="s">
        <v>40</v>
      </c>
      <c r="E4818" t="s">
        <v>41</v>
      </c>
      <c r="J4818" t="s">
        <v>43</v>
      </c>
      <c r="K4818" t="s">
        <v>44</v>
      </c>
      <c r="L4818">
        <v>1</v>
      </c>
      <c r="M4818" t="s">
        <v>17892</v>
      </c>
      <c r="N4818" t="s">
        <v>192</v>
      </c>
      <c r="O4818" t="s">
        <v>47</v>
      </c>
      <c r="P4818" t="s">
        <v>47</v>
      </c>
      <c r="Y4818" t="s">
        <v>17893</v>
      </c>
      <c r="AG4818" t="s">
        <v>48</v>
      </c>
    </row>
    <row r="4819" spans="1:33">
      <c r="A4819" t="s">
        <v>17894</v>
      </c>
      <c r="B4819" t="s">
        <v>17895</v>
      </c>
      <c r="D4819" t="s">
        <v>40</v>
      </c>
      <c r="E4819" t="s">
        <v>41</v>
      </c>
      <c r="J4819" t="s">
        <v>86</v>
      </c>
      <c r="K4819" t="s">
        <v>87</v>
      </c>
      <c r="L4819">
        <v>1</v>
      </c>
      <c r="M4819" t="s">
        <v>17896</v>
      </c>
      <c r="N4819" t="s">
        <v>13978</v>
      </c>
      <c r="O4819" t="s">
        <v>47</v>
      </c>
      <c r="P4819" t="s">
        <v>47</v>
      </c>
      <c r="Y4819" t="s">
        <v>17897</v>
      </c>
      <c r="AG4819" t="s">
        <v>48</v>
      </c>
    </row>
    <row r="4820" spans="1:33">
      <c r="A4820" t="s">
        <v>17898</v>
      </c>
      <c r="B4820" t="s">
        <v>17899</v>
      </c>
      <c r="D4820" t="s">
        <v>40</v>
      </c>
      <c r="E4820" t="s">
        <v>41</v>
      </c>
      <c r="J4820" t="s">
        <v>86</v>
      </c>
      <c r="K4820" t="s">
        <v>87</v>
      </c>
      <c r="L4820">
        <v>2</v>
      </c>
      <c r="M4820" t="s">
        <v>17900</v>
      </c>
      <c r="N4820" t="s">
        <v>13978</v>
      </c>
      <c r="O4820" t="s">
        <v>47</v>
      </c>
      <c r="P4820" t="s">
        <v>47</v>
      </c>
      <c r="Y4820" t="s">
        <v>17901</v>
      </c>
      <c r="AG4820" t="s">
        <v>48</v>
      </c>
    </row>
    <row r="4821" spans="1:33">
      <c r="A4821" t="s">
        <v>17902</v>
      </c>
      <c r="B4821" t="s">
        <v>17903</v>
      </c>
      <c r="D4821" t="s">
        <v>40</v>
      </c>
      <c r="E4821" t="s">
        <v>41</v>
      </c>
      <c r="J4821" t="s">
        <v>1418</v>
      </c>
      <c r="K4821" t="s">
        <v>1419</v>
      </c>
      <c r="L4821">
        <v>1</v>
      </c>
      <c r="M4821" t="s">
        <v>17904</v>
      </c>
      <c r="N4821" t="s">
        <v>16012</v>
      </c>
      <c r="O4821" t="s">
        <v>47</v>
      </c>
      <c r="P4821" t="s">
        <v>47</v>
      </c>
      <c r="Y4821" t="s">
        <v>17905</v>
      </c>
      <c r="AG4821" t="s">
        <v>48</v>
      </c>
    </row>
    <row r="4822" spans="1:33">
      <c r="A4822" t="s">
        <v>17906</v>
      </c>
      <c r="B4822" t="s">
        <v>17907</v>
      </c>
      <c r="D4822" t="s">
        <v>40</v>
      </c>
      <c r="E4822" t="s">
        <v>41</v>
      </c>
      <c r="J4822" t="s">
        <v>43</v>
      </c>
      <c r="K4822" t="s">
        <v>44</v>
      </c>
      <c r="L4822">
        <v>1</v>
      </c>
      <c r="M4822" t="s">
        <v>17908</v>
      </c>
      <c r="N4822" t="s">
        <v>13978</v>
      </c>
      <c r="O4822" t="s">
        <v>47</v>
      </c>
      <c r="P4822" t="s">
        <v>47</v>
      </c>
      <c r="Y4822" t="s">
        <v>17909</v>
      </c>
      <c r="AG4822" t="s">
        <v>48</v>
      </c>
    </row>
    <row r="4823" spans="1:33">
      <c r="A4823" t="s">
        <v>17910</v>
      </c>
      <c r="B4823" t="s">
        <v>17911</v>
      </c>
      <c r="D4823" t="s">
        <v>40</v>
      </c>
      <c r="E4823" t="s">
        <v>41</v>
      </c>
      <c r="J4823" t="s">
        <v>981</v>
      </c>
      <c r="K4823" t="s">
        <v>982</v>
      </c>
      <c r="L4823">
        <v>1</v>
      </c>
      <c r="M4823" t="s">
        <v>17908</v>
      </c>
      <c r="N4823" t="s">
        <v>192</v>
      </c>
      <c r="O4823" t="s">
        <v>47</v>
      </c>
      <c r="P4823" t="s">
        <v>47</v>
      </c>
      <c r="Y4823" t="s">
        <v>17912</v>
      </c>
      <c r="AG4823" t="s">
        <v>48</v>
      </c>
    </row>
    <row r="4824" spans="1:33">
      <c r="A4824" t="s">
        <v>17913</v>
      </c>
      <c r="B4824" t="s">
        <v>17914</v>
      </c>
      <c r="D4824" t="s">
        <v>40</v>
      </c>
      <c r="E4824" t="s">
        <v>41</v>
      </c>
      <c r="J4824" t="s">
        <v>1418</v>
      </c>
      <c r="K4824" t="s">
        <v>1419</v>
      </c>
      <c r="L4824">
        <v>1</v>
      </c>
      <c r="M4824" t="s">
        <v>17915</v>
      </c>
      <c r="N4824" t="s">
        <v>13978</v>
      </c>
      <c r="O4824" t="s">
        <v>47</v>
      </c>
      <c r="P4824" t="s">
        <v>47</v>
      </c>
      <c r="Y4824" t="s">
        <v>17916</v>
      </c>
      <c r="AG4824" t="s">
        <v>48</v>
      </c>
    </row>
    <row r="4825" spans="1:33">
      <c r="A4825" t="s">
        <v>17917</v>
      </c>
      <c r="B4825" t="s">
        <v>17918</v>
      </c>
      <c r="D4825" t="s">
        <v>40</v>
      </c>
      <c r="E4825" t="s">
        <v>41</v>
      </c>
      <c r="J4825" t="s">
        <v>86</v>
      </c>
      <c r="K4825" t="s">
        <v>87</v>
      </c>
      <c r="L4825">
        <v>1</v>
      </c>
      <c r="M4825" t="s">
        <v>17919</v>
      </c>
      <c r="N4825" t="s">
        <v>192</v>
      </c>
      <c r="O4825" t="s">
        <v>47</v>
      </c>
      <c r="P4825" t="s">
        <v>47</v>
      </c>
      <c r="Y4825" t="s">
        <v>17920</v>
      </c>
      <c r="AG4825" t="s">
        <v>48</v>
      </c>
    </row>
    <row r="4826" spans="1:33">
      <c r="A4826" t="s">
        <v>17921</v>
      </c>
      <c r="B4826" t="s">
        <v>17922</v>
      </c>
      <c r="D4826" t="s">
        <v>40</v>
      </c>
      <c r="E4826" t="s">
        <v>41</v>
      </c>
      <c r="J4826" t="s">
        <v>43</v>
      </c>
      <c r="K4826" t="s">
        <v>44</v>
      </c>
      <c r="L4826">
        <v>1</v>
      </c>
      <c r="M4826" t="s">
        <v>17923</v>
      </c>
      <c r="N4826" t="s">
        <v>218</v>
      </c>
      <c r="O4826" t="s">
        <v>47</v>
      </c>
      <c r="P4826" t="s">
        <v>47</v>
      </c>
      <c r="Y4826" t="s">
        <v>17924</v>
      </c>
      <c r="AG4826" t="s">
        <v>48</v>
      </c>
    </row>
    <row r="4827" spans="1:33">
      <c r="A4827" t="s">
        <v>17925</v>
      </c>
      <c r="B4827" t="s">
        <v>17926</v>
      </c>
      <c r="D4827" t="s">
        <v>40</v>
      </c>
      <c r="E4827" t="s">
        <v>41</v>
      </c>
      <c r="J4827" t="s">
        <v>3472</v>
      </c>
      <c r="K4827" t="s">
        <v>3473</v>
      </c>
      <c r="L4827">
        <v>1</v>
      </c>
      <c r="M4827" t="s">
        <v>17927</v>
      </c>
      <c r="N4827" t="s">
        <v>14011</v>
      </c>
      <c r="O4827" t="s">
        <v>47</v>
      </c>
      <c r="P4827" t="s">
        <v>47</v>
      </c>
      <c r="Y4827" t="s">
        <v>17928</v>
      </c>
      <c r="AG4827" t="s">
        <v>48</v>
      </c>
    </row>
    <row r="4828" spans="1:33">
      <c r="A4828" t="s">
        <v>17929</v>
      </c>
      <c r="B4828" t="s">
        <v>17930</v>
      </c>
      <c r="D4828" t="s">
        <v>40</v>
      </c>
      <c r="E4828" t="s">
        <v>41</v>
      </c>
      <c r="J4828" t="s">
        <v>86</v>
      </c>
      <c r="K4828" t="s">
        <v>87</v>
      </c>
      <c r="L4828">
        <v>1</v>
      </c>
      <c r="M4828" t="s">
        <v>17931</v>
      </c>
      <c r="N4828" t="s">
        <v>13978</v>
      </c>
      <c r="O4828" t="s">
        <v>47</v>
      </c>
      <c r="P4828" t="s">
        <v>47</v>
      </c>
      <c r="Y4828" t="s">
        <v>17932</v>
      </c>
      <c r="AG4828" t="s">
        <v>48</v>
      </c>
    </row>
    <row r="4829" spans="1:33">
      <c r="A4829" t="s">
        <v>17933</v>
      </c>
      <c r="B4829" t="s">
        <v>17934</v>
      </c>
      <c r="D4829" t="s">
        <v>40</v>
      </c>
      <c r="E4829" t="s">
        <v>41</v>
      </c>
      <c r="J4829" t="s">
        <v>86</v>
      </c>
      <c r="K4829" t="s">
        <v>87</v>
      </c>
      <c r="L4829">
        <v>2</v>
      </c>
      <c r="M4829" t="s">
        <v>17935</v>
      </c>
      <c r="N4829" t="s">
        <v>16012</v>
      </c>
      <c r="O4829" t="s">
        <v>47</v>
      </c>
      <c r="P4829" t="s">
        <v>47</v>
      </c>
      <c r="Y4829" t="s">
        <v>17936</v>
      </c>
      <c r="AG4829" t="s">
        <v>48</v>
      </c>
    </row>
    <row r="4830" spans="1:33">
      <c r="A4830" t="s">
        <v>17937</v>
      </c>
      <c r="B4830" t="s">
        <v>17938</v>
      </c>
      <c r="D4830" t="s">
        <v>40</v>
      </c>
      <c r="E4830" t="s">
        <v>41</v>
      </c>
      <c r="J4830" t="s">
        <v>14475</v>
      </c>
      <c r="K4830" t="s">
        <v>14476</v>
      </c>
      <c r="L4830">
        <v>1</v>
      </c>
      <c r="M4830" t="s">
        <v>17939</v>
      </c>
      <c r="N4830" t="s">
        <v>14059</v>
      </c>
      <c r="O4830" t="s">
        <v>47</v>
      </c>
      <c r="P4830" t="s">
        <v>47</v>
      </c>
      <c r="Y4830" t="s">
        <v>17940</v>
      </c>
      <c r="AG4830" t="s">
        <v>48</v>
      </c>
    </row>
    <row r="4831" spans="1:33">
      <c r="A4831" t="s">
        <v>17941</v>
      </c>
      <c r="B4831" t="s">
        <v>17942</v>
      </c>
      <c r="D4831" t="s">
        <v>40</v>
      </c>
      <c r="E4831" t="s">
        <v>41</v>
      </c>
      <c r="J4831" t="s">
        <v>43</v>
      </c>
      <c r="K4831" t="s">
        <v>44</v>
      </c>
      <c r="L4831">
        <v>1</v>
      </c>
      <c r="M4831" t="s">
        <v>17943</v>
      </c>
      <c r="N4831" t="s">
        <v>13978</v>
      </c>
      <c r="O4831" t="s">
        <v>47</v>
      </c>
      <c r="P4831" t="s">
        <v>47</v>
      </c>
      <c r="Y4831" t="s">
        <v>17944</v>
      </c>
      <c r="AG4831" t="s">
        <v>48</v>
      </c>
    </row>
    <row r="4832" spans="1:33">
      <c r="A4832" t="s">
        <v>17945</v>
      </c>
      <c r="B4832" t="s">
        <v>17946</v>
      </c>
      <c r="D4832" t="s">
        <v>40</v>
      </c>
      <c r="E4832" t="s">
        <v>41</v>
      </c>
      <c r="J4832" t="s">
        <v>14475</v>
      </c>
      <c r="K4832" t="s">
        <v>14476</v>
      </c>
      <c r="L4832">
        <v>1</v>
      </c>
      <c r="M4832" t="s">
        <v>17947</v>
      </c>
      <c r="N4832" t="s">
        <v>14011</v>
      </c>
      <c r="O4832" t="s">
        <v>47</v>
      </c>
      <c r="P4832" t="s">
        <v>47</v>
      </c>
      <c r="Y4832" t="s">
        <v>17948</v>
      </c>
      <c r="AG4832" t="s">
        <v>48</v>
      </c>
    </row>
    <row r="4833" spans="1:33">
      <c r="A4833" t="s">
        <v>17949</v>
      </c>
      <c r="B4833" t="s">
        <v>17950</v>
      </c>
      <c r="D4833" t="s">
        <v>40</v>
      </c>
      <c r="E4833" t="s">
        <v>41</v>
      </c>
      <c r="J4833" t="s">
        <v>86</v>
      </c>
      <c r="K4833" t="s">
        <v>87</v>
      </c>
      <c r="L4833">
        <v>2</v>
      </c>
      <c r="M4833" t="s">
        <v>17951</v>
      </c>
      <c r="N4833" t="s">
        <v>13978</v>
      </c>
      <c r="O4833" t="s">
        <v>47</v>
      </c>
      <c r="P4833" t="s">
        <v>47</v>
      </c>
      <c r="Y4833" t="s">
        <v>17952</v>
      </c>
      <c r="AG4833" t="s">
        <v>48</v>
      </c>
    </row>
    <row r="4834" spans="1:33">
      <c r="A4834" t="s">
        <v>17953</v>
      </c>
      <c r="B4834" t="s">
        <v>17954</v>
      </c>
      <c r="D4834" t="s">
        <v>40</v>
      </c>
      <c r="E4834" t="s">
        <v>41</v>
      </c>
      <c r="J4834" t="s">
        <v>86</v>
      </c>
      <c r="K4834" t="s">
        <v>87</v>
      </c>
      <c r="L4834">
        <v>2</v>
      </c>
      <c r="M4834" t="s">
        <v>17955</v>
      </c>
      <c r="N4834" t="s">
        <v>16012</v>
      </c>
      <c r="O4834" t="s">
        <v>47</v>
      </c>
      <c r="P4834" t="s">
        <v>47</v>
      </c>
      <c r="Y4834" t="s">
        <v>17956</v>
      </c>
      <c r="AG4834" t="s">
        <v>48</v>
      </c>
    </row>
    <row r="4835" spans="1:33">
      <c r="A4835" t="s">
        <v>17957</v>
      </c>
      <c r="B4835" t="s">
        <v>17958</v>
      </c>
      <c r="D4835" t="s">
        <v>40</v>
      </c>
      <c r="E4835" t="s">
        <v>41</v>
      </c>
      <c r="J4835" t="s">
        <v>86</v>
      </c>
      <c r="K4835" t="s">
        <v>87</v>
      </c>
      <c r="L4835">
        <v>1</v>
      </c>
      <c r="M4835" t="s">
        <v>17959</v>
      </c>
      <c r="N4835" t="s">
        <v>16012</v>
      </c>
      <c r="O4835" t="s">
        <v>47</v>
      </c>
      <c r="P4835" t="s">
        <v>47</v>
      </c>
      <c r="Y4835" t="s">
        <v>17960</v>
      </c>
      <c r="AG4835" t="s">
        <v>48</v>
      </c>
    </row>
    <row r="4836" spans="1:33">
      <c r="A4836" t="s">
        <v>17961</v>
      </c>
      <c r="B4836" t="s">
        <v>17962</v>
      </c>
      <c r="D4836" t="s">
        <v>40</v>
      </c>
      <c r="E4836" t="s">
        <v>41</v>
      </c>
      <c r="J4836" t="s">
        <v>86</v>
      </c>
      <c r="K4836" t="s">
        <v>87</v>
      </c>
      <c r="L4836">
        <v>1</v>
      </c>
      <c r="M4836" t="s">
        <v>17963</v>
      </c>
      <c r="N4836" t="s">
        <v>13978</v>
      </c>
      <c r="O4836" t="s">
        <v>47</v>
      </c>
      <c r="P4836" t="s">
        <v>47</v>
      </c>
      <c r="Y4836" t="s">
        <v>17964</v>
      </c>
      <c r="AG4836" t="s">
        <v>48</v>
      </c>
    </row>
    <row r="4837" spans="1:33">
      <c r="A4837" t="s">
        <v>17965</v>
      </c>
      <c r="B4837" t="s">
        <v>17966</v>
      </c>
      <c r="D4837" t="s">
        <v>40</v>
      </c>
      <c r="E4837" t="s">
        <v>41</v>
      </c>
      <c r="J4837" t="s">
        <v>86</v>
      </c>
      <c r="K4837" t="s">
        <v>87</v>
      </c>
      <c r="L4837">
        <v>1</v>
      </c>
      <c r="M4837" t="s">
        <v>17967</v>
      </c>
      <c r="N4837" t="s">
        <v>13978</v>
      </c>
      <c r="O4837" t="s">
        <v>47</v>
      </c>
      <c r="P4837" t="s">
        <v>47</v>
      </c>
      <c r="Y4837" t="s">
        <v>17968</v>
      </c>
      <c r="AG4837" t="s">
        <v>48</v>
      </c>
    </row>
    <row r="4838" spans="1:33">
      <c r="A4838" t="s">
        <v>17969</v>
      </c>
      <c r="B4838" t="s">
        <v>17970</v>
      </c>
      <c r="D4838" t="s">
        <v>40</v>
      </c>
      <c r="E4838" t="s">
        <v>41</v>
      </c>
      <c r="J4838" t="s">
        <v>6163</v>
      </c>
      <c r="K4838" t="s">
        <v>6164</v>
      </c>
      <c r="L4838">
        <v>1</v>
      </c>
      <c r="M4838" t="s">
        <v>17971</v>
      </c>
      <c r="N4838" t="s">
        <v>14011</v>
      </c>
      <c r="O4838" t="s">
        <v>47</v>
      </c>
      <c r="P4838" t="s">
        <v>47</v>
      </c>
      <c r="Y4838" t="s">
        <v>17972</v>
      </c>
      <c r="AG4838" t="s">
        <v>48</v>
      </c>
    </row>
    <row r="4839" spans="1:33">
      <c r="A4839" t="s">
        <v>17973</v>
      </c>
      <c r="B4839" t="s">
        <v>17974</v>
      </c>
      <c r="D4839" t="s">
        <v>40</v>
      </c>
      <c r="E4839" t="s">
        <v>41</v>
      </c>
      <c r="J4839" t="s">
        <v>10950</v>
      </c>
      <c r="K4839" t="s">
        <v>10950</v>
      </c>
      <c r="L4839">
        <v>1</v>
      </c>
      <c r="M4839" t="s">
        <v>17975</v>
      </c>
      <c r="N4839" t="s">
        <v>14024</v>
      </c>
      <c r="O4839" t="s">
        <v>47</v>
      </c>
      <c r="P4839" t="s">
        <v>47</v>
      </c>
      <c r="Y4839" t="s">
        <v>17976</v>
      </c>
      <c r="AG4839" t="s">
        <v>48</v>
      </c>
    </row>
    <row r="4840" spans="1:33">
      <c r="A4840" t="s">
        <v>17977</v>
      </c>
      <c r="B4840" t="s">
        <v>17978</v>
      </c>
      <c r="D4840" t="s">
        <v>40</v>
      </c>
      <c r="E4840" t="s">
        <v>41</v>
      </c>
      <c r="J4840" t="s">
        <v>86</v>
      </c>
      <c r="K4840" t="s">
        <v>87</v>
      </c>
      <c r="L4840">
        <v>1</v>
      </c>
      <c r="M4840" t="s">
        <v>17979</v>
      </c>
      <c r="N4840" t="s">
        <v>16012</v>
      </c>
      <c r="O4840" t="s">
        <v>47</v>
      </c>
      <c r="P4840" t="s">
        <v>47</v>
      </c>
      <c r="Y4840" t="s">
        <v>17980</v>
      </c>
      <c r="AG4840" t="s">
        <v>48</v>
      </c>
    </row>
    <row r="4841" spans="1:33">
      <c r="A4841" t="s">
        <v>17981</v>
      </c>
      <c r="B4841" t="s">
        <v>17982</v>
      </c>
      <c r="D4841" t="s">
        <v>40</v>
      </c>
      <c r="E4841" t="s">
        <v>41</v>
      </c>
      <c r="J4841" t="s">
        <v>86</v>
      </c>
      <c r="K4841" t="s">
        <v>87</v>
      </c>
      <c r="L4841">
        <v>1</v>
      </c>
      <c r="M4841" t="s">
        <v>17983</v>
      </c>
      <c r="N4841" t="s">
        <v>13978</v>
      </c>
      <c r="O4841" t="s">
        <v>47</v>
      </c>
      <c r="P4841" t="s">
        <v>47</v>
      </c>
      <c r="Y4841" t="s">
        <v>17984</v>
      </c>
      <c r="AG4841" t="s">
        <v>48</v>
      </c>
    </row>
    <row r="4842" spans="1:33">
      <c r="A4842" t="s">
        <v>17985</v>
      </c>
      <c r="B4842" t="s">
        <v>17986</v>
      </c>
      <c r="D4842" t="s">
        <v>40</v>
      </c>
      <c r="E4842" t="s">
        <v>41</v>
      </c>
      <c r="J4842" t="s">
        <v>10950</v>
      </c>
      <c r="K4842" t="s">
        <v>10950</v>
      </c>
      <c r="L4842">
        <v>3</v>
      </c>
      <c r="M4842" t="s">
        <v>17987</v>
      </c>
      <c r="N4842" t="s">
        <v>192</v>
      </c>
      <c r="O4842" t="s">
        <v>47</v>
      </c>
      <c r="P4842" t="s">
        <v>47</v>
      </c>
      <c r="Y4842" t="s">
        <v>17988</v>
      </c>
      <c r="AG4842" t="s">
        <v>48</v>
      </c>
    </row>
    <row r="4843" spans="1:33">
      <c r="A4843" t="s">
        <v>117</v>
      </c>
      <c r="B4843" t="s">
        <v>17989</v>
      </c>
      <c r="D4843" t="s">
        <v>40</v>
      </c>
      <c r="E4843" t="s">
        <v>41</v>
      </c>
      <c r="J4843" t="s">
        <v>3472</v>
      </c>
      <c r="K4843" t="s">
        <v>3473</v>
      </c>
      <c r="L4843">
        <v>1</v>
      </c>
      <c r="M4843" t="s">
        <v>17990</v>
      </c>
      <c r="N4843" t="s">
        <v>14011</v>
      </c>
      <c r="O4843" t="s">
        <v>47</v>
      </c>
      <c r="P4843" t="s">
        <v>47</v>
      </c>
      <c r="Y4843" t="s">
        <v>17991</v>
      </c>
      <c r="AG4843" t="s">
        <v>48</v>
      </c>
    </row>
    <row r="4844" spans="1:33">
      <c r="A4844" t="s">
        <v>17992</v>
      </c>
      <c r="B4844" t="s">
        <v>17993</v>
      </c>
      <c r="D4844" t="s">
        <v>40</v>
      </c>
      <c r="E4844" t="s">
        <v>41</v>
      </c>
      <c r="J4844" t="s">
        <v>86</v>
      </c>
      <c r="K4844" t="s">
        <v>87</v>
      </c>
      <c r="L4844">
        <v>1</v>
      </c>
      <c r="M4844" t="s">
        <v>17994</v>
      </c>
      <c r="N4844" t="s">
        <v>14024</v>
      </c>
      <c r="O4844" t="s">
        <v>47</v>
      </c>
      <c r="P4844" t="s">
        <v>47</v>
      </c>
      <c r="Y4844" t="s">
        <v>17995</v>
      </c>
      <c r="AG4844" t="s">
        <v>48</v>
      </c>
    </row>
    <row r="4845" spans="1:33">
      <c r="A4845" t="s">
        <v>17996</v>
      </c>
      <c r="B4845" t="s">
        <v>17997</v>
      </c>
      <c r="D4845" t="s">
        <v>40</v>
      </c>
      <c r="E4845" t="s">
        <v>41</v>
      </c>
      <c r="J4845" t="s">
        <v>86</v>
      </c>
      <c r="K4845" t="s">
        <v>87</v>
      </c>
      <c r="L4845">
        <v>1</v>
      </c>
      <c r="M4845" t="s">
        <v>17998</v>
      </c>
      <c r="N4845" t="s">
        <v>13978</v>
      </c>
      <c r="O4845" t="s">
        <v>47</v>
      </c>
      <c r="P4845" t="s">
        <v>47</v>
      </c>
      <c r="Y4845" t="s">
        <v>17999</v>
      </c>
      <c r="AG4845" t="s">
        <v>48</v>
      </c>
    </row>
    <row r="4846" spans="1:33">
      <c r="A4846" t="s">
        <v>18000</v>
      </c>
      <c r="B4846" t="s">
        <v>18001</v>
      </c>
      <c r="D4846" t="s">
        <v>40</v>
      </c>
      <c r="E4846" t="s">
        <v>41</v>
      </c>
      <c r="J4846" t="s">
        <v>1052</v>
      </c>
      <c r="K4846" t="s">
        <v>1053</v>
      </c>
      <c r="L4846">
        <v>1</v>
      </c>
      <c r="M4846" t="s">
        <v>18002</v>
      </c>
      <c r="N4846" t="s">
        <v>16012</v>
      </c>
      <c r="O4846" t="s">
        <v>47</v>
      </c>
      <c r="P4846" t="s">
        <v>47</v>
      </c>
      <c r="Y4846" t="s">
        <v>18003</v>
      </c>
      <c r="AG4846" t="s">
        <v>48</v>
      </c>
    </row>
    <row r="4847" spans="1:33">
      <c r="A4847" t="s">
        <v>18004</v>
      </c>
      <c r="B4847" t="s">
        <v>18005</v>
      </c>
      <c r="D4847" t="s">
        <v>40</v>
      </c>
      <c r="E4847" t="s">
        <v>41</v>
      </c>
      <c r="J4847" t="s">
        <v>1418</v>
      </c>
      <c r="K4847" t="s">
        <v>1419</v>
      </c>
      <c r="L4847">
        <v>1</v>
      </c>
      <c r="M4847" t="s">
        <v>18006</v>
      </c>
      <c r="N4847" t="s">
        <v>14011</v>
      </c>
      <c r="O4847" t="s">
        <v>47</v>
      </c>
      <c r="P4847" t="s">
        <v>47</v>
      </c>
      <c r="Y4847" t="s">
        <v>18007</v>
      </c>
      <c r="AG4847" t="s">
        <v>48</v>
      </c>
    </row>
    <row r="4848" spans="1:33">
      <c r="A4848" t="s">
        <v>18008</v>
      </c>
      <c r="B4848" t="s">
        <v>18009</v>
      </c>
      <c r="D4848" t="s">
        <v>40</v>
      </c>
      <c r="E4848" t="s">
        <v>41</v>
      </c>
      <c r="J4848" t="s">
        <v>86</v>
      </c>
      <c r="K4848" t="s">
        <v>87</v>
      </c>
      <c r="L4848">
        <v>3</v>
      </c>
      <c r="M4848" t="s">
        <v>18010</v>
      </c>
      <c r="N4848" t="s">
        <v>13978</v>
      </c>
      <c r="O4848" t="s">
        <v>47</v>
      </c>
      <c r="P4848" t="s">
        <v>47</v>
      </c>
      <c r="Y4848" t="s">
        <v>18011</v>
      </c>
      <c r="AG4848" t="s">
        <v>48</v>
      </c>
    </row>
    <row r="4849" spans="1:33">
      <c r="A4849" t="s">
        <v>117</v>
      </c>
      <c r="B4849" t="s">
        <v>18012</v>
      </c>
      <c r="D4849" t="s">
        <v>40</v>
      </c>
      <c r="E4849" t="s">
        <v>41</v>
      </c>
      <c r="J4849" t="s">
        <v>3472</v>
      </c>
      <c r="K4849" t="s">
        <v>3473</v>
      </c>
      <c r="L4849">
        <v>1</v>
      </c>
      <c r="M4849" t="s">
        <v>18013</v>
      </c>
      <c r="N4849" t="s">
        <v>14024</v>
      </c>
      <c r="O4849" t="s">
        <v>47</v>
      </c>
      <c r="P4849" t="s">
        <v>47</v>
      </c>
      <c r="Y4849" t="s">
        <v>18014</v>
      </c>
      <c r="AG4849" t="s">
        <v>48</v>
      </c>
    </row>
    <row r="4850" spans="1:33">
      <c r="A4850" t="s">
        <v>18015</v>
      </c>
      <c r="B4850" t="s">
        <v>18016</v>
      </c>
      <c r="D4850" t="s">
        <v>40</v>
      </c>
      <c r="E4850" t="s">
        <v>41</v>
      </c>
      <c r="J4850" t="s">
        <v>13514</v>
      </c>
      <c r="K4850" t="s">
        <v>13515</v>
      </c>
      <c r="L4850">
        <v>2</v>
      </c>
      <c r="M4850" t="s">
        <v>18017</v>
      </c>
      <c r="N4850" t="s">
        <v>59</v>
      </c>
      <c r="O4850" t="s">
        <v>47</v>
      </c>
      <c r="P4850" t="s">
        <v>47</v>
      </c>
      <c r="Y4850" t="s">
        <v>18018</v>
      </c>
      <c r="AG4850" t="s">
        <v>48</v>
      </c>
    </row>
    <row r="4851" spans="1:33">
      <c r="A4851" t="s">
        <v>18019</v>
      </c>
      <c r="B4851" t="s">
        <v>18020</v>
      </c>
      <c r="D4851" t="s">
        <v>40</v>
      </c>
      <c r="E4851" t="s">
        <v>41</v>
      </c>
      <c r="J4851" t="s">
        <v>3472</v>
      </c>
      <c r="K4851" t="s">
        <v>3473</v>
      </c>
      <c r="L4851">
        <v>1</v>
      </c>
      <c r="M4851" t="s">
        <v>18021</v>
      </c>
      <c r="N4851" t="s">
        <v>14011</v>
      </c>
      <c r="O4851" t="s">
        <v>47</v>
      </c>
      <c r="P4851" t="s">
        <v>47</v>
      </c>
      <c r="Y4851" t="s">
        <v>18022</v>
      </c>
      <c r="AG4851" t="s">
        <v>48</v>
      </c>
    </row>
    <row r="4852" spans="1:33">
      <c r="A4852" t="s">
        <v>18023</v>
      </c>
      <c r="B4852" t="s">
        <v>18024</v>
      </c>
      <c r="D4852" t="s">
        <v>40</v>
      </c>
      <c r="E4852" t="s">
        <v>41</v>
      </c>
      <c r="J4852" t="s">
        <v>86</v>
      </c>
      <c r="K4852" t="s">
        <v>87</v>
      </c>
      <c r="L4852">
        <v>1</v>
      </c>
      <c r="M4852" t="s">
        <v>18025</v>
      </c>
      <c r="N4852" t="s">
        <v>16012</v>
      </c>
      <c r="O4852" t="s">
        <v>47</v>
      </c>
      <c r="P4852" t="s">
        <v>47</v>
      </c>
      <c r="Y4852" t="s">
        <v>18026</v>
      </c>
      <c r="AG4852" t="s">
        <v>48</v>
      </c>
    </row>
    <row r="4853" spans="1:33">
      <c r="A4853" t="s">
        <v>18027</v>
      </c>
      <c r="B4853" t="s">
        <v>18028</v>
      </c>
      <c r="D4853" t="s">
        <v>40</v>
      </c>
      <c r="E4853" t="s">
        <v>41</v>
      </c>
      <c r="J4853" t="s">
        <v>4737</v>
      </c>
      <c r="K4853" t="s">
        <v>4738</v>
      </c>
      <c r="L4853">
        <v>1</v>
      </c>
      <c r="M4853" t="s">
        <v>18029</v>
      </c>
      <c r="N4853" t="s">
        <v>13978</v>
      </c>
      <c r="O4853" t="s">
        <v>47</v>
      </c>
      <c r="P4853" t="s">
        <v>47</v>
      </c>
      <c r="Y4853" t="s">
        <v>18030</v>
      </c>
      <c r="AG4853" t="s">
        <v>48</v>
      </c>
    </row>
    <row r="4854" spans="1:33">
      <c r="A4854" t="s">
        <v>18031</v>
      </c>
      <c r="B4854" t="s">
        <v>18032</v>
      </c>
      <c r="D4854" t="s">
        <v>40</v>
      </c>
      <c r="E4854" t="s">
        <v>41</v>
      </c>
      <c r="J4854" t="s">
        <v>3472</v>
      </c>
      <c r="K4854" t="s">
        <v>3473</v>
      </c>
      <c r="L4854">
        <v>1</v>
      </c>
      <c r="M4854" t="s">
        <v>18033</v>
      </c>
      <c r="N4854" t="s">
        <v>14011</v>
      </c>
      <c r="O4854" t="s">
        <v>47</v>
      </c>
      <c r="P4854" t="s">
        <v>47</v>
      </c>
      <c r="Y4854" t="s">
        <v>18034</v>
      </c>
      <c r="AG4854" t="s">
        <v>48</v>
      </c>
    </row>
    <row r="4855" spans="1:33">
      <c r="A4855" t="s">
        <v>18035</v>
      </c>
      <c r="B4855" t="s">
        <v>18036</v>
      </c>
      <c r="D4855" t="s">
        <v>40</v>
      </c>
      <c r="E4855" t="s">
        <v>41</v>
      </c>
      <c r="J4855" t="s">
        <v>1418</v>
      </c>
      <c r="K4855" t="s">
        <v>1419</v>
      </c>
      <c r="L4855">
        <v>1</v>
      </c>
      <c r="M4855" t="s">
        <v>18037</v>
      </c>
      <c r="N4855" t="s">
        <v>218</v>
      </c>
      <c r="O4855" t="s">
        <v>47</v>
      </c>
      <c r="P4855" t="s">
        <v>47</v>
      </c>
      <c r="Y4855" t="s">
        <v>18038</v>
      </c>
      <c r="AG4855" t="s">
        <v>48</v>
      </c>
    </row>
    <row r="4856" spans="1:33">
      <c r="A4856" t="s">
        <v>18039</v>
      </c>
      <c r="B4856" t="s">
        <v>18040</v>
      </c>
      <c r="D4856" t="s">
        <v>40</v>
      </c>
      <c r="E4856" t="s">
        <v>41</v>
      </c>
      <c r="J4856" t="s">
        <v>8931</v>
      </c>
      <c r="K4856" t="s">
        <v>8932</v>
      </c>
      <c r="L4856">
        <v>2</v>
      </c>
      <c r="M4856" t="s">
        <v>18041</v>
      </c>
      <c r="N4856" t="s">
        <v>14024</v>
      </c>
      <c r="O4856" t="s">
        <v>47</v>
      </c>
      <c r="P4856" t="s">
        <v>47</v>
      </c>
      <c r="Y4856" t="s">
        <v>18042</v>
      </c>
      <c r="AG4856" t="s">
        <v>48</v>
      </c>
    </row>
    <row r="4857" spans="1:33">
      <c r="A4857" t="s">
        <v>18043</v>
      </c>
      <c r="B4857" t="s">
        <v>18044</v>
      </c>
      <c r="D4857" t="s">
        <v>40</v>
      </c>
      <c r="E4857" t="s">
        <v>41</v>
      </c>
      <c r="J4857" t="s">
        <v>86</v>
      </c>
      <c r="K4857" t="s">
        <v>87</v>
      </c>
      <c r="L4857">
        <v>1</v>
      </c>
      <c r="M4857" t="s">
        <v>18045</v>
      </c>
      <c r="N4857" t="s">
        <v>13978</v>
      </c>
      <c r="O4857" t="s">
        <v>47</v>
      </c>
      <c r="P4857" t="s">
        <v>47</v>
      </c>
      <c r="Y4857" t="s">
        <v>18046</v>
      </c>
      <c r="AG4857" t="s">
        <v>48</v>
      </c>
    </row>
    <row r="4858" spans="1:33">
      <c r="A4858" t="s">
        <v>18047</v>
      </c>
      <c r="B4858" t="s">
        <v>18048</v>
      </c>
      <c r="D4858" t="s">
        <v>40</v>
      </c>
      <c r="E4858" t="s">
        <v>41</v>
      </c>
      <c r="J4858" t="s">
        <v>3472</v>
      </c>
      <c r="K4858" t="s">
        <v>3473</v>
      </c>
      <c r="L4858">
        <v>1</v>
      </c>
      <c r="M4858" t="s">
        <v>18049</v>
      </c>
      <c r="N4858" t="s">
        <v>13978</v>
      </c>
      <c r="O4858" t="s">
        <v>47</v>
      </c>
      <c r="P4858" t="s">
        <v>47</v>
      </c>
      <c r="Y4858" t="s">
        <v>18050</v>
      </c>
      <c r="AG4858" t="s">
        <v>48</v>
      </c>
    </row>
    <row r="4859" spans="1:33">
      <c r="A4859" t="s">
        <v>18051</v>
      </c>
      <c r="B4859" t="s">
        <v>18052</v>
      </c>
      <c r="D4859" t="s">
        <v>40</v>
      </c>
      <c r="E4859" t="s">
        <v>41</v>
      </c>
      <c r="J4859" t="s">
        <v>14475</v>
      </c>
      <c r="K4859" t="s">
        <v>14476</v>
      </c>
      <c r="L4859">
        <v>1</v>
      </c>
      <c r="M4859" t="s">
        <v>18053</v>
      </c>
      <c r="N4859" t="s">
        <v>14059</v>
      </c>
      <c r="O4859" t="s">
        <v>47</v>
      </c>
      <c r="P4859" t="s">
        <v>47</v>
      </c>
      <c r="Y4859" t="s">
        <v>18054</v>
      </c>
      <c r="AG4859" t="s">
        <v>48</v>
      </c>
    </row>
    <row r="4860" spans="1:33">
      <c r="A4860" t="s">
        <v>18055</v>
      </c>
      <c r="B4860" t="s">
        <v>18056</v>
      </c>
      <c r="D4860" t="s">
        <v>40</v>
      </c>
      <c r="E4860" t="s">
        <v>41</v>
      </c>
      <c r="J4860" t="s">
        <v>6025</v>
      </c>
      <c r="K4860" t="s">
        <v>6026</v>
      </c>
      <c r="L4860">
        <v>1</v>
      </c>
      <c r="M4860" t="s">
        <v>18057</v>
      </c>
      <c r="N4860" t="s">
        <v>14011</v>
      </c>
      <c r="O4860" t="s">
        <v>47</v>
      </c>
      <c r="P4860" t="s">
        <v>47</v>
      </c>
      <c r="Y4860" t="s">
        <v>18058</v>
      </c>
      <c r="AG4860" t="s">
        <v>48</v>
      </c>
    </row>
    <row r="4861" spans="1:33">
      <c r="A4861" t="s">
        <v>18059</v>
      </c>
      <c r="B4861" t="s">
        <v>18060</v>
      </c>
      <c r="D4861" t="s">
        <v>40</v>
      </c>
      <c r="E4861" t="s">
        <v>41</v>
      </c>
      <c r="J4861" t="s">
        <v>43</v>
      </c>
      <c r="K4861" t="s">
        <v>44</v>
      </c>
      <c r="L4861">
        <v>2</v>
      </c>
      <c r="M4861" t="s">
        <v>18061</v>
      </c>
      <c r="N4861" t="s">
        <v>13978</v>
      </c>
      <c r="O4861" t="s">
        <v>47</v>
      </c>
      <c r="P4861" t="s">
        <v>47</v>
      </c>
      <c r="Y4861" t="s">
        <v>18062</v>
      </c>
      <c r="AG4861" t="s">
        <v>48</v>
      </c>
    </row>
    <row r="4862" spans="1:33">
      <c r="A4862" t="s">
        <v>18063</v>
      </c>
      <c r="B4862" t="s">
        <v>18064</v>
      </c>
      <c r="D4862" t="s">
        <v>40</v>
      </c>
      <c r="E4862" t="s">
        <v>41</v>
      </c>
      <c r="J4862" t="s">
        <v>6025</v>
      </c>
      <c r="K4862" t="s">
        <v>6026</v>
      </c>
      <c r="L4862">
        <v>1</v>
      </c>
      <c r="M4862" t="s">
        <v>18065</v>
      </c>
      <c r="N4862" t="s">
        <v>14011</v>
      </c>
      <c r="O4862" t="s">
        <v>47</v>
      </c>
      <c r="P4862" t="s">
        <v>47</v>
      </c>
      <c r="Y4862" t="s">
        <v>18066</v>
      </c>
      <c r="AG4862" t="s">
        <v>48</v>
      </c>
    </row>
    <row r="4863" spans="1:33">
      <c r="A4863" t="s">
        <v>18067</v>
      </c>
      <c r="B4863" t="s">
        <v>18068</v>
      </c>
      <c r="D4863" t="s">
        <v>40</v>
      </c>
      <c r="E4863" t="s">
        <v>41</v>
      </c>
      <c r="J4863" t="s">
        <v>86</v>
      </c>
      <c r="K4863" t="s">
        <v>87</v>
      </c>
      <c r="L4863">
        <v>1</v>
      </c>
      <c r="M4863" t="s">
        <v>18069</v>
      </c>
      <c r="N4863" t="s">
        <v>13978</v>
      </c>
      <c r="O4863" t="s">
        <v>47</v>
      </c>
      <c r="P4863" t="s">
        <v>47</v>
      </c>
      <c r="Y4863" t="s">
        <v>18070</v>
      </c>
      <c r="AG4863" t="s">
        <v>48</v>
      </c>
    </row>
    <row r="4864" spans="1:33">
      <c r="A4864" t="s">
        <v>18071</v>
      </c>
      <c r="B4864" t="s">
        <v>18072</v>
      </c>
      <c r="D4864" t="s">
        <v>40</v>
      </c>
      <c r="E4864" t="s">
        <v>41</v>
      </c>
      <c r="J4864" t="s">
        <v>1418</v>
      </c>
      <c r="K4864" t="s">
        <v>1419</v>
      </c>
      <c r="L4864">
        <v>1</v>
      </c>
      <c r="M4864" t="s">
        <v>18073</v>
      </c>
      <c r="N4864" t="s">
        <v>192</v>
      </c>
      <c r="O4864" t="s">
        <v>47</v>
      </c>
      <c r="P4864" t="s">
        <v>47</v>
      </c>
      <c r="Y4864" t="s">
        <v>18074</v>
      </c>
      <c r="AG4864" t="s">
        <v>48</v>
      </c>
    </row>
    <row r="4865" spans="1:33">
      <c r="A4865" t="s">
        <v>18075</v>
      </c>
      <c r="B4865" t="s">
        <v>18076</v>
      </c>
      <c r="D4865" t="s">
        <v>40</v>
      </c>
      <c r="E4865" t="s">
        <v>41</v>
      </c>
      <c r="J4865" t="s">
        <v>6163</v>
      </c>
      <c r="K4865" t="s">
        <v>6164</v>
      </c>
      <c r="L4865">
        <v>2</v>
      </c>
      <c r="M4865" t="s">
        <v>18077</v>
      </c>
      <c r="N4865" t="s">
        <v>16012</v>
      </c>
      <c r="O4865" t="s">
        <v>47</v>
      </c>
      <c r="P4865" t="s">
        <v>47</v>
      </c>
      <c r="Y4865" t="s">
        <v>18078</v>
      </c>
      <c r="AG4865" t="s">
        <v>48</v>
      </c>
    </row>
    <row r="4866" spans="1:33">
      <c r="A4866" t="s">
        <v>117</v>
      </c>
      <c r="B4866" t="s">
        <v>18079</v>
      </c>
      <c r="D4866" t="s">
        <v>40</v>
      </c>
      <c r="E4866" t="s">
        <v>41</v>
      </c>
      <c r="J4866" t="s">
        <v>1052</v>
      </c>
      <c r="K4866" t="s">
        <v>1053</v>
      </c>
      <c r="L4866">
        <v>2</v>
      </c>
      <c r="M4866" t="s">
        <v>18080</v>
      </c>
      <c r="N4866" t="s">
        <v>13978</v>
      </c>
      <c r="O4866" t="s">
        <v>47</v>
      </c>
      <c r="P4866" t="s">
        <v>47</v>
      </c>
      <c r="Y4866" t="s">
        <v>18081</v>
      </c>
      <c r="AG4866" t="s">
        <v>48</v>
      </c>
    </row>
    <row r="4867" spans="1:33">
      <c r="A4867" t="s">
        <v>18082</v>
      </c>
      <c r="B4867" t="s">
        <v>18083</v>
      </c>
      <c r="D4867" t="s">
        <v>40</v>
      </c>
      <c r="E4867" t="s">
        <v>41</v>
      </c>
      <c r="J4867" t="s">
        <v>14475</v>
      </c>
      <c r="K4867" t="s">
        <v>14476</v>
      </c>
      <c r="L4867">
        <v>1</v>
      </c>
      <c r="M4867" t="s">
        <v>18084</v>
      </c>
      <c r="N4867" t="s">
        <v>14059</v>
      </c>
      <c r="O4867" t="s">
        <v>47</v>
      </c>
      <c r="P4867" t="s">
        <v>47</v>
      </c>
      <c r="Y4867" t="s">
        <v>18085</v>
      </c>
      <c r="AG4867" t="s">
        <v>48</v>
      </c>
    </row>
    <row r="4868" spans="1:33">
      <c r="A4868" t="s">
        <v>18086</v>
      </c>
      <c r="B4868" t="s">
        <v>18087</v>
      </c>
      <c r="D4868" t="s">
        <v>40</v>
      </c>
      <c r="E4868" t="s">
        <v>41</v>
      </c>
      <c r="J4868" t="s">
        <v>3472</v>
      </c>
      <c r="K4868" t="s">
        <v>3473</v>
      </c>
      <c r="L4868">
        <v>1</v>
      </c>
      <c r="M4868" t="s">
        <v>18088</v>
      </c>
      <c r="N4868" t="s">
        <v>14011</v>
      </c>
      <c r="O4868" t="s">
        <v>47</v>
      </c>
      <c r="P4868" t="s">
        <v>47</v>
      </c>
      <c r="Y4868" t="s">
        <v>18089</v>
      </c>
      <c r="AG4868" t="s">
        <v>48</v>
      </c>
    </row>
    <row r="4869" spans="1:33">
      <c r="A4869" t="s">
        <v>117</v>
      </c>
      <c r="B4869" t="s">
        <v>18090</v>
      </c>
      <c r="D4869" t="s">
        <v>40</v>
      </c>
      <c r="E4869" t="s">
        <v>41</v>
      </c>
      <c r="J4869" t="s">
        <v>1418</v>
      </c>
      <c r="K4869" t="s">
        <v>1419</v>
      </c>
      <c r="L4869">
        <v>1</v>
      </c>
      <c r="M4869" t="s">
        <v>18091</v>
      </c>
      <c r="N4869" t="s">
        <v>218</v>
      </c>
      <c r="O4869" t="s">
        <v>47</v>
      </c>
      <c r="P4869" t="s">
        <v>47</v>
      </c>
      <c r="Y4869" t="s">
        <v>18092</v>
      </c>
      <c r="AG4869" t="s">
        <v>48</v>
      </c>
    </row>
    <row r="4870" spans="1:33">
      <c r="A4870" t="s">
        <v>18093</v>
      </c>
      <c r="B4870" t="s">
        <v>18094</v>
      </c>
      <c r="D4870" t="s">
        <v>40</v>
      </c>
      <c r="E4870" t="s">
        <v>41</v>
      </c>
      <c r="J4870" t="s">
        <v>86</v>
      </c>
      <c r="K4870" t="s">
        <v>87</v>
      </c>
      <c r="L4870">
        <v>1</v>
      </c>
      <c r="M4870" t="s">
        <v>18095</v>
      </c>
      <c r="N4870" t="s">
        <v>16012</v>
      </c>
      <c r="O4870" t="s">
        <v>47</v>
      </c>
      <c r="P4870" t="s">
        <v>47</v>
      </c>
      <c r="Y4870" t="s">
        <v>18096</v>
      </c>
      <c r="AG4870" t="s">
        <v>48</v>
      </c>
    </row>
    <row r="4871" spans="1:33">
      <c r="A4871" t="s">
        <v>18097</v>
      </c>
      <c r="B4871" t="s">
        <v>18098</v>
      </c>
      <c r="D4871" t="s">
        <v>40</v>
      </c>
      <c r="E4871" t="s">
        <v>41</v>
      </c>
      <c r="J4871" t="s">
        <v>86</v>
      </c>
      <c r="K4871" t="s">
        <v>87</v>
      </c>
      <c r="L4871">
        <v>2</v>
      </c>
      <c r="M4871" t="s">
        <v>18099</v>
      </c>
      <c r="N4871" t="s">
        <v>13978</v>
      </c>
      <c r="O4871" t="s">
        <v>47</v>
      </c>
      <c r="P4871" t="s">
        <v>47</v>
      </c>
      <c r="Y4871" t="s">
        <v>18100</v>
      </c>
      <c r="AG4871" t="s">
        <v>48</v>
      </c>
    </row>
    <row r="4872" spans="1:33">
      <c r="A4872" t="s">
        <v>18101</v>
      </c>
      <c r="B4872" t="s">
        <v>18102</v>
      </c>
      <c r="D4872" t="s">
        <v>40</v>
      </c>
      <c r="E4872" t="s">
        <v>41</v>
      </c>
      <c r="J4872" t="s">
        <v>3472</v>
      </c>
      <c r="K4872" t="s">
        <v>3473</v>
      </c>
      <c r="L4872">
        <v>1</v>
      </c>
      <c r="M4872" t="s">
        <v>18103</v>
      </c>
      <c r="N4872" t="s">
        <v>14011</v>
      </c>
      <c r="O4872" t="s">
        <v>47</v>
      </c>
      <c r="P4872" t="s">
        <v>47</v>
      </c>
      <c r="Y4872" t="s">
        <v>18104</v>
      </c>
      <c r="AG4872" t="s">
        <v>48</v>
      </c>
    </row>
    <row r="4873" spans="1:33">
      <c r="A4873" t="s">
        <v>18105</v>
      </c>
      <c r="B4873" t="s">
        <v>18106</v>
      </c>
      <c r="D4873" t="s">
        <v>40</v>
      </c>
      <c r="E4873" t="s">
        <v>41</v>
      </c>
      <c r="J4873" t="s">
        <v>86</v>
      </c>
      <c r="K4873" t="s">
        <v>87</v>
      </c>
      <c r="L4873">
        <v>1</v>
      </c>
      <c r="M4873" t="s">
        <v>18107</v>
      </c>
      <c r="N4873" t="s">
        <v>14340</v>
      </c>
      <c r="O4873" t="s">
        <v>47</v>
      </c>
      <c r="P4873" t="s">
        <v>47</v>
      </c>
      <c r="Y4873" t="s">
        <v>18108</v>
      </c>
      <c r="AG4873" t="s">
        <v>48</v>
      </c>
    </row>
    <row r="4874" spans="1:33">
      <c r="A4874" t="s">
        <v>18109</v>
      </c>
      <c r="B4874" t="s">
        <v>18110</v>
      </c>
      <c r="D4874" t="s">
        <v>40</v>
      </c>
      <c r="E4874" t="s">
        <v>41</v>
      </c>
      <c r="J4874" t="s">
        <v>86</v>
      </c>
      <c r="K4874" t="s">
        <v>87</v>
      </c>
      <c r="L4874">
        <v>1</v>
      </c>
      <c r="M4874" t="s">
        <v>18111</v>
      </c>
      <c r="N4874" t="s">
        <v>192</v>
      </c>
      <c r="O4874" t="s">
        <v>47</v>
      </c>
      <c r="P4874" t="s">
        <v>47</v>
      </c>
      <c r="Y4874" t="s">
        <v>18112</v>
      </c>
      <c r="AG4874" t="s">
        <v>48</v>
      </c>
    </row>
    <row r="4875" spans="1:33">
      <c r="A4875" t="s">
        <v>18113</v>
      </c>
      <c r="B4875" t="s">
        <v>18114</v>
      </c>
      <c r="D4875" t="s">
        <v>40</v>
      </c>
      <c r="E4875" t="s">
        <v>41</v>
      </c>
      <c r="J4875" t="s">
        <v>43</v>
      </c>
      <c r="K4875" t="s">
        <v>44</v>
      </c>
      <c r="L4875">
        <v>2</v>
      </c>
      <c r="M4875" t="s">
        <v>18115</v>
      </c>
      <c r="N4875" t="s">
        <v>13978</v>
      </c>
      <c r="O4875" t="s">
        <v>47</v>
      </c>
      <c r="P4875" t="s">
        <v>47</v>
      </c>
      <c r="Y4875" t="s">
        <v>18116</v>
      </c>
      <c r="AG4875" t="s">
        <v>48</v>
      </c>
    </row>
    <row r="4876" spans="1:33">
      <c r="A4876" t="s">
        <v>18117</v>
      </c>
      <c r="B4876" t="s">
        <v>18118</v>
      </c>
      <c r="D4876" t="s">
        <v>40</v>
      </c>
      <c r="E4876" t="s">
        <v>41</v>
      </c>
      <c r="J4876" t="s">
        <v>1418</v>
      </c>
      <c r="K4876" t="s">
        <v>1419</v>
      </c>
      <c r="L4876">
        <v>1</v>
      </c>
      <c r="M4876" t="s">
        <v>18119</v>
      </c>
      <c r="N4876" t="s">
        <v>14059</v>
      </c>
      <c r="O4876" t="s">
        <v>47</v>
      </c>
      <c r="P4876" t="s">
        <v>47</v>
      </c>
      <c r="Y4876" t="s">
        <v>18120</v>
      </c>
      <c r="AG4876" t="s">
        <v>48</v>
      </c>
    </row>
    <row r="4877" spans="1:33">
      <c r="A4877" t="s">
        <v>18121</v>
      </c>
      <c r="B4877" t="s">
        <v>18122</v>
      </c>
      <c r="D4877" t="s">
        <v>40</v>
      </c>
      <c r="E4877" t="s">
        <v>41</v>
      </c>
      <c r="J4877" t="s">
        <v>43</v>
      </c>
      <c r="K4877" t="s">
        <v>44</v>
      </c>
      <c r="L4877">
        <v>1</v>
      </c>
      <c r="M4877" t="s">
        <v>18123</v>
      </c>
      <c r="N4877" t="s">
        <v>13978</v>
      </c>
      <c r="O4877" t="s">
        <v>47</v>
      </c>
      <c r="P4877" t="s">
        <v>47</v>
      </c>
      <c r="Y4877" t="s">
        <v>18124</v>
      </c>
      <c r="AG4877" t="s">
        <v>48</v>
      </c>
    </row>
    <row r="4878" spans="1:33">
      <c r="A4878" t="s">
        <v>18125</v>
      </c>
      <c r="B4878" t="s">
        <v>18126</v>
      </c>
      <c r="D4878" t="s">
        <v>40</v>
      </c>
      <c r="E4878" t="s">
        <v>41</v>
      </c>
      <c r="J4878" t="s">
        <v>14204</v>
      </c>
      <c r="K4878" t="s">
        <v>14205</v>
      </c>
      <c r="L4878">
        <v>1</v>
      </c>
      <c r="M4878" t="s">
        <v>18127</v>
      </c>
      <c r="N4878" t="s">
        <v>16012</v>
      </c>
      <c r="O4878" t="s">
        <v>47</v>
      </c>
      <c r="P4878" t="s">
        <v>47</v>
      </c>
      <c r="Y4878" t="s">
        <v>18128</v>
      </c>
      <c r="AG4878" t="s">
        <v>48</v>
      </c>
    </row>
    <row r="4879" spans="1:33">
      <c r="A4879" t="s">
        <v>18129</v>
      </c>
      <c r="B4879" t="s">
        <v>18130</v>
      </c>
      <c r="D4879" t="s">
        <v>40</v>
      </c>
      <c r="E4879" t="s">
        <v>41</v>
      </c>
      <c r="J4879" t="s">
        <v>8931</v>
      </c>
      <c r="K4879" t="s">
        <v>8932</v>
      </c>
      <c r="L4879">
        <v>2</v>
      </c>
      <c r="M4879" t="s">
        <v>18131</v>
      </c>
      <c r="N4879" t="s">
        <v>14340</v>
      </c>
      <c r="O4879" t="s">
        <v>47</v>
      </c>
      <c r="P4879" t="s">
        <v>47</v>
      </c>
      <c r="Y4879" t="s">
        <v>18132</v>
      </c>
      <c r="AG4879" t="s">
        <v>48</v>
      </c>
    </row>
    <row r="4880" spans="1:33">
      <c r="A4880" t="s">
        <v>18133</v>
      </c>
      <c r="B4880" t="s">
        <v>18134</v>
      </c>
      <c r="D4880" t="s">
        <v>40</v>
      </c>
      <c r="E4880" t="s">
        <v>41</v>
      </c>
      <c r="J4880" t="s">
        <v>1418</v>
      </c>
      <c r="K4880" t="s">
        <v>1419</v>
      </c>
      <c r="L4880">
        <v>1</v>
      </c>
      <c r="M4880" t="s">
        <v>18135</v>
      </c>
      <c r="N4880" t="s">
        <v>13978</v>
      </c>
      <c r="O4880" t="s">
        <v>47</v>
      </c>
      <c r="P4880" t="s">
        <v>47</v>
      </c>
      <c r="Y4880" t="s">
        <v>18136</v>
      </c>
      <c r="AG4880" t="s">
        <v>48</v>
      </c>
    </row>
    <row r="4881" spans="1:33">
      <c r="A4881" t="s">
        <v>18137</v>
      </c>
      <c r="B4881" t="s">
        <v>18138</v>
      </c>
      <c r="D4881" t="s">
        <v>40</v>
      </c>
      <c r="E4881" t="s">
        <v>41</v>
      </c>
      <c r="J4881" t="s">
        <v>86</v>
      </c>
      <c r="K4881" t="s">
        <v>87</v>
      </c>
      <c r="L4881">
        <v>1</v>
      </c>
      <c r="M4881" t="s">
        <v>18139</v>
      </c>
      <c r="N4881" t="s">
        <v>13978</v>
      </c>
      <c r="O4881" t="s">
        <v>47</v>
      </c>
      <c r="P4881" t="s">
        <v>47</v>
      </c>
      <c r="Y4881" t="s">
        <v>18140</v>
      </c>
      <c r="AG4881" t="s">
        <v>48</v>
      </c>
    </row>
    <row r="4882" spans="1:33">
      <c r="A4882" t="s">
        <v>18141</v>
      </c>
      <c r="B4882" t="s">
        <v>18142</v>
      </c>
      <c r="D4882" t="s">
        <v>40</v>
      </c>
      <c r="E4882" t="s">
        <v>41</v>
      </c>
      <c r="J4882" t="s">
        <v>86</v>
      </c>
      <c r="K4882" t="s">
        <v>87</v>
      </c>
      <c r="L4882">
        <v>1</v>
      </c>
      <c r="M4882" t="s">
        <v>18143</v>
      </c>
      <c r="N4882" t="s">
        <v>14024</v>
      </c>
      <c r="O4882" t="s">
        <v>47</v>
      </c>
      <c r="P4882" t="s">
        <v>47</v>
      </c>
      <c r="Y4882" t="s">
        <v>18144</v>
      </c>
      <c r="AG4882" t="s">
        <v>48</v>
      </c>
    </row>
    <row r="4883" spans="1:33">
      <c r="A4883" t="s">
        <v>18145</v>
      </c>
      <c r="B4883" t="s">
        <v>18146</v>
      </c>
      <c r="D4883" t="s">
        <v>40</v>
      </c>
      <c r="E4883" t="s">
        <v>41</v>
      </c>
      <c r="J4883" t="s">
        <v>14475</v>
      </c>
      <c r="K4883" t="s">
        <v>14476</v>
      </c>
      <c r="L4883">
        <v>1</v>
      </c>
      <c r="M4883" t="s">
        <v>18147</v>
      </c>
      <c r="N4883" t="s">
        <v>14059</v>
      </c>
      <c r="O4883" t="s">
        <v>47</v>
      </c>
      <c r="P4883" t="s">
        <v>47</v>
      </c>
      <c r="Y4883" t="s">
        <v>18148</v>
      </c>
      <c r="AG4883" t="s">
        <v>48</v>
      </c>
    </row>
    <row r="4884" spans="1:33">
      <c r="A4884" t="s">
        <v>18149</v>
      </c>
      <c r="B4884" t="s">
        <v>18150</v>
      </c>
      <c r="D4884" t="s">
        <v>40</v>
      </c>
      <c r="E4884" t="s">
        <v>41</v>
      </c>
      <c r="J4884" t="s">
        <v>14204</v>
      </c>
      <c r="K4884" t="s">
        <v>14205</v>
      </c>
      <c r="L4884">
        <v>1</v>
      </c>
      <c r="M4884" t="s">
        <v>18151</v>
      </c>
      <c r="N4884" t="s">
        <v>14340</v>
      </c>
      <c r="O4884" t="s">
        <v>47</v>
      </c>
      <c r="P4884" t="s">
        <v>47</v>
      </c>
      <c r="Y4884" t="s">
        <v>18152</v>
      </c>
      <c r="AG4884" t="s">
        <v>48</v>
      </c>
    </row>
    <row r="4885" spans="1:33">
      <c r="A4885" t="s">
        <v>18153</v>
      </c>
      <c r="B4885" t="s">
        <v>18154</v>
      </c>
      <c r="D4885" t="s">
        <v>40</v>
      </c>
      <c r="E4885" t="s">
        <v>41</v>
      </c>
      <c r="J4885" t="s">
        <v>86</v>
      </c>
      <c r="K4885" t="s">
        <v>87</v>
      </c>
      <c r="L4885">
        <v>1</v>
      </c>
      <c r="M4885" t="s">
        <v>18155</v>
      </c>
      <c r="N4885" t="s">
        <v>192</v>
      </c>
      <c r="O4885" t="s">
        <v>47</v>
      </c>
      <c r="P4885" t="s">
        <v>47</v>
      </c>
      <c r="Y4885" t="s">
        <v>18156</v>
      </c>
      <c r="AG4885" t="s">
        <v>48</v>
      </c>
    </row>
    <row r="4886" spans="1:33">
      <c r="A4886" t="s">
        <v>18157</v>
      </c>
      <c r="B4886" t="s">
        <v>18158</v>
      </c>
      <c r="D4886" t="s">
        <v>40</v>
      </c>
      <c r="E4886" t="s">
        <v>41</v>
      </c>
      <c r="J4886" t="s">
        <v>14204</v>
      </c>
      <c r="K4886" t="s">
        <v>14205</v>
      </c>
      <c r="L4886">
        <v>1</v>
      </c>
      <c r="M4886" t="s">
        <v>18155</v>
      </c>
      <c r="N4886" t="s">
        <v>218</v>
      </c>
      <c r="O4886" t="s">
        <v>47</v>
      </c>
      <c r="P4886" t="s">
        <v>47</v>
      </c>
      <c r="Y4886" t="s">
        <v>18159</v>
      </c>
      <c r="AG4886" t="s">
        <v>48</v>
      </c>
    </row>
    <row r="4887" spans="1:33">
      <c r="A4887" t="s">
        <v>18160</v>
      </c>
      <c r="B4887" t="s">
        <v>18161</v>
      </c>
      <c r="D4887" t="s">
        <v>40</v>
      </c>
      <c r="E4887" t="s">
        <v>41</v>
      </c>
      <c r="J4887" t="s">
        <v>86</v>
      </c>
      <c r="K4887" t="s">
        <v>87</v>
      </c>
      <c r="L4887">
        <v>1</v>
      </c>
      <c r="M4887" t="s">
        <v>18162</v>
      </c>
      <c r="N4887" t="s">
        <v>14024</v>
      </c>
      <c r="O4887" t="s">
        <v>47</v>
      </c>
      <c r="P4887" t="s">
        <v>47</v>
      </c>
      <c r="Y4887" t="s">
        <v>18163</v>
      </c>
      <c r="AG4887" t="s">
        <v>48</v>
      </c>
    </row>
    <row r="4888" spans="1:33">
      <c r="A4888" t="s">
        <v>18164</v>
      </c>
      <c r="B4888" t="s">
        <v>18165</v>
      </c>
      <c r="D4888" t="s">
        <v>40</v>
      </c>
      <c r="E4888" t="s">
        <v>41</v>
      </c>
      <c r="J4888" t="s">
        <v>86</v>
      </c>
      <c r="K4888" t="s">
        <v>87</v>
      </c>
      <c r="L4888">
        <v>1</v>
      </c>
      <c r="M4888" t="s">
        <v>18162</v>
      </c>
      <c r="N4888" t="s">
        <v>192</v>
      </c>
      <c r="O4888" t="s">
        <v>47</v>
      </c>
      <c r="P4888" t="s">
        <v>47</v>
      </c>
      <c r="Y4888" t="s">
        <v>18166</v>
      </c>
      <c r="AG4888" t="s">
        <v>48</v>
      </c>
    </row>
    <row r="4889" spans="1:33">
      <c r="A4889" t="s">
        <v>18167</v>
      </c>
      <c r="B4889" t="s">
        <v>18168</v>
      </c>
      <c r="D4889" t="s">
        <v>40</v>
      </c>
      <c r="E4889" t="s">
        <v>41</v>
      </c>
      <c r="J4889" t="s">
        <v>1418</v>
      </c>
      <c r="K4889" t="s">
        <v>1419</v>
      </c>
      <c r="L4889">
        <v>1</v>
      </c>
      <c r="M4889" t="s">
        <v>18169</v>
      </c>
      <c r="N4889" t="s">
        <v>218</v>
      </c>
      <c r="O4889" t="s">
        <v>47</v>
      </c>
      <c r="P4889" t="s">
        <v>47</v>
      </c>
      <c r="Y4889" t="s">
        <v>18170</v>
      </c>
      <c r="AG4889" t="s">
        <v>48</v>
      </c>
    </row>
    <row r="4890" spans="1:33">
      <c r="A4890" t="s">
        <v>18171</v>
      </c>
      <c r="B4890" t="s">
        <v>18172</v>
      </c>
      <c r="D4890" t="s">
        <v>40</v>
      </c>
      <c r="E4890" t="s">
        <v>41</v>
      </c>
      <c r="J4890" t="s">
        <v>86</v>
      </c>
      <c r="K4890" t="s">
        <v>87</v>
      </c>
      <c r="L4890">
        <v>1</v>
      </c>
      <c r="M4890" t="s">
        <v>18173</v>
      </c>
      <c r="N4890" t="s">
        <v>13978</v>
      </c>
      <c r="O4890" t="s">
        <v>47</v>
      </c>
      <c r="P4890" t="s">
        <v>47</v>
      </c>
      <c r="Y4890" t="s">
        <v>18174</v>
      </c>
      <c r="AG4890" t="s">
        <v>48</v>
      </c>
    </row>
    <row r="4891" spans="1:33">
      <c r="A4891" t="s">
        <v>18175</v>
      </c>
      <c r="B4891" t="s">
        <v>18176</v>
      </c>
      <c r="D4891" t="s">
        <v>40</v>
      </c>
      <c r="E4891" t="s">
        <v>41</v>
      </c>
      <c r="J4891" t="s">
        <v>1418</v>
      </c>
      <c r="K4891" t="s">
        <v>1419</v>
      </c>
      <c r="L4891">
        <v>1</v>
      </c>
      <c r="M4891" t="s">
        <v>18177</v>
      </c>
      <c r="N4891" t="s">
        <v>14059</v>
      </c>
      <c r="O4891" t="s">
        <v>47</v>
      </c>
      <c r="P4891" t="s">
        <v>47</v>
      </c>
      <c r="Y4891" t="s">
        <v>18178</v>
      </c>
      <c r="AG4891" t="s">
        <v>48</v>
      </c>
    </row>
    <row r="4892" spans="1:33">
      <c r="A4892" t="s">
        <v>18179</v>
      </c>
      <c r="B4892" t="s">
        <v>18180</v>
      </c>
      <c r="D4892" t="s">
        <v>40</v>
      </c>
      <c r="E4892" t="s">
        <v>41</v>
      </c>
      <c r="J4892" t="s">
        <v>1418</v>
      </c>
      <c r="K4892" t="s">
        <v>1419</v>
      </c>
      <c r="L4892">
        <v>2</v>
      </c>
      <c r="M4892" t="s">
        <v>18181</v>
      </c>
      <c r="N4892" t="s">
        <v>14340</v>
      </c>
      <c r="O4892" t="s">
        <v>47</v>
      </c>
      <c r="P4892" t="s">
        <v>47</v>
      </c>
      <c r="Y4892" t="s">
        <v>18182</v>
      </c>
      <c r="AG4892" t="s">
        <v>48</v>
      </c>
    </row>
    <row r="4893" spans="1:33">
      <c r="A4893" t="s">
        <v>117</v>
      </c>
      <c r="B4893" t="s">
        <v>18183</v>
      </c>
      <c r="D4893" t="s">
        <v>40</v>
      </c>
      <c r="E4893" t="s">
        <v>41</v>
      </c>
      <c r="J4893" t="s">
        <v>215</v>
      </c>
      <c r="K4893" t="s">
        <v>216</v>
      </c>
      <c r="L4893">
        <v>6</v>
      </c>
      <c r="M4893" t="s">
        <v>18184</v>
      </c>
      <c r="N4893" t="s">
        <v>14024</v>
      </c>
      <c r="O4893" t="s">
        <v>47</v>
      </c>
      <c r="P4893" t="s">
        <v>47</v>
      </c>
      <c r="Y4893" t="s">
        <v>18185</v>
      </c>
      <c r="AG4893" t="s">
        <v>48</v>
      </c>
    </row>
    <row r="4894" spans="1:33">
      <c r="A4894" t="s">
        <v>117</v>
      </c>
      <c r="B4894" t="s">
        <v>18186</v>
      </c>
      <c r="D4894" t="s">
        <v>40</v>
      </c>
      <c r="E4894" t="s">
        <v>41</v>
      </c>
      <c r="J4894" t="s">
        <v>3472</v>
      </c>
      <c r="K4894" t="s">
        <v>3473</v>
      </c>
      <c r="L4894">
        <v>2</v>
      </c>
      <c r="M4894" t="s">
        <v>18187</v>
      </c>
      <c r="N4894" t="s">
        <v>14024</v>
      </c>
      <c r="O4894" t="s">
        <v>47</v>
      </c>
      <c r="P4894" t="s">
        <v>47</v>
      </c>
      <c r="Y4894" t="s">
        <v>18188</v>
      </c>
      <c r="AG4894" t="s">
        <v>48</v>
      </c>
    </row>
    <row r="4895" spans="1:33">
      <c r="A4895" t="s">
        <v>18189</v>
      </c>
      <c r="B4895" t="s">
        <v>18190</v>
      </c>
      <c r="D4895" t="s">
        <v>40</v>
      </c>
      <c r="E4895" t="s">
        <v>41</v>
      </c>
      <c r="J4895" t="s">
        <v>86</v>
      </c>
      <c r="K4895" t="s">
        <v>87</v>
      </c>
      <c r="L4895">
        <v>2</v>
      </c>
      <c r="M4895" t="s">
        <v>18191</v>
      </c>
      <c r="N4895" t="s">
        <v>14024</v>
      </c>
      <c r="O4895" t="s">
        <v>47</v>
      </c>
      <c r="P4895" t="s">
        <v>47</v>
      </c>
      <c r="Y4895" t="s">
        <v>18192</v>
      </c>
      <c r="AG4895" t="s">
        <v>48</v>
      </c>
    </row>
    <row r="4896" spans="1:33">
      <c r="A4896" t="s">
        <v>18193</v>
      </c>
      <c r="B4896" t="s">
        <v>18194</v>
      </c>
      <c r="D4896" t="s">
        <v>40</v>
      </c>
      <c r="E4896" t="s">
        <v>41</v>
      </c>
      <c r="J4896" t="s">
        <v>43</v>
      </c>
      <c r="K4896" t="s">
        <v>44</v>
      </c>
      <c r="L4896">
        <v>1</v>
      </c>
      <c r="M4896" t="s">
        <v>18195</v>
      </c>
      <c r="N4896" t="s">
        <v>192</v>
      </c>
      <c r="O4896" t="s">
        <v>47</v>
      </c>
      <c r="P4896" t="s">
        <v>47</v>
      </c>
      <c r="Y4896" t="s">
        <v>18196</v>
      </c>
      <c r="AG4896" t="s">
        <v>48</v>
      </c>
    </row>
    <row r="4897" spans="1:33">
      <c r="A4897" t="s">
        <v>18197</v>
      </c>
      <c r="B4897" t="s">
        <v>18198</v>
      </c>
      <c r="D4897" t="s">
        <v>40</v>
      </c>
      <c r="E4897" t="s">
        <v>41</v>
      </c>
      <c r="J4897" t="s">
        <v>86</v>
      </c>
      <c r="K4897" t="s">
        <v>87</v>
      </c>
      <c r="L4897">
        <v>2</v>
      </c>
      <c r="M4897" t="s">
        <v>18199</v>
      </c>
      <c r="N4897" t="s">
        <v>14059</v>
      </c>
      <c r="O4897" t="s">
        <v>47</v>
      </c>
      <c r="P4897" t="s">
        <v>47</v>
      </c>
      <c r="Y4897" t="s">
        <v>18200</v>
      </c>
      <c r="AG4897" t="s">
        <v>48</v>
      </c>
    </row>
    <row r="4898" spans="1:33">
      <c r="A4898" t="s">
        <v>18201</v>
      </c>
      <c r="B4898" t="s">
        <v>18202</v>
      </c>
      <c r="D4898" t="s">
        <v>40</v>
      </c>
      <c r="E4898" t="s">
        <v>41</v>
      </c>
      <c r="J4898" t="s">
        <v>43</v>
      </c>
      <c r="K4898" t="s">
        <v>44</v>
      </c>
      <c r="L4898">
        <v>1</v>
      </c>
      <c r="M4898" t="s">
        <v>18203</v>
      </c>
      <c r="N4898" t="s">
        <v>192</v>
      </c>
      <c r="O4898" t="s">
        <v>47</v>
      </c>
      <c r="P4898" t="s">
        <v>47</v>
      </c>
      <c r="Y4898" t="s">
        <v>18204</v>
      </c>
      <c r="AG4898" t="s">
        <v>48</v>
      </c>
    </row>
    <row r="4899" spans="1:33">
      <c r="A4899" t="s">
        <v>18205</v>
      </c>
      <c r="B4899" t="s">
        <v>18206</v>
      </c>
      <c r="D4899" t="s">
        <v>40</v>
      </c>
      <c r="E4899" t="s">
        <v>41</v>
      </c>
      <c r="J4899" t="s">
        <v>3472</v>
      </c>
      <c r="K4899" t="s">
        <v>3473</v>
      </c>
      <c r="L4899">
        <v>1</v>
      </c>
      <c r="M4899" t="s">
        <v>18207</v>
      </c>
      <c r="N4899" t="s">
        <v>13978</v>
      </c>
      <c r="O4899" t="s">
        <v>47</v>
      </c>
      <c r="P4899" t="s">
        <v>47</v>
      </c>
      <c r="Y4899" t="s">
        <v>18208</v>
      </c>
      <c r="AG4899" t="s">
        <v>48</v>
      </c>
    </row>
    <row r="4900" spans="1:33">
      <c r="A4900" t="s">
        <v>18209</v>
      </c>
      <c r="B4900" t="s">
        <v>18210</v>
      </c>
      <c r="D4900" t="s">
        <v>40</v>
      </c>
      <c r="E4900" t="s">
        <v>41</v>
      </c>
      <c r="J4900" t="s">
        <v>86</v>
      </c>
      <c r="K4900" t="s">
        <v>87</v>
      </c>
      <c r="L4900">
        <v>1</v>
      </c>
      <c r="M4900" t="s">
        <v>18211</v>
      </c>
      <c r="N4900" t="s">
        <v>14024</v>
      </c>
      <c r="O4900" t="s">
        <v>47</v>
      </c>
      <c r="P4900" t="s">
        <v>47</v>
      </c>
      <c r="Y4900" t="s">
        <v>18212</v>
      </c>
      <c r="AG4900" t="s">
        <v>48</v>
      </c>
    </row>
    <row r="4901" spans="1:33">
      <c r="A4901" t="s">
        <v>18213</v>
      </c>
      <c r="B4901" t="s">
        <v>18214</v>
      </c>
      <c r="D4901" t="s">
        <v>40</v>
      </c>
      <c r="E4901" t="s">
        <v>41</v>
      </c>
      <c r="J4901" t="s">
        <v>43</v>
      </c>
      <c r="K4901" t="s">
        <v>44</v>
      </c>
      <c r="L4901">
        <v>1</v>
      </c>
      <c r="M4901" t="s">
        <v>18215</v>
      </c>
      <c r="N4901" t="s">
        <v>13978</v>
      </c>
      <c r="O4901" t="s">
        <v>47</v>
      </c>
      <c r="P4901" t="s">
        <v>47</v>
      </c>
      <c r="Y4901" t="s">
        <v>18216</v>
      </c>
      <c r="AG4901" t="s">
        <v>48</v>
      </c>
    </row>
    <row r="4902" spans="1:33">
      <c r="A4902" t="s">
        <v>18217</v>
      </c>
      <c r="B4902" t="s">
        <v>18218</v>
      </c>
      <c r="D4902" t="s">
        <v>40</v>
      </c>
      <c r="E4902" t="s">
        <v>41</v>
      </c>
      <c r="J4902" t="s">
        <v>43</v>
      </c>
      <c r="K4902" t="s">
        <v>44</v>
      </c>
      <c r="L4902">
        <v>1</v>
      </c>
      <c r="M4902" t="s">
        <v>18219</v>
      </c>
      <c r="N4902" t="s">
        <v>14059</v>
      </c>
      <c r="O4902" t="s">
        <v>47</v>
      </c>
      <c r="P4902" t="s">
        <v>47</v>
      </c>
      <c r="Y4902" t="s">
        <v>18220</v>
      </c>
      <c r="AG4902" t="s">
        <v>48</v>
      </c>
    </row>
    <row r="4903" spans="1:33">
      <c r="A4903" t="s">
        <v>18221</v>
      </c>
      <c r="B4903" t="s">
        <v>18222</v>
      </c>
      <c r="D4903" t="s">
        <v>40</v>
      </c>
      <c r="E4903" t="s">
        <v>41</v>
      </c>
      <c r="J4903" t="s">
        <v>86</v>
      </c>
      <c r="K4903" t="s">
        <v>87</v>
      </c>
      <c r="L4903">
        <v>1</v>
      </c>
      <c r="M4903" t="s">
        <v>18223</v>
      </c>
      <c r="N4903" t="s">
        <v>13978</v>
      </c>
      <c r="O4903" t="s">
        <v>47</v>
      </c>
      <c r="P4903" t="s">
        <v>47</v>
      </c>
      <c r="Y4903" t="s">
        <v>18224</v>
      </c>
      <c r="AG4903" t="s">
        <v>48</v>
      </c>
    </row>
    <row r="4904" spans="1:33">
      <c r="A4904" t="s">
        <v>18225</v>
      </c>
      <c r="B4904" t="s">
        <v>18226</v>
      </c>
      <c r="D4904" t="s">
        <v>40</v>
      </c>
      <c r="E4904" t="s">
        <v>41</v>
      </c>
      <c r="J4904" t="s">
        <v>14204</v>
      </c>
      <c r="K4904" t="s">
        <v>14205</v>
      </c>
      <c r="L4904">
        <v>1</v>
      </c>
      <c r="M4904" t="s">
        <v>18227</v>
      </c>
      <c r="N4904" t="s">
        <v>192</v>
      </c>
      <c r="O4904" t="s">
        <v>47</v>
      </c>
      <c r="P4904" t="s">
        <v>47</v>
      </c>
      <c r="Y4904" t="s">
        <v>18228</v>
      </c>
      <c r="AG4904" t="s">
        <v>48</v>
      </c>
    </row>
    <row r="4905" spans="1:33">
      <c r="A4905" t="s">
        <v>18229</v>
      </c>
      <c r="B4905" t="s">
        <v>18230</v>
      </c>
      <c r="D4905" t="s">
        <v>40</v>
      </c>
      <c r="E4905" t="s">
        <v>41</v>
      </c>
      <c r="J4905" t="s">
        <v>86</v>
      </c>
      <c r="K4905" t="s">
        <v>87</v>
      </c>
      <c r="L4905">
        <v>1</v>
      </c>
      <c r="M4905" t="s">
        <v>18231</v>
      </c>
      <c r="N4905" t="s">
        <v>13978</v>
      </c>
      <c r="O4905" t="s">
        <v>47</v>
      </c>
      <c r="P4905" t="s">
        <v>47</v>
      </c>
      <c r="Y4905" t="s">
        <v>18232</v>
      </c>
      <c r="AG4905" t="s">
        <v>48</v>
      </c>
    </row>
    <row r="4906" spans="1:33">
      <c r="A4906" t="s">
        <v>18233</v>
      </c>
      <c r="B4906" t="s">
        <v>18234</v>
      </c>
      <c r="D4906" t="s">
        <v>40</v>
      </c>
      <c r="E4906" t="s">
        <v>41</v>
      </c>
      <c r="J4906" t="s">
        <v>43</v>
      </c>
      <c r="K4906" t="s">
        <v>44</v>
      </c>
      <c r="L4906">
        <v>1</v>
      </c>
      <c r="M4906" t="s">
        <v>18235</v>
      </c>
      <c r="N4906" t="s">
        <v>192</v>
      </c>
      <c r="O4906" t="s">
        <v>47</v>
      </c>
      <c r="P4906" t="s">
        <v>47</v>
      </c>
      <c r="Y4906" t="s">
        <v>18236</v>
      </c>
      <c r="AG4906" t="s">
        <v>48</v>
      </c>
    </row>
    <row r="4907" spans="1:33">
      <c r="A4907" t="s">
        <v>18237</v>
      </c>
      <c r="B4907" t="s">
        <v>18238</v>
      </c>
      <c r="D4907" t="s">
        <v>40</v>
      </c>
      <c r="E4907" t="s">
        <v>41</v>
      </c>
      <c r="J4907" t="s">
        <v>43</v>
      </c>
      <c r="K4907" t="s">
        <v>44</v>
      </c>
      <c r="L4907">
        <v>1</v>
      </c>
      <c r="M4907" t="s">
        <v>18239</v>
      </c>
      <c r="N4907" t="s">
        <v>13978</v>
      </c>
      <c r="O4907" t="s">
        <v>47</v>
      </c>
      <c r="P4907" t="s">
        <v>47</v>
      </c>
      <c r="Y4907" t="s">
        <v>18240</v>
      </c>
      <c r="AG4907" t="s">
        <v>48</v>
      </c>
    </row>
    <row r="4908" spans="1:33">
      <c r="A4908" t="s">
        <v>18241</v>
      </c>
      <c r="B4908" t="s">
        <v>18242</v>
      </c>
      <c r="D4908" t="s">
        <v>40</v>
      </c>
      <c r="E4908" t="s">
        <v>41</v>
      </c>
      <c r="J4908" t="s">
        <v>43</v>
      </c>
      <c r="K4908" t="s">
        <v>44</v>
      </c>
      <c r="L4908">
        <v>1</v>
      </c>
      <c r="M4908" t="s">
        <v>18243</v>
      </c>
      <c r="N4908" t="s">
        <v>192</v>
      </c>
      <c r="O4908" t="s">
        <v>47</v>
      </c>
      <c r="P4908" t="s">
        <v>47</v>
      </c>
      <c r="Y4908" t="s">
        <v>18244</v>
      </c>
      <c r="AG4908" t="s">
        <v>48</v>
      </c>
    </row>
    <row r="4909" spans="1:33">
      <c r="A4909" t="s">
        <v>18245</v>
      </c>
      <c r="B4909" t="s">
        <v>18246</v>
      </c>
      <c r="D4909" t="s">
        <v>40</v>
      </c>
      <c r="E4909" t="s">
        <v>41</v>
      </c>
      <c r="J4909" t="s">
        <v>43</v>
      </c>
      <c r="K4909" t="s">
        <v>44</v>
      </c>
      <c r="L4909">
        <v>1</v>
      </c>
      <c r="M4909" t="s">
        <v>18247</v>
      </c>
      <c r="N4909" t="s">
        <v>13978</v>
      </c>
      <c r="O4909" t="s">
        <v>47</v>
      </c>
      <c r="P4909" t="s">
        <v>47</v>
      </c>
      <c r="Y4909" t="s">
        <v>18248</v>
      </c>
      <c r="AG4909" t="s">
        <v>48</v>
      </c>
    </row>
    <row r="4910" spans="1:33">
      <c r="A4910" t="s">
        <v>18249</v>
      </c>
      <c r="B4910" t="s">
        <v>18250</v>
      </c>
      <c r="D4910" t="s">
        <v>40</v>
      </c>
      <c r="E4910" t="s">
        <v>41</v>
      </c>
      <c r="J4910" t="s">
        <v>14204</v>
      </c>
      <c r="K4910" t="s">
        <v>14205</v>
      </c>
      <c r="L4910">
        <v>1</v>
      </c>
      <c r="M4910" t="s">
        <v>18251</v>
      </c>
      <c r="N4910" t="s">
        <v>192</v>
      </c>
      <c r="O4910" t="s">
        <v>47</v>
      </c>
      <c r="P4910" t="s">
        <v>47</v>
      </c>
      <c r="Y4910" t="s">
        <v>18252</v>
      </c>
      <c r="AG4910" t="s">
        <v>48</v>
      </c>
    </row>
    <row r="4911" spans="1:33">
      <c r="A4911" t="s">
        <v>18253</v>
      </c>
      <c r="B4911" t="s">
        <v>18254</v>
      </c>
      <c r="D4911" t="s">
        <v>40</v>
      </c>
      <c r="E4911" t="s">
        <v>41</v>
      </c>
      <c r="J4911" t="s">
        <v>1052</v>
      </c>
      <c r="K4911" t="s">
        <v>1053</v>
      </c>
      <c r="L4911">
        <v>1</v>
      </c>
      <c r="M4911" t="s">
        <v>18255</v>
      </c>
      <c r="N4911" t="s">
        <v>14059</v>
      </c>
      <c r="O4911" t="s">
        <v>47</v>
      </c>
      <c r="P4911" t="s">
        <v>47</v>
      </c>
      <c r="Y4911" t="s">
        <v>18256</v>
      </c>
      <c r="AG4911" t="s">
        <v>48</v>
      </c>
    </row>
    <row r="4912" spans="1:33">
      <c r="A4912" t="s">
        <v>18257</v>
      </c>
      <c r="B4912" t="s">
        <v>18258</v>
      </c>
      <c r="D4912" t="s">
        <v>40</v>
      </c>
      <c r="E4912" t="s">
        <v>41</v>
      </c>
      <c r="J4912" t="s">
        <v>13514</v>
      </c>
      <c r="K4912" t="s">
        <v>13515</v>
      </c>
      <c r="L4912">
        <v>2</v>
      </c>
      <c r="M4912" t="s">
        <v>18259</v>
      </c>
      <c r="N4912" t="s">
        <v>59</v>
      </c>
      <c r="O4912" t="s">
        <v>47</v>
      </c>
      <c r="P4912" t="s">
        <v>47</v>
      </c>
      <c r="Y4912" t="s">
        <v>18260</v>
      </c>
      <c r="AG4912" t="s">
        <v>48</v>
      </c>
    </row>
    <row r="4913" spans="1:33">
      <c r="A4913" t="s">
        <v>18261</v>
      </c>
      <c r="B4913" t="s">
        <v>18262</v>
      </c>
      <c r="D4913" t="s">
        <v>40</v>
      </c>
      <c r="E4913" t="s">
        <v>41</v>
      </c>
      <c r="J4913" t="s">
        <v>86</v>
      </c>
      <c r="K4913" t="s">
        <v>87</v>
      </c>
      <c r="L4913">
        <v>1</v>
      </c>
      <c r="M4913" t="s">
        <v>18263</v>
      </c>
      <c r="N4913" t="s">
        <v>13978</v>
      </c>
      <c r="O4913" t="s">
        <v>47</v>
      </c>
      <c r="P4913" t="s">
        <v>47</v>
      </c>
      <c r="Y4913" t="s">
        <v>18264</v>
      </c>
      <c r="AG4913" t="s">
        <v>48</v>
      </c>
    </row>
    <row r="4914" spans="1:33">
      <c r="A4914" t="s">
        <v>18265</v>
      </c>
      <c r="B4914" t="s">
        <v>18266</v>
      </c>
      <c r="D4914" t="s">
        <v>40</v>
      </c>
      <c r="E4914" t="s">
        <v>41</v>
      </c>
      <c r="J4914" t="s">
        <v>86</v>
      </c>
      <c r="K4914" t="s">
        <v>87</v>
      </c>
      <c r="L4914">
        <v>1</v>
      </c>
      <c r="M4914" t="s">
        <v>18267</v>
      </c>
      <c r="N4914" t="s">
        <v>13978</v>
      </c>
      <c r="O4914" t="s">
        <v>47</v>
      </c>
      <c r="P4914" t="s">
        <v>47</v>
      </c>
      <c r="Y4914" t="s">
        <v>18268</v>
      </c>
      <c r="AG4914" t="s">
        <v>48</v>
      </c>
    </row>
    <row r="4915" spans="1:33">
      <c r="A4915" t="s">
        <v>18269</v>
      </c>
      <c r="B4915" t="s">
        <v>18270</v>
      </c>
      <c r="D4915" t="s">
        <v>40</v>
      </c>
      <c r="E4915" t="s">
        <v>41</v>
      </c>
      <c r="J4915" t="s">
        <v>43</v>
      </c>
      <c r="K4915" t="s">
        <v>44</v>
      </c>
      <c r="L4915">
        <v>1</v>
      </c>
      <c r="M4915" t="s">
        <v>18271</v>
      </c>
      <c r="N4915" t="s">
        <v>13978</v>
      </c>
      <c r="O4915" t="s">
        <v>47</v>
      </c>
      <c r="P4915" t="s">
        <v>47</v>
      </c>
      <c r="Y4915" t="s">
        <v>18272</v>
      </c>
      <c r="AG4915" t="s">
        <v>48</v>
      </c>
    </row>
    <row r="4916" spans="1:33">
      <c r="A4916" t="s">
        <v>18273</v>
      </c>
      <c r="B4916" t="s">
        <v>18274</v>
      </c>
      <c r="D4916" t="s">
        <v>40</v>
      </c>
      <c r="E4916" t="s">
        <v>41</v>
      </c>
      <c r="J4916" t="s">
        <v>43</v>
      </c>
      <c r="K4916" t="s">
        <v>44</v>
      </c>
      <c r="L4916">
        <v>1</v>
      </c>
      <c r="M4916" t="s">
        <v>18275</v>
      </c>
      <c r="N4916" t="s">
        <v>192</v>
      </c>
      <c r="O4916" t="s">
        <v>47</v>
      </c>
      <c r="P4916" t="s">
        <v>47</v>
      </c>
      <c r="Y4916" t="s">
        <v>18276</v>
      </c>
      <c r="AG4916" t="s">
        <v>48</v>
      </c>
    </row>
    <row r="4917" spans="1:33">
      <c r="A4917" t="s">
        <v>18277</v>
      </c>
      <c r="B4917" t="s">
        <v>18278</v>
      </c>
      <c r="D4917" t="s">
        <v>40</v>
      </c>
      <c r="E4917" t="s">
        <v>41</v>
      </c>
      <c r="J4917" t="s">
        <v>86</v>
      </c>
      <c r="K4917" t="s">
        <v>87</v>
      </c>
      <c r="L4917">
        <v>1</v>
      </c>
      <c r="M4917" t="s">
        <v>18279</v>
      </c>
      <c r="N4917" t="s">
        <v>14024</v>
      </c>
      <c r="O4917" t="s">
        <v>47</v>
      </c>
      <c r="P4917" t="s">
        <v>47</v>
      </c>
      <c r="Y4917" t="s">
        <v>18280</v>
      </c>
      <c r="AG4917" t="s">
        <v>48</v>
      </c>
    </row>
    <row r="4918" spans="1:33">
      <c r="A4918" t="s">
        <v>18281</v>
      </c>
      <c r="B4918" t="s">
        <v>18282</v>
      </c>
      <c r="D4918" t="s">
        <v>40</v>
      </c>
      <c r="E4918" t="s">
        <v>41</v>
      </c>
      <c r="J4918" t="s">
        <v>1418</v>
      </c>
      <c r="K4918" t="s">
        <v>1419</v>
      </c>
      <c r="L4918">
        <v>1</v>
      </c>
      <c r="M4918" t="s">
        <v>18283</v>
      </c>
      <c r="N4918" t="s">
        <v>13978</v>
      </c>
      <c r="O4918" t="s">
        <v>47</v>
      </c>
      <c r="P4918" t="s">
        <v>47</v>
      </c>
      <c r="Y4918" t="s">
        <v>18284</v>
      </c>
      <c r="AG4918" t="s">
        <v>48</v>
      </c>
    </row>
    <row r="4919" spans="1:33">
      <c r="A4919" t="s">
        <v>18285</v>
      </c>
      <c r="B4919" t="s">
        <v>18286</v>
      </c>
      <c r="D4919" t="s">
        <v>40</v>
      </c>
      <c r="E4919" t="s">
        <v>41</v>
      </c>
      <c r="J4919" t="s">
        <v>86</v>
      </c>
      <c r="K4919" t="s">
        <v>87</v>
      </c>
      <c r="L4919">
        <v>1</v>
      </c>
      <c r="M4919" t="s">
        <v>18287</v>
      </c>
      <c r="N4919" t="s">
        <v>14059</v>
      </c>
      <c r="O4919" t="s">
        <v>47</v>
      </c>
      <c r="P4919" t="s">
        <v>47</v>
      </c>
      <c r="Y4919" t="s">
        <v>18288</v>
      </c>
      <c r="AG4919" t="s">
        <v>48</v>
      </c>
    </row>
    <row r="4920" spans="1:33">
      <c r="A4920" t="s">
        <v>18289</v>
      </c>
      <c r="B4920" t="s">
        <v>18290</v>
      </c>
      <c r="D4920" t="s">
        <v>40</v>
      </c>
      <c r="E4920" t="s">
        <v>41</v>
      </c>
      <c r="J4920" t="s">
        <v>86</v>
      </c>
      <c r="K4920" t="s">
        <v>87</v>
      </c>
      <c r="L4920">
        <v>1</v>
      </c>
      <c r="M4920" t="s">
        <v>18291</v>
      </c>
      <c r="N4920" t="s">
        <v>14024</v>
      </c>
      <c r="O4920" t="s">
        <v>47</v>
      </c>
      <c r="P4920" t="s">
        <v>47</v>
      </c>
      <c r="Y4920" t="s">
        <v>18292</v>
      </c>
      <c r="AG4920" t="s">
        <v>48</v>
      </c>
    </row>
    <row r="4921" spans="1:33">
      <c r="A4921" t="s">
        <v>18293</v>
      </c>
      <c r="B4921" t="s">
        <v>18294</v>
      </c>
      <c r="D4921" t="s">
        <v>40</v>
      </c>
      <c r="E4921" t="s">
        <v>41</v>
      </c>
      <c r="J4921" t="s">
        <v>10950</v>
      </c>
      <c r="K4921" t="s">
        <v>10950</v>
      </c>
      <c r="L4921">
        <v>1</v>
      </c>
      <c r="M4921" t="s">
        <v>18295</v>
      </c>
      <c r="N4921" t="s">
        <v>13978</v>
      </c>
      <c r="O4921" t="s">
        <v>47</v>
      </c>
      <c r="P4921" t="s">
        <v>47</v>
      </c>
      <c r="Y4921" t="s">
        <v>18296</v>
      </c>
      <c r="AG4921" t="s">
        <v>48</v>
      </c>
    </row>
    <row r="4922" spans="1:33">
      <c r="A4922" t="s">
        <v>18297</v>
      </c>
      <c r="B4922" t="s">
        <v>18298</v>
      </c>
      <c r="D4922" t="s">
        <v>40</v>
      </c>
      <c r="E4922" t="s">
        <v>41</v>
      </c>
      <c r="J4922" t="s">
        <v>43</v>
      </c>
      <c r="K4922" t="s">
        <v>44</v>
      </c>
      <c r="L4922">
        <v>1</v>
      </c>
      <c r="M4922" t="s">
        <v>18299</v>
      </c>
      <c r="N4922" t="s">
        <v>13978</v>
      </c>
      <c r="O4922" t="s">
        <v>47</v>
      </c>
      <c r="P4922" t="s">
        <v>47</v>
      </c>
      <c r="Y4922" t="s">
        <v>18300</v>
      </c>
      <c r="AG4922" t="s">
        <v>48</v>
      </c>
    </row>
    <row r="4923" spans="1:33">
      <c r="A4923" t="s">
        <v>18301</v>
      </c>
      <c r="B4923" t="s">
        <v>18302</v>
      </c>
      <c r="D4923" t="s">
        <v>40</v>
      </c>
      <c r="E4923" t="s">
        <v>41</v>
      </c>
      <c r="J4923" t="s">
        <v>3472</v>
      </c>
      <c r="K4923" t="s">
        <v>3473</v>
      </c>
      <c r="L4923">
        <v>1</v>
      </c>
      <c r="M4923" t="s">
        <v>18303</v>
      </c>
      <c r="N4923" t="s">
        <v>14011</v>
      </c>
      <c r="O4923" t="s">
        <v>47</v>
      </c>
      <c r="P4923" t="s">
        <v>47</v>
      </c>
      <c r="Y4923" t="s">
        <v>18304</v>
      </c>
      <c r="AG4923" t="s">
        <v>48</v>
      </c>
    </row>
    <row r="4924" spans="1:33">
      <c r="A4924" t="s">
        <v>18305</v>
      </c>
      <c r="B4924" t="s">
        <v>18306</v>
      </c>
      <c r="D4924" t="s">
        <v>40</v>
      </c>
      <c r="E4924" t="s">
        <v>41</v>
      </c>
      <c r="J4924" t="s">
        <v>86</v>
      </c>
      <c r="K4924" t="s">
        <v>87</v>
      </c>
      <c r="L4924">
        <v>1</v>
      </c>
      <c r="M4924" t="s">
        <v>18307</v>
      </c>
      <c r="N4924" t="s">
        <v>192</v>
      </c>
      <c r="O4924" t="s">
        <v>47</v>
      </c>
      <c r="P4924" t="s">
        <v>47</v>
      </c>
      <c r="Y4924" t="s">
        <v>18308</v>
      </c>
      <c r="AG4924" t="s">
        <v>48</v>
      </c>
    </row>
    <row r="4925" spans="1:33">
      <c r="A4925" t="s">
        <v>18309</v>
      </c>
      <c r="B4925" t="s">
        <v>18310</v>
      </c>
      <c r="D4925" t="s">
        <v>40</v>
      </c>
      <c r="E4925" t="s">
        <v>41</v>
      </c>
      <c r="J4925" t="s">
        <v>17472</v>
      </c>
      <c r="K4925" t="s">
        <v>17473</v>
      </c>
      <c r="L4925">
        <v>2</v>
      </c>
      <c r="M4925" t="s">
        <v>18311</v>
      </c>
      <c r="N4925" t="s">
        <v>14024</v>
      </c>
      <c r="O4925" t="s">
        <v>47</v>
      </c>
      <c r="P4925" t="s">
        <v>47</v>
      </c>
      <c r="Y4925" t="s">
        <v>18312</v>
      </c>
      <c r="AG4925" t="s">
        <v>48</v>
      </c>
    </row>
    <row r="4926" spans="1:33">
      <c r="A4926" t="s">
        <v>18313</v>
      </c>
      <c r="B4926" t="s">
        <v>18314</v>
      </c>
      <c r="D4926" t="s">
        <v>40</v>
      </c>
      <c r="E4926" t="s">
        <v>41</v>
      </c>
      <c r="J4926" t="s">
        <v>86</v>
      </c>
      <c r="K4926" t="s">
        <v>87</v>
      </c>
      <c r="L4926">
        <v>1</v>
      </c>
      <c r="M4926" t="s">
        <v>18315</v>
      </c>
      <c r="N4926" t="s">
        <v>13978</v>
      </c>
      <c r="O4926" t="s">
        <v>47</v>
      </c>
      <c r="P4926" t="s">
        <v>47</v>
      </c>
      <c r="Y4926" t="s">
        <v>18316</v>
      </c>
      <c r="AG4926" t="s">
        <v>48</v>
      </c>
    </row>
    <row r="4927" spans="1:33">
      <c r="A4927" t="s">
        <v>18317</v>
      </c>
      <c r="B4927" t="s">
        <v>18318</v>
      </c>
      <c r="D4927" t="s">
        <v>40</v>
      </c>
      <c r="E4927" t="s">
        <v>41</v>
      </c>
      <c r="J4927" t="s">
        <v>1052</v>
      </c>
      <c r="K4927" t="s">
        <v>1053</v>
      </c>
      <c r="L4927">
        <v>1</v>
      </c>
      <c r="M4927" t="s">
        <v>18319</v>
      </c>
      <c r="N4927" t="s">
        <v>14011</v>
      </c>
      <c r="O4927" t="s">
        <v>47</v>
      </c>
      <c r="P4927" t="s">
        <v>47</v>
      </c>
      <c r="Y4927" t="s">
        <v>18320</v>
      </c>
      <c r="AG4927" t="s">
        <v>48</v>
      </c>
    </row>
    <row r="4928" spans="1:33">
      <c r="A4928" t="s">
        <v>18321</v>
      </c>
      <c r="B4928" t="s">
        <v>18322</v>
      </c>
      <c r="D4928" t="s">
        <v>40</v>
      </c>
      <c r="E4928" t="s">
        <v>41</v>
      </c>
      <c r="J4928" t="s">
        <v>3472</v>
      </c>
      <c r="K4928" t="s">
        <v>3473</v>
      </c>
      <c r="L4928">
        <v>1</v>
      </c>
      <c r="M4928" t="s">
        <v>18323</v>
      </c>
      <c r="N4928" t="s">
        <v>13978</v>
      </c>
      <c r="O4928" t="s">
        <v>47</v>
      </c>
      <c r="P4928" t="s">
        <v>47</v>
      </c>
      <c r="Y4928" t="s">
        <v>18324</v>
      </c>
      <c r="AG4928" t="s">
        <v>48</v>
      </c>
    </row>
    <row r="4929" spans="1:33">
      <c r="A4929" t="s">
        <v>18325</v>
      </c>
      <c r="B4929" t="s">
        <v>18326</v>
      </c>
      <c r="D4929" t="s">
        <v>40</v>
      </c>
      <c r="E4929" t="s">
        <v>41</v>
      </c>
      <c r="J4929" t="s">
        <v>1052</v>
      </c>
      <c r="K4929" t="s">
        <v>1053</v>
      </c>
      <c r="L4929">
        <v>1</v>
      </c>
      <c r="M4929" t="s">
        <v>18327</v>
      </c>
      <c r="N4929" t="s">
        <v>192</v>
      </c>
      <c r="O4929" t="s">
        <v>47</v>
      </c>
      <c r="P4929" t="s">
        <v>47</v>
      </c>
      <c r="Y4929" t="s">
        <v>18328</v>
      </c>
      <c r="AG4929" t="s">
        <v>48</v>
      </c>
    </row>
    <row r="4930" spans="1:33">
      <c r="A4930" t="s">
        <v>18329</v>
      </c>
      <c r="B4930" t="s">
        <v>18330</v>
      </c>
      <c r="D4930" t="s">
        <v>40</v>
      </c>
      <c r="E4930" t="s">
        <v>41</v>
      </c>
      <c r="J4930" t="s">
        <v>86</v>
      </c>
      <c r="K4930" t="s">
        <v>87</v>
      </c>
      <c r="L4930">
        <v>1</v>
      </c>
      <c r="M4930" t="s">
        <v>18331</v>
      </c>
      <c r="N4930" t="s">
        <v>14024</v>
      </c>
      <c r="O4930" t="s">
        <v>47</v>
      </c>
      <c r="P4930" t="s">
        <v>47</v>
      </c>
      <c r="Y4930" t="s">
        <v>18332</v>
      </c>
      <c r="AG4930" t="s">
        <v>48</v>
      </c>
    </row>
    <row r="4931" spans="1:33">
      <c r="A4931" t="s">
        <v>18333</v>
      </c>
      <c r="B4931" t="s">
        <v>18334</v>
      </c>
      <c r="D4931" t="s">
        <v>40</v>
      </c>
      <c r="E4931" t="s">
        <v>41</v>
      </c>
      <c r="J4931" t="s">
        <v>14204</v>
      </c>
      <c r="K4931" t="s">
        <v>14205</v>
      </c>
      <c r="L4931">
        <v>1</v>
      </c>
      <c r="M4931" t="s">
        <v>18335</v>
      </c>
      <c r="N4931" t="s">
        <v>14340</v>
      </c>
      <c r="O4931" t="s">
        <v>47</v>
      </c>
      <c r="P4931" t="s">
        <v>47</v>
      </c>
      <c r="Y4931" t="s">
        <v>18336</v>
      </c>
      <c r="AG4931" t="s">
        <v>48</v>
      </c>
    </row>
    <row r="4932" spans="1:33">
      <c r="A4932" t="s">
        <v>18337</v>
      </c>
      <c r="B4932" t="s">
        <v>18338</v>
      </c>
      <c r="D4932" t="s">
        <v>40</v>
      </c>
      <c r="E4932" t="s">
        <v>41</v>
      </c>
      <c r="J4932" t="s">
        <v>1418</v>
      </c>
      <c r="K4932" t="s">
        <v>1419</v>
      </c>
      <c r="L4932">
        <v>1</v>
      </c>
      <c r="M4932" t="s">
        <v>18339</v>
      </c>
      <c r="N4932" t="s">
        <v>14059</v>
      </c>
      <c r="O4932" t="s">
        <v>47</v>
      </c>
      <c r="P4932" t="s">
        <v>47</v>
      </c>
      <c r="Y4932" t="s">
        <v>18340</v>
      </c>
      <c r="AG4932" t="s">
        <v>48</v>
      </c>
    </row>
    <row r="4933" spans="1:33">
      <c r="A4933" t="s">
        <v>18341</v>
      </c>
      <c r="B4933" t="s">
        <v>18342</v>
      </c>
      <c r="D4933" t="s">
        <v>40</v>
      </c>
      <c r="E4933" t="s">
        <v>41</v>
      </c>
      <c r="J4933" t="s">
        <v>14204</v>
      </c>
      <c r="K4933" t="s">
        <v>14205</v>
      </c>
      <c r="L4933">
        <v>1</v>
      </c>
      <c r="M4933" t="s">
        <v>18343</v>
      </c>
      <c r="N4933" t="s">
        <v>14340</v>
      </c>
      <c r="O4933" t="s">
        <v>47</v>
      </c>
      <c r="P4933" t="s">
        <v>47</v>
      </c>
      <c r="Y4933" t="s">
        <v>18344</v>
      </c>
      <c r="AG4933" t="s">
        <v>48</v>
      </c>
    </row>
    <row r="4934" spans="1:33">
      <c r="A4934" t="s">
        <v>18345</v>
      </c>
      <c r="B4934" t="s">
        <v>18346</v>
      </c>
      <c r="D4934" t="s">
        <v>40</v>
      </c>
      <c r="E4934" t="s">
        <v>41</v>
      </c>
      <c r="J4934" t="s">
        <v>1052</v>
      </c>
      <c r="K4934" t="s">
        <v>1053</v>
      </c>
      <c r="L4934">
        <v>1</v>
      </c>
      <c r="M4934" t="s">
        <v>18347</v>
      </c>
      <c r="N4934" t="s">
        <v>14024</v>
      </c>
      <c r="O4934" t="s">
        <v>47</v>
      </c>
      <c r="P4934" t="s">
        <v>47</v>
      </c>
      <c r="Y4934" t="s">
        <v>18348</v>
      </c>
      <c r="AG4934" t="s">
        <v>48</v>
      </c>
    </row>
    <row r="4935" spans="1:33">
      <c r="A4935" t="s">
        <v>18349</v>
      </c>
      <c r="B4935" t="s">
        <v>18350</v>
      </c>
      <c r="D4935" t="s">
        <v>40</v>
      </c>
      <c r="E4935" t="s">
        <v>41</v>
      </c>
      <c r="J4935" t="s">
        <v>14204</v>
      </c>
      <c r="K4935" t="s">
        <v>14205</v>
      </c>
      <c r="L4935">
        <v>1</v>
      </c>
      <c r="M4935" t="s">
        <v>18351</v>
      </c>
      <c r="N4935" t="s">
        <v>218</v>
      </c>
      <c r="O4935" t="s">
        <v>47</v>
      </c>
      <c r="P4935" t="s">
        <v>47</v>
      </c>
      <c r="Y4935" t="s">
        <v>18352</v>
      </c>
      <c r="AG4935" t="s">
        <v>48</v>
      </c>
    </row>
    <row r="4936" spans="1:33">
      <c r="A4936" t="s">
        <v>18353</v>
      </c>
      <c r="B4936" t="s">
        <v>18354</v>
      </c>
      <c r="D4936" t="s">
        <v>40</v>
      </c>
      <c r="E4936" t="s">
        <v>41</v>
      </c>
      <c r="J4936" t="s">
        <v>86</v>
      </c>
      <c r="K4936" t="s">
        <v>87</v>
      </c>
      <c r="L4936">
        <v>1</v>
      </c>
      <c r="M4936" t="s">
        <v>18355</v>
      </c>
      <c r="N4936" t="s">
        <v>14059</v>
      </c>
      <c r="O4936" t="s">
        <v>47</v>
      </c>
      <c r="P4936" t="s">
        <v>47</v>
      </c>
      <c r="Y4936" t="s">
        <v>18356</v>
      </c>
      <c r="AG4936" t="s">
        <v>48</v>
      </c>
    </row>
    <row r="4937" spans="1:33">
      <c r="A4937" t="s">
        <v>18357</v>
      </c>
      <c r="B4937" t="s">
        <v>18358</v>
      </c>
      <c r="D4937" t="s">
        <v>40</v>
      </c>
      <c r="E4937" t="s">
        <v>41</v>
      </c>
      <c r="J4937" t="s">
        <v>86</v>
      </c>
      <c r="K4937" t="s">
        <v>87</v>
      </c>
      <c r="L4937">
        <v>1</v>
      </c>
      <c r="M4937" t="s">
        <v>18359</v>
      </c>
      <c r="N4937" t="s">
        <v>13978</v>
      </c>
      <c r="O4937" t="s">
        <v>47</v>
      </c>
      <c r="P4937" t="s">
        <v>47</v>
      </c>
      <c r="Y4937" t="s">
        <v>18360</v>
      </c>
      <c r="AG4937" t="s">
        <v>48</v>
      </c>
    </row>
    <row r="4938" spans="1:33">
      <c r="A4938" t="s">
        <v>18361</v>
      </c>
      <c r="B4938" t="s">
        <v>18362</v>
      </c>
      <c r="D4938" t="s">
        <v>40</v>
      </c>
      <c r="E4938" t="s">
        <v>41</v>
      </c>
      <c r="J4938" t="s">
        <v>86</v>
      </c>
      <c r="K4938" t="s">
        <v>87</v>
      </c>
      <c r="L4938">
        <v>2</v>
      </c>
      <c r="M4938" t="s">
        <v>18363</v>
      </c>
      <c r="N4938" t="s">
        <v>13978</v>
      </c>
      <c r="O4938" t="s">
        <v>47</v>
      </c>
      <c r="P4938" t="s">
        <v>47</v>
      </c>
      <c r="Y4938" t="s">
        <v>18364</v>
      </c>
      <c r="AG4938" t="s">
        <v>48</v>
      </c>
    </row>
    <row r="4939" spans="1:33">
      <c r="A4939" t="s">
        <v>18365</v>
      </c>
      <c r="B4939" t="s">
        <v>18366</v>
      </c>
      <c r="D4939" t="s">
        <v>40</v>
      </c>
      <c r="E4939" t="s">
        <v>41</v>
      </c>
      <c r="J4939" t="s">
        <v>43</v>
      </c>
      <c r="K4939" t="s">
        <v>44</v>
      </c>
      <c r="L4939">
        <v>1</v>
      </c>
      <c r="M4939" t="s">
        <v>18367</v>
      </c>
      <c r="N4939" t="s">
        <v>192</v>
      </c>
      <c r="O4939" t="s">
        <v>47</v>
      </c>
      <c r="P4939" t="s">
        <v>47</v>
      </c>
      <c r="Y4939" t="s">
        <v>18368</v>
      </c>
      <c r="AG4939" t="s">
        <v>48</v>
      </c>
    </row>
    <row r="4940" spans="1:33">
      <c r="A4940" t="s">
        <v>18369</v>
      </c>
      <c r="B4940" t="s">
        <v>18370</v>
      </c>
      <c r="D4940" t="s">
        <v>40</v>
      </c>
      <c r="E4940" t="s">
        <v>41</v>
      </c>
      <c r="J4940" t="s">
        <v>43</v>
      </c>
      <c r="K4940" t="s">
        <v>44</v>
      </c>
      <c r="L4940">
        <v>2</v>
      </c>
      <c r="M4940" t="s">
        <v>18371</v>
      </c>
      <c r="N4940" t="s">
        <v>13978</v>
      </c>
      <c r="O4940" t="s">
        <v>47</v>
      </c>
      <c r="P4940" t="s">
        <v>47</v>
      </c>
      <c r="Y4940" t="s">
        <v>18372</v>
      </c>
      <c r="AG4940" t="s">
        <v>48</v>
      </c>
    </row>
    <row r="4941" spans="1:33">
      <c r="A4941" t="s">
        <v>18373</v>
      </c>
      <c r="B4941" t="s">
        <v>18374</v>
      </c>
      <c r="D4941" t="s">
        <v>40</v>
      </c>
      <c r="E4941" t="s">
        <v>41</v>
      </c>
      <c r="J4941" t="s">
        <v>43</v>
      </c>
      <c r="K4941" t="s">
        <v>44</v>
      </c>
      <c r="L4941">
        <v>1</v>
      </c>
      <c r="M4941" t="s">
        <v>18375</v>
      </c>
      <c r="N4941" t="s">
        <v>192</v>
      </c>
      <c r="O4941" t="s">
        <v>47</v>
      </c>
      <c r="P4941" t="s">
        <v>47</v>
      </c>
      <c r="Y4941" t="s">
        <v>18376</v>
      </c>
      <c r="AG4941" t="s">
        <v>48</v>
      </c>
    </row>
    <row r="4942" spans="1:33">
      <c r="A4942" t="s">
        <v>18377</v>
      </c>
      <c r="B4942" t="s">
        <v>18378</v>
      </c>
      <c r="D4942" t="s">
        <v>40</v>
      </c>
      <c r="E4942" t="s">
        <v>41</v>
      </c>
      <c r="J4942" t="s">
        <v>86</v>
      </c>
      <c r="K4942" t="s">
        <v>87</v>
      </c>
      <c r="L4942">
        <v>1</v>
      </c>
      <c r="M4942" t="s">
        <v>18379</v>
      </c>
      <c r="N4942" t="s">
        <v>14024</v>
      </c>
      <c r="O4942" t="s">
        <v>47</v>
      </c>
      <c r="P4942" t="s">
        <v>47</v>
      </c>
      <c r="Y4942" t="s">
        <v>18380</v>
      </c>
      <c r="AG4942" t="s">
        <v>48</v>
      </c>
    </row>
    <row r="4943" spans="1:33">
      <c r="A4943" t="s">
        <v>18381</v>
      </c>
      <c r="B4943" t="s">
        <v>18382</v>
      </c>
      <c r="D4943" t="s">
        <v>40</v>
      </c>
      <c r="E4943" t="s">
        <v>41</v>
      </c>
      <c r="J4943" t="s">
        <v>86</v>
      </c>
      <c r="K4943" t="s">
        <v>87</v>
      </c>
      <c r="L4943">
        <v>1</v>
      </c>
      <c r="M4943" t="s">
        <v>18383</v>
      </c>
      <c r="N4943" t="s">
        <v>192</v>
      </c>
      <c r="O4943" t="s">
        <v>47</v>
      </c>
      <c r="P4943" t="s">
        <v>47</v>
      </c>
      <c r="Y4943" t="s">
        <v>18384</v>
      </c>
      <c r="AG4943" t="s">
        <v>48</v>
      </c>
    </row>
    <row r="4944" spans="1:33">
      <c r="A4944" t="s">
        <v>18385</v>
      </c>
      <c r="B4944" t="s">
        <v>18386</v>
      </c>
      <c r="D4944" t="s">
        <v>40</v>
      </c>
      <c r="E4944" t="s">
        <v>41</v>
      </c>
      <c r="J4944" t="s">
        <v>86</v>
      </c>
      <c r="K4944" t="s">
        <v>87</v>
      </c>
      <c r="L4944">
        <v>1</v>
      </c>
      <c r="M4944" t="s">
        <v>18387</v>
      </c>
      <c r="N4944" t="s">
        <v>14024</v>
      </c>
      <c r="O4944" t="s">
        <v>47</v>
      </c>
      <c r="P4944" t="s">
        <v>47</v>
      </c>
      <c r="Y4944" t="s">
        <v>18388</v>
      </c>
      <c r="AG4944" t="s">
        <v>48</v>
      </c>
    </row>
    <row r="4945" spans="1:33">
      <c r="A4945" t="s">
        <v>18389</v>
      </c>
      <c r="B4945" t="s">
        <v>18390</v>
      </c>
      <c r="D4945" t="s">
        <v>40</v>
      </c>
      <c r="E4945" t="s">
        <v>41</v>
      </c>
      <c r="J4945" t="s">
        <v>14475</v>
      </c>
      <c r="K4945" t="s">
        <v>14476</v>
      </c>
      <c r="L4945">
        <v>1</v>
      </c>
      <c r="M4945" t="s">
        <v>18391</v>
      </c>
      <c r="N4945" t="s">
        <v>14059</v>
      </c>
      <c r="O4945" t="s">
        <v>47</v>
      </c>
      <c r="P4945" t="s">
        <v>47</v>
      </c>
      <c r="Y4945" t="s">
        <v>18392</v>
      </c>
      <c r="AG4945" t="s">
        <v>48</v>
      </c>
    </row>
    <row r="4946" spans="1:33">
      <c r="A4946" t="s">
        <v>18393</v>
      </c>
      <c r="B4946" t="s">
        <v>18394</v>
      </c>
      <c r="D4946" t="s">
        <v>40</v>
      </c>
      <c r="E4946" t="s">
        <v>41</v>
      </c>
      <c r="J4946" t="s">
        <v>43</v>
      </c>
      <c r="K4946" t="s">
        <v>44</v>
      </c>
      <c r="L4946">
        <v>1</v>
      </c>
      <c r="M4946" t="s">
        <v>18395</v>
      </c>
      <c r="N4946" t="s">
        <v>192</v>
      </c>
      <c r="O4946" t="s">
        <v>47</v>
      </c>
      <c r="P4946" t="s">
        <v>47</v>
      </c>
      <c r="Y4946" t="s">
        <v>18396</v>
      </c>
      <c r="AG4946" t="s">
        <v>48</v>
      </c>
    </row>
    <row r="4947" spans="1:33">
      <c r="A4947" t="s">
        <v>18397</v>
      </c>
      <c r="B4947" t="s">
        <v>18398</v>
      </c>
      <c r="D4947" t="s">
        <v>40</v>
      </c>
      <c r="E4947" t="s">
        <v>41</v>
      </c>
      <c r="J4947" t="s">
        <v>86</v>
      </c>
      <c r="K4947" t="s">
        <v>87</v>
      </c>
      <c r="L4947">
        <v>1</v>
      </c>
      <c r="M4947" t="s">
        <v>18399</v>
      </c>
      <c r="N4947" t="s">
        <v>14059</v>
      </c>
      <c r="O4947" t="s">
        <v>47</v>
      </c>
      <c r="P4947" t="s">
        <v>47</v>
      </c>
      <c r="Y4947" t="s">
        <v>18400</v>
      </c>
      <c r="AG4947" t="s">
        <v>48</v>
      </c>
    </row>
    <row r="4948" spans="1:33">
      <c r="A4948" t="s">
        <v>18401</v>
      </c>
      <c r="B4948" t="s">
        <v>18402</v>
      </c>
      <c r="D4948" t="s">
        <v>40</v>
      </c>
      <c r="E4948" t="s">
        <v>41</v>
      </c>
      <c r="J4948" t="s">
        <v>4737</v>
      </c>
      <c r="K4948" t="s">
        <v>4738</v>
      </c>
      <c r="L4948">
        <v>1</v>
      </c>
      <c r="M4948" t="s">
        <v>18403</v>
      </c>
      <c r="N4948" t="s">
        <v>13978</v>
      </c>
      <c r="O4948" t="s">
        <v>47</v>
      </c>
      <c r="P4948" t="s">
        <v>47</v>
      </c>
      <c r="Y4948" t="s">
        <v>18404</v>
      </c>
      <c r="AG4948" t="s">
        <v>48</v>
      </c>
    </row>
    <row r="4949" spans="1:33">
      <c r="A4949" t="s">
        <v>117</v>
      </c>
      <c r="B4949" t="s">
        <v>18405</v>
      </c>
      <c r="D4949" t="s">
        <v>40</v>
      </c>
      <c r="E4949" t="s">
        <v>41</v>
      </c>
      <c r="J4949" t="s">
        <v>43</v>
      </c>
      <c r="K4949" t="s">
        <v>44</v>
      </c>
      <c r="L4949">
        <v>1</v>
      </c>
      <c r="M4949" t="s">
        <v>18406</v>
      </c>
      <c r="N4949" t="s">
        <v>192</v>
      </c>
      <c r="O4949" t="s">
        <v>47</v>
      </c>
      <c r="P4949" t="s">
        <v>47</v>
      </c>
      <c r="Y4949" t="s">
        <v>18407</v>
      </c>
      <c r="AG4949" t="s">
        <v>48</v>
      </c>
    </row>
    <row r="4950" spans="1:33">
      <c r="A4950" t="s">
        <v>18408</v>
      </c>
      <c r="B4950" t="s">
        <v>18409</v>
      </c>
      <c r="D4950" t="s">
        <v>40</v>
      </c>
      <c r="E4950" t="s">
        <v>41</v>
      </c>
      <c r="J4950" t="s">
        <v>86</v>
      </c>
      <c r="K4950" t="s">
        <v>87</v>
      </c>
      <c r="L4950">
        <v>1</v>
      </c>
      <c r="M4950" t="s">
        <v>18410</v>
      </c>
      <c r="N4950" t="s">
        <v>14011</v>
      </c>
      <c r="O4950" t="s">
        <v>47</v>
      </c>
      <c r="P4950" t="s">
        <v>47</v>
      </c>
      <c r="Y4950" t="s">
        <v>18411</v>
      </c>
      <c r="AG4950" t="s">
        <v>48</v>
      </c>
    </row>
    <row r="4951" spans="1:33">
      <c r="A4951" t="s">
        <v>18412</v>
      </c>
      <c r="B4951" t="s">
        <v>18413</v>
      </c>
      <c r="D4951" t="s">
        <v>40</v>
      </c>
      <c r="E4951" t="s">
        <v>41</v>
      </c>
      <c r="J4951" t="s">
        <v>1418</v>
      </c>
      <c r="K4951" t="s">
        <v>1419</v>
      </c>
      <c r="L4951">
        <v>1</v>
      </c>
      <c r="M4951" t="s">
        <v>18414</v>
      </c>
      <c r="N4951" t="s">
        <v>14024</v>
      </c>
      <c r="O4951" t="s">
        <v>47</v>
      </c>
      <c r="P4951" t="s">
        <v>47</v>
      </c>
      <c r="Y4951" t="s">
        <v>18415</v>
      </c>
      <c r="AG4951" t="s">
        <v>48</v>
      </c>
    </row>
    <row r="4952" spans="1:33">
      <c r="A4952" t="s">
        <v>18416</v>
      </c>
      <c r="B4952" t="s">
        <v>18417</v>
      </c>
      <c r="D4952" t="s">
        <v>40</v>
      </c>
      <c r="E4952" t="s">
        <v>41</v>
      </c>
      <c r="J4952" t="s">
        <v>86</v>
      </c>
      <c r="K4952" t="s">
        <v>87</v>
      </c>
      <c r="L4952">
        <v>1</v>
      </c>
      <c r="M4952" t="s">
        <v>18418</v>
      </c>
      <c r="N4952" t="s">
        <v>192</v>
      </c>
      <c r="O4952" t="s">
        <v>47</v>
      </c>
      <c r="P4952" t="s">
        <v>47</v>
      </c>
      <c r="Y4952" t="s">
        <v>18419</v>
      </c>
      <c r="AG4952" t="s">
        <v>48</v>
      </c>
    </row>
    <row r="4953" spans="1:33">
      <c r="A4953" t="s">
        <v>18420</v>
      </c>
      <c r="B4953" t="s">
        <v>18421</v>
      </c>
      <c r="D4953" t="s">
        <v>40</v>
      </c>
      <c r="E4953" t="s">
        <v>41</v>
      </c>
      <c r="J4953" t="s">
        <v>14204</v>
      </c>
      <c r="K4953" t="s">
        <v>14205</v>
      </c>
      <c r="L4953">
        <v>1</v>
      </c>
      <c r="M4953" t="s">
        <v>18422</v>
      </c>
      <c r="N4953" t="s">
        <v>14011</v>
      </c>
      <c r="O4953" t="s">
        <v>47</v>
      </c>
      <c r="P4953" t="s">
        <v>47</v>
      </c>
      <c r="Y4953" t="s">
        <v>18423</v>
      </c>
      <c r="AG4953" t="s">
        <v>48</v>
      </c>
    </row>
    <row r="4954" spans="1:33">
      <c r="A4954" t="s">
        <v>18424</v>
      </c>
      <c r="B4954" t="s">
        <v>18425</v>
      </c>
      <c r="D4954" t="s">
        <v>40</v>
      </c>
      <c r="E4954" t="s">
        <v>41</v>
      </c>
      <c r="J4954" t="s">
        <v>13514</v>
      </c>
      <c r="K4954" t="s">
        <v>13515</v>
      </c>
      <c r="L4954">
        <v>2</v>
      </c>
      <c r="M4954" t="s">
        <v>18426</v>
      </c>
      <c r="N4954" t="s">
        <v>59</v>
      </c>
      <c r="O4954" t="s">
        <v>47</v>
      </c>
      <c r="P4954" t="s">
        <v>47</v>
      </c>
      <c r="Y4954" t="s">
        <v>18427</v>
      </c>
      <c r="AG4954" t="s">
        <v>48</v>
      </c>
    </row>
    <row r="4955" spans="1:33">
      <c r="A4955" t="s">
        <v>18428</v>
      </c>
      <c r="B4955" t="s">
        <v>18429</v>
      </c>
      <c r="D4955" t="s">
        <v>40</v>
      </c>
      <c r="E4955" t="s">
        <v>41</v>
      </c>
      <c r="J4955" t="s">
        <v>43</v>
      </c>
      <c r="K4955" t="s">
        <v>44</v>
      </c>
      <c r="L4955">
        <v>1</v>
      </c>
      <c r="M4955" t="s">
        <v>18430</v>
      </c>
      <c r="N4955" t="s">
        <v>192</v>
      </c>
      <c r="O4955" t="s">
        <v>47</v>
      </c>
      <c r="P4955" t="s">
        <v>47</v>
      </c>
      <c r="Y4955" t="s">
        <v>18431</v>
      </c>
      <c r="AG4955" t="s">
        <v>48</v>
      </c>
    </row>
    <row r="4956" spans="1:33">
      <c r="A4956" t="s">
        <v>117</v>
      </c>
      <c r="B4956" t="s">
        <v>18432</v>
      </c>
      <c r="D4956" t="s">
        <v>40</v>
      </c>
      <c r="E4956" t="s">
        <v>41</v>
      </c>
      <c r="J4956" t="s">
        <v>86</v>
      </c>
      <c r="K4956" t="s">
        <v>87</v>
      </c>
      <c r="L4956">
        <v>2</v>
      </c>
      <c r="M4956" t="s">
        <v>18433</v>
      </c>
      <c r="N4956" t="s">
        <v>192</v>
      </c>
      <c r="O4956" t="s">
        <v>47</v>
      </c>
      <c r="P4956" t="s">
        <v>47</v>
      </c>
      <c r="Y4956" t="s">
        <v>18434</v>
      </c>
      <c r="AG4956" t="s">
        <v>48</v>
      </c>
    </row>
    <row r="4957" spans="1:33">
      <c r="A4957" t="s">
        <v>18435</v>
      </c>
      <c r="B4957" t="s">
        <v>18436</v>
      </c>
      <c r="D4957" t="s">
        <v>40</v>
      </c>
      <c r="E4957" t="s">
        <v>41</v>
      </c>
      <c r="J4957" t="s">
        <v>86</v>
      </c>
      <c r="K4957" t="s">
        <v>87</v>
      </c>
      <c r="L4957">
        <v>1</v>
      </c>
      <c r="M4957" t="s">
        <v>18437</v>
      </c>
      <c r="N4957" t="s">
        <v>13978</v>
      </c>
      <c r="O4957" t="s">
        <v>47</v>
      </c>
      <c r="P4957" t="s">
        <v>47</v>
      </c>
      <c r="Y4957" t="s">
        <v>18438</v>
      </c>
      <c r="AG4957" t="s">
        <v>48</v>
      </c>
    </row>
    <row r="4958" spans="1:33">
      <c r="A4958" t="s">
        <v>18439</v>
      </c>
      <c r="B4958" t="s">
        <v>18440</v>
      </c>
      <c r="D4958" t="s">
        <v>40</v>
      </c>
      <c r="E4958" t="s">
        <v>41</v>
      </c>
      <c r="J4958" t="s">
        <v>1418</v>
      </c>
      <c r="K4958" t="s">
        <v>1419</v>
      </c>
      <c r="L4958">
        <v>1</v>
      </c>
      <c r="M4958" t="s">
        <v>18441</v>
      </c>
      <c r="N4958" t="s">
        <v>218</v>
      </c>
      <c r="O4958" t="s">
        <v>47</v>
      </c>
      <c r="P4958" t="s">
        <v>47</v>
      </c>
      <c r="Y4958" t="s">
        <v>18442</v>
      </c>
      <c r="AG4958" t="s">
        <v>48</v>
      </c>
    </row>
    <row r="4959" spans="1:33">
      <c r="A4959" t="s">
        <v>18443</v>
      </c>
      <c r="B4959" t="s">
        <v>18444</v>
      </c>
      <c r="D4959" t="s">
        <v>40</v>
      </c>
      <c r="E4959" t="s">
        <v>41</v>
      </c>
      <c r="J4959" t="s">
        <v>13777</v>
      </c>
      <c r="K4959" t="s">
        <v>13778</v>
      </c>
      <c r="L4959">
        <v>1</v>
      </c>
      <c r="M4959" t="s">
        <v>18445</v>
      </c>
      <c r="N4959" t="s">
        <v>14011</v>
      </c>
      <c r="O4959" t="s">
        <v>47</v>
      </c>
      <c r="P4959" t="s">
        <v>47</v>
      </c>
      <c r="Y4959" t="s">
        <v>18446</v>
      </c>
      <c r="AG4959" t="s">
        <v>48</v>
      </c>
    </row>
    <row r="4960" spans="1:33">
      <c r="A4960" t="s">
        <v>18447</v>
      </c>
      <c r="B4960" t="s">
        <v>18448</v>
      </c>
      <c r="D4960" t="s">
        <v>40</v>
      </c>
      <c r="E4960" t="s">
        <v>41</v>
      </c>
      <c r="J4960" t="s">
        <v>13514</v>
      </c>
      <c r="K4960" t="s">
        <v>13515</v>
      </c>
      <c r="L4960">
        <v>2</v>
      </c>
      <c r="M4960" t="s">
        <v>18445</v>
      </c>
      <c r="N4960" t="s">
        <v>59</v>
      </c>
      <c r="O4960" t="s">
        <v>47</v>
      </c>
      <c r="P4960" t="s">
        <v>47</v>
      </c>
      <c r="Y4960" t="s">
        <v>18449</v>
      </c>
      <c r="AG4960" t="s">
        <v>48</v>
      </c>
    </row>
    <row r="4961" spans="1:33">
      <c r="A4961" t="s">
        <v>18450</v>
      </c>
      <c r="B4961" t="s">
        <v>18451</v>
      </c>
      <c r="D4961" t="s">
        <v>40</v>
      </c>
      <c r="E4961" t="s">
        <v>41</v>
      </c>
      <c r="J4961" t="s">
        <v>1418</v>
      </c>
      <c r="K4961" t="s">
        <v>1419</v>
      </c>
      <c r="L4961">
        <v>1</v>
      </c>
      <c r="M4961" t="s">
        <v>18452</v>
      </c>
      <c r="N4961" t="s">
        <v>14024</v>
      </c>
      <c r="O4961" t="s">
        <v>47</v>
      </c>
      <c r="P4961" t="s">
        <v>47</v>
      </c>
      <c r="Y4961" t="s">
        <v>18453</v>
      </c>
      <c r="AG4961" t="s">
        <v>48</v>
      </c>
    </row>
    <row r="4962" spans="1:33">
      <c r="A4962" t="s">
        <v>18454</v>
      </c>
      <c r="B4962" t="s">
        <v>18455</v>
      </c>
      <c r="D4962" t="s">
        <v>40</v>
      </c>
      <c r="E4962" t="s">
        <v>41</v>
      </c>
      <c r="J4962" t="s">
        <v>14475</v>
      </c>
      <c r="K4962" t="s">
        <v>14476</v>
      </c>
      <c r="L4962">
        <v>1</v>
      </c>
      <c r="M4962" t="s">
        <v>18456</v>
      </c>
      <c r="N4962" t="s">
        <v>14059</v>
      </c>
      <c r="O4962" t="s">
        <v>47</v>
      </c>
      <c r="P4962" t="s">
        <v>47</v>
      </c>
      <c r="Y4962" t="s">
        <v>18457</v>
      </c>
      <c r="AG4962" t="s">
        <v>48</v>
      </c>
    </row>
    <row r="4963" spans="1:33">
      <c r="A4963" t="s">
        <v>117</v>
      </c>
      <c r="B4963" t="s">
        <v>18458</v>
      </c>
      <c r="D4963" t="s">
        <v>40</v>
      </c>
      <c r="E4963" t="s">
        <v>41</v>
      </c>
      <c r="J4963" t="s">
        <v>86</v>
      </c>
      <c r="K4963" t="s">
        <v>87</v>
      </c>
      <c r="L4963">
        <v>1</v>
      </c>
      <c r="M4963" t="s">
        <v>18459</v>
      </c>
      <c r="N4963" t="s">
        <v>14024</v>
      </c>
      <c r="O4963" t="s">
        <v>47</v>
      </c>
      <c r="P4963" t="s">
        <v>47</v>
      </c>
      <c r="Y4963" t="s">
        <v>18460</v>
      </c>
      <c r="AG4963" t="s">
        <v>48</v>
      </c>
    </row>
    <row r="4964" spans="1:33">
      <c r="A4964" t="s">
        <v>117</v>
      </c>
      <c r="B4964" t="s">
        <v>18461</v>
      </c>
      <c r="D4964" t="s">
        <v>40</v>
      </c>
      <c r="E4964" t="s">
        <v>41</v>
      </c>
      <c r="J4964" t="s">
        <v>43</v>
      </c>
      <c r="K4964" t="s">
        <v>44</v>
      </c>
      <c r="L4964">
        <v>1</v>
      </c>
      <c r="M4964" t="s">
        <v>18462</v>
      </c>
      <c r="N4964" t="s">
        <v>192</v>
      </c>
      <c r="O4964" t="s">
        <v>47</v>
      </c>
      <c r="P4964" t="s">
        <v>47</v>
      </c>
      <c r="Y4964" t="s">
        <v>18463</v>
      </c>
      <c r="AG4964" t="s">
        <v>48</v>
      </c>
    </row>
    <row r="4965" spans="1:33">
      <c r="A4965" t="s">
        <v>18464</v>
      </c>
      <c r="B4965" t="s">
        <v>18465</v>
      </c>
      <c r="D4965" t="s">
        <v>40</v>
      </c>
      <c r="E4965" t="s">
        <v>41</v>
      </c>
      <c r="J4965" t="s">
        <v>86</v>
      </c>
      <c r="K4965" t="s">
        <v>87</v>
      </c>
      <c r="L4965">
        <v>1</v>
      </c>
      <c r="M4965" t="s">
        <v>18466</v>
      </c>
      <c r="N4965" t="s">
        <v>14059</v>
      </c>
      <c r="O4965" t="s">
        <v>47</v>
      </c>
      <c r="P4965" t="s">
        <v>47</v>
      </c>
      <c r="Y4965" t="s">
        <v>18467</v>
      </c>
      <c r="AG4965" t="s">
        <v>48</v>
      </c>
    </row>
    <row r="4966" spans="1:33">
      <c r="A4966" t="s">
        <v>18468</v>
      </c>
      <c r="B4966" t="s">
        <v>18469</v>
      </c>
      <c r="D4966" t="s">
        <v>40</v>
      </c>
      <c r="E4966" t="s">
        <v>41</v>
      </c>
      <c r="J4966" t="s">
        <v>1418</v>
      </c>
      <c r="K4966" t="s">
        <v>1419</v>
      </c>
      <c r="L4966">
        <v>1</v>
      </c>
      <c r="M4966" t="s">
        <v>18470</v>
      </c>
      <c r="N4966" t="s">
        <v>192</v>
      </c>
      <c r="O4966" t="s">
        <v>47</v>
      </c>
      <c r="P4966" t="s">
        <v>47</v>
      </c>
      <c r="Y4966" t="s">
        <v>18471</v>
      </c>
      <c r="AG4966" t="s">
        <v>48</v>
      </c>
    </row>
    <row r="4967" spans="1:33">
      <c r="A4967" t="s">
        <v>18472</v>
      </c>
      <c r="B4967" t="s">
        <v>18473</v>
      </c>
      <c r="D4967" t="s">
        <v>40</v>
      </c>
      <c r="E4967" t="s">
        <v>41</v>
      </c>
      <c r="J4967" t="s">
        <v>14204</v>
      </c>
      <c r="K4967" t="s">
        <v>14205</v>
      </c>
      <c r="L4967">
        <v>1</v>
      </c>
      <c r="M4967" t="s">
        <v>18474</v>
      </c>
      <c r="N4967" t="s">
        <v>14340</v>
      </c>
      <c r="O4967" t="s">
        <v>47</v>
      </c>
      <c r="P4967" t="s">
        <v>47</v>
      </c>
      <c r="Y4967" t="s">
        <v>18475</v>
      </c>
      <c r="AG4967" t="s">
        <v>48</v>
      </c>
    </row>
    <row r="4968" spans="1:33">
      <c r="A4968" t="s">
        <v>18476</v>
      </c>
      <c r="B4968" t="s">
        <v>18477</v>
      </c>
      <c r="D4968" t="s">
        <v>40</v>
      </c>
      <c r="E4968" t="s">
        <v>41</v>
      </c>
      <c r="J4968" t="s">
        <v>43</v>
      </c>
      <c r="K4968" t="s">
        <v>44</v>
      </c>
      <c r="L4968">
        <v>1</v>
      </c>
      <c r="M4968" t="s">
        <v>18478</v>
      </c>
      <c r="N4968" t="s">
        <v>192</v>
      </c>
      <c r="O4968" t="s">
        <v>47</v>
      </c>
      <c r="P4968" t="s">
        <v>47</v>
      </c>
      <c r="Y4968" t="s">
        <v>18479</v>
      </c>
      <c r="AG4968" t="s">
        <v>48</v>
      </c>
    </row>
    <row r="4969" spans="1:33">
      <c r="A4969" t="s">
        <v>18480</v>
      </c>
      <c r="B4969" t="s">
        <v>18481</v>
      </c>
      <c r="D4969" t="s">
        <v>40</v>
      </c>
      <c r="E4969" t="s">
        <v>41</v>
      </c>
      <c r="J4969" t="s">
        <v>1418</v>
      </c>
      <c r="K4969" t="s">
        <v>1419</v>
      </c>
      <c r="L4969">
        <v>1</v>
      </c>
      <c r="M4969" t="s">
        <v>18482</v>
      </c>
      <c r="N4969" t="s">
        <v>218</v>
      </c>
      <c r="O4969" t="s">
        <v>47</v>
      </c>
      <c r="P4969" t="s">
        <v>47</v>
      </c>
      <c r="Y4969" t="s">
        <v>18483</v>
      </c>
      <c r="AG4969" t="s">
        <v>48</v>
      </c>
    </row>
    <row r="4970" spans="1:33">
      <c r="A4970" t="s">
        <v>18484</v>
      </c>
      <c r="B4970" t="s">
        <v>18485</v>
      </c>
      <c r="D4970" t="s">
        <v>40</v>
      </c>
      <c r="E4970" t="s">
        <v>41</v>
      </c>
      <c r="J4970" t="s">
        <v>86</v>
      </c>
      <c r="K4970" t="s">
        <v>87</v>
      </c>
      <c r="L4970">
        <v>1</v>
      </c>
      <c r="M4970" t="s">
        <v>18486</v>
      </c>
      <c r="N4970" t="s">
        <v>13978</v>
      </c>
      <c r="O4970" t="s">
        <v>47</v>
      </c>
      <c r="P4970" t="s">
        <v>47</v>
      </c>
      <c r="Y4970" t="s">
        <v>18487</v>
      </c>
      <c r="AG4970" t="s">
        <v>48</v>
      </c>
    </row>
    <row r="4971" spans="1:33">
      <c r="A4971" t="s">
        <v>18488</v>
      </c>
      <c r="B4971" t="s">
        <v>18489</v>
      </c>
      <c r="D4971" t="s">
        <v>40</v>
      </c>
      <c r="E4971" t="s">
        <v>41</v>
      </c>
      <c r="J4971" t="s">
        <v>43</v>
      </c>
      <c r="K4971" t="s">
        <v>44</v>
      </c>
      <c r="L4971">
        <v>1</v>
      </c>
      <c r="M4971" t="s">
        <v>18490</v>
      </c>
      <c r="N4971" t="s">
        <v>192</v>
      </c>
      <c r="O4971" t="s">
        <v>47</v>
      </c>
      <c r="P4971" t="s">
        <v>47</v>
      </c>
      <c r="Y4971" t="s">
        <v>18491</v>
      </c>
      <c r="AG4971" t="s">
        <v>48</v>
      </c>
    </row>
    <row r="4972" spans="1:33">
      <c r="A4972" t="s">
        <v>18492</v>
      </c>
      <c r="B4972" t="s">
        <v>18493</v>
      </c>
      <c r="D4972" t="s">
        <v>40</v>
      </c>
      <c r="E4972" t="s">
        <v>41</v>
      </c>
      <c r="J4972" t="s">
        <v>1418</v>
      </c>
      <c r="K4972" t="s">
        <v>1419</v>
      </c>
      <c r="L4972">
        <v>1</v>
      </c>
      <c r="M4972" t="s">
        <v>18494</v>
      </c>
      <c r="N4972" t="s">
        <v>13978</v>
      </c>
      <c r="O4972" t="s">
        <v>47</v>
      </c>
      <c r="P4972" t="s">
        <v>47</v>
      </c>
      <c r="Y4972" t="s">
        <v>18495</v>
      </c>
      <c r="AG4972" t="s">
        <v>48</v>
      </c>
    </row>
    <row r="4973" spans="1:33">
      <c r="A4973" t="s">
        <v>18496</v>
      </c>
      <c r="B4973" t="s">
        <v>18497</v>
      </c>
      <c r="D4973" t="s">
        <v>40</v>
      </c>
      <c r="E4973" t="s">
        <v>41</v>
      </c>
      <c r="J4973" t="s">
        <v>86</v>
      </c>
      <c r="K4973" t="s">
        <v>87</v>
      </c>
      <c r="L4973">
        <v>1</v>
      </c>
      <c r="M4973" t="s">
        <v>18498</v>
      </c>
      <c r="N4973" t="s">
        <v>13978</v>
      </c>
      <c r="O4973" t="s">
        <v>47</v>
      </c>
      <c r="P4973" t="s">
        <v>47</v>
      </c>
      <c r="Y4973" t="s">
        <v>18499</v>
      </c>
      <c r="AG4973" t="s">
        <v>48</v>
      </c>
    </row>
    <row r="4974" spans="1:33">
      <c r="A4974" t="s">
        <v>18500</v>
      </c>
      <c r="B4974" t="s">
        <v>18501</v>
      </c>
      <c r="D4974" t="s">
        <v>40</v>
      </c>
      <c r="E4974" t="s">
        <v>41</v>
      </c>
      <c r="J4974" t="s">
        <v>86</v>
      </c>
      <c r="K4974" t="s">
        <v>87</v>
      </c>
      <c r="L4974">
        <v>1</v>
      </c>
      <c r="M4974" t="s">
        <v>18502</v>
      </c>
      <c r="N4974" t="s">
        <v>192</v>
      </c>
      <c r="O4974" t="s">
        <v>47</v>
      </c>
      <c r="P4974" t="s">
        <v>47</v>
      </c>
      <c r="Y4974" t="s">
        <v>18503</v>
      </c>
      <c r="AG4974" t="s">
        <v>48</v>
      </c>
    </row>
    <row r="4975" spans="1:33">
      <c r="A4975" t="s">
        <v>18504</v>
      </c>
      <c r="B4975" t="s">
        <v>18505</v>
      </c>
      <c r="D4975" t="s">
        <v>40</v>
      </c>
      <c r="E4975" t="s">
        <v>41</v>
      </c>
      <c r="J4975" t="s">
        <v>43</v>
      </c>
      <c r="K4975" t="s">
        <v>44</v>
      </c>
      <c r="L4975">
        <v>1</v>
      </c>
      <c r="M4975" t="s">
        <v>18506</v>
      </c>
      <c r="N4975" t="s">
        <v>192</v>
      </c>
      <c r="O4975" t="s">
        <v>47</v>
      </c>
      <c r="P4975" t="s">
        <v>47</v>
      </c>
      <c r="Y4975" t="s">
        <v>18507</v>
      </c>
      <c r="AG4975" t="s">
        <v>48</v>
      </c>
    </row>
    <row r="4976" spans="1:33">
      <c r="A4976" t="s">
        <v>18508</v>
      </c>
      <c r="B4976" t="s">
        <v>18509</v>
      </c>
      <c r="D4976" t="s">
        <v>40</v>
      </c>
      <c r="E4976" t="s">
        <v>41</v>
      </c>
      <c r="J4976" t="s">
        <v>14204</v>
      </c>
      <c r="K4976" t="s">
        <v>14205</v>
      </c>
      <c r="L4976">
        <v>1</v>
      </c>
      <c r="M4976" t="s">
        <v>18510</v>
      </c>
      <c r="N4976" t="s">
        <v>14340</v>
      </c>
      <c r="O4976" t="s">
        <v>47</v>
      </c>
      <c r="P4976" t="s">
        <v>47</v>
      </c>
      <c r="Y4976" t="s">
        <v>18511</v>
      </c>
      <c r="AG4976" t="s">
        <v>48</v>
      </c>
    </row>
    <row r="4977" spans="1:33">
      <c r="A4977" t="s">
        <v>18512</v>
      </c>
      <c r="B4977" t="s">
        <v>18513</v>
      </c>
      <c r="D4977" t="s">
        <v>40</v>
      </c>
      <c r="E4977" t="s">
        <v>41</v>
      </c>
      <c r="J4977" t="s">
        <v>1418</v>
      </c>
      <c r="K4977" t="s">
        <v>1419</v>
      </c>
      <c r="L4977">
        <v>1</v>
      </c>
      <c r="M4977" t="s">
        <v>18514</v>
      </c>
      <c r="N4977" t="s">
        <v>13978</v>
      </c>
      <c r="O4977" t="s">
        <v>47</v>
      </c>
      <c r="P4977" t="s">
        <v>47</v>
      </c>
      <c r="Y4977" t="s">
        <v>18515</v>
      </c>
      <c r="AG4977" t="s">
        <v>48</v>
      </c>
    </row>
    <row r="4978" spans="1:33">
      <c r="A4978" t="s">
        <v>18516</v>
      </c>
      <c r="B4978" t="s">
        <v>18517</v>
      </c>
      <c r="D4978" t="s">
        <v>40</v>
      </c>
      <c r="E4978" t="s">
        <v>41</v>
      </c>
      <c r="J4978" t="s">
        <v>86</v>
      </c>
      <c r="K4978" t="s">
        <v>87</v>
      </c>
      <c r="L4978">
        <v>1</v>
      </c>
      <c r="M4978" t="s">
        <v>18518</v>
      </c>
      <c r="N4978" t="s">
        <v>14024</v>
      </c>
      <c r="O4978" t="s">
        <v>47</v>
      </c>
      <c r="P4978" t="s">
        <v>47</v>
      </c>
      <c r="Y4978" t="s">
        <v>18519</v>
      </c>
      <c r="AG4978" t="s">
        <v>48</v>
      </c>
    </row>
    <row r="4979" spans="1:33">
      <c r="A4979" t="s">
        <v>18520</v>
      </c>
      <c r="B4979" t="s">
        <v>18521</v>
      </c>
      <c r="D4979" t="s">
        <v>40</v>
      </c>
      <c r="E4979" t="s">
        <v>41</v>
      </c>
      <c r="J4979" t="s">
        <v>86</v>
      </c>
      <c r="K4979" t="s">
        <v>87</v>
      </c>
      <c r="L4979">
        <v>1</v>
      </c>
      <c r="M4979" t="s">
        <v>18522</v>
      </c>
      <c r="N4979" t="s">
        <v>192</v>
      </c>
      <c r="O4979" t="s">
        <v>47</v>
      </c>
      <c r="P4979" t="s">
        <v>47</v>
      </c>
      <c r="Y4979" t="s">
        <v>18523</v>
      </c>
      <c r="AG4979" t="s">
        <v>48</v>
      </c>
    </row>
    <row r="4980" spans="1:33">
      <c r="A4980" t="s">
        <v>18524</v>
      </c>
      <c r="B4980" t="s">
        <v>18525</v>
      </c>
      <c r="D4980" t="s">
        <v>40</v>
      </c>
      <c r="E4980" t="s">
        <v>41</v>
      </c>
      <c r="J4980" t="s">
        <v>1418</v>
      </c>
      <c r="K4980" t="s">
        <v>1419</v>
      </c>
      <c r="L4980">
        <v>1</v>
      </c>
      <c r="M4980" t="s">
        <v>18526</v>
      </c>
      <c r="N4980" t="s">
        <v>13978</v>
      </c>
      <c r="O4980" t="s">
        <v>47</v>
      </c>
      <c r="P4980" t="s">
        <v>47</v>
      </c>
      <c r="Y4980" t="s">
        <v>18527</v>
      </c>
      <c r="AG4980" t="s">
        <v>48</v>
      </c>
    </row>
    <row r="4981" spans="1:33">
      <c r="A4981" t="s">
        <v>18528</v>
      </c>
      <c r="B4981" t="s">
        <v>18529</v>
      </c>
      <c r="D4981" t="s">
        <v>40</v>
      </c>
      <c r="E4981" t="s">
        <v>41</v>
      </c>
      <c r="J4981" t="s">
        <v>43</v>
      </c>
      <c r="K4981" t="s">
        <v>44</v>
      </c>
      <c r="L4981">
        <v>2</v>
      </c>
      <c r="M4981" t="s">
        <v>18530</v>
      </c>
      <c r="N4981" t="s">
        <v>192</v>
      </c>
      <c r="O4981" t="s">
        <v>47</v>
      </c>
      <c r="P4981" t="s">
        <v>47</v>
      </c>
      <c r="Y4981" t="s">
        <v>18531</v>
      </c>
      <c r="AG4981" t="s">
        <v>48</v>
      </c>
    </row>
    <row r="4982" spans="1:33">
      <c r="A4982" t="s">
        <v>18532</v>
      </c>
      <c r="B4982" t="s">
        <v>18533</v>
      </c>
      <c r="D4982" t="s">
        <v>40</v>
      </c>
      <c r="E4982" t="s">
        <v>41</v>
      </c>
      <c r="J4982" t="s">
        <v>43</v>
      </c>
      <c r="K4982" t="s">
        <v>44</v>
      </c>
      <c r="L4982">
        <v>1</v>
      </c>
      <c r="M4982" t="s">
        <v>18534</v>
      </c>
      <c r="N4982" t="s">
        <v>192</v>
      </c>
      <c r="O4982" t="s">
        <v>47</v>
      </c>
      <c r="P4982" t="s">
        <v>47</v>
      </c>
      <c r="Y4982" t="s">
        <v>18535</v>
      </c>
      <c r="AG4982" t="s">
        <v>48</v>
      </c>
    </row>
    <row r="4983" spans="1:33">
      <c r="A4983" t="s">
        <v>18536</v>
      </c>
      <c r="B4983" t="s">
        <v>18537</v>
      </c>
      <c r="D4983" t="s">
        <v>40</v>
      </c>
      <c r="E4983" t="s">
        <v>41</v>
      </c>
      <c r="J4983" t="s">
        <v>8931</v>
      </c>
      <c r="K4983" t="s">
        <v>8932</v>
      </c>
      <c r="L4983">
        <v>1</v>
      </c>
      <c r="M4983" t="s">
        <v>18538</v>
      </c>
      <c r="N4983" t="s">
        <v>14340</v>
      </c>
      <c r="O4983" t="s">
        <v>47</v>
      </c>
      <c r="P4983" t="s">
        <v>47</v>
      </c>
      <c r="Y4983" t="s">
        <v>18539</v>
      </c>
      <c r="AG4983" t="s">
        <v>48</v>
      </c>
    </row>
    <row r="4984" spans="1:33">
      <c r="A4984" t="s">
        <v>18540</v>
      </c>
      <c r="B4984" t="s">
        <v>18541</v>
      </c>
      <c r="D4984" t="s">
        <v>40</v>
      </c>
      <c r="E4984" t="s">
        <v>41</v>
      </c>
      <c r="J4984" t="s">
        <v>86</v>
      </c>
      <c r="K4984" t="s">
        <v>87</v>
      </c>
      <c r="L4984">
        <v>1</v>
      </c>
      <c r="M4984" t="s">
        <v>18542</v>
      </c>
      <c r="N4984" t="s">
        <v>192</v>
      </c>
      <c r="O4984" t="s">
        <v>47</v>
      </c>
      <c r="P4984" t="s">
        <v>47</v>
      </c>
      <c r="Y4984" t="s">
        <v>18543</v>
      </c>
      <c r="AG4984" t="s">
        <v>48</v>
      </c>
    </row>
    <row r="4985" spans="1:33">
      <c r="A4985" t="s">
        <v>18544</v>
      </c>
      <c r="B4985" t="s">
        <v>18545</v>
      </c>
      <c r="D4985" t="s">
        <v>40</v>
      </c>
      <c r="E4985" t="s">
        <v>41</v>
      </c>
      <c r="J4985" t="s">
        <v>43</v>
      </c>
      <c r="K4985" t="s">
        <v>44</v>
      </c>
      <c r="L4985">
        <v>1</v>
      </c>
      <c r="M4985" t="s">
        <v>18546</v>
      </c>
      <c r="N4985" t="s">
        <v>192</v>
      </c>
      <c r="O4985" t="s">
        <v>47</v>
      </c>
      <c r="P4985" t="s">
        <v>47</v>
      </c>
      <c r="Y4985" t="s">
        <v>18547</v>
      </c>
      <c r="AG4985" t="s">
        <v>48</v>
      </c>
    </row>
    <row r="4986" spans="1:33">
      <c r="A4986" t="s">
        <v>18548</v>
      </c>
      <c r="B4986" t="s">
        <v>18549</v>
      </c>
      <c r="D4986" t="s">
        <v>40</v>
      </c>
      <c r="E4986" t="s">
        <v>41</v>
      </c>
      <c r="J4986" t="s">
        <v>13514</v>
      </c>
      <c r="K4986" t="s">
        <v>13515</v>
      </c>
      <c r="L4986">
        <v>1</v>
      </c>
      <c r="O4986" t="s">
        <v>47</v>
      </c>
      <c r="P4986" t="s">
        <v>47</v>
      </c>
      <c r="Y4986" t="s">
        <v>18550</v>
      </c>
      <c r="AG4986" t="s">
        <v>48</v>
      </c>
    </row>
    <row r="4987" spans="1:33">
      <c r="A4987" t="s">
        <v>18551</v>
      </c>
      <c r="D4987" t="s">
        <v>40</v>
      </c>
      <c r="E4987" t="s">
        <v>41</v>
      </c>
      <c r="J4987" t="s">
        <v>18552</v>
      </c>
      <c r="K4987" t="s">
        <v>18553</v>
      </c>
      <c r="L4987">
        <v>0</v>
      </c>
      <c r="O4987" t="s">
        <v>47</v>
      </c>
      <c r="P4987" t="s">
        <v>47</v>
      </c>
      <c r="Y4987" t="s">
        <v>18554</v>
      </c>
      <c r="AG4987" t="s">
        <v>48</v>
      </c>
    </row>
    <row r="4988" spans="1:33">
      <c r="A4988" t="s">
        <v>18555</v>
      </c>
      <c r="B4988" t="s">
        <v>18556</v>
      </c>
      <c r="D4988" t="s">
        <v>40</v>
      </c>
      <c r="E4988" t="s">
        <v>41</v>
      </c>
      <c r="J4988" t="s">
        <v>13514</v>
      </c>
      <c r="K4988" t="s">
        <v>13515</v>
      </c>
      <c r="L4988">
        <v>1</v>
      </c>
      <c r="O4988" t="s">
        <v>47</v>
      </c>
      <c r="P4988" t="s">
        <v>47</v>
      </c>
      <c r="Y4988" t="s">
        <v>18557</v>
      </c>
      <c r="AG4988" t="s">
        <v>48</v>
      </c>
    </row>
    <row r="4989" spans="1:33">
      <c r="A4989" t="s">
        <v>18558</v>
      </c>
      <c r="B4989" t="s">
        <v>18559</v>
      </c>
      <c r="D4989" t="s">
        <v>40</v>
      </c>
      <c r="E4989" t="s">
        <v>41</v>
      </c>
      <c r="J4989" t="s">
        <v>13514</v>
      </c>
      <c r="K4989" t="s">
        <v>13515</v>
      </c>
      <c r="L4989">
        <v>1</v>
      </c>
      <c r="O4989" t="s">
        <v>47</v>
      </c>
      <c r="P4989" t="s">
        <v>47</v>
      </c>
      <c r="Y4989" t="s">
        <v>18560</v>
      </c>
      <c r="AG4989" t="s">
        <v>48</v>
      </c>
    </row>
    <row r="4990" spans="1:33">
      <c r="A4990" t="s">
        <v>18561</v>
      </c>
      <c r="B4990" t="s">
        <v>18562</v>
      </c>
      <c r="D4990" t="s">
        <v>40</v>
      </c>
      <c r="E4990" t="s">
        <v>41</v>
      </c>
      <c r="J4990" t="s">
        <v>13514</v>
      </c>
      <c r="K4990" t="s">
        <v>13515</v>
      </c>
      <c r="L4990">
        <v>1</v>
      </c>
      <c r="O4990" t="s">
        <v>47</v>
      </c>
      <c r="P4990" t="s">
        <v>47</v>
      </c>
      <c r="Y4990" t="s">
        <v>18563</v>
      </c>
      <c r="AG4990" t="s">
        <v>48</v>
      </c>
    </row>
    <row r="4991" spans="1:33">
      <c r="A4991" t="s">
        <v>18564</v>
      </c>
      <c r="B4991" t="s">
        <v>18565</v>
      </c>
      <c r="D4991" t="s">
        <v>40</v>
      </c>
      <c r="E4991" t="s">
        <v>41</v>
      </c>
      <c r="J4991" t="s">
        <v>13514</v>
      </c>
      <c r="K4991" t="s">
        <v>13515</v>
      </c>
      <c r="L4991">
        <v>1</v>
      </c>
      <c r="O4991" t="s">
        <v>47</v>
      </c>
      <c r="P4991" t="s">
        <v>47</v>
      </c>
      <c r="Y4991" t="s">
        <v>18566</v>
      </c>
      <c r="AG4991" t="s">
        <v>48</v>
      </c>
    </row>
    <row r="4992" spans="1:33">
      <c r="A4992" t="s">
        <v>18567</v>
      </c>
      <c r="B4992" t="s">
        <v>18568</v>
      </c>
      <c r="D4992" t="s">
        <v>40</v>
      </c>
      <c r="E4992" t="s">
        <v>41</v>
      </c>
      <c r="J4992" t="s">
        <v>13514</v>
      </c>
      <c r="K4992" t="s">
        <v>13515</v>
      </c>
      <c r="L4992">
        <v>1</v>
      </c>
      <c r="O4992" t="s">
        <v>47</v>
      </c>
      <c r="P4992" t="s">
        <v>47</v>
      </c>
      <c r="Y4992" t="s">
        <v>18569</v>
      </c>
      <c r="AG4992" t="s">
        <v>48</v>
      </c>
    </row>
    <row r="4993" spans="1:33">
      <c r="A4993" t="s">
        <v>18570</v>
      </c>
      <c r="B4993" t="s">
        <v>18571</v>
      </c>
      <c r="D4993" t="s">
        <v>40</v>
      </c>
      <c r="E4993" t="s">
        <v>41</v>
      </c>
      <c r="J4993" t="s">
        <v>13514</v>
      </c>
      <c r="K4993" t="s">
        <v>13515</v>
      </c>
      <c r="L4993">
        <v>1</v>
      </c>
      <c r="O4993" t="s">
        <v>47</v>
      </c>
      <c r="P4993" t="s">
        <v>47</v>
      </c>
      <c r="Y4993" t="s">
        <v>18572</v>
      </c>
      <c r="AG4993" t="s">
        <v>48</v>
      </c>
    </row>
    <row r="4994" spans="1:33">
      <c r="A4994" t="s">
        <v>18573</v>
      </c>
      <c r="B4994" t="s">
        <v>18574</v>
      </c>
      <c r="D4994" t="s">
        <v>40</v>
      </c>
      <c r="E4994" t="s">
        <v>41</v>
      </c>
      <c r="J4994" t="s">
        <v>13514</v>
      </c>
      <c r="K4994" t="s">
        <v>13515</v>
      </c>
      <c r="L4994">
        <v>1</v>
      </c>
      <c r="O4994" t="s">
        <v>47</v>
      </c>
      <c r="P4994" t="s">
        <v>47</v>
      </c>
      <c r="Y4994" t="s">
        <v>18575</v>
      </c>
      <c r="AG4994" t="s">
        <v>48</v>
      </c>
    </row>
    <row r="4995" spans="1:33">
      <c r="A4995" t="s">
        <v>18576</v>
      </c>
      <c r="B4995" t="s">
        <v>18577</v>
      </c>
      <c r="D4995" t="s">
        <v>40</v>
      </c>
      <c r="E4995" t="s">
        <v>41</v>
      </c>
      <c r="J4995" t="s">
        <v>13514</v>
      </c>
      <c r="K4995" t="s">
        <v>13515</v>
      </c>
      <c r="L4995">
        <v>1</v>
      </c>
      <c r="O4995" t="s">
        <v>47</v>
      </c>
      <c r="P4995" t="s">
        <v>47</v>
      </c>
      <c r="Y4995" t="s">
        <v>18578</v>
      </c>
      <c r="AG4995" t="s">
        <v>48</v>
      </c>
    </row>
    <row r="4996" spans="1:33">
      <c r="A4996" t="s">
        <v>117</v>
      </c>
      <c r="B4996" t="s">
        <v>18579</v>
      </c>
      <c r="D4996" t="s">
        <v>40</v>
      </c>
      <c r="E4996" t="s">
        <v>41</v>
      </c>
      <c r="J4996" t="s">
        <v>13514</v>
      </c>
      <c r="K4996" t="s">
        <v>13515</v>
      </c>
      <c r="L4996">
        <v>1</v>
      </c>
      <c r="O4996" t="s">
        <v>47</v>
      </c>
      <c r="P4996" t="s">
        <v>47</v>
      </c>
      <c r="Y4996" t="s">
        <v>18580</v>
      </c>
      <c r="AG4996" t="s">
        <v>48</v>
      </c>
    </row>
    <row r="4997" spans="1:33">
      <c r="A4997" t="s">
        <v>18581</v>
      </c>
      <c r="B4997" t="s">
        <v>18582</v>
      </c>
      <c r="D4997" t="s">
        <v>40</v>
      </c>
      <c r="E4997" t="s">
        <v>41</v>
      </c>
      <c r="J4997" t="s">
        <v>13514</v>
      </c>
      <c r="K4997" t="s">
        <v>13515</v>
      </c>
      <c r="L4997">
        <v>1</v>
      </c>
      <c r="O4997" t="s">
        <v>47</v>
      </c>
      <c r="P4997" t="s">
        <v>47</v>
      </c>
      <c r="Y4997" t="s">
        <v>18583</v>
      </c>
      <c r="AG4997" t="s">
        <v>48</v>
      </c>
    </row>
    <row r="4998" spans="1:33">
      <c r="A4998" t="s">
        <v>18584</v>
      </c>
      <c r="B4998" t="s">
        <v>18585</v>
      </c>
      <c r="D4998" t="s">
        <v>40</v>
      </c>
      <c r="E4998" t="s">
        <v>41</v>
      </c>
      <c r="J4998" t="s">
        <v>13514</v>
      </c>
      <c r="K4998" t="s">
        <v>13515</v>
      </c>
      <c r="L4998">
        <v>1</v>
      </c>
      <c r="O4998" t="s">
        <v>47</v>
      </c>
      <c r="P4998" t="s">
        <v>47</v>
      </c>
      <c r="Y4998" t="s">
        <v>18586</v>
      </c>
      <c r="AG4998" t="s">
        <v>48</v>
      </c>
    </row>
    <row r="4999" spans="1:33">
      <c r="A4999" t="s">
        <v>18587</v>
      </c>
      <c r="B4999" t="s">
        <v>18588</v>
      </c>
      <c r="D4999" t="s">
        <v>40</v>
      </c>
      <c r="E4999" t="s">
        <v>41</v>
      </c>
      <c r="J4999" t="s">
        <v>13514</v>
      </c>
      <c r="K4999" t="s">
        <v>13515</v>
      </c>
      <c r="L4999">
        <v>1</v>
      </c>
      <c r="O4999" t="s">
        <v>47</v>
      </c>
      <c r="P4999" t="s">
        <v>47</v>
      </c>
      <c r="Y4999" t="s">
        <v>18589</v>
      </c>
      <c r="AG4999" t="s">
        <v>48</v>
      </c>
    </row>
    <row r="5000" spans="1:33">
      <c r="A5000" t="s">
        <v>18590</v>
      </c>
      <c r="B5000" t="s">
        <v>18591</v>
      </c>
      <c r="D5000" t="s">
        <v>40</v>
      </c>
      <c r="E5000" t="s">
        <v>41</v>
      </c>
      <c r="J5000" t="s">
        <v>13514</v>
      </c>
      <c r="K5000" t="s">
        <v>13515</v>
      </c>
      <c r="L5000">
        <v>1</v>
      </c>
      <c r="O5000" t="s">
        <v>47</v>
      </c>
      <c r="P5000" t="s">
        <v>47</v>
      </c>
      <c r="Y5000" t="s">
        <v>18592</v>
      </c>
      <c r="AG5000" t="s">
        <v>48</v>
      </c>
    </row>
    <row r="5001" spans="1:33">
      <c r="A5001" t="s">
        <v>18593</v>
      </c>
      <c r="B5001" t="s">
        <v>18594</v>
      </c>
      <c r="D5001" t="s">
        <v>40</v>
      </c>
      <c r="E5001" t="s">
        <v>41</v>
      </c>
      <c r="J5001" t="s">
        <v>13514</v>
      </c>
      <c r="K5001" t="s">
        <v>13515</v>
      </c>
      <c r="L5001">
        <v>1</v>
      </c>
      <c r="O5001" t="s">
        <v>47</v>
      </c>
      <c r="P5001" t="s">
        <v>47</v>
      </c>
      <c r="Y5001" t="s">
        <v>18595</v>
      </c>
      <c r="AG5001" t="s">
        <v>48</v>
      </c>
    </row>
    <row r="5002" spans="1:33">
      <c r="A5002" t="s">
        <v>18596</v>
      </c>
      <c r="B5002" t="s">
        <v>18597</v>
      </c>
      <c r="D5002" t="s">
        <v>40</v>
      </c>
      <c r="E5002" t="s">
        <v>41</v>
      </c>
      <c r="J5002" t="s">
        <v>13514</v>
      </c>
      <c r="K5002" t="s">
        <v>13515</v>
      </c>
      <c r="L5002">
        <v>1</v>
      </c>
      <c r="O5002" t="s">
        <v>47</v>
      </c>
      <c r="P5002" t="s">
        <v>47</v>
      </c>
      <c r="Y5002" t="s">
        <v>18598</v>
      </c>
      <c r="AG500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10</v>
      </c>
      <c r="B1" s="1" t="s">
        <v>18599</v>
      </c>
    </row>
    <row r="2" spans="1:2">
      <c r="A2" s="2" t="s">
        <v>291</v>
      </c>
      <c r="B2" s="3">
        <v>1245</v>
      </c>
    </row>
    <row r="3" spans="1:2">
      <c r="A3" s="2" t="s">
        <v>109</v>
      </c>
      <c r="B3" s="3">
        <v>480</v>
      </c>
    </row>
    <row r="4" spans="1:2">
      <c r="A4" s="2" t="s">
        <v>271</v>
      </c>
      <c r="B4" s="3">
        <v>470</v>
      </c>
    </row>
    <row r="5" spans="1:2">
      <c r="A5" s="2" t="s">
        <v>87</v>
      </c>
      <c r="B5" s="3">
        <v>464</v>
      </c>
    </row>
    <row r="6" spans="1:2">
      <c r="A6" s="2" t="s">
        <v>163</v>
      </c>
      <c r="B6" s="3">
        <v>447</v>
      </c>
    </row>
    <row r="7" spans="1:2">
      <c r="A7" s="2" t="s">
        <v>130</v>
      </c>
      <c r="B7" s="3">
        <v>417</v>
      </c>
    </row>
    <row r="8" spans="1:2">
      <c r="A8" s="2" t="s">
        <v>44</v>
      </c>
      <c r="B8" s="3">
        <v>300</v>
      </c>
    </row>
    <row r="9" spans="1:2">
      <c r="A9" s="2" t="s">
        <v>64</v>
      </c>
      <c r="B9" s="3">
        <v>189</v>
      </c>
    </row>
    <row r="10" spans="1:2">
      <c r="A10" s="2" t="s">
        <v>1419</v>
      </c>
      <c r="B10" s="3">
        <v>159</v>
      </c>
    </row>
    <row r="11" spans="1:2">
      <c r="A11" s="2" t="s">
        <v>115</v>
      </c>
      <c r="B11" s="3">
        <v>156</v>
      </c>
    </row>
    <row r="12" spans="1:2">
      <c r="A12" s="2" t="s">
        <v>124</v>
      </c>
      <c r="B12" s="3">
        <v>147</v>
      </c>
    </row>
    <row r="13" spans="1:2">
      <c r="A13" s="2" t="s">
        <v>14205</v>
      </c>
      <c r="B13" s="3">
        <v>75</v>
      </c>
    </row>
    <row r="14" spans="1:2">
      <c r="A14" s="2" t="s">
        <v>13515</v>
      </c>
      <c r="B14" s="3">
        <v>54</v>
      </c>
    </row>
    <row r="15" spans="1:2">
      <c r="A15" s="2" t="s">
        <v>3473</v>
      </c>
      <c r="B15" s="3">
        <v>53</v>
      </c>
    </row>
    <row r="16" spans="1:2">
      <c r="A16" s="2" t="s">
        <v>216</v>
      </c>
      <c r="B16" s="3">
        <v>47</v>
      </c>
    </row>
    <row r="17" spans="1:2">
      <c r="A17" s="2" t="s">
        <v>4738</v>
      </c>
      <c r="B17" s="3">
        <v>47</v>
      </c>
    </row>
    <row r="18" spans="1:2">
      <c r="A18" s="2" t="s">
        <v>70</v>
      </c>
      <c r="B18" s="3">
        <v>40</v>
      </c>
    </row>
    <row r="19" spans="1:2">
      <c r="A19" s="2" t="s">
        <v>1053</v>
      </c>
      <c r="B19" s="3">
        <v>40</v>
      </c>
    </row>
    <row r="20" spans="1:2">
      <c r="A20" s="2" t="s">
        <v>14476</v>
      </c>
      <c r="B20" s="3">
        <v>30</v>
      </c>
    </row>
    <row r="21" spans="1:2">
      <c r="A21" s="2" t="s">
        <v>10950</v>
      </c>
      <c r="B21" s="3">
        <v>18</v>
      </c>
    </row>
    <row r="22" spans="1:2">
      <c r="A22" s="2" t="s">
        <v>6164</v>
      </c>
      <c r="B22" s="3">
        <v>16</v>
      </c>
    </row>
    <row r="23" spans="1:2">
      <c r="A23" s="2" t="s">
        <v>57</v>
      </c>
      <c r="B23" s="3">
        <v>14</v>
      </c>
    </row>
    <row r="24" spans="1:2">
      <c r="A24" s="2" t="s">
        <v>313</v>
      </c>
      <c r="B24" s="3">
        <v>14</v>
      </c>
    </row>
    <row r="25" spans="1:2">
      <c r="A25" s="2" t="s">
        <v>8932</v>
      </c>
      <c r="B25" s="3">
        <v>12</v>
      </c>
    </row>
    <row r="26" spans="1:2">
      <c r="A26" s="2" t="s">
        <v>148</v>
      </c>
      <c r="B26" s="3">
        <v>11</v>
      </c>
    </row>
    <row r="27" spans="1:2">
      <c r="A27" s="2" t="s">
        <v>14338</v>
      </c>
      <c r="B27" s="3">
        <v>11</v>
      </c>
    </row>
    <row r="28" spans="1:2">
      <c r="A28" s="2" t="s">
        <v>2440</v>
      </c>
      <c r="B28" s="3">
        <v>11</v>
      </c>
    </row>
    <row r="29" spans="1:2">
      <c r="A29" s="2" t="s">
        <v>1567</v>
      </c>
      <c r="B29" s="3">
        <v>9</v>
      </c>
    </row>
    <row r="30" spans="1:2">
      <c r="A30" s="2" t="s">
        <v>6026</v>
      </c>
      <c r="B30" s="3">
        <v>6</v>
      </c>
    </row>
    <row r="31" spans="1:2">
      <c r="A31" s="2" t="s">
        <v>13778</v>
      </c>
      <c r="B31" s="3">
        <v>3</v>
      </c>
    </row>
    <row r="32" spans="1:2">
      <c r="A32" s="2" t="s">
        <v>15305</v>
      </c>
      <c r="B32" s="3">
        <v>3</v>
      </c>
    </row>
    <row r="33" spans="1:2">
      <c r="A33" s="2" t="s">
        <v>982</v>
      </c>
      <c r="B33" s="3">
        <v>3</v>
      </c>
    </row>
    <row r="34" spans="1:2">
      <c r="A34" s="2" t="s">
        <v>17473</v>
      </c>
      <c r="B34" s="3">
        <v>2</v>
      </c>
    </row>
    <row r="35" spans="1:2">
      <c r="A35" s="2" t="s">
        <v>15421</v>
      </c>
      <c r="B35" s="3">
        <v>2</v>
      </c>
    </row>
    <row r="36" spans="1:2">
      <c r="A36" s="2" t="s">
        <v>1047</v>
      </c>
      <c r="B36" s="3">
        <v>2</v>
      </c>
    </row>
    <row r="37" spans="1:2">
      <c r="A37" s="2" t="s">
        <v>14191</v>
      </c>
      <c r="B37" s="3">
        <v>2</v>
      </c>
    </row>
    <row r="38" spans="1:2">
      <c r="A38" s="2" t="s">
        <v>5679</v>
      </c>
      <c r="B38" s="3">
        <v>1</v>
      </c>
    </row>
    <row r="39" spans="1:2">
      <c r="A39" s="2" t="s">
        <v>18553</v>
      </c>
      <c r="B39" s="3">
        <v>1</v>
      </c>
    </row>
    <row r="40" spans="1:2">
      <c r="A40" s="4" t="s">
        <v>18600</v>
      </c>
      <c r="B40" s="4">
        <v>5001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18601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18602</v>
      </c>
      <c r="C5" s="1" t="s">
        <v>18603</v>
      </c>
      <c r="D5" s="1" t="s">
        <v>18604</v>
      </c>
      <c r="E5" s="1" t="s">
        <v>18603</v>
      </c>
      <c r="F5" s="1" t="s">
        <v>18605</v>
      </c>
      <c r="G5" s="1" t="s">
        <v>18603</v>
      </c>
      <c r="H5" s="1" t="s">
        <v>18606</v>
      </c>
      <c r="I5" s="1" t="s">
        <v>18603</v>
      </c>
    </row>
    <row r="6" spans="1:10">
      <c r="B6" s="2" t="s">
        <v>291</v>
      </c>
      <c r="C6" s="6">
        <f>IFERROR(VLOOKUP("Answering Machine Autodial", Pivot!$A$2:$B$39, 2, FALSE), 0)</f>
        <v>0</v>
      </c>
      <c r="D6" s="2" t="s">
        <v>18617</v>
      </c>
      <c r="E6" s="6">
        <f>IFERROR(VLOOKUP("Sale Made - Completed Mandate", Pivot!$A$2:$B$39, 2, FALSE), 0)</f>
        <v>0</v>
      </c>
      <c r="F6" s="2" t="s">
        <v>14476</v>
      </c>
      <c r="G6" s="6">
        <f>IFERROR(VLOOKUP("Already Contacted", Pivot!$A$2:$B$39, 2, FALSE), 0)</f>
        <v>0</v>
      </c>
      <c r="H6" s="2" t="s">
        <v>130</v>
      </c>
      <c r="I6" s="6">
        <f>IFERROR(VLOOKUP("Client Hung Up", Pivot!$A$2:$B$39, 2, FALSE), 0)</f>
        <v>0</v>
      </c>
    </row>
    <row r="7" spans="1:10">
      <c r="B7" s="2" t="s">
        <v>109</v>
      </c>
      <c r="C7" s="6">
        <f>IFERROR(VLOOKUP("No Answer Autodial", Pivot!$A$2:$B$39, 2, FALSE), 0)</f>
        <v>0</v>
      </c>
      <c r="D7" s="2" t="s">
        <v>18618</v>
      </c>
      <c r="E7" s="6">
        <f>IFERROR(VLOOKUP("Sale Made - Pending Mandate", Pivot!$A$2:$B$39, 2, FALSE), 0)</f>
        <v>0</v>
      </c>
      <c r="F7" s="2" t="s">
        <v>8932</v>
      </c>
      <c r="G7" s="6">
        <f>IFERROR(VLOOKUP("Existing Client", Pivot!$A$2:$B$39, 2, FALSE), 0)</f>
        <v>0</v>
      </c>
      <c r="H7" s="2" t="s">
        <v>18639</v>
      </c>
      <c r="I7" s="6">
        <f>IFERROR(VLOOKUP("CallBack", Pivot!$A$2:$B$39, 2, FALSE), 0)</f>
        <v>0</v>
      </c>
    </row>
    <row r="8" spans="1:10">
      <c r="B8" s="2" t="s">
        <v>163</v>
      </c>
      <c r="C8" s="6">
        <f>IFERROR(VLOOKUP("Auto Engaged", Pivot!$A$2:$B$39, 2, FALSE), 0)</f>
        <v>0</v>
      </c>
      <c r="D8" s="2" t="s">
        <v>14338</v>
      </c>
      <c r="E8" s="6">
        <f>IFERROR(VLOOKUP("Sale Made", Pivot!$A$2:$B$39, 2, FALSE), 0)</f>
        <v>0</v>
      </c>
      <c r="F8" s="2" t="s">
        <v>1419</v>
      </c>
      <c r="G8" s="6">
        <f>IFERROR(VLOOKUP("Unemployed", Pivot!$A$2:$B$39, 2, FALSE), 0)</f>
        <v>0</v>
      </c>
      <c r="H8" s="2" t="s">
        <v>87</v>
      </c>
      <c r="I8" s="6">
        <f>IFERROR(VLOOKUP("Not Interested", Pivot!$A$2:$B$39, 2, FALSE), 0)</f>
        <v>0</v>
      </c>
    </row>
    <row r="9" spans="1:10">
      <c r="B9" s="2" t="s">
        <v>18607</v>
      </c>
      <c r="C9" s="6">
        <f>IFERROR(VLOOKUP("Disconnected Number Auto", Pivot!$A$2:$B$39, 2, FALSE), 0)</f>
        <v>0</v>
      </c>
      <c r="D9" s="2" t="s">
        <v>18619</v>
      </c>
      <c r="E9" s="6">
        <f>IFERROR(VLOOKUP("Tyme Bank Account Sale", Pivot!$A$2:$B$39, 2, FALSE), 0)</f>
        <v>0</v>
      </c>
      <c r="F9" s="2" t="s">
        <v>6026</v>
      </c>
      <c r="G9" s="6">
        <f>IFERROR(VLOOKUP("Wrong Number", Pivot!$A$2:$B$39, 2, FALSE), 0)</f>
        <v>0</v>
      </c>
      <c r="H9" s="2" t="s">
        <v>14205</v>
      </c>
      <c r="I9" s="6">
        <f>IFERROR(VLOOKUP("Not Interested Upfront", Pivot!$A$2:$B$39, 2, FALSE), 0)</f>
        <v>0</v>
      </c>
    </row>
    <row r="10" spans="1:10">
      <c r="B10" s="2" t="s">
        <v>124</v>
      </c>
      <c r="C10" s="6">
        <f>IFERROR(VLOOKUP("Answering Machine", Pivot!$A$2:$B$39, 2, FALSE), 0)</f>
        <v>0</v>
      </c>
      <c r="D10" s="2" t="s">
        <v>18620</v>
      </c>
      <c r="E10" s="6">
        <f>IFERROR(VLOOKUP("QA Rework", Pivot!$A$2:$B$39, 2, FALSE), 0)</f>
        <v>0</v>
      </c>
      <c r="F10" s="2" t="s">
        <v>18621</v>
      </c>
      <c r="G10" s="6">
        <f>IFERROR(VLOOKUP("Do Not Call", Pivot!$A$2:$B$39, 2, FALSE), 0)</f>
        <v>0</v>
      </c>
      <c r="H10" s="2" t="s">
        <v>18640</v>
      </c>
      <c r="I10" s="6">
        <f>IFERROR(VLOOKUP("Cannot Afford Premium", Pivot!$A$2:$B$39, 2, FALSE), 0)</f>
        <v>0</v>
      </c>
    </row>
    <row r="11" spans="1:10">
      <c r="B11" s="2" t="s">
        <v>13515</v>
      </c>
      <c r="C11" s="6">
        <f>IFERROR(VLOOKUP("Selected", Pivot!$A$2:$B$39, 2, FALSE), 0)</f>
        <v>0</v>
      </c>
      <c r="F11" s="2" t="s">
        <v>18622</v>
      </c>
      <c r="G11" s="6">
        <f>IFERROR(VLOOKUP("No Smartphones", Pivot!$A$2:$B$39, 2, FALSE), 0)</f>
        <v>0</v>
      </c>
      <c r="H11" s="2" t="s">
        <v>18641</v>
      </c>
      <c r="I11" s="6">
        <f>IFERROR(VLOOKUP("Not interested - Pitched", Pivot!$A$2:$B$39, 2, FALSE), 0)</f>
        <v>0</v>
      </c>
    </row>
    <row r="12" spans="1:10">
      <c r="B12" s="2" t="s">
        <v>216</v>
      </c>
      <c r="C12" s="6">
        <f>IFERROR(VLOOKUP("No Answer", Pivot!$A$2:$B$39, 2, FALSE), 0)</f>
        <v>0</v>
      </c>
      <c r="F12" s="2" t="s">
        <v>13778</v>
      </c>
      <c r="G12" s="6">
        <f>IFERROR(VLOOKUP("Client Deceased", Pivot!$A$2:$B$39, 2, FALSE), 0)</f>
        <v>0</v>
      </c>
      <c r="H12" s="2" t="s">
        <v>18642</v>
      </c>
      <c r="I12" s="6">
        <f>IFERROR(VLOOKUP("Affordability", Pivot!$A$2:$B$39, 2, FALSE), 0)</f>
        <v>0</v>
      </c>
    </row>
    <row r="13" spans="1:10">
      <c r="B13" s="2" t="s">
        <v>148</v>
      </c>
      <c r="C13" s="6">
        <f>IFERROR(VLOOKUP("Busy Tone", Pivot!$A$2:$B$39, 2, FALSE), 0)</f>
        <v>0</v>
      </c>
      <c r="F13" s="2" t="s">
        <v>982</v>
      </c>
      <c r="G13" s="6">
        <f>IFERROR(VLOOKUP("Right Party Not Available", Pivot!$A$2:$B$39, 2, FALSE), 0)</f>
        <v>0</v>
      </c>
      <c r="H13" s="2" t="s">
        <v>18643</v>
      </c>
      <c r="I13" s="6">
        <f>IFERROR(VLOOKUP("Quoted Client Not Interested", Pivot!$A$2:$B$39, 2, FALSE), 0)</f>
        <v>0</v>
      </c>
    </row>
    <row r="14" spans="1:10">
      <c r="B14" s="2" t="s">
        <v>271</v>
      </c>
      <c r="C14" s="6">
        <f>IFERROR(VLOOKUP("Dropped", Pivot!$A$2:$B$39, 2, FALSE), 0)</f>
        <v>0</v>
      </c>
      <c r="F14" s="2" t="s">
        <v>18623</v>
      </c>
      <c r="G14" s="6">
        <f>IFERROR(VLOOKUP("Client Overage Limit", Pivot!$A$2:$B$39, 2, FALSE), 0)</f>
        <v>0</v>
      </c>
      <c r="H14" s="2" t="s">
        <v>18644</v>
      </c>
      <c r="I14" s="6">
        <f>IFERROR(VLOOKUP("Not interested business does not use speed point mac", Pivot!$A$2:$B$39, 2, FALSE), 0)</f>
        <v>0</v>
      </c>
    </row>
    <row r="15" spans="1:10">
      <c r="B15" s="2" t="s">
        <v>18553</v>
      </c>
      <c r="C15" s="6">
        <f>IFERROR(VLOOKUP("New", Pivot!$A$2:$B$39, 2, FALSE), 0)</f>
        <v>0</v>
      </c>
      <c r="F15" s="2" t="s">
        <v>1047</v>
      </c>
      <c r="G15" s="6">
        <f>IFERROR(VLOOKUP("Language Barrier", Pivot!$A$2:$B$39, 2, FALSE), 0)</f>
        <v>0</v>
      </c>
      <c r="H15" s="2" t="s">
        <v>18645</v>
      </c>
      <c r="I15" s="6">
        <f>IFERROR(VLOOKUP("Call Back Technical Error", Pivot!$A$2:$B$39, 2, FALSE), 0)</f>
        <v>0</v>
      </c>
    </row>
    <row r="16" spans="1:10">
      <c r="B16" s="2" t="s">
        <v>70</v>
      </c>
      <c r="C16" s="6">
        <f>IFERROR(VLOOKUP("Call Dropped", Pivot!$A$2:$B$39, 2, FALSE), 0)</f>
        <v>0</v>
      </c>
      <c r="F16" s="2" t="s">
        <v>18624</v>
      </c>
      <c r="G16" s="6">
        <f>IFERROR(VLOOKUP("Non SA Citizen", Pivot!$A$2:$B$39, 2, FALSE), 0)</f>
        <v>0</v>
      </c>
      <c r="H16" s="2" t="s">
        <v>18646</v>
      </c>
      <c r="I16" s="6">
        <f>IFERROR(VLOOKUP("Not Interested Transaction Fees", Pivot!$A$2:$B$39, 2, FALSE), 0)</f>
        <v>0</v>
      </c>
    </row>
    <row r="17" spans="2:9">
      <c r="B17" s="2" t="s">
        <v>57</v>
      </c>
      <c r="C17" s="6">
        <f>IFERROR(VLOOKUP("Inbound After Hours Drop", Pivot!$A$2:$B$39, 2, FALSE), 0)</f>
        <v>0</v>
      </c>
      <c r="F17" s="2" t="s">
        <v>18625</v>
      </c>
      <c r="G17" s="6">
        <f>IFERROR(VLOOKUP("No Bank Account", Pivot!$A$2:$B$39, 2, FALSE), 0)</f>
        <v>0</v>
      </c>
      <c r="H17" s="2" t="s">
        <v>3473</v>
      </c>
      <c r="I17" s="6">
        <f>IFERROR(VLOOKUP("Cannot Afford", Pivot!$A$2:$B$39, 2, FALSE), 0)</f>
        <v>0</v>
      </c>
    </row>
    <row r="18" spans="2:9">
      <c r="B18" s="2" t="s">
        <v>18608</v>
      </c>
      <c r="C18" s="6">
        <f>IFERROR(VLOOKUP("TPS Registered Number", Pivot!$A$2:$B$39, 2, FALSE), 0)</f>
        <v>0</v>
      </c>
      <c r="F18" s="2" t="s">
        <v>18626</v>
      </c>
      <c r="G18" s="6">
        <f>IFERROR(VLOOKUP("Client Underage", Pivot!$A$2:$B$39, 2, FALSE), 0)</f>
        <v>0</v>
      </c>
      <c r="H18" s="2" t="s">
        <v>18647</v>
      </c>
      <c r="I18" s="6">
        <f>IFERROR(VLOOKUP("Not Interested Household Contents", Pivot!$A$2:$B$39, 2, FALSE), 0)</f>
        <v>0</v>
      </c>
    </row>
    <row r="19" spans="2:9">
      <c r="B19" s="2" t="s">
        <v>2440</v>
      </c>
      <c r="C19" s="6">
        <f>IFERROR(VLOOKUP("Temporary Disconnected Number", Pivot!$A$2:$B$39, 2, FALSE), 0)</f>
        <v>0</v>
      </c>
      <c r="F19" s="2" t="s">
        <v>18627</v>
      </c>
      <c r="G19" s="6">
        <f>IFERROR(VLOOKUP("Go To The Branch", Pivot!$A$2:$B$39, 2, FALSE), 0)</f>
        <v>0</v>
      </c>
      <c r="H19" s="2" t="s">
        <v>18648</v>
      </c>
      <c r="I19" s="6">
        <f>IFERROR(VLOOKUP("Call Back Hold", Pivot!$A$2:$B$39, 2, FALSE), 0)</f>
        <v>0</v>
      </c>
    </row>
    <row r="20" spans="2:9">
      <c r="B20" s="2" t="s">
        <v>313</v>
      </c>
      <c r="C20" s="6">
        <f>IFERROR(VLOOKUP("Bad Line Quality", Pivot!$A$2:$B$39, 2, FALSE), 0)</f>
        <v>0</v>
      </c>
      <c r="F20" s="2" t="s">
        <v>18628</v>
      </c>
      <c r="G20" s="6">
        <f>IFERROR(VLOOKUP("Completed", Pivot!$A$2:$B$39, 2, FALSE), 0)</f>
        <v>0</v>
      </c>
      <c r="H20" s="2" t="s">
        <v>18649</v>
      </c>
      <c r="I20" s="6">
        <f>IFERROR(VLOOKUP("Declined Sale", Pivot!$A$2:$B$39, 2, FALSE), 0)</f>
        <v>0</v>
      </c>
    </row>
    <row r="21" spans="2:9">
      <c r="B21" s="2" t="s">
        <v>64</v>
      </c>
      <c r="C21" s="6">
        <f>IFERROR(VLOOKUP("Inbound Abandon", Pivot!$A$2:$B$39, 2, FALSE), 0)</f>
        <v>0</v>
      </c>
      <c r="F21" s="2" t="s">
        <v>18629</v>
      </c>
      <c r="G21" s="6">
        <f>IFERROR(VLOOKUP("Cannot Afford Upfront Payment", Pivot!$A$2:$B$39, 2, FALSE), 0)</f>
        <v>0</v>
      </c>
    </row>
    <row r="22" spans="2:9">
      <c r="B22" s="2" t="s">
        <v>18609</v>
      </c>
      <c r="C22" s="6">
        <f>IFERROR(VLOOKUP("Outbound Pre-Routing Drop", Pivot!$A$2:$B$39, 2, FALSE), 0)</f>
        <v>0</v>
      </c>
      <c r="F22" s="2" t="s">
        <v>18630</v>
      </c>
      <c r="G22" s="6">
        <f>IFERROR(VLOOKUP("Account Suspended", Pivot!$A$2:$B$39, 2, FALSE), 0)</f>
        <v>0</v>
      </c>
    </row>
    <row r="23" spans="2:9">
      <c r="B23" s="2" t="s">
        <v>18610</v>
      </c>
      <c r="C23" s="6">
        <f>IFERROR(VLOOKUP("Engaged", Pivot!$A$2:$B$39, 2, FALSE), 0)</f>
        <v>0</v>
      </c>
      <c r="F23" s="2" t="s">
        <v>18631</v>
      </c>
      <c r="G23" s="6">
        <f>IFERROR(VLOOKUP("Insured at another company", Pivot!$A$2:$B$39, 2, FALSE), 0)</f>
        <v>0</v>
      </c>
    </row>
    <row r="24" spans="2:9">
      <c r="B24" s="2" t="s">
        <v>15421</v>
      </c>
      <c r="C24" s="6">
        <f>IFERROR(VLOOKUP("Disconnected", Pivot!$A$2:$B$39, 2, FALSE), 0)</f>
        <v>0</v>
      </c>
      <c r="F24" s="2" t="s">
        <v>18632</v>
      </c>
      <c r="G24" s="6">
        <f>IFERROR(VLOOKUP("Scheduled Appointment", Pivot!$A$2:$B$39, 2, FALSE), 0)</f>
        <v>0</v>
      </c>
    </row>
    <row r="25" spans="2:9">
      <c r="B25" s="2" t="s">
        <v>18611</v>
      </c>
      <c r="C25" s="6">
        <f>IFERROR(VLOOKUP("CONGESTED", Pivot!$A$2:$B$39, 2, FALSE), 0)</f>
        <v>0</v>
      </c>
      <c r="F25" s="2" t="s">
        <v>18633</v>
      </c>
      <c r="G25" s="6">
        <f>IFERROR(VLOOKUP("Refund Request", Pivot!$A$2:$B$39, 2, FALSE), 0)</f>
        <v>0</v>
      </c>
    </row>
    <row r="26" spans="2:9">
      <c r="B26" s="2" t="s">
        <v>18612</v>
      </c>
      <c r="C26" s="6">
        <f>IFERROR(VLOOKUP("Flow Inbound Abandon", Pivot!$A$2:$B$39, 2, FALSE), 0)</f>
        <v>0</v>
      </c>
      <c r="F26" s="2" t="s">
        <v>1053</v>
      </c>
      <c r="G26" s="6">
        <f>IFERROR(VLOOKUP("Does Not Qualify", Pivot!$A$2:$B$39, 2, FALSE), 0)</f>
        <v>0</v>
      </c>
    </row>
    <row r="27" spans="2:9">
      <c r="B27" s="2" t="s">
        <v>14191</v>
      </c>
      <c r="C27" s="6">
        <f>IFERROR(VLOOKUP("Multiple Calls", Pivot!$A$2:$B$39, 2, FALSE), 0)</f>
        <v>0</v>
      </c>
      <c r="F27" s="2" t="s">
        <v>18634</v>
      </c>
      <c r="G27" s="6">
        <f>IFERROR(VLOOKUP("Does Not Have a Business", Pivot!$A$2:$B$39, 2, FALSE), 0)</f>
        <v>0</v>
      </c>
    </row>
    <row r="28" spans="2:9">
      <c r="B28" s="2" t="s">
        <v>18613</v>
      </c>
      <c r="C28" s="6">
        <f>IFERROR(VLOOKUP("Missed", Pivot!$A$2:$B$39, 2, FALSE), 0)</f>
        <v>0</v>
      </c>
      <c r="F28" s="2" t="s">
        <v>18635</v>
      </c>
      <c r="G28" s="6">
        <f>IFERROR(VLOOKUP("Refer To Store - Doesn't want to complete online", Pivot!$A$2:$B$39, 2, FALSE), 0)</f>
        <v>0</v>
      </c>
    </row>
    <row r="29" spans="2:9">
      <c r="B29" s="2" t="s">
        <v>18614</v>
      </c>
      <c r="C29" s="6">
        <f>IFERROR(VLOOKUP("Answered", Pivot!$A$2:$B$39, 2, FALSE), 0)</f>
        <v>0</v>
      </c>
      <c r="F29" s="2" t="s">
        <v>18636</v>
      </c>
      <c r="G29" s="6">
        <f>IFERROR(VLOOKUP("Does Not Need It Now", Pivot!$A$2:$B$39, 2, FALSE), 0)</f>
        <v>0</v>
      </c>
    </row>
    <row r="30" spans="2:9">
      <c r="B30" s="2" t="s">
        <v>18615</v>
      </c>
      <c r="C30" s="6">
        <f>IFERROR(VLOOKUP("Customer drop", Pivot!$A$2:$B$39, 2, FALSE), 0)</f>
        <v>0</v>
      </c>
      <c r="F30" s="2" t="s">
        <v>18637</v>
      </c>
      <c r="G30" s="6">
        <f>IFERROR(VLOOKUP("Technical Issue", Pivot!$A$2:$B$39, 2, FALSE), 0)</f>
        <v>0</v>
      </c>
    </row>
    <row r="31" spans="2:9">
      <c r="B31" s="2" t="s">
        <v>115</v>
      </c>
      <c r="C31" s="6">
        <f>IFERROR(VLOOKUP("Auto Dial Disconnected", Pivot!$A$2:$B$39, 2, FALSE), 0)</f>
        <v>0</v>
      </c>
      <c r="F31" s="2" t="s">
        <v>18638</v>
      </c>
      <c r="G31" s="6">
        <f>IFERROR(VLOOKUP("Unsuccessful Application", Pivot!$A$2:$B$39, 2, FALSE), 0)</f>
        <v>0</v>
      </c>
    </row>
    <row r="32" spans="2:9">
      <c r="B32" s="2" t="s">
        <v>18616</v>
      </c>
      <c r="C32" s="6">
        <f>IFERROR(VLOOKUP("Disconnected Number Temporary", Pivot!$A$2:$B$39, 2, FALSE), 0)</f>
        <v>0</v>
      </c>
    </row>
    <row r="35" spans="1:3">
      <c r="A35" s="7" t="s">
        <v>18650</v>
      </c>
      <c r="B35" s="6">
        <f>SUM(C6:C31)+SUM(E6:E9)</f>
        <v>0</v>
      </c>
    </row>
    <row r="37" spans="1:3">
      <c r="A37" s="7" t="s">
        <v>18651</v>
      </c>
    </row>
    <row r="38" spans="1:3">
      <c r="A38" s="2" t="s">
        <v>18605</v>
      </c>
      <c r="B38" s="6">
        <f>SUM(E6:E9)</f>
        <v>0</v>
      </c>
    </row>
    <row r="39" spans="1:3">
      <c r="A39" s="2" t="s">
        <v>18652</v>
      </c>
      <c r="B39" s="6">
        <f>SUM(I6:I19)</f>
        <v>0</v>
      </c>
    </row>
    <row r="40" spans="1:3">
      <c r="A40" s="2" t="s">
        <v>18653</v>
      </c>
      <c r="B40" s="6">
        <f>SUM(G6:G30)</f>
        <v>0</v>
      </c>
    </row>
    <row r="41" spans="1:3">
      <c r="A41" s="2" t="s">
        <v>18654</v>
      </c>
      <c r="B41" s="6">
        <f>E6</f>
        <v>0</v>
      </c>
    </row>
    <row r="42" spans="1:3">
      <c r="A42" s="2" t="s">
        <v>18655</v>
      </c>
      <c r="B42" s="6">
        <f>B38/B37</f>
        <v>0</v>
      </c>
    </row>
    <row r="43" spans="1:3">
      <c r="A43" s="2" t="s">
        <v>18656</v>
      </c>
      <c r="B43" s="6">
        <f>(B37+B38)/B35</f>
        <v>0</v>
      </c>
    </row>
    <row r="47" spans="1:3">
      <c r="A47" s="7" t="s">
        <v>18657</v>
      </c>
      <c r="B47" s="7" t="s">
        <v>18599</v>
      </c>
      <c r="C47" s="7" t="s">
        <v>18658</v>
      </c>
    </row>
    <row r="48" spans="1:3">
      <c r="A48" s="2" t="s">
        <v>291</v>
      </c>
      <c r="B48" s="3">
        <v>1245</v>
      </c>
      <c r="C48" s="8">
        <f>B47/B35</f>
        <v>0</v>
      </c>
    </row>
    <row r="49" spans="1:3">
      <c r="A49" s="2" t="s">
        <v>109</v>
      </c>
      <c r="B49" s="3">
        <v>480</v>
      </c>
      <c r="C49" s="8">
        <f>B48/B35</f>
        <v>0</v>
      </c>
    </row>
    <row r="50" spans="1:3">
      <c r="A50" s="2" t="s">
        <v>271</v>
      </c>
      <c r="B50" s="3">
        <v>470</v>
      </c>
      <c r="C50" s="8">
        <f>B49/B35</f>
        <v>0</v>
      </c>
    </row>
    <row r="51" spans="1:3">
      <c r="A51" s="2" t="s">
        <v>87</v>
      </c>
      <c r="B51" s="3">
        <v>464</v>
      </c>
      <c r="C51" s="8">
        <f>B50/B35</f>
        <v>0</v>
      </c>
    </row>
    <row r="52" spans="1:3">
      <c r="A52" s="2" t="s">
        <v>163</v>
      </c>
      <c r="B52" s="3">
        <v>447</v>
      </c>
      <c r="C52" s="8">
        <f>B51/B35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2026-06-02T12:44:19Z</dcterms:created>
  <dcterms:modified xsi:type="dcterms:W3CDTF">2026-06-02T12:44:19Z</dcterms:modified>
</cp:coreProperties>
</file>