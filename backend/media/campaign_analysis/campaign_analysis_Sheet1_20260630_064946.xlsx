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ivot_Data" sheetId="2" state="visible" r:id="rId2"/>
    <sheet name="Processed Data" sheetId="3" state="visible" r:id="rId3"/>
    <sheet name="Campaig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E78"/>
      <sz val="18"/>
      <scheme val="minor"/>
    </font>
  </fonts>
  <fills count="7">
    <fill>
      <patternFill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9" fontId="0" fillId="0" borderId="3" pivotButton="0" quotePrefix="0" xfId="0"/>
    <xf numFmtId="0" fontId="1" fillId="0" borderId="3" pivotButton="0" quotePrefix="0" xfId="0"/>
    <xf numFmtId="1" fontId="0" fillId="0" borderId="3" pivotButton="0" quotePrefix="0" xfId="0"/>
    <xf numFmtId="0" fontId="2" fillId="0" borderId="5" pivotButton="0" quotePrefix="0" xfId="0"/>
    <xf numFmtId="9" fontId="0" fillId="0" borderId="6" pivotButton="0" quotePrefix="0" xfId="0"/>
    <xf numFmtId="0" fontId="3" fillId="2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/>
    </xf>
    <xf numFmtId="3" fontId="0" fillId="0" borderId="7" applyAlignment="1" pivotButton="0" quotePrefix="0" xfId="0">
      <alignment horizontal="center" vertical="center"/>
    </xf>
    <xf numFmtId="3" fontId="2" fillId="3" borderId="7" pivotButton="0" quotePrefix="0" xfId="0"/>
    <xf numFmtId="0" fontId="4" fillId="0" borderId="0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center"/>
    </xf>
    <xf numFmtId="3" fontId="2" fillId="4" borderId="7" applyAlignment="1" pivotButton="0" quotePrefix="0" xfId="0">
      <alignment horizontal="center" vertical="center"/>
    </xf>
    <xf numFmtId="10" fontId="2" fillId="4" borderId="7" applyAlignment="1" pivotButton="0" quotePrefix="0" xfId="0">
      <alignment horizontal="center" vertical="center"/>
    </xf>
    <xf numFmtId="3" fontId="2" fillId="5" borderId="7" applyAlignment="1" pivotButton="0" quotePrefix="0" xfId="0">
      <alignment horizontal="center" vertical="center"/>
    </xf>
    <xf numFmtId="0" fontId="3" fillId="6" borderId="7" applyAlignment="1" pivotButton="0" quotePrefix="0" xfId="0">
      <alignment horizontal="center" vertical="center"/>
    </xf>
    <xf numFmtId="10" fontId="0" fillId="0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cols>
    <col width="35.710937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A4" s="1" t="n"/>
    </row>
    <row r="5" ht="15.75" customHeight="1">
      <c r="A5" s="2" t="n"/>
      <c r="B5" s="3" t="n"/>
    </row>
    <row r="6">
      <c r="A6" s="1" t="inlineStr">
        <is>
          <t>total leads</t>
        </is>
      </c>
      <c r="B6" s="4" t="n">
        <v>566</v>
      </c>
    </row>
    <row r="7">
      <c r="A7" s="5" t="inlineStr">
        <is>
          <t>unworked leads (new leads)</t>
        </is>
      </c>
      <c r="B7" s="3" t="n">
        <v>3</v>
      </c>
    </row>
    <row r="8">
      <c r="A8" s="5" t="inlineStr">
        <is>
          <t>succesful contacts</t>
        </is>
      </c>
      <c r="B8" s="3" t="n">
        <v>123</v>
      </c>
    </row>
    <row r="9">
      <c r="A9" s="5" t="inlineStr">
        <is>
          <t>true contacts</t>
        </is>
      </c>
      <c r="B9" s="3" t="n">
        <v>114</v>
      </c>
    </row>
    <row r="10">
      <c r="A10" s="5" t="inlineStr">
        <is>
          <t>conversion</t>
        </is>
      </c>
      <c r="B10" s="3" t="n">
        <v>0.01590106007067138</v>
      </c>
    </row>
    <row r="11">
      <c r="A11" s="5" t="inlineStr">
        <is>
          <t>true sales (post qa)</t>
        </is>
      </c>
      <c r="B11" s="3" t="n">
        <v>9</v>
      </c>
    </row>
    <row r="12">
      <c r="A12" s="5" t="inlineStr">
        <is>
          <t>Collections</t>
        </is>
      </c>
      <c r="B12" s="3" t="n"/>
    </row>
    <row r="13">
      <c r="A13" s="5" t="inlineStr">
        <is>
          <t>Number of missed 1st Collections</t>
        </is>
      </c>
      <c r="B13" s="3" t="n"/>
    </row>
    <row r="14">
      <c r="A14" s="5" t="inlineStr">
        <is>
          <t>NTU</t>
        </is>
      </c>
      <c r="B14" s="3" t="n"/>
    </row>
    <row r="15">
      <c r="A15" s="5" t="inlineStr">
        <is>
          <t>Cancellations/Lapse</t>
        </is>
      </c>
      <c r="B15" s="3" t="n"/>
    </row>
    <row r="16">
      <c r="A16" s="5" t="n"/>
      <c r="B16" s="3" t="n"/>
    </row>
    <row r="17">
      <c r="A17" s="5" t="inlineStr">
        <is>
          <t>contactability</t>
        </is>
      </c>
      <c r="B17" s="6">
        <f>B8/B6</f>
        <v/>
      </c>
    </row>
    <row r="18">
      <c r="A18" s="5" t="inlineStr">
        <is>
          <t>lead to sale conversion</t>
        </is>
      </c>
      <c r="B18" s="6">
        <f>B10/B6</f>
        <v/>
      </c>
    </row>
    <row r="19">
      <c r="A19" s="5" t="inlineStr">
        <is>
          <t>conversion to true sale</t>
        </is>
      </c>
      <c r="B19" s="6">
        <f>B11/B10</f>
        <v/>
      </c>
    </row>
    <row r="20">
      <c r="A20" s="5" t="inlineStr">
        <is>
          <t>true contacts to sales</t>
        </is>
      </c>
      <c r="B20" s="6">
        <f>B10/B9</f>
        <v/>
      </c>
    </row>
    <row r="21">
      <c r="A21" s="5" t="inlineStr">
        <is>
          <t>True Sale to Collections</t>
        </is>
      </c>
      <c r="B21" s="7" t="n"/>
    </row>
    <row r="22">
      <c r="A22" s="5" t="n"/>
      <c r="B22" s="3" t="n"/>
    </row>
    <row r="23">
      <c r="A23" s="5" t="inlineStr">
        <is>
          <t>Number of Calls to Leads</t>
        </is>
      </c>
      <c r="B23" s="3" t="n"/>
    </row>
    <row r="24">
      <c r="A24" s="5" t="inlineStr">
        <is>
          <t>Number of Calls Made</t>
        </is>
      </c>
      <c r="B24" s="3" t="n"/>
    </row>
    <row r="25">
      <c r="A25" s="5" t="inlineStr">
        <is>
          <t>Number of Calls per Lead</t>
        </is>
      </c>
      <c r="B25" s="8">
        <f>B23/B6</f>
        <v/>
      </c>
    </row>
    <row r="26">
      <c r="A26" s="5" t="inlineStr">
        <is>
          <t>Number of Agents</t>
        </is>
      </c>
      <c r="B26" s="3" t="n"/>
    </row>
    <row r="27">
      <c r="A27" s="5" t="inlineStr">
        <is>
          <t>Number of Working Days</t>
        </is>
      </c>
      <c r="B27" s="3" t="n"/>
    </row>
    <row r="28">
      <c r="A28" s="5" t="n"/>
      <c r="B28" s="3" t="n"/>
    </row>
    <row r="29">
      <c r="A29" s="9" t="inlineStr">
        <is>
          <t>Unsuccesful Contacts Dispositions</t>
        </is>
      </c>
      <c r="B29" s="3" t="n"/>
    </row>
    <row r="30">
      <c r="A30" s="5" t="inlineStr">
        <is>
          <t>Answering Machine Autodial</t>
        </is>
      </c>
      <c r="B30" s="3" t="n">
        <v>116</v>
      </c>
    </row>
    <row r="31">
      <c r="A31" s="5" t="inlineStr">
        <is>
          <t>No Answer Autodial</t>
        </is>
      </c>
      <c r="B31" s="3" t="n">
        <v>64</v>
      </c>
    </row>
    <row r="32">
      <c r="A32" s="5" t="inlineStr">
        <is>
          <t>Auto Engaged</t>
        </is>
      </c>
      <c r="B32" s="3" t="n">
        <v>41</v>
      </c>
    </row>
    <row r="33">
      <c r="A33" s="5" t="inlineStr">
        <is>
          <t>Answering Machine</t>
        </is>
      </c>
      <c r="B33" s="3" t="n">
        <v>8</v>
      </c>
    </row>
    <row r="34">
      <c r="A34" s="5" t="inlineStr">
        <is>
          <t>Temporary Disconnected Number</t>
        </is>
      </c>
      <c r="B34" s="3" t="n">
        <v>39</v>
      </c>
    </row>
    <row r="35">
      <c r="A35" s="5" t="inlineStr">
        <is>
          <t>Call Dropped</t>
        </is>
      </c>
      <c r="B35" s="3" t="n"/>
    </row>
    <row r="36">
      <c r="A36" s="5" t="inlineStr">
        <is>
          <t>Dropped</t>
        </is>
      </c>
      <c r="B36" s="3" t="n"/>
    </row>
    <row r="37">
      <c r="A37" s="5" t="inlineStr">
        <is>
          <t>No Answer</t>
        </is>
      </c>
      <c r="B37" s="3" t="n"/>
    </row>
    <row r="38">
      <c r="A38" s="5" t="inlineStr">
        <is>
          <t>Bad Line Quality</t>
        </is>
      </c>
      <c r="B38" s="3" t="n">
        <v>1</v>
      </c>
    </row>
    <row r="39">
      <c r="A39" s="5" t="inlineStr">
        <is>
          <t>Busy Tone</t>
        </is>
      </c>
      <c r="B39" s="3" t="n">
        <v>1</v>
      </c>
    </row>
    <row r="40">
      <c r="A40" s="5" t="inlineStr">
        <is>
          <t>Disconnected</t>
        </is>
      </c>
      <c r="B40" s="3" t="n"/>
    </row>
    <row r="41">
      <c r="A41" s="5" t="inlineStr">
        <is>
          <t>Inbound After Hours Drop</t>
        </is>
      </c>
      <c r="B41" s="3" t="n">
        <v>2</v>
      </c>
    </row>
    <row r="42">
      <c r="A42" s="5" t="inlineStr">
        <is>
          <t>Multiple Calls</t>
        </is>
      </c>
      <c r="B42" s="3" t="n"/>
    </row>
    <row r="43">
      <c r="A43" s="5" t="inlineStr">
        <is>
          <t>Engaged</t>
        </is>
      </c>
      <c r="B43" s="3" t="n"/>
    </row>
    <row r="44">
      <c r="A44" s="5" t="inlineStr">
        <is>
          <t>Inbound Abandon</t>
        </is>
      </c>
      <c r="B44" s="3" t="n">
        <v>2</v>
      </c>
    </row>
    <row r="45">
      <c r="A45" s="5" t="inlineStr">
        <is>
          <t>Outbound Pre-Routing Drop</t>
        </is>
      </c>
      <c r="B45" s="3" t="n"/>
    </row>
    <row r="46">
      <c r="A46" s="5" t="inlineStr">
        <is>
          <t>Flow Inbound Abandon</t>
        </is>
      </c>
      <c r="B46" s="3" t="n"/>
    </row>
    <row r="47">
      <c r="A47" s="5" t="inlineStr">
        <is>
          <t>Selected</t>
        </is>
      </c>
      <c r="B47" s="3" t="n">
        <v>8</v>
      </c>
    </row>
    <row r="48">
      <c r="A48" s="5" t="inlineStr">
        <is>
          <t>CONGESTED</t>
        </is>
      </c>
      <c r="B48" s="3" t="n"/>
    </row>
    <row r="49">
      <c r="A49" s="5" t="inlineStr">
        <is>
          <t>Completed</t>
        </is>
      </c>
      <c r="B49" s="3" t="n"/>
    </row>
    <row r="50">
      <c r="A50" s="5" t="inlineStr">
        <is>
          <t>New</t>
        </is>
      </c>
      <c r="B50" s="3" t="n">
        <v>3</v>
      </c>
    </row>
    <row r="51">
      <c r="A51" s="5" t="inlineStr">
        <is>
          <t>Busy</t>
        </is>
      </c>
      <c r="B51" s="3" t="n"/>
    </row>
    <row r="52">
      <c r="A52" s="5" t="inlineStr">
        <is>
          <t>Auto Dial Disconnected</t>
        </is>
      </c>
      <c r="B52" s="3" t="n">
        <v>101</v>
      </c>
    </row>
    <row r="53">
      <c r="A53" s="5" t="inlineStr">
        <is>
          <t>Customer drop</t>
        </is>
      </c>
      <c r="B53" s="3" t="n"/>
    </row>
    <row r="54">
      <c r="A54" s="5" t="inlineStr">
        <is>
          <t>Disconnected Number Auto</t>
        </is>
      </c>
      <c r="B54" s="3" t="n"/>
    </row>
    <row r="55">
      <c r="A55" s="5" t="n"/>
      <c r="B55" s="3" t="n"/>
    </row>
    <row r="56">
      <c r="A56" s="9" t="inlineStr">
        <is>
          <t>Unworkable Leads Dispositions</t>
        </is>
      </c>
      <c r="B56" s="3" t="n"/>
    </row>
    <row r="57">
      <c r="A57" s="5" t="inlineStr">
        <is>
          <t>Unemployed</t>
        </is>
      </c>
      <c r="B57" s="3" t="n">
        <v>14</v>
      </c>
    </row>
    <row r="58">
      <c r="A58" s="5" t="inlineStr">
        <is>
          <t>Already Contacted</t>
        </is>
      </c>
      <c r="B58" s="3" t="n">
        <v>1</v>
      </c>
    </row>
    <row r="59">
      <c r="A59" s="5" t="inlineStr">
        <is>
          <t>Does Not Qualify</t>
        </is>
      </c>
      <c r="B59" s="3" t="n">
        <v>8</v>
      </c>
    </row>
    <row r="60">
      <c r="A60" s="5" t="inlineStr">
        <is>
          <t>Client Overage Limit</t>
        </is>
      </c>
      <c r="B60" s="3" t="n"/>
    </row>
    <row r="61">
      <c r="A61" s="5" t="inlineStr">
        <is>
          <t>Do not call</t>
        </is>
      </c>
      <c r="B61" s="3" t="n"/>
    </row>
    <row r="62">
      <c r="A62" s="5" t="inlineStr">
        <is>
          <t>Under Age</t>
        </is>
      </c>
      <c r="B62" s="3" t="n"/>
    </row>
    <row r="63">
      <c r="A63" s="5" t="inlineStr">
        <is>
          <t>Go To Branch</t>
        </is>
      </c>
      <c r="B63" s="3" t="n"/>
    </row>
    <row r="64">
      <c r="A64" s="5" t="inlineStr">
        <is>
          <t>Wrong number</t>
        </is>
      </c>
      <c r="B64" s="3" t="n"/>
    </row>
    <row r="65">
      <c r="A65" s="5" t="inlineStr">
        <is>
          <t>Existing Client</t>
        </is>
      </c>
      <c r="B65" s="3" t="n">
        <v>4</v>
      </c>
    </row>
    <row r="66">
      <c r="A66" s="5" t="inlineStr">
        <is>
          <t>Language Barrier</t>
        </is>
      </c>
      <c r="B66" s="3" t="n">
        <v>8</v>
      </c>
    </row>
    <row r="67">
      <c r="A67" s="5" t="inlineStr">
        <is>
          <t>Client Deceased</t>
        </is>
      </c>
      <c r="B67" s="3" t="n"/>
    </row>
    <row r="68">
      <c r="A68" s="5" t="inlineStr">
        <is>
          <t>Customer Service Transfer</t>
        </is>
      </c>
      <c r="B68" s="3" t="n"/>
    </row>
    <row r="69">
      <c r="A69" s="5" t="inlineStr">
        <is>
          <t>Unsuccessful Application</t>
        </is>
      </c>
      <c r="B69" s="3" t="n">
        <v>1</v>
      </c>
    </row>
    <row r="70">
      <c r="A70" s="5" t="inlineStr">
        <is>
          <t>DNQ-Income Below Threshold</t>
        </is>
      </c>
      <c r="B70" s="3" t="n"/>
    </row>
    <row r="71">
      <c r="A71" s="5" t="inlineStr">
        <is>
          <t>DNQ Quote Declined</t>
        </is>
      </c>
      <c r="B71" s="3" t="n"/>
    </row>
    <row r="72">
      <c r="A72" s="5" t="inlineStr">
        <is>
          <t>Do Not Qualify Failed Medical Question</t>
        </is>
      </c>
      <c r="B72" s="3" t="n"/>
    </row>
    <row r="73">
      <c r="A73" s="5" t="inlineStr">
        <is>
          <t xml:space="preserve">Right Party Not Available		</t>
        </is>
      </c>
      <c r="B73" s="3" t="n"/>
    </row>
    <row r="74">
      <c r="A74" s="5" t="inlineStr">
        <is>
          <t>Over Age Limit</t>
        </is>
      </c>
      <c r="B74" s="3" t="n">
        <v>4</v>
      </c>
    </row>
    <row r="75">
      <c r="A75" s="5" t="inlineStr">
        <is>
          <t>Funeral Documents Requested</t>
        </is>
      </c>
      <c r="B75" s="3" t="n"/>
    </row>
    <row r="76">
      <c r="A76" s="5" t="inlineStr">
        <is>
          <t>Funeral Policy Query</t>
        </is>
      </c>
      <c r="B76" s="3" t="n"/>
    </row>
    <row r="77">
      <c r="A77" s="5" t="inlineStr">
        <is>
          <t>Non SA Citizen</t>
        </is>
      </c>
      <c r="B77" s="3" t="n"/>
    </row>
    <row r="78">
      <c r="A78" s="5" t="inlineStr">
        <is>
          <t xml:space="preserve">NTU Policy		</t>
        </is>
      </c>
      <c r="B78" s="3" t="n"/>
    </row>
    <row r="79">
      <c r="A79" s="5" t="inlineStr">
        <is>
          <t>Not Working Cannot Afford</t>
        </is>
      </c>
      <c r="B79" s="3" t="n"/>
    </row>
    <row r="80">
      <c r="A80" s="5" t="inlineStr">
        <is>
          <t>Lead Being Called</t>
        </is>
      </c>
      <c r="B80" s="3" t="n"/>
    </row>
    <row r="81">
      <c r="A81" s="5" t="inlineStr">
        <is>
          <t>Did Not Request</t>
        </is>
      </c>
      <c r="B81" s="3" t="n"/>
    </row>
    <row r="82">
      <c r="A82" s="5" t="inlineStr">
        <is>
          <t>Does Not Need It Now</t>
        </is>
      </c>
      <c r="B82" s="3" t="n"/>
    </row>
    <row r="83">
      <c r="A83" s="5" t="n"/>
      <c r="B83" s="3" t="n"/>
    </row>
    <row r="84">
      <c r="A84" s="9" t="inlineStr">
        <is>
          <t>true contacts</t>
        </is>
      </c>
      <c r="B84" s="3" t="n">
        <v>114</v>
      </c>
    </row>
    <row r="85">
      <c r="A85" s="5" t="inlineStr">
        <is>
          <t>Not Interested</t>
        </is>
      </c>
      <c r="B85" s="3" t="n">
        <v>29</v>
      </c>
    </row>
    <row r="86">
      <c r="A86" s="5" t="inlineStr">
        <is>
          <t>Client Hung Up</t>
        </is>
      </c>
      <c r="B86" s="3" t="n">
        <v>24</v>
      </c>
    </row>
    <row r="87">
      <c r="A87" s="5" t="inlineStr">
        <is>
          <t>Affordability</t>
        </is>
      </c>
      <c r="B87" s="3" t="n"/>
    </row>
    <row r="88">
      <c r="A88" s="5" t="inlineStr">
        <is>
          <t>Callback</t>
        </is>
      </c>
      <c r="B88" s="3" t="n">
        <v>39</v>
      </c>
    </row>
    <row r="89">
      <c r="A89" s="5" t="inlineStr">
        <is>
          <t>Not Interested Transaction Fees</t>
        </is>
      </c>
      <c r="B89" s="3" t="n"/>
    </row>
    <row r="90">
      <c r="A90" s="5" t="inlineStr">
        <is>
          <t>Company Cellphone Number</t>
        </is>
      </c>
      <c r="B90" s="3" t="n"/>
    </row>
    <row r="91">
      <c r="A91" s="5" t="inlineStr">
        <is>
          <t>Not Interested Device Cost</t>
        </is>
      </c>
      <c r="B91" s="3" t="n"/>
    </row>
    <row r="92">
      <c r="A92" s="5" t="inlineStr">
        <is>
          <t>Call Back via MS Teams</t>
        </is>
      </c>
      <c r="B92" s="3" t="n"/>
    </row>
    <row r="93">
      <c r="A93" s="5" t="inlineStr">
        <is>
          <t>Not Interested Upfront</t>
        </is>
      </c>
      <c r="B93" s="3" t="n"/>
    </row>
    <row r="94">
      <c r="A94" s="5" t="inlineStr">
        <is>
          <t>Quoted Not Interested</t>
        </is>
      </c>
      <c r="B94" s="3" t="n"/>
    </row>
    <row r="95">
      <c r="A95" s="5" t="inlineStr">
        <is>
          <t>Client Quoted Not Interested</t>
        </is>
      </c>
      <c r="B95" s="3" t="n"/>
    </row>
    <row r="96">
      <c r="A96" s="5" t="inlineStr">
        <is>
          <t>Cannot Afford</t>
        </is>
      </c>
      <c r="B96" s="3" t="n">
        <v>20</v>
      </c>
    </row>
    <row r="97">
      <c r="A97" s="5" t="inlineStr">
        <is>
          <t>Not Interested Premium Cost</t>
        </is>
      </c>
      <c r="B97" s="3" t="n"/>
    </row>
    <row r="98">
      <c r="A98" s="5" t="inlineStr">
        <is>
          <t>Not interested SMS</t>
        </is>
      </c>
      <c r="B98" s="3" t="n"/>
    </row>
    <row r="99">
      <c r="A99" s="5" t="inlineStr">
        <is>
          <t>Call Back Hold</t>
        </is>
      </c>
      <c r="B99" s="3" t="n"/>
    </row>
    <row r="100">
      <c r="A100" s="5" t="inlineStr">
        <is>
          <t>Declined Sale</t>
        </is>
      </c>
      <c r="B100" s="3" t="n"/>
    </row>
    <row r="101">
      <c r="A101" s="5" t="inlineStr">
        <is>
          <t>QA FAil</t>
        </is>
      </c>
      <c r="B101" s="3" t="n"/>
    </row>
    <row r="102">
      <c r="A102" s="5" t="inlineStr">
        <is>
          <t>QA Rework</t>
        </is>
      </c>
      <c r="B102" s="3" t="n">
        <v>2</v>
      </c>
    </row>
    <row r="103">
      <c r="A103" s="5" t="inlineStr">
        <is>
          <t>Sale Made</t>
        </is>
      </c>
      <c r="B103" s="3" t="n">
        <v>9</v>
      </c>
    </row>
    <row r="104">
      <c r="A104" s="5" t="inlineStr">
        <is>
          <t>Sale SMS</t>
        </is>
      </c>
      <c r="B104" s="3" t="n"/>
    </row>
    <row r="105">
      <c r="A105" s="5" t="inlineStr">
        <is>
          <t>UPSELL</t>
        </is>
      </c>
      <c r="B105" s="3" t="n"/>
    </row>
    <row r="106">
      <c r="A106" s="5" t="n"/>
      <c r="B106" s="6" t="n"/>
    </row>
    <row r="107">
      <c r="A107" s="9" t="inlineStr">
        <is>
          <t>Unsuccesful Contacts Dispositions</t>
        </is>
      </c>
      <c r="B107" s="6" t="n"/>
    </row>
    <row r="108">
      <c r="A108" s="5" t="inlineStr">
        <is>
          <t>Answering Machine Autodial</t>
        </is>
      </c>
      <c r="B108" s="6">
        <f>B30/B$6</f>
        <v/>
      </c>
    </row>
    <row r="109">
      <c r="A109" s="5" t="inlineStr">
        <is>
          <t>No Answer Autodial</t>
        </is>
      </c>
      <c r="B109" s="6">
        <f>B31/B$6</f>
        <v/>
      </c>
    </row>
    <row r="110">
      <c r="A110" s="5" t="inlineStr">
        <is>
          <t>Auto Engaged</t>
        </is>
      </c>
      <c r="B110" s="6">
        <f>B32/B$6</f>
        <v/>
      </c>
    </row>
    <row r="111">
      <c r="A111" s="5" t="inlineStr">
        <is>
          <t>Answering Machine</t>
        </is>
      </c>
      <c r="B111" s="6">
        <f>B33/B$6</f>
        <v/>
      </c>
    </row>
    <row r="112">
      <c r="A112" s="5" t="inlineStr">
        <is>
          <t>Temporary Disconnected Number</t>
        </is>
      </c>
      <c r="B112" s="6">
        <f>B34/B$6</f>
        <v/>
      </c>
    </row>
    <row r="113">
      <c r="A113" s="5" t="inlineStr">
        <is>
          <t>Call Dropped</t>
        </is>
      </c>
      <c r="B113" s="6">
        <f>B35/B$6</f>
        <v/>
      </c>
    </row>
    <row r="114">
      <c r="A114" s="5" t="inlineStr">
        <is>
          <t>Dropped</t>
        </is>
      </c>
      <c r="B114" s="6">
        <f>B36/B$6</f>
        <v/>
      </c>
    </row>
    <row r="115">
      <c r="A115" s="5" t="inlineStr">
        <is>
          <t>No Answer</t>
        </is>
      </c>
      <c r="B115" s="6">
        <f>B37/B$6</f>
        <v/>
      </c>
    </row>
    <row r="116">
      <c r="A116" s="5" t="inlineStr">
        <is>
          <t>Bad Line Quality</t>
        </is>
      </c>
      <c r="B116" s="6">
        <f>B38/B$6</f>
        <v/>
      </c>
    </row>
    <row r="117">
      <c r="A117" s="5" t="inlineStr">
        <is>
          <t>Busy Tone</t>
        </is>
      </c>
      <c r="B117" s="6">
        <f>B39/B$6</f>
        <v/>
      </c>
    </row>
    <row r="118">
      <c r="A118" s="5" t="inlineStr">
        <is>
          <t>Disconnected</t>
        </is>
      </c>
      <c r="B118" s="6">
        <f>B40/B$6</f>
        <v/>
      </c>
    </row>
    <row r="119">
      <c r="A119" s="5" t="inlineStr">
        <is>
          <t>Inbound After Hours Drop</t>
        </is>
      </c>
      <c r="B119" s="6">
        <f>B41/B$6</f>
        <v/>
      </c>
    </row>
    <row r="120">
      <c r="A120" s="5" t="inlineStr">
        <is>
          <t>Multiple Calls</t>
        </is>
      </c>
      <c r="B120" s="6">
        <f>B42/B$6</f>
        <v/>
      </c>
    </row>
    <row r="121">
      <c r="A121" s="5" t="inlineStr">
        <is>
          <t>Engaged</t>
        </is>
      </c>
      <c r="B121" s="6">
        <f>B43/B$6</f>
        <v/>
      </c>
    </row>
    <row r="122">
      <c r="A122" s="5" t="inlineStr">
        <is>
          <t>Inbound Abandon</t>
        </is>
      </c>
      <c r="B122" s="6">
        <f>B44/B$6</f>
        <v/>
      </c>
    </row>
    <row r="123">
      <c r="A123" s="5" t="inlineStr">
        <is>
          <t>Outbound Pre-Routing Drop</t>
        </is>
      </c>
      <c r="B123" s="6">
        <f>B45/B$6</f>
        <v/>
      </c>
    </row>
    <row r="124">
      <c r="A124" s="5" t="inlineStr">
        <is>
          <t>Flow Inbound Abandon</t>
        </is>
      </c>
      <c r="B124" s="6">
        <f>B46/B$6</f>
        <v/>
      </c>
    </row>
    <row r="125">
      <c r="A125" s="5" t="inlineStr">
        <is>
          <t>Selected</t>
        </is>
      </c>
      <c r="B125" s="6">
        <f>B47/B$6</f>
        <v/>
      </c>
    </row>
    <row r="126">
      <c r="A126" s="5" t="inlineStr">
        <is>
          <t>CONGESTED</t>
        </is>
      </c>
      <c r="B126" s="6">
        <f>B48/B$6</f>
        <v/>
      </c>
    </row>
    <row r="127">
      <c r="A127" s="5" t="inlineStr">
        <is>
          <t>Completed</t>
        </is>
      </c>
      <c r="B127" s="6">
        <f>B49/B$6</f>
        <v/>
      </c>
    </row>
    <row r="128">
      <c r="A128" s="5" t="inlineStr">
        <is>
          <t>New</t>
        </is>
      </c>
      <c r="B128" s="6">
        <f>B50/B$6</f>
        <v/>
      </c>
    </row>
    <row r="129">
      <c r="A129" s="5" t="inlineStr">
        <is>
          <t>Busy</t>
        </is>
      </c>
      <c r="B129" s="6">
        <f>B51/B$6</f>
        <v/>
      </c>
    </row>
    <row r="130">
      <c r="A130" s="5" t="inlineStr">
        <is>
          <t>Auto Dial Disconnected</t>
        </is>
      </c>
      <c r="B130" s="6">
        <f>B52/B$6</f>
        <v/>
      </c>
    </row>
    <row r="131">
      <c r="A131" s="5" t="inlineStr">
        <is>
          <t>Customer drop</t>
        </is>
      </c>
      <c r="B131" s="6">
        <f>B53/B$6</f>
        <v/>
      </c>
    </row>
    <row r="132">
      <c r="A132" s="5" t="inlineStr">
        <is>
          <t>Disconnected Number Auto</t>
        </is>
      </c>
      <c r="B132" s="6">
        <f>B54/B$6</f>
        <v/>
      </c>
    </row>
    <row r="133">
      <c r="A133" s="5" t="n"/>
      <c r="B133" s="6" t="n"/>
    </row>
    <row r="134">
      <c r="A134" s="9" t="inlineStr">
        <is>
          <t>Unworkable Leads Dispositions</t>
        </is>
      </c>
      <c r="B134" s="6" t="n"/>
    </row>
    <row r="135">
      <c r="A135" s="5" t="inlineStr">
        <is>
          <t>Unemployed</t>
        </is>
      </c>
      <c r="B135" s="6">
        <f>B57/B$6</f>
        <v/>
      </c>
    </row>
    <row r="136">
      <c r="A136" s="5" t="inlineStr">
        <is>
          <t>Already Contacted</t>
        </is>
      </c>
      <c r="B136" s="6">
        <f>B58/B$6</f>
        <v/>
      </c>
    </row>
    <row r="137">
      <c r="A137" s="5" t="inlineStr">
        <is>
          <t>Does Not Qualify</t>
        </is>
      </c>
      <c r="B137" s="6">
        <f>B59/B$6</f>
        <v/>
      </c>
    </row>
    <row r="138">
      <c r="A138" s="5" t="inlineStr">
        <is>
          <t>Client Overage Limit</t>
        </is>
      </c>
      <c r="B138" s="6">
        <f>B60/B$6</f>
        <v/>
      </c>
    </row>
    <row r="139">
      <c r="A139" s="5" t="inlineStr">
        <is>
          <t>Do not call</t>
        </is>
      </c>
      <c r="B139" s="6">
        <f>B61/B$6</f>
        <v/>
      </c>
    </row>
    <row r="140">
      <c r="A140" s="5" t="inlineStr">
        <is>
          <t>Under Age</t>
        </is>
      </c>
      <c r="B140" s="6">
        <f>B62/B$6</f>
        <v/>
      </c>
    </row>
    <row r="141">
      <c r="A141" s="5" t="inlineStr">
        <is>
          <t>Go To Branch</t>
        </is>
      </c>
      <c r="B141" s="6">
        <f>B63/B$6</f>
        <v/>
      </c>
    </row>
    <row r="142">
      <c r="A142" s="5" t="inlineStr">
        <is>
          <t>Wrong number</t>
        </is>
      </c>
      <c r="B142" s="6">
        <f>B64/B$6</f>
        <v/>
      </c>
    </row>
    <row r="143">
      <c r="A143" s="5" t="inlineStr">
        <is>
          <t>Existing Client</t>
        </is>
      </c>
      <c r="B143" s="6">
        <f>B65/B$6</f>
        <v/>
      </c>
    </row>
    <row r="144">
      <c r="A144" s="5" t="inlineStr">
        <is>
          <t>Language Barrier</t>
        </is>
      </c>
      <c r="B144" s="6">
        <f>B66/B$6</f>
        <v/>
      </c>
    </row>
    <row r="145">
      <c r="A145" s="5" t="inlineStr">
        <is>
          <t>Client Deceased</t>
        </is>
      </c>
      <c r="B145" s="6">
        <f>B67/B$6</f>
        <v/>
      </c>
    </row>
    <row r="146">
      <c r="A146" s="5" t="inlineStr">
        <is>
          <t>Customer Service Transfer</t>
        </is>
      </c>
      <c r="B146" s="6">
        <f>B68/B$6</f>
        <v/>
      </c>
    </row>
    <row r="147">
      <c r="A147" s="5" t="inlineStr">
        <is>
          <t>Unsuccessful Application</t>
        </is>
      </c>
      <c r="B147" s="6">
        <f>B69/B$6</f>
        <v/>
      </c>
    </row>
    <row r="148">
      <c r="A148" s="5" t="inlineStr">
        <is>
          <t>DNQ-Income Below Threshold</t>
        </is>
      </c>
      <c r="B148" s="6">
        <f>B70/B$6</f>
        <v/>
      </c>
    </row>
    <row r="149">
      <c r="A149" s="5" t="inlineStr">
        <is>
          <t>DNQ Quote Declined</t>
        </is>
      </c>
      <c r="B149" s="6">
        <f>B71/B$6</f>
        <v/>
      </c>
    </row>
    <row r="150">
      <c r="A150" s="5" t="inlineStr">
        <is>
          <t>Do Not Qualify Failed Medical Question</t>
        </is>
      </c>
      <c r="B150" s="6">
        <f>B72/B$6</f>
        <v/>
      </c>
    </row>
    <row r="151">
      <c r="A151" s="5" t="inlineStr">
        <is>
          <t xml:space="preserve">Right Party Not Available		</t>
        </is>
      </c>
      <c r="B151" s="6">
        <f>B73/B$6</f>
        <v/>
      </c>
    </row>
    <row r="152">
      <c r="A152" s="5" t="inlineStr">
        <is>
          <t>Over Age Limit</t>
        </is>
      </c>
      <c r="B152" s="6">
        <f>B74/B$6</f>
        <v/>
      </c>
    </row>
    <row r="153">
      <c r="A153" s="5" t="inlineStr">
        <is>
          <t>Funeral Documents Requested</t>
        </is>
      </c>
      <c r="B153" s="6">
        <f>B75/B$6</f>
        <v/>
      </c>
    </row>
    <row r="154">
      <c r="A154" s="5" t="inlineStr">
        <is>
          <t>Funeral Policy Query</t>
        </is>
      </c>
      <c r="B154" s="6">
        <f>B76/B$6</f>
        <v/>
      </c>
    </row>
    <row r="155">
      <c r="A155" s="5" t="inlineStr">
        <is>
          <t>Non SA Citizen</t>
        </is>
      </c>
      <c r="B155" s="6">
        <f>B77/B$6</f>
        <v/>
      </c>
    </row>
    <row r="156">
      <c r="A156" s="5" t="inlineStr">
        <is>
          <t xml:space="preserve">NTU Policy		</t>
        </is>
      </c>
      <c r="B156" s="6">
        <f>B78/B$6</f>
        <v/>
      </c>
    </row>
    <row r="157">
      <c r="A157" s="5" t="inlineStr">
        <is>
          <t>Not Working Cannot Afford</t>
        </is>
      </c>
      <c r="B157" s="6">
        <f>B79/B$6</f>
        <v/>
      </c>
    </row>
    <row r="158">
      <c r="A158" s="5" t="inlineStr">
        <is>
          <t>Lead Being Called</t>
        </is>
      </c>
      <c r="B158" s="6">
        <f>B80/B$6</f>
        <v/>
      </c>
    </row>
    <row r="159">
      <c r="A159" s="5" t="inlineStr">
        <is>
          <t>Did Not Request</t>
        </is>
      </c>
      <c r="B159" s="6">
        <f>B81/B$6</f>
        <v/>
      </c>
    </row>
    <row r="160">
      <c r="A160" s="5" t="inlineStr">
        <is>
          <t>Does Not Need It Now</t>
        </is>
      </c>
      <c r="B160" s="6">
        <f>B82/B$6</f>
        <v/>
      </c>
    </row>
    <row r="161">
      <c r="A161" s="5" t="n"/>
      <c r="B161" s="6" t="n"/>
    </row>
    <row r="162">
      <c r="A162" s="9" t="inlineStr">
        <is>
          <t>true contacts</t>
        </is>
      </c>
      <c r="B162" s="6" t="n">
        <v>114</v>
      </c>
    </row>
    <row r="163">
      <c r="A163" s="5" t="inlineStr">
        <is>
          <t>Not Interested</t>
        </is>
      </c>
      <c r="B163" s="6">
        <f>B85/B$6</f>
        <v/>
      </c>
    </row>
    <row r="164">
      <c r="A164" s="5" t="inlineStr">
        <is>
          <t>Client Hung Up</t>
        </is>
      </c>
      <c r="B164" s="6">
        <f>B86/B$6</f>
        <v/>
      </c>
    </row>
    <row r="165">
      <c r="A165" s="5" t="inlineStr">
        <is>
          <t>Affordability</t>
        </is>
      </c>
      <c r="B165" s="6">
        <f>B87/B$6</f>
        <v/>
      </c>
    </row>
    <row r="166">
      <c r="A166" s="5" t="inlineStr">
        <is>
          <t>Callback</t>
        </is>
      </c>
      <c r="B166" s="6">
        <f>B88/B$6</f>
        <v/>
      </c>
    </row>
    <row r="167">
      <c r="A167" s="5" t="inlineStr">
        <is>
          <t>Not Interested Transaction Fees</t>
        </is>
      </c>
      <c r="B167" s="6">
        <f>B89/B$6</f>
        <v/>
      </c>
    </row>
    <row r="168">
      <c r="A168" s="5" t="inlineStr">
        <is>
          <t>Company Cellphone Number</t>
        </is>
      </c>
      <c r="B168" s="6">
        <f>B90/B$6</f>
        <v/>
      </c>
    </row>
    <row r="169">
      <c r="A169" s="5" t="inlineStr">
        <is>
          <t>Not Interested Device Cost</t>
        </is>
      </c>
      <c r="B169" s="6">
        <f>B91/B$6</f>
        <v/>
      </c>
    </row>
    <row r="170">
      <c r="A170" s="5" t="inlineStr">
        <is>
          <t>Call Back via MS Teams</t>
        </is>
      </c>
      <c r="B170" s="6">
        <f>B92/B$6</f>
        <v/>
      </c>
    </row>
    <row r="171">
      <c r="A171" s="5" t="inlineStr">
        <is>
          <t>Not Interested Upfront</t>
        </is>
      </c>
      <c r="B171" s="6">
        <f>B93/B$6</f>
        <v/>
      </c>
    </row>
    <row r="172">
      <c r="A172" s="5" t="inlineStr">
        <is>
          <t>Quoted Not Interested</t>
        </is>
      </c>
      <c r="B172" s="6">
        <f>B94/B$6</f>
        <v/>
      </c>
    </row>
    <row r="173">
      <c r="A173" s="5" t="inlineStr">
        <is>
          <t>Client Quoted Not Interested</t>
        </is>
      </c>
      <c r="B173" s="6">
        <f>B95/B$6</f>
        <v/>
      </c>
    </row>
    <row r="174">
      <c r="A174" s="5" t="inlineStr">
        <is>
          <t>Cannot Afford</t>
        </is>
      </c>
      <c r="B174" s="6">
        <f>B96/B$6</f>
        <v/>
      </c>
    </row>
    <row r="175">
      <c r="A175" s="5" t="inlineStr">
        <is>
          <t>Not Interested Premium Cost</t>
        </is>
      </c>
      <c r="B175" s="6">
        <f>B97/B$6</f>
        <v/>
      </c>
    </row>
    <row r="176">
      <c r="A176" s="5" t="inlineStr">
        <is>
          <t>Not interested SMS</t>
        </is>
      </c>
      <c r="B176" s="6">
        <f>B98/B$6</f>
        <v/>
      </c>
    </row>
    <row r="177">
      <c r="A177" s="5" t="inlineStr">
        <is>
          <t>Call Back Hold</t>
        </is>
      </c>
      <c r="B177" s="6">
        <f>B99/B$6</f>
        <v/>
      </c>
    </row>
    <row r="178">
      <c r="A178" s="5" t="inlineStr">
        <is>
          <t>Declined Sale</t>
        </is>
      </c>
      <c r="B178" s="6">
        <f>B100/B$6</f>
        <v/>
      </c>
    </row>
    <row r="179">
      <c r="A179" s="5" t="inlineStr">
        <is>
          <t>QA FAil</t>
        </is>
      </c>
      <c r="B179" s="6">
        <f>B101/B$6</f>
        <v/>
      </c>
    </row>
    <row r="180">
      <c r="A180" s="5" t="inlineStr">
        <is>
          <t>QA Rework</t>
        </is>
      </c>
      <c r="B180" s="6">
        <f>B102/B$6</f>
        <v/>
      </c>
    </row>
    <row r="181">
      <c r="A181" s="5" t="inlineStr">
        <is>
          <t>Sale Made</t>
        </is>
      </c>
      <c r="B181" s="6">
        <f>B103/B$6</f>
        <v/>
      </c>
    </row>
    <row r="182">
      <c r="A182" s="5" t="inlineStr">
        <is>
          <t>Sale SMS</t>
        </is>
      </c>
      <c r="B182" s="6">
        <f>B104/B$6</f>
        <v/>
      </c>
    </row>
    <row r="183" ht="15.75" customHeight="1">
      <c r="A183" s="2" t="inlineStr">
        <is>
          <t>UPSELL</t>
        </is>
      </c>
      <c r="B183" s="10">
        <f>B105/B$6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.7109375" customWidth="1" min="1" max="1"/>
    <col width="20.7109375" customWidth="1" min="2" max="2"/>
  </cols>
  <sheetData>
    <row r="1">
      <c r="A1" s="11" t="inlineStr">
        <is>
          <t>Outcome Description</t>
        </is>
      </c>
      <c r="B1" s="11" t="inlineStr">
        <is>
          <t>Count</t>
        </is>
      </c>
    </row>
    <row r="2">
      <c r="A2" s="12" t="inlineStr">
        <is>
          <t>Answering Machine Autodial</t>
        </is>
      </c>
      <c r="B2" s="13" t="n">
        <v>116</v>
      </c>
    </row>
    <row r="3">
      <c r="A3" s="12" t="inlineStr">
        <is>
          <t>Auto Dial Disconnected</t>
        </is>
      </c>
      <c r="B3" s="13" t="n">
        <v>101</v>
      </c>
    </row>
    <row r="4">
      <c r="A4" s="12" t="inlineStr">
        <is>
          <t>No Answer Autodial</t>
        </is>
      </c>
      <c r="B4" s="13" t="n">
        <v>64</v>
      </c>
    </row>
    <row r="5">
      <c r="A5" s="12" t="inlineStr">
        <is>
          <t>Auto Engaged</t>
        </is>
      </c>
      <c r="B5" s="13" t="n">
        <v>41</v>
      </c>
    </row>
    <row r="6">
      <c r="A6" s="12" t="inlineStr">
        <is>
          <t>Callback</t>
        </is>
      </c>
      <c r="B6" s="13" t="n">
        <v>39</v>
      </c>
    </row>
    <row r="7">
      <c r="A7" s="12" t="inlineStr">
        <is>
          <t>Temporary Disconnected Number</t>
        </is>
      </c>
      <c r="B7" s="13" t="n">
        <v>39</v>
      </c>
    </row>
    <row r="8">
      <c r="A8" s="12" t="inlineStr">
        <is>
          <t>Not Interested</t>
        </is>
      </c>
      <c r="B8" s="13" t="n">
        <v>29</v>
      </c>
    </row>
    <row r="9">
      <c r="A9" s="12" t="inlineStr">
        <is>
          <t>Client Hung Up</t>
        </is>
      </c>
      <c r="B9" s="13" t="n">
        <v>24</v>
      </c>
    </row>
    <row r="10">
      <c r="A10" s="12" t="inlineStr">
        <is>
          <t>Cannot Afford</t>
        </is>
      </c>
      <c r="B10" s="13" t="n">
        <v>20</v>
      </c>
    </row>
    <row r="11">
      <c r="A11" s="12" t="inlineStr">
        <is>
          <t>Client Underage</t>
        </is>
      </c>
      <c r="B11" s="13" t="n">
        <v>14</v>
      </c>
    </row>
    <row r="12">
      <c r="A12" s="12" t="inlineStr">
        <is>
          <t>Unemployed</t>
        </is>
      </c>
      <c r="B12" s="13" t="n">
        <v>14</v>
      </c>
    </row>
    <row r="13">
      <c r="A13" s="12" t="inlineStr">
        <is>
          <t>Sale Made</t>
        </is>
      </c>
      <c r="B13" s="13" t="n">
        <v>9</v>
      </c>
    </row>
    <row r="14">
      <c r="A14" s="12" t="inlineStr">
        <is>
          <t>Answering Machine</t>
        </is>
      </c>
      <c r="B14" s="13" t="n">
        <v>8</v>
      </c>
    </row>
    <row r="15">
      <c r="A15" s="12" t="inlineStr">
        <is>
          <t>Does Not Qualify</t>
        </is>
      </c>
      <c r="B15" s="13" t="n">
        <v>8</v>
      </c>
    </row>
    <row r="16">
      <c r="A16" s="12" t="inlineStr">
        <is>
          <t>Language Barrier</t>
        </is>
      </c>
      <c r="B16" s="13" t="n">
        <v>8</v>
      </c>
    </row>
    <row r="17">
      <c r="A17" s="12" t="inlineStr">
        <is>
          <t>Selected</t>
        </is>
      </c>
      <c r="B17" s="13" t="n">
        <v>8</v>
      </c>
    </row>
    <row r="18">
      <c r="A18" s="12" t="inlineStr">
        <is>
          <t>Existing Client</t>
        </is>
      </c>
      <c r="B18" s="13" t="n">
        <v>4</v>
      </c>
    </row>
    <row r="19">
      <c r="A19" s="12" t="inlineStr">
        <is>
          <t>Over Age Limit</t>
        </is>
      </c>
      <c r="B19" s="13" t="n">
        <v>4</v>
      </c>
    </row>
    <row r="20">
      <c r="A20" s="12" t="inlineStr">
        <is>
          <t>New</t>
        </is>
      </c>
      <c r="B20" s="13" t="n">
        <v>3</v>
      </c>
    </row>
    <row r="21">
      <c r="A21" s="12" t="inlineStr">
        <is>
          <t>Inbound After Hours Drop</t>
        </is>
      </c>
      <c r="B21" s="13" t="n">
        <v>2</v>
      </c>
    </row>
    <row r="22">
      <c r="A22" s="12" t="inlineStr">
        <is>
          <t>Go to the Branch</t>
        </is>
      </c>
      <c r="B22" s="13" t="n">
        <v>2</v>
      </c>
    </row>
    <row r="23">
      <c r="A23" s="12" t="inlineStr">
        <is>
          <t>Inbound Abandon</t>
        </is>
      </c>
      <c r="B23" s="13" t="n">
        <v>2</v>
      </c>
    </row>
    <row r="24">
      <c r="A24" s="12" t="inlineStr">
        <is>
          <t>QA Rework</t>
        </is>
      </c>
      <c r="B24" s="13" t="n">
        <v>2</v>
      </c>
    </row>
    <row r="25">
      <c r="A25" s="12" t="inlineStr">
        <is>
          <t>Already Contacted</t>
        </is>
      </c>
      <c r="B25" s="13" t="n">
        <v>1</v>
      </c>
    </row>
    <row r="26">
      <c r="A26" s="12" t="inlineStr">
        <is>
          <t>Bad Line Quality</t>
        </is>
      </c>
      <c r="B26" s="13" t="n">
        <v>1</v>
      </c>
    </row>
    <row r="27">
      <c r="A27" s="12" t="inlineStr">
        <is>
          <t>Busy Tone</t>
        </is>
      </c>
      <c r="B27" s="13" t="n">
        <v>1</v>
      </c>
    </row>
    <row r="28">
      <c r="A28" s="12" t="inlineStr">
        <is>
          <t>DNCMEDIA</t>
        </is>
      </c>
      <c r="B28" s="13" t="n">
        <v>1</v>
      </c>
    </row>
    <row r="29">
      <c r="A29" s="12" t="inlineStr">
        <is>
          <t>Unsuccessful Application</t>
        </is>
      </c>
      <c r="B29" s="13" t="n">
        <v>1</v>
      </c>
    </row>
    <row r="30">
      <c r="A30" s="14" t="inlineStr">
        <is>
          <t>Grand Total</t>
        </is>
      </c>
      <c r="B30" s="14" t="n">
        <v>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567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Contact Id</t>
        </is>
      </c>
      <c r="B1" s="11" t="inlineStr">
        <is>
          <t>Customer Id</t>
        </is>
      </c>
      <c r="C1" s="11" t="inlineStr">
        <is>
          <t>Lead Reference</t>
        </is>
      </c>
      <c r="D1" s="11" t="inlineStr">
        <is>
          <t>List Id</t>
        </is>
      </c>
      <c r="E1" s="11" t="inlineStr">
        <is>
          <t>List Name</t>
        </is>
      </c>
      <c r="F1" s="11" t="inlineStr">
        <is>
          <t>Title</t>
        </is>
      </c>
      <c r="G1" s="11" t="inlineStr">
        <is>
          <t>Firstname</t>
        </is>
      </c>
      <c r="H1" s="11" t="inlineStr">
        <is>
          <t>Lastname</t>
        </is>
      </c>
      <c r="I1" s="11" t="inlineStr">
        <is>
          <t>Gender</t>
        </is>
      </c>
      <c r="J1" s="11" t="inlineStr">
        <is>
          <t>Last Outcome</t>
        </is>
      </c>
      <c r="K1" s="11" t="inlineStr">
        <is>
          <t>Outcome Description</t>
        </is>
      </c>
      <c r="L1" s="11" t="inlineStr">
        <is>
          <t>Called Count</t>
        </is>
      </c>
      <c r="M1" s="11" t="inlineStr">
        <is>
          <t>Last Called Date</t>
        </is>
      </c>
      <c r="N1" s="11" t="inlineStr">
        <is>
          <t>Last User</t>
        </is>
      </c>
      <c r="O1" s="11" t="inlineStr">
        <is>
          <t>Created At</t>
        </is>
      </c>
      <c r="P1" s="11" t="inlineStr">
        <is>
          <t>Updated At</t>
        </is>
      </c>
      <c r="Q1" s="11" t="inlineStr">
        <is>
          <t>Address1</t>
        </is>
      </c>
      <c r="R1" s="11" t="inlineStr">
        <is>
          <t>Address2</t>
        </is>
      </c>
      <c r="S1" s="11" t="inlineStr">
        <is>
          <t>Address3</t>
        </is>
      </c>
      <c r="T1" s="11" t="inlineStr">
        <is>
          <t>Town</t>
        </is>
      </c>
      <c r="U1" s="11" t="inlineStr">
        <is>
          <t>County</t>
        </is>
      </c>
      <c r="V1" s="11" t="inlineStr">
        <is>
          <t>Country</t>
        </is>
      </c>
      <c r="W1" s="11" t="inlineStr">
        <is>
          <t>Postcode</t>
        </is>
      </c>
      <c r="X1" s="11" t="inlineStr">
        <is>
          <t>Email Address</t>
        </is>
      </c>
      <c r="Y1" s="11" t="inlineStr">
        <is>
          <t>Tel1</t>
        </is>
      </c>
      <c r="Z1" s="11" t="inlineStr">
        <is>
          <t>Tel2</t>
        </is>
      </c>
      <c r="AA1" s="11" t="inlineStr">
        <is>
          <t>Tel3</t>
        </is>
      </c>
      <c r="AB1" s="11" t="inlineStr">
        <is>
          <t>Tel4</t>
        </is>
      </c>
      <c r="AC1" s="11" t="inlineStr">
        <is>
          <t>Tel5</t>
        </is>
      </c>
      <c r="AD1" s="11" t="inlineStr">
        <is>
          <t>Tel6</t>
        </is>
      </c>
      <c r="AE1" s="11" t="inlineStr">
        <is>
          <t>Owner Username</t>
        </is>
      </c>
      <c r="AF1" s="11" t="inlineStr">
        <is>
          <t>Security Phrase</t>
        </is>
      </c>
      <c r="AG1" s="11" t="inlineStr">
        <is>
          <t>Source Reference</t>
        </is>
      </c>
      <c r="AH1" s="11" t="inlineStr">
        <is>
          <t>Industry</t>
        </is>
      </c>
      <c r="AI1" s="11" t="inlineStr">
        <is>
          <t>Company Name</t>
        </is>
      </c>
      <c r="AJ1" s="11" t="inlineStr">
        <is>
          <t>Website</t>
        </is>
      </c>
      <c r="AK1" s="11" t="inlineStr">
        <is>
          <t>Customer Reference</t>
        </is>
      </c>
      <c r="AL1" s="11" t="inlineStr">
        <is>
          <t>Dob</t>
        </is>
      </c>
    </row>
    <row r="2">
      <c r="A2" t="inlineStr">
        <is>
          <t>14363380</t>
        </is>
      </c>
      <c r="B2" t="inlineStr">
        <is>
          <t>f8dc77a6-fee0-4aff-9575-e837a291dda2</t>
        </is>
      </c>
      <c r="D2" t="inlineStr">
        <is>
          <t>30001082</t>
        </is>
      </c>
      <c r="E2" t="inlineStr">
        <is>
          <t>ussd_funeral_leads_altitude_20260504</t>
        </is>
      </c>
      <c r="G2" t="inlineStr">
        <is>
          <t>Enoch Hemee</t>
        </is>
      </c>
      <c r="H2" t="inlineStr">
        <is>
          <t>27826430341</t>
        </is>
      </c>
      <c r="J2" t="inlineStr">
        <is>
          <t>IABDN</t>
        </is>
      </c>
      <c r="K2" t="inlineStr">
        <is>
          <t>Inbound Abandon</t>
        </is>
      </c>
      <c r="L2" t="n">
        <v>20</v>
      </c>
      <c r="M2" t="inlineStr">
        <is>
          <t>2026-06-20 11:26:10</t>
        </is>
      </c>
      <c r="N2" t="inlineStr">
        <is>
          <t>system</t>
        </is>
      </c>
      <c r="O2" t="inlineStr">
        <is>
          <t>2026-05-15 11:58:32</t>
        </is>
      </c>
      <c r="P2" t="inlineStr">
        <is>
          <t>2026-05-16 10:53:28</t>
        </is>
      </c>
      <c r="Y2" t="inlineStr">
        <is>
          <t>27826430341</t>
        </is>
      </c>
    </row>
    <row r="3">
      <c r="A3" t="inlineStr">
        <is>
          <t>14362976</t>
        </is>
      </c>
      <c r="B3" t="inlineStr">
        <is>
          <t>53740a2a-9bd0-4ac6-a638-0a12c8c6caed</t>
        </is>
      </c>
      <c r="D3" t="inlineStr">
        <is>
          <t>30001082</t>
        </is>
      </c>
      <c r="E3" t="inlineStr">
        <is>
          <t>ussd_funeral_leads_altitude_20260504</t>
        </is>
      </c>
      <c r="J3" t="inlineStr">
        <is>
          <t>A</t>
        </is>
      </c>
      <c r="K3" t="inlineStr">
        <is>
          <t>Answering Machine</t>
        </is>
      </c>
      <c r="L3" t="n">
        <v>35</v>
      </c>
      <c r="M3" t="inlineStr">
        <is>
          <t>2026-06-18 07:25:04</t>
        </is>
      </c>
      <c r="N3" t="inlineStr">
        <is>
          <t>Gontse Monageng</t>
        </is>
      </c>
      <c r="O3" t="inlineStr">
        <is>
          <t>2026-05-15 11:58:32</t>
        </is>
      </c>
      <c r="P3" t="inlineStr">
        <is>
          <t>2026-05-15 11:58:32</t>
        </is>
      </c>
      <c r="Y3" t="inlineStr">
        <is>
          <t>27714665093</t>
        </is>
      </c>
    </row>
    <row r="4">
      <c r="A4" t="inlineStr">
        <is>
          <t>14363191</t>
        </is>
      </c>
      <c r="B4" t="inlineStr">
        <is>
          <t>867745de-b899-468b-8c19-53859fd144ac</t>
        </is>
      </c>
      <c r="D4" t="inlineStr">
        <is>
          <t>30001082</t>
        </is>
      </c>
      <c r="E4" t="inlineStr">
        <is>
          <t>ussd_funeral_leads_altitude_20260504</t>
        </is>
      </c>
      <c r="J4" t="inlineStr">
        <is>
          <t>A</t>
        </is>
      </c>
      <c r="K4" t="inlineStr">
        <is>
          <t>Answering Machine</t>
        </is>
      </c>
      <c r="L4" t="n">
        <v>16</v>
      </c>
      <c r="M4" t="inlineStr">
        <is>
          <t>2026-06-18 07:19:41</t>
        </is>
      </c>
      <c r="N4" t="inlineStr">
        <is>
          <t>Gontse Monageng</t>
        </is>
      </c>
      <c r="O4" t="inlineStr">
        <is>
          <t>2026-05-15 11:58:32</t>
        </is>
      </c>
      <c r="P4" t="inlineStr">
        <is>
          <t>2026-05-15 11:58:32</t>
        </is>
      </c>
      <c r="Y4" t="inlineStr">
        <is>
          <t>27766744515</t>
        </is>
      </c>
    </row>
    <row r="5">
      <c r="A5" t="inlineStr">
        <is>
          <t>14363041</t>
        </is>
      </c>
      <c r="B5" t="inlineStr">
        <is>
          <t>2145a7f4-db1c-4a20-ab09-2144d263ebb6</t>
        </is>
      </c>
      <c r="D5" t="inlineStr">
        <is>
          <t>30001082</t>
        </is>
      </c>
      <c r="E5" t="inlineStr">
        <is>
          <t>ussd_funeral_leads_altitude_20260504</t>
        </is>
      </c>
      <c r="J5" t="inlineStr">
        <is>
          <t>LANG</t>
        </is>
      </c>
      <c r="K5" t="inlineStr">
        <is>
          <t>Language Barrier</t>
        </is>
      </c>
      <c r="L5" t="n">
        <v>23</v>
      </c>
      <c r="M5" t="inlineStr">
        <is>
          <t>2026-06-17 07:26:06</t>
        </is>
      </c>
      <c r="N5" t="inlineStr">
        <is>
          <t>Goitsimang Mogwasa</t>
        </is>
      </c>
      <c r="O5" t="inlineStr">
        <is>
          <t>2026-05-15 11:58:32</t>
        </is>
      </c>
      <c r="P5" t="inlineStr">
        <is>
          <t>2026-05-15 11:58:32</t>
        </is>
      </c>
      <c r="Y5" t="inlineStr">
        <is>
          <t>27823706055</t>
        </is>
      </c>
    </row>
    <row r="6">
      <c r="A6" t="inlineStr">
        <is>
          <t>14363483</t>
        </is>
      </c>
      <c r="B6" t="inlineStr">
        <is>
          <t>67cd1d99-4a82-4872-8fe6-3cfad79cbf2f</t>
        </is>
      </c>
      <c r="D6" t="inlineStr">
        <is>
          <t>30001082</t>
        </is>
      </c>
      <c r="E6" t="inlineStr">
        <is>
          <t>ussd_funeral_leads_altitude_20260504</t>
        </is>
      </c>
      <c r="J6" t="inlineStr">
        <is>
          <t>CU</t>
        </is>
      </c>
      <c r="K6" t="inlineStr">
        <is>
          <t>Client Hung Up</t>
        </is>
      </c>
      <c r="L6" t="n">
        <v>19</v>
      </c>
      <c r="M6" t="inlineStr">
        <is>
          <t>2026-06-15 13:59:06</t>
        </is>
      </c>
      <c r="N6" t="inlineStr">
        <is>
          <t>Virginia Letsatsi</t>
        </is>
      </c>
      <c r="O6" t="inlineStr">
        <is>
          <t>2026-05-15 11:58:32</t>
        </is>
      </c>
      <c r="P6" t="inlineStr">
        <is>
          <t>2026-05-15 11:58:32</t>
        </is>
      </c>
      <c r="Y6" t="inlineStr">
        <is>
          <t>27711300245</t>
        </is>
      </c>
    </row>
    <row r="7">
      <c r="A7" t="inlineStr">
        <is>
          <t>14363179</t>
        </is>
      </c>
      <c r="B7" t="inlineStr">
        <is>
          <t>47ced5ae-b941-4807-82cd-4bc147f92e11</t>
        </is>
      </c>
      <c r="D7" t="inlineStr">
        <is>
          <t>30001082</t>
        </is>
      </c>
      <c r="E7" t="inlineStr">
        <is>
          <t>ussd_funeral_leads_altitude_20260504</t>
        </is>
      </c>
      <c r="J7" t="inlineStr">
        <is>
          <t>CU</t>
        </is>
      </c>
      <c r="K7" t="inlineStr">
        <is>
          <t>Client Hung Up</t>
        </is>
      </c>
      <c r="L7" t="n">
        <v>33</v>
      </c>
      <c r="M7" t="inlineStr">
        <is>
          <t>2026-06-12 10:00:27</t>
        </is>
      </c>
      <c r="N7" t="inlineStr">
        <is>
          <t>Goitsimang Mogwasa</t>
        </is>
      </c>
      <c r="O7" t="inlineStr">
        <is>
          <t>2026-05-15 11:58:32</t>
        </is>
      </c>
      <c r="P7" t="inlineStr">
        <is>
          <t>2026-05-15 11:58:32</t>
        </is>
      </c>
      <c r="Y7" t="inlineStr">
        <is>
          <t>27729666409</t>
        </is>
      </c>
    </row>
    <row r="8">
      <c r="A8" t="inlineStr">
        <is>
          <t>14363311</t>
        </is>
      </c>
      <c r="B8" t="inlineStr">
        <is>
          <t>03bd56ff-5c5f-4449-89c5-d49a42db4b2b</t>
        </is>
      </c>
      <c r="D8" t="inlineStr">
        <is>
          <t>30001082</t>
        </is>
      </c>
      <c r="E8" t="inlineStr">
        <is>
          <t>ussd_funeral_leads_altitude_20260504</t>
        </is>
      </c>
      <c r="H8" t="inlineStr">
        <is>
          <t>8906220000000</t>
        </is>
      </c>
      <c r="J8" t="inlineStr">
        <is>
          <t>A</t>
        </is>
      </c>
      <c r="K8" t="inlineStr">
        <is>
          <t>Answering Machine</t>
        </is>
      </c>
      <c r="L8" t="n">
        <v>38</v>
      </c>
      <c r="M8" t="inlineStr">
        <is>
          <t>2026-06-12 09:54:48</t>
        </is>
      </c>
      <c r="N8" t="inlineStr">
        <is>
          <t>Goitsimang Mogwasa</t>
        </is>
      </c>
      <c r="O8" t="inlineStr">
        <is>
          <t>2026-05-15 11:58:32</t>
        </is>
      </c>
      <c r="P8" t="inlineStr">
        <is>
          <t>2026-05-20 10:42:16</t>
        </is>
      </c>
      <c r="R8" t="inlineStr">
        <is>
          <t>796441231</t>
        </is>
      </c>
      <c r="Y8" t="inlineStr">
        <is>
          <t>27796441231</t>
        </is>
      </c>
    </row>
    <row r="9">
      <c r="A9" t="inlineStr">
        <is>
          <t>14363258</t>
        </is>
      </c>
      <c r="B9" t="inlineStr">
        <is>
          <t>1447590d-0d03-4c74-929d-1dd14bd91187</t>
        </is>
      </c>
      <c r="D9" t="inlineStr">
        <is>
          <t>30001082</t>
        </is>
      </c>
      <c r="E9" t="inlineStr">
        <is>
          <t>ussd_funeral_leads_altitude_20260504</t>
        </is>
      </c>
      <c r="H9" t="inlineStr">
        <is>
          <t>27791974610</t>
        </is>
      </c>
      <c r="J9" t="inlineStr">
        <is>
          <t>NI</t>
        </is>
      </c>
      <c r="K9" t="inlineStr">
        <is>
          <t>Not Interested</t>
        </is>
      </c>
      <c r="L9" t="n">
        <v>5</v>
      </c>
      <c r="M9" t="inlineStr">
        <is>
          <t>2026-06-10 10:37:04</t>
        </is>
      </c>
      <c r="N9" t="inlineStr">
        <is>
          <t>Lebohang Mabotja</t>
        </is>
      </c>
      <c r="O9" t="inlineStr">
        <is>
          <t>2026-05-15 11:58:32</t>
        </is>
      </c>
      <c r="P9" t="inlineStr">
        <is>
          <t>2026-05-15 11:58:32</t>
        </is>
      </c>
      <c r="Y9" t="inlineStr">
        <is>
          <t>27791974610</t>
        </is>
      </c>
    </row>
    <row r="10">
      <c r="A10" t="inlineStr">
        <is>
          <t>14363229</t>
        </is>
      </c>
      <c r="B10" t="inlineStr">
        <is>
          <t>723c2339-611a-45c0-943c-68f85a35fa00</t>
        </is>
      </c>
      <c r="D10" t="inlineStr">
        <is>
          <t>30001082</t>
        </is>
      </c>
      <c r="E10" t="inlineStr">
        <is>
          <t>ussd_funeral_leads_altitude_20260504</t>
        </is>
      </c>
      <c r="H10" t="inlineStr">
        <is>
          <t>27637248420</t>
        </is>
      </c>
      <c r="J10" t="inlineStr">
        <is>
          <t>AFTHRS</t>
        </is>
      </c>
      <c r="K10" t="inlineStr">
        <is>
          <t>Inbound After Hours Drop</t>
        </is>
      </c>
      <c r="L10" t="n">
        <v>31</v>
      </c>
      <c r="M10" t="inlineStr">
        <is>
          <t>2026-06-08 04:26:23</t>
        </is>
      </c>
      <c r="N10" t="inlineStr">
        <is>
          <t>system</t>
        </is>
      </c>
      <c r="O10" t="inlineStr">
        <is>
          <t>2026-05-15 11:58:32</t>
        </is>
      </c>
      <c r="P10" t="inlineStr">
        <is>
          <t>2026-05-15 11:58:32</t>
        </is>
      </c>
      <c r="Y10" t="inlineStr">
        <is>
          <t>27637248420</t>
        </is>
      </c>
    </row>
    <row r="11">
      <c r="A11" t="inlineStr">
        <is>
          <t>14363448</t>
        </is>
      </c>
      <c r="B11" t="inlineStr">
        <is>
          <t>4b1fe631-1d81-4076-9d18-b0c4b47cc33f</t>
        </is>
      </c>
      <c r="D11" t="inlineStr">
        <is>
          <t>30001082</t>
        </is>
      </c>
      <c r="E11" t="inlineStr">
        <is>
          <t>ussd_funeral_leads_altitude_20260504</t>
        </is>
      </c>
      <c r="J11" t="inlineStr">
        <is>
          <t>AA</t>
        </is>
      </c>
      <c r="K11" t="inlineStr">
        <is>
          <t>Answering Machine Autodial</t>
        </is>
      </c>
      <c r="L11" t="n">
        <v>22</v>
      </c>
      <c r="M11" t="inlineStr">
        <is>
          <t>2026-06-05 11:51:04</t>
        </is>
      </c>
      <c r="N11" t="inlineStr">
        <is>
          <t>system</t>
        </is>
      </c>
      <c r="O11" t="inlineStr">
        <is>
          <t>2026-05-15 11:58:32</t>
        </is>
      </c>
      <c r="P11" t="inlineStr">
        <is>
          <t>2026-05-15 11:58:32</t>
        </is>
      </c>
      <c r="Y11" t="inlineStr">
        <is>
          <t>27764798912</t>
        </is>
      </c>
    </row>
    <row r="12">
      <c r="A12" t="inlineStr">
        <is>
          <t>14362986</t>
        </is>
      </c>
      <c r="B12" t="inlineStr">
        <is>
          <t>aad7b3d4-5cb2-4a2e-8fe8-3529a26115a0</t>
        </is>
      </c>
      <c r="D12" t="inlineStr">
        <is>
          <t>30001082</t>
        </is>
      </c>
      <c r="E12" t="inlineStr">
        <is>
          <t>ussd_funeral_leads_altitude_20260504</t>
        </is>
      </c>
      <c r="J12" t="inlineStr">
        <is>
          <t>AA</t>
        </is>
      </c>
      <c r="K12" t="inlineStr">
        <is>
          <t>Answering Machine Autodial</t>
        </is>
      </c>
      <c r="L12" t="n">
        <v>30</v>
      </c>
      <c r="M12" t="inlineStr">
        <is>
          <t>2026-06-05 09:03:22</t>
        </is>
      </c>
      <c r="N12" t="inlineStr">
        <is>
          <t>system</t>
        </is>
      </c>
      <c r="O12" t="inlineStr">
        <is>
          <t>2026-05-15 11:58:32</t>
        </is>
      </c>
      <c r="P12" t="inlineStr">
        <is>
          <t>2026-05-15 11:58:32</t>
        </is>
      </c>
      <c r="Y12" t="inlineStr">
        <is>
          <t>27796858996</t>
        </is>
      </c>
    </row>
    <row r="13">
      <c r="A13" t="inlineStr">
        <is>
          <t>14363454</t>
        </is>
      </c>
      <c r="B13" t="inlineStr">
        <is>
          <t>4babe5db-a62a-4544-b789-271e0e34c9d6</t>
        </is>
      </c>
      <c r="D13" t="inlineStr">
        <is>
          <t>30001082</t>
        </is>
      </c>
      <c r="E13" t="inlineStr">
        <is>
          <t>ussd_funeral_leads_altitude_20260504</t>
        </is>
      </c>
      <c r="J13" t="inlineStr">
        <is>
          <t>AA</t>
        </is>
      </c>
      <c r="K13" t="inlineStr">
        <is>
          <t>Answering Machine Autodial</t>
        </is>
      </c>
      <c r="L13" t="n">
        <v>26</v>
      </c>
      <c r="M13" t="inlineStr">
        <is>
          <t>2026-06-05 08:50:57</t>
        </is>
      </c>
      <c r="N13" t="inlineStr">
        <is>
          <t>system</t>
        </is>
      </c>
      <c r="O13" t="inlineStr">
        <is>
          <t>2026-05-15 11:58:32</t>
        </is>
      </c>
      <c r="P13" t="inlineStr">
        <is>
          <t>2026-05-15 11:58:32</t>
        </is>
      </c>
      <c r="Y13" t="inlineStr">
        <is>
          <t>27826397051</t>
        </is>
      </c>
    </row>
    <row r="14">
      <c r="A14" t="inlineStr">
        <is>
          <t>14363131</t>
        </is>
      </c>
      <c r="B14" t="inlineStr">
        <is>
          <t>de25cdad-e197-4ab3-9d5c-1b22ad27f5f9</t>
        </is>
      </c>
      <c r="D14" t="inlineStr">
        <is>
          <t>30001082</t>
        </is>
      </c>
      <c r="E14" t="inlineStr">
        <is>
          <t>ussd_funeral_leads_altitude_20260504</t>
        </is>
      </c>
      <c r="J14" t="inlineStr">
        <is>
          <t>A</t>
        </is>
      </c>
      <c r="K14" t="inlineStr">
        <is>
          <t>Answering Machine</t>
        </is>
      </c>
      <c r="L14" t="n">
        <v>31</v>
      </c>
      <c r="M14" t="inlineStr">
        <is>
          <t>2026-06-03 13:54:54</t>
        </is>
      </c>
      <c r="N14" t="inlineStr">
        <is>
          <t>Vuyiswa Nxumalo</t>
        </is>
      </c>
      <c r="O14" t="inlineStr">
        <is>
          <t>2026-05-15 11:58:32</t>
        </is>
      </c>
      <c r="P14" t="inlineStr">
        <is>
          <t>2026-05-15 11:58:32</t>
        </is>
      </c>
      <c r="Y14" t="inlineStr">
        <is>
          <t>27795029999</t>
        </is>
      </c>
    </row>
    <row r="15">
      <c r="A15" t="inlineStr">
        <is>
          <t>14363046</t>
        </is>
      </c>
      <c r="B15" t="inlineStr">
        <is>
          <t>3f533fe0-ee7a-4efd-a437-b27fa260a444</t>
        </is>
      </c>
      <c r="D15" t="inlineStr">
        <is>
          <t>30001082</t>
        </is>
      </c>
      <c r="E15" t="inlineStr">
        <is>
          <t>ussd_funeral_leads_altitude_20260504</t>
        </is>
      </c>
      <c r="H15" t="inlineStr">
        <is>
          <t>27823832770</t>
        </is>
      </c>
      <c r="J15" t="inlineStr">
        <is>
          <t>AA</t>
        </is>
      </c>
      <c r="K15" t="inlineStr">
        <is>
          <t>Answering Machine Autodial</t>
        </is>
      </c>
      <c r="L15" t="n">
        <v>31</v>
      </c>
      <c r="M15" t="inlineStr">
        <is>
          <t>2026-06-02 12:37:49</t>
        </is>
      </c>
      <c r="N15" t="inlineStr">
        <is>
          <t>system</t>
        </is>
      </c>
      <c r="O15" t="inlineStr">
        <is>
          <t>2026-05-15 11:58:32</t>
        </is>
      </c>
      <c r="P15" t="inlineStr">
        <is>
          <t>2026-05-15 11:58:32</t>
        </is>
      </c>
      <c r="Y15" t="inlineStr">
        <is>
          <t>27823832770</t>
        </is>
      </c>
    </row>
    <row r="16">
      <c r="A16" t="inlineStr">
        <is>
          <t>14363409</t>
        </is>
      </c>
      <c r="B16" t="inlineStr">
        <is>
          <t>1c88a8fc-958f-43bf-9135-d6c186abc801</t>
        </is>
      </c>
      <c r="D16" t="inlineStr">
        <is>
          <t>30001082</t>
        </is>
      </c>
      <c r="E16" t="inlineStr">
        <is>
          <t>ussd_funeral_leads_altitude_20260504</t>
        </is>
      </c>
      <c r="J16" t="inlineStr">
        <is>
          <t>QAVER</t>
        </is>
      </c>
      <c r="K16" t="inlineStr">
        <is>
          <t>Sale Made</t>
        </is>
      </c>
      <c r="L16" t="n">
        <v>24</v>
      </c>
      <c r="M16" t="inlineStr">
        <is>
          <t>2026-06-02 11:31:22</t>
        </is>
      </c>
      <c r="N16" t="inlineStr">
        <is>
          <t>Goitsimang Mogwasa</t>
        </is>
      </c>
      <c r="O16" t="inlineStr">
        <is>
          <t>2026-05-15 11:58:32</t>
        </is>
      </c>
      <c r="P16" t="inlineStr">
        <is>
          <t>2026-05-15 11:58:32</t>
        </is>
      </c>
      <c r="Y16" t="inlineStr">
        <is>
          <t>27768009771</t>
        </is>
      </c>
    </row>
    <row r="17">
      <c r="A17" t="inlineStr">
        <is>
          <t>14363322</t>
        </is>
      </c>
      <c r="B17" t="inlineStr">
        <is>
          <t>94a61d81-1936-40a8-a93b-f870933354d4</t>
        </is>
      </c>
      <c r="D17" t="inlineStr">
        <is>
          <t>30001082</t>
        </is>
      </c>
      <c r="E17" t="inlineStr">
        <is>
          <t>ussd_funeral_leads_altitude_20260504</t>
        </is>
      </c>
      <c r="J17" t="inlineStr">
        <is>
          <t>AA</t>
        </is>
      </c>
      <c r="K17" t="inlineStr">
        <is>
          <t>Answering Machine Autodial</t>
        </is>
      </c>
      <c r="L17" t="n">
        <v>31</v>
      </c>
      <c r="M17" t="inlineStr">
        <is>
          <t>2026-06-02 07:58:43</t>
        </is>
      </c>
      <c r="N17" t="inlineStr">
        <is>
          <t>system</t>
        </is>
      </c>
      <c r="O17" t="inlineStr">
        <is>
          <t>2026-05-15 11:58:32</t>
        </is>
      </c>
      <c r="P17" t="inlineStr">
        <is>
          <t>2026-05-15 11:58:32</t>
        </is>
      </c>
      <c r="Y17" t="inlineStr">
        <is>
          <t>27606249684</t>
        </is>
      </c>
    </row>
    <row r="18">
      <c r="A18" t="inlineStr">
        <is>
          <t>14363007</t>
        </is>
      </c>
      <c r="B18" t="inlineStr">
        <is>
          <t>519d2868-c2db-4692-a195-b022b95174b6</t>
        </is>
      </c>
      <c r="D18" t="inlineStr">
        <is>
          <t>30001082</t>
        </is>
      </c>
      <c r="E18" t="inlineStr">
        <is>
          <t>ussd_funeral_leads_altitude_20260504</t>
        </is>
      </c>
      <c r="J18" t="inlineStr">
        <is>
          <t>AA</t>
        </is>
      </c>
      <c r="K18" t="inlineStr">
        <is>
          <t>Answering Machine Autodial</t>
        </is>
      </c>
      <c r="L18" t="n">
        <v>31</v>
      </c>
      <c r="M18" t="inlineStr">
        <is>
          <t>2026-06-02 07:58:37</t>
        </is>
      </c>
      <c r="N18" t="inlineStr">
        <is>
          <t>system</t>
        </is>
      </c>
      <c r="O18" t="inlineStr">
        <is>
          <t>2026-05-15 11:58:32</t>
        </is>
      </c>
      <c r="P18" t="inlineStr">
        <is>
          <t>2026-05-15 11:58:32</t>
        </is>
      </c>
      <c r="Y18" t="inlineStr">
        <is>
          <t>27606532434</t>
        </is>
      </c>
    </row>
    <row r="19">
      <c r="A19" t="inlineStr">
        <is>
          <t>14363183</t>
        </is>
      </c>
      <c r="B19" t="inlineStr">
        <is>
          <t>da0ed660-feb7-4c0d-ad76-85c873abb7b9</t>
        </is>
      </c>
      <c r="D19" t="inlineStr">
        <is>
          <t>30001082</t>
        </is>
      </c>
      <c r="E19" t="inlineStr">
        <is>
          <t>ussd_funeral_leads_altitude_20260504</t>
        </is>
      </c>
      <c r="J19" t="inlineStr">
        <is>
          <t>CU</t>
        </is>
      </c>
      <c r="K19" t="inlineStr">
        <is>
          <t>Client Hung Up</t>
        </is>
      </c>
      <c r="L19" t="n">
        <v>31</v>
      </c>
      <c r="M19" t="inlineStr">
        <is>
          <t>2026-06-02 07:58:31</t>
        </is>
      </c>
      <c r="N19" t="inlineStr">
        <is>
          <t>Tebogo Chauke</t>
        </is>
      </c>
      <c r="O19" t="inlineStr">
        <is>
          <t>2026-05-15 11:58:32</t>
        </is>
      </c>
      <c r="P19" t="inlineStr">
        <is>
          <t>2026-05-15 11:58:32</t>
        </is>
      </c>
      <c r="Y19" t="inlineStr">
        <is>
          <t>27728707616</t>
        </is>
      </c>
    </row>
    <row r="20">
      <c r="A20" t="inlineStr">
        <is>
          <t>14363006</t>
        </is>
      </c>
      <c r="B20" t="inlineStr">
        <is>
          <t>48227000-bcac-41e9-89ca-46e62daa73e9</t>
        </is>
      </c>
      <c r="D20" t="inlineStr">
        <is>
          <t>30001082</t>
        </is>
      </c>
      <c r="E20" t="inlineStr">
        <is>
          <t>ussd_funeral_leads_altitude_20260504</t>
        </is>
      </c>
      <c r="H20" t="inlineStr">
        <is>
          <t>27723547580</t>
        </is>
      </c>
      <c r="J20" t="inlineStr">
        <is>
          <t>CBACK</t>
        </is>
      </c>
      <c r="K20" t="inlineStr">
        <is>
          <t>Callback</t>
        </is>
      </c>
      <c r="L20" t="n">
        <v>31</v>
      </c>
      <c r="M20" t="inlineStr">
        <is>
          <t>2026-06-01 13:21:22</t>
        </is>
      </c>
      <c r="N20" t="inlineStr">
        <is>
          <t>Tebogo Chauke</t>
        </is>
      </c>
      <c r="O20" t="inlineStr">
        <is>
          <t>2026-05-15 11:58:32</t>
        </is>
      </c>
      <c r="P20" t="inlineStr">
        <is>
          <t>2026-05-15 11:58:32</t>
        </is>
      </c>
      <c r="Y20" t="inlineStr">
        <is>
          <t>27723547580</t>
        </is>
      </c>
    </row>
    <row r="21">
      <c r="A21" t="inlineStr">
        <is>
          <t>14363090</t>
        </is>
      </c>
      <c r="B21" t="inlineStr">
        <is>
          <t>f13dcbc5-de8d-43e0-af69-971ab6d22552</t>
        </is>
      </c>
      <c r="D21" t="inlineStr">
        <is>
          <t>30001082</t>
        </is>
      </c>
      <c r="E21" t="inlineStr">
        <is>
          <t>ussd_funeral_leads_altitude_20260504</t>
        </is>
      </c>
      <c r="H21" t="inlineStr">
        <is>
          <t>27763421778</t>
        </is>
      </c>
      <c r="J21" t="inlineStr">
        <is>
          <t>AA</t>
        </is>
      </c>
      <c r="K21" t="inlineStr">
        <is>
          <t>Answering Machine Autodial</t>
        </is>
      </c>
      <c r="L21" t="n">
        <v>31</v>
      </c>
      <c r="M21" t="inlineStr">
        <is>
          <t>2026-06-01 13:21:22</t>
        </is>
      </c>
      <c r="N21" t="inlineStr">
        <is>
          <t>system</t>
        </is>
      </c>
      <c r="O21" t="inlineStr">
        <is>
          <t>2026-05-15 11:58:32</t>
        </is>
      </c>
      <c r="P21" t="inlineStr">
        <is>
          <t>2026-05-15 11:58:32</t>
        </is>
      </c>
      <c r="Y21" t="inlineStr">
        <is>
          <t>27763421778</t>
        </is>
      </c>
    </row>
    <row r="22">
      <c r="A22" t="inlineStr">
        <is>
          <t>14362974</t>
        </is>
      </c>
      <c r="B22" t="inlineStr">
        <is>
          <t>f7a8341a-a6d0-4a52-91e8-e14efc70aa84</t>
        </is>
      </c>
      <c r="D22" t="inlineStr">
        <is>
          <t>30001082</t>
        </is>
      </c>
      <c r="E22" t="inlineStr">
        <is>
          <t>ussd_funeral_leads_altitude_20260504</t>
        </is>
      </c>
      <c r="J22" t="inlineStr">
        <is>
          <t>NA</t>
        </is>
      </c>
      <c r="K22" t="inlineStr">
        <is>
          <t>No Answer Autodial</t>
        </is>
      </c>
      <c r="L22" t="n">
        <v>31</v>
      </c>
      <c r="M22" t="inlineStr">
        <is>
          <t>2026-06-01 08:25:12</t>
        </is>
      </c>
      <c r="N22" t="inlineStr">
        <is>
          <t>system</t>
        </is>
      </c>
      <c r="O22" t="inlineStr">
        <is>
          <t>2026-05-15 11:58:32</t>
        </is>
      </c>
      <c r="P22" t="inlineStr">
        <is>
          <t>2026-05-15 11:58:32</t>
        </is>
      </c>
      <c r="Y22" t="inlineStr">
        <is>
          <t>27764560946</t>
        </is>
      </c>
    </row>
    <row r="23">
      <c r="A23" t="inlineStr">
        <is>
          <t>14363359</t>
        </is>
      </c>
      <c r="B23" t="inlineStr">
        <is>
          <t>83df562b-0215-4ae6-94ed-8e221e176b51</t>
        </is>
      </c>
      <c r="D23" t="inlineStr">
        <is>
          <t>30001082</t>
        </is>
      </c>
      <c r="E23" t="inlineStr">
        <is>
          <t>ussd_funeral_leads_altitude_20260504</t>
        </is>
      </c>
      <c r="J23" t="inlineStr">
        <is>
          <t>CBACK</t>
        </is>
      </c>
      <c r="K23" t="inlineStr">
        <is>
          <t>Callback</t>
        </is>
      </c>
      <c r="L23" t="n">
        <v>31</v>
      </c>
      <c r="M23" t="inlineStr">
        <is>
          <t>2026-06-01 08:25:06</t>
        </is>
      </c>
      <c r="N23" t="inlineStr">
        <is>
          <t>Gontse Monageng</t>
        </is>
      </c>
      <c r="O23" t="inlineStr">
        <is>
          <t>2026-05-15 11:58:32</t>
        </is>
      </c>
      <c r="P23" t="inlineStr">
        <is>
          <t>2026-05-15 11:58:32</t>
        </is>
      </c>
      <c r="Y23" t="inlineStr">
        <is>
          <t>27636700419</t>
        </is>
      </c>
    </row>
    <row r="24">
      <c r="A24" t="inlineStr">
        <is>
          <t>14363003</t>
        </is>
      </c>
      <c r="B24" t="inlineStr">
        <is>
          <t>9e72f715-3430-48dc-b4f4-b2a88c91cf60</t>
        </is>
      </c>
      <c r="D24" t="inlineStr">
        <is>
          <t>30001082</t>
        </is>
      </c>
      <c r="E24" t="inlineStr">
        <is>
          <t>ussd_funeral_leads_altitude_20260504</t>
        </is>
      </c>
      <c r="J24" t="inlineStr">
        <is>
          <t>AA</t>
        </is>
      </c>
      <c r="K24" t="inlineStr">
        <is>
          <t>Answering Machine Autodial</t>
        </is>
      </c>
      <c r="L24" t="n">
        <v>31</v>
      </c>
      <c r="M24" t="inlineStr">
        <is>
          <t>2026-06-01 08:25:05</t>
        </is>
      </c>
      <c r="N24" t="inlineStr">
        <is>
          <t>system</t>
        </is>
      </c>
      <c r="O24" t="inlineStr">
        <is>
          <t>2026-05-15 11:58:32</t>
        </is>
      </c>
      <c r="P24" t="inlineStr">
        <is>
          <t>2026-05-15 11:58:32</t>
        </is>
      </c>
      <c r="Y24" t="inlineStr">
        <is>
          <t>27760338225</t>
        </is>
      </c>
    </row>
    <row r="25">
      <c r="A25" t="inlineStr">
        <is>
          <t>14363224</t>
        </is>
      </c>
      <c r="B25" t="inlineStr">
        <is>
          <t>a629beda-a299-4a64-8da2-098fa42cf05b</t>
        </is>
      </c>
      <c r="D25" t="inlineStr">
        <is>
          <t>30001082</t>
        </is>
      </c>
      <c r="E25" t="inlineStr">
        <is>
          <t>ussd_funeral_leads_altitude_20260504</t>
        </is>
      </c>
      <c r="H25" t="inlineStr">
        <is>
          <t>27729464503</t>
        </is>
      </c>
      <c r="J25" t="inlineStr">
        <is>
          <t>AFTHRS</t>
        </is>
      </c>
      <c r="K25" t="inlineStr">
        <is>
          <t>Inbound After Hours Drop</t>
        </is>
      </c>
      <c r="L25" t="n">
        <v>31</v>
      </c>
      <c r="M25" t="inlineStr">
        <is>
          <t>2026-05-31 19:05:32</t>
        </is>
      </c>
      <c r="N25" t="inlineStr">
        <is>
          <t>system</t>
        </is>
      </c>
      <c r="O25" t="inlineStr">
        <is>
          <t>2026-05-15 11:58:32</t>
        </is>
      </c>
      <c r="P25" t="inlineStr">
        <is>
          <t>2026-05-15 11:58:32</t>
        </is>
      </c>
      <c r="Y25" t="inlineStr">
        <is>
          <t>27729464503</t>
        </is>
      </c>
    </row>
    <row r="26">
      <c r="A26" t="inlineStr">
        <is>
          <t>14363408</t>
        </is>
      </c>
      <c r="B26" t="inlineStr">
        <is>
          <t>f1d3d2f9-ecee-458c-ab29-7aa3579cb40d</t>
        </is>
      </c>
      <c r="D26" t="inlineStr">
        <is>
          <t>30001082</t>
        </is>
      </c>
      <c r="E26" t="inlineStr">
        <is>
          <t>ussd_funeral_leads_altitude_20260504</t>
        </is>
      </c>
      <c r="J26" t="inlineStr">
        <is>
          <t>AA</t>
        </is>
      </c>
      <c r="K26" t="inlineStr">
        <is>
          <t>Answering Machine Autodial</t>
        </is>
      </c>
      <c r="L26" t="n">
        <v>31</v>
      </c>
      <c r="M26" t="inlineStr">
        <is>
          <t>2026-05-30 08:39:15</t>
        </is>
      </c>
      <c r="N26" t="inlineStr">
        <is>
          <t>system</t>
        </is>
      </c>
      <c r="O26" t="inlineStr">
        <is>
          <t>2026-05-15 11:58:32</t>
        </is>
      </c>
      <c r="P26" t="inlineStr">
        <is>
          <t>2026-05-15 11:58:32</t>
        </is>
      </c>
      <c r="Y26" t="inlineStr">
        <is>
          <t>27727907316</t>
        </is>
      </c>
    </row>
    <row r="27">
      <c r="A27" t="inlineStr">
        <is>
          <t>14363404</t>
        </is>
      </c>
      <c r="B27" t="inlineStr">
        <is>
          <t>3dc21dac-8c36-4d71-970c-624d73b7cf4e</t>
        </is>
      </c>
      <c r="D27" t="inlineStr">
        <is>
          <t>30001082</t>
        </is>
      </c>
      <c r="E27" t="inlineStr">
        <is>
          <t>ussd_funeral_leads_altitude_20260504</t>
        </is>
      </c>
      <c r="J27" t="inlineStr">
        <is>
          <t>AA</t>
        </is>
      </c>
      <c r="K27" t="inlineStr">
        <is>
          <t>Answering Machine Autodial</t>
        </is>
      </c>
      <c r="L27" t="n">
        <v>31</v>
      </c>
      <c r="M27" t="inlineStr">
        <is>
          <t>2026-05-30 08:39:13</t>
        </is>
      </c>
      <c r="N27" t="inlineStr">
        <is>
          <t>system</t>
        </is>
      </c>
      <c r="O27" t="inlineStr">
        <is>
          <t>2026-05-15 11:58:32</t>
        </is>
      </c>
      <c r="P27" t="inlineStr">
        <is>
          <t>2026-05-15 11:58:32</t>
        </is>
      </c>
      <c r="Y27" t="inlineStr">
        <is>
          <t>27715614241</t>
        </is>
      </c>
    </row>
    <row r="28">
      <c r="A28" t="inlineStr">
        <is>
          <t>14363405</t>
        </is>
      </c>
      <c r="B28" t="inlineStr">
        <is>
          <t>abcc32dd-6d06-4514-b0f4-c1b279b2e1e9</t>
        </is>
      </c>
      <c r="D28" t="inlineStr">
        <is>
          <t>30001082</t>
        </is>
      </c>
      <c r="E28" t="inlineStr">
        <is>
          <t>ussd_funeral_leads_altitude_20260504</t>
        </is>
      </c>
      <c r="J28" t="inlineStr">
        <is>
          <t>AA</t>
        </is>
      </c>
      <c r="K28" t="inlineStr">
        <is>
          <t>Answering Machine Autodial</t>
        </is>
      </c>
      <c r="L28" t="n">
        <v>31</v>
      </c>
      <c r="M28" t="inlineStr">
        <is>
          <t>2026-05-30 08:39:13</t>
        </is>
      </c>
      <c r="N28" t="inlineStr">
        <is>
          <t>system</t>
        </is>
      </c>
      <c r="O28" t="inlineStr">
        <is>
          <t>2026-05-15 11:58:32</t>
        </is>
      </c>
      <c r="P28" t="inlineStr">
        <is>
          <t>2026-05-15 11:58:32</t>
        </is>
      </c>
      <c r="Y28" t="inlineStr">
        <is>
          <t>27829307613</t>
        </is>
      </c>
    </row>
    <row r="29">
      <c r="A29" t="inlineStr">
        <is>
          <t>14363383</t>
        </is>
      </c>
      <c r="B29" t="inlineStr">
        <is>
          <t>c68caed1-58f6-47b8-a771-4cacf688fa23</t>
        </is>
      </c>
      <c r="D29" t="inlineStr">
        <is>
          <t>30001082</t>
        </is>
      </c>
      <c r="E29" t="inlineStr">
        <is>
          <t>ussd_funeral_leads_altitude_20260504</t>
        </is>
      </c>
      <c r="J29" t="inlineStr">
        <is>
          <t>AA</t>
        </is>
      </c>
      <c r="K29" t="inlineStr">
        <is>
          <t>Answering Machine Autodial</t>
        </is>
      </c>
      <c r="L29" t="n">
        <v>31</v>
      </c>
      <c r="M29" t="inlineStr">
        <is>
          <t>2026-05-30 08:39:12</t>
        </is>
      </c>
      <c r="N29" t="inlineStr">
        <is>
          <t>system</t>
        </is>
      </c>
      <c r="O29" t="inlineStr">
        <is>
          <t>2026-05-15 11:58:32</t>
        </is>
      </c>
      <c r="P29" t="inlineStr">
        <is>
          <t>2026-05-15 11:58:32</t>
        </is>
      </c>
      <c r="Y29" t="inlineStr">
        <is>
          <t>27715049962</t>
        </is>
      </c>
    </row>
    <row r="30">
      <c r="A30" t="inlineStr">
        <is>
          <t>14363394</t>
        </is>
      </c>
      <c r="B30" t="inlineStr">
        <is>
          <t>130b0a21-a1ba-4bc5-845f-78dabf62fca8</t>
        </is>
      </c>
      <c r="D30" t="inlineStr">
        <is>
          <t>30001082</t>
        </is>
      </c>
      <c r="E30" t="inlineStr">
        <is>
          <t>ussd_funeral_leads_altitude_20260504</t>
        </is>
      </c>
      <c r="J30" t="inlineStr">
        <is>
          <t>AA</t>
        </is>
      </c>
      <c r="K30" t="inlineStr">
        <is>
          <t>Answering Machine Autodial</t>
        </is>
      </c>
      <c r="L30" t="n">
        <v>31</v>
      </c>
      <c r="M30" t="inlineStr">
        <is>
          <t>2026-05-30 08:39:12</t>
        </is>
      </c>
      <c r="N30" t="inlineStr">
        <is>
          <t>system</t>
        </is>
      </c>
      <c r="O30" t="inlineStr">
        <is>
          <t>2026-05-15 11:58:32</t>
        </is>
      </c>
      <c r="P30" t="inlineStr">
        <is>
          <t>2026-05-15 11:58:32</t>
        </is>
      </c>
      <c r="Y30" t="inlineStr">
        <is>
          <t>27664924623</t>
        </is>
      </c>
    </row>
    <row r="31">
      <c r="A31" t="inlineStr">
        <is>
          <t>14363403</t>
        </is>
      </c>
      <c r="B31" t="inlineStr">
        <is>
          <t>8f04b76b-be2a-431c-908d-5bd372b1c1b1</t>
        </is>
      </c>
      <c r="D31" t="inlineStr">
        <is>
          <t>30001082</t>
        </is>
      </c>
      <c r="E31" t="inlineStr">
        <is>
          <t>ussd_funeral_leads_altitude_20260504</t>
        </is>
      </c>
      <c r="J31" t="inlineStr">
        <is>
          <t>AA</t>
        </is>
      </c>
      <c r="K31" t="inlineStr">
        <is>
          <t>Answering Machine Autodial</t>
        </is>
      </c>
      <c r="L31" t="n">
        <v>31</v>
      </c>
      <c r="M31" t="inlineStr">
        <is>
          <t>2026-05-30 08:39:12</t>
        </is>
      </c>
      <c r="N31" t="inlineStr">
        <is>
          <t>system</t>
        </is>
      </c>
      <c r="O31" t="inlineStr">
        <is>
          <t>2026-05-15 11:58:32</t>
        </is>
      </c>
      <c r="P31" t="inlineStr">
        <is>
          <t>2026-05-15 11:58:32</t>
        </is>
      </c>
      <c r="Y31" t="inlineStr">
        <is>
          <t>27721580339</t>
        </is>
      </c>
    </row>
    <row r="32">
      <c r="A32" t="inlineStr">
        <is>
          <t>14363217</t>
        </is>
      </c>
      <c r="B32" t="inlineStr">
        <is>
          <t>10ba4618-b33c-487c-a6db-ffa8e241c963</t>
        </is>
      </c>
      <c r="D32" t="inlineStr">
        <is>
          <t>30001082</t>
        </is>
      </c>
      <c r="E32" t="inlineStr">
        <is>
          <t>ussd_funeral_leads_altitude_20260504</t>
        </is>
      </c>
      <c r="J32" t="inlineStr">
        <is>
          <t>AA</t>
        </is>
      </c>
      <c r="K32" t="inlineStr">
        <is>
          <t>Answering Machine Autodial</t>
        </is>
      </c>
      <c r="L32" t="n">
        <v>31</v>
      </c>
      <c r="M32" t="inlineStr">
        <is>
          <t>2026-05-30 08:39:11</t>
        </is>
      </c>
      <c r="N32" t="inlineStr">
        <is>
          <t>system</t>
        </is>
      </c>
      <c r="O32" t="inlineStr">
        <is>
          <t>2026-05-15 11:58:32</t>
        </is>
      </c>
      <c r="P32" t="inlineStr">
        <is>
          <t>2026-05-15 11:58:32</t>
        </is>
      </c>
      <c r="Y32" t="inlineStr">
        <is>
          <t>27716052740</t>
        </is>
      </c>
    </row>
    <row r="33">
      <c r="A33" t="inlineStr">
        <is>
          <t>14363213</t>
        </is>
      </c>
      <c r="B33" t="inlineStr">
        <is>
          <t>0f565b57-609d-4dc3-94a7-2d3e3d08358d</t>
        </is>
      </c>
      <c r="D33" t="inlineStr">
        <is>
          <t>30001082</t>
        </is>
      </c>
      <c r="E33" t="inlineStr">
        <is>
          <t>ussd_funeral_leads_altitude_20260504</t>
        </is>
      </c>
      <c r="J33" t="inlineStr">
        <is>
          <t>ADC</t>
        </is>
      </c>
      <c r="K33" t="inlineStr">
        <is>
          <t>Auto Dial Disconnected</t>
        </is>
      </c>
      <c r="L33" t="n">
        <v>31</v>
      </c>
      <c r="M33" t="inlineStr">
        <is>
          <t>2026-05-30 08:39:10</t>
        </is>
      </c>
      <c r="N33" t="inlineStr">
        <is>
          <t>system</t>
        </is>
      </c>
      <c r="O33" t="inlineStr">
        <is>
          <t>2026-05-15 11:58:32</t>
        </is>
      </c>
      <c r="P33" t="inlineStr">
        <is>
          <t>2026-05-15 11:58:32</t>
        </is>
      </c>
      <c r="Y33" t="inlineStr">
        <is>
          <t>27765060159</t>
        </is>
      </c>
    </row>
    <row r="34">
      <c r="A34" t="inlineStr">
        <is>
          <t>14400000</t>
        </is>
      </c>
      <c r="B34" t="inlineStr">
        <is>
          <t>e2989590-05c8-4d11-8454-7300ef82f28d</t>
        </is>
      </c>
      <c r="D34" t="inlineStr">
        <is>
          <t>30001082</t>
        </is>
      </c>
      <c r="E34" t="inlineStr">
        <is>
          <t>ussd_funeral_leads_altitude_20260504</t>
        </is>
      </c>
      <c r="J34" t="inlineStr">
        <is>
          <t>AA</t>
        </is>
      </c>
      <c r="K34" t="inlineStr">
        <is>
          <t>Answering Machine Autodial</t>
        </is>
      </c>
      <c r="L34" t="n">
        <v>31</v>
      </c>
      <c r="M34" t="inlineStr">
        <is>
          <t>2026-05-30 08:39:10</t>
        </is>
      </c>
      <c r="N34" t="inlineStr">
        <is>
          <t>system</t>
        </is>
      </c>
      <c r="O34" t="inlineStr">
        <is>
          <t>2026-05-15 11:58:32</t>
        </is>
      </c>
      <c r="P34" t="inlineStr">
        <is>
          <t>2026-05-15 11:58:32</t>
        </is>
      </c>
      <c r="Y34" t="inlineStr">
        <is>
          <t>27772916810</t>
        </is>
      </c>
    </row>
    <row r="35">
      <c r="A35" t="inlineStr">
        <is>
          <t>14363208</t>
        </is>
      </c>
      <c r="B35" t="inlineStr">
        <is>
          <t>e39e3196-1c45-4f67-9985-cb7bfcbf5246</t>
        </is>
      </c>
      <c r="D35" t="inlineStr">
        <is>
          <t>30001082</t>
        </is>
      </c>
      <c r="E35" t="inlineStr">
        <is>
          <t>ussd_funeral_leads_altitude_20260504</t>
        </is>
      </c>
      <c r="J35" t="inlineStr">
        <is>
          <t>AA</t>
        </is>
      </c>
      <c r="K35" t="inlineStr">
        <is>
          <t>Answering Machine Autodial</t>
        </is>
      </c>
      <c r="L35" t="n">
        <v>31</v>
      </c>
      <c r="M35" t="inlineStr">
        <is>
          <t>2026-05-30 08:39:10</t>
        </is>
      </c>
      <c r="N35" t="inlineStr">
        <is>
          <t>system</t>
        </is>
      </c>
      <c r="O35" t="inlineStr">
        <is>
          <t>2026-05-15 11:58:32</t>
        </is>
      </c>
      <c r="P35" t="inlineStr">
        <is>
          <t>2026-05-15 11:58:32</t>
        </is>
      </c>
      <c r="Y35" t="inlineStr">
        <is>
          <t>27673149020</t>
        </is>
      </c>
    </row>
    <row r="36">
      <c r="A36" t="inlineStr">
        <is>
          <t>14363152</t>
        </is>
      </c>
      <c r="B36" t="inlineStr">
        <is>
          <t>1a518f6c-051c-4629-a28f-7035ce8d5778</t>
        </is>
      </c>
      <c r="D36" t="inlineStr">
        <is>
          <t>30001082</t>
        </is>
      </c>
      <c r="E36" t="inlineStr">
        <is>
          <t>ussd_funeral_leads_altitude_20260504</t>
        </is>
      </c>
      <c r="J36" t="inlineStr">
        <is>
          <t>NA</t>
        </is>
      </c>
      <c r="K36" t="inlineStr">
        <is>
          <t>No Answer Autodial</t>
        </is>
      </c>
      <c r="L36" t="n">
        <v>31</v>
      </c>
      <c r="M36" t="inlineStr">
        <is>
          <t>2026-05-30 08:39:08</t>
        </is>
      </c>
      <c r="N36" t="inlineStr">
        <is>
          <t>system</t>
        </is>
      </c>
      <c r="O36" t="inlineStr">
        <is>
          <t>2026-05-15 11:58:32</t>
        </is>
      </c>
      <c r="P36" t="inlineStr">
        <is>
          <t>2026-05-15 11:58:32</t>
        </is>
      </c>
      <c r="Y36" t="inlineStr">
        <is>
          <t>27764707110</t>
        </is>
      </c>
    </row>
    <row r="37">
      <c r="A37" t="inlineStr">
        <is>
          <t>14362962</t>
        </is>
      </c>
      <c r="B37" t="inlineStr">
        <is>
          <t>62000052-c2df-429b-be13-886ad1f0175a</t>
        </is>
      </c>
      <c r="D37" t="inlineStr">
        <is>
          <t>30001082</t>
        </is>
      </c>
      <c r="E37" t="inlineStr">
        <is>
          <t>ussd_funeral_leads_altitude_20260504</t>
        </is>
      </c>
      <c r="J37" t="inlineStr">
        <is>
          <t>AA</t>
        </is>
      </c>
      <c r="K37" t="inlineStr">
        <is>
          <t>Answering Machine Autodial</t>
        </is>
      </c>
      <c r="L37" t="n">
        <v>31</v>
      </c>
      <c r="M37" t="inlineStr">
        <is>
          <t>2026-05-30 08:39:07</t>
        </is>
      </c>
      <c r="N37" t="inlineStr">
        <is>
          <t>system</t>
        </is>
      </c>
      <c r="O37" t="inlineStr">
        <is>
          <t>2026-05-15 11:58:32</t>
        </is>
      </c>
      <c r="P37" t="inlineStr">
        <is>
          <t>2026-05-15 11:58:32</t>
        </is>
      </c>
      <c r="Y37" t="inlineStr">
        <is>
          <t>27720512816</t>
        </is>
      </c>
    </row>
    <row r="38">
      <c r="A38" t="inlineStr">
        <is>
          <t>14363137</t>
        </is>
      </c>
      <c r="B38" t="inlineStr">
        <is>
          <t>38fea50d-83a8-4662-9410-aa11b5a86248</t>
        </is>
      </c>
      <c r="D38" t="inlineStr">
        <is>
          <t>30001082</t>
        </is>
      </c>
      <c r="E38" t="inlineStr">
        <is>
          <t>ussd_funeral_leads_altitude_20260504</t>
        </is>
      </c>
      <c r="J38" t="inlineStr">
        <is>
          <t>AA</t>
        </is>
      </c>
      <c r="K38" t="inlineStr">
        <is>
          <t>Answering Machine Autodial</t>
        </is>
      </c>
      <c r="L38" t="n">
        <v>31</v>
      </c>
      <c r="M38" t="inlineStr">
        <is>
          <t>2026-05-30 08:39:07</t>
        </is>
      </c>
      <c r="N38" t="inlineStr">
        <is>
          <t>system</t>
        </is>
      </c>
      <c r="O38" t="inlineStr">
        <is>
          <t>2026-05-15 11:58:32</t>
        </is>
      </c>
      <c r="P38" t="inlineStr">
        <is>
          <t>2026-05-15 11:58:32</t>
        </is>
      </c>
      <c r="Y38" t="inlineStr">
        <is>
          <t>27763244562</t>
        </is>
      </c>
    </row>
    <row r="39">
      <c r="A39" t="inlineStr">
        <is>
          <t>14362950</t>
        </is>
      </c>
      <c r="B39" t="inlineStr">
        <is>
          <t>245714d8-191a-4f70-b7e5-ef2f115665b0</t>
        </is>
      </c>
      <c r="D39" t="inlineStr">
        <is>
          <t>30001082</t>
        </is>
      </c>
      <c r="E39" t="inlineStr">
        <is>
          <t>ussd_funeral_leads_altitude_20260504</t>
        </is>
      </c>
      <c r="J39" t="inlineStr">
        <is>
          <t>AA</t>
        </is>
      </c>
      <c r="K39" t="inlineStr">
        <is>
          <t>Answering Machine Autodial</t>
        </is>
      </c>
      <c r="L39" t="n">
        <v>31</v>
      </c>
      <c r="M39" t="inlineStr">
        <is>
          <t>2026-05-30 08:39:07</t>
        </is>
      </c>
      <c r="N39" t="inlineStr">
        <is>
          <t>system</t>
        </is>
      </c>
      <c r="O39" t="inlineStr">
        <is>
          <t>2026-05-15 11:58:32</t>
        </is>
      </c>
      <c r="P39" t="inlineStr">
        <is>
          <t>2026-05-15 11:58:32</t>
        </is>
      </c>
      <c r="Y39" t="inlineStr">
        <is>
          <t>27825101250</t>
        </is>
      </c>
    </row>
    <row r="40">
      <c r="A40" t="inlineStr">
        <is>
          <t>14362958</t>
        </is>
      </c>
      <c r="B40" t="inlineStr">
        <is>
          <t>75961df3-3abb-473e-a60c-0c9ce864f57b</t>
        </is>
      </c>
      <c r="D40" t="inlineStr">
        <is>
          <t>30001082</t>
        </is>
      </c>
      <c r="E40" t="inlineStr">
        <is>
          <t>ussd_funeral_leads_altitude_20260504</t>
        </is>
      </c>
      <c r="J40" t="inlineStr">
        <is>
          <t>AA</t>
        </is>
      </c>
      <c r="K40" t="inlineStr">
        <is>
          <t>Answering Machine Autodial</t>
        </is>
      </c>
      <c r="L40" t="n">
        <v>31</v>
      </c>
      <c r="M40" t="inlineStr">
        <is>
          <t>2026-05-30 08:39:07</t>
        </is>
      </c>
      <c r="N40" t="inlineStr">
        <is>
          <t>system</t>
        </is>
      </c>
      <c r="O40" t="inlineStr">
        <is>
          <t>2026-05-15 11:58:32</t>
        </is>
      </c>
      <c r="P40" t="inlineStr">
        <is>
          <t>2026-05-15 11:58:32</t>
        </is>
      </c>
      <c r="Y40" t="inlineStr">
        <is>
          <t>27660395817</t>
        </is>
      </c>
    </row>
    <row r="41">
      <c r="A41" t="inlineStr">
        <is>
          <t>14363493</t>
        </is>
      </c>
      <c r="B41" t="inlineStr">
        <is>
          <t>97db7bd8-5b20-448a-81ed-e98d8f98ecb1</t>
        </is>
      </c>
      <c r="D41" t="inlineStr">
        <is>
          <t>30001082</t>
        </is>
      </c>
      <c r="E41" t="inlineStr">
        <is>
          <t>ussd_funeral_leads_altitude_20260504</t>
        </is>
      </c>
      <c r="J41" t="inlineStr">
        <is>
          <t>AA</t>
        </is>
      </c>
      <c r="K41" t="inlineStr">
        <is>
          <t>Answering Machine Autodial</t>
        </is>
      </c>
      <c r="L41" t="n">
        <v>31</v>
      </c>
      <c r="M41" t="inlineStr">
        <is>
          <t>2026-05-30 08:39:07</t>
        </is>
      </c>
      <c r="N41" t="inlineStr">
        <is>
          <t>system</t>
        </is>
      </c>
      <c r="O41" t="inlineStr">
        <is>
          <t>2026-05-15 11:58:32</t>
        </is>
      </c>
      <c r="P41" t="inlineStr">
        <is>
          <t>2026-05-15 11:58:32</t>
        </is>
      </c>
      <c r="Y41" t="inlineStr">
        <is>
          <t>27769505045</t>
        </is>
      </c>
    </row>
    <row r="42">
      <c r="A42" t="inlineStr">
        <is>
          <t>14363453</t>
        </is>
      </c>
      <c r="B42" t="inlineStr">
        <is>
          <t>779aa8b4-4a1b-42cd-a84e-bd0e32dc9588</t>
        </is>
      </c>
      <c r="D42" t="inlineStr">
        <is>
          <t>30001082</t>
        </is>
      </c>
      <c r="E42" t="inlineStr">
        <is>
          <t>ussd_funeral_leads_altitude_20260504</t>
        </is>
      </c>
      <c r="J42" t="inlineStr">
        <is>
          <t>AA</t>
        </is>
      </c>
      <c r="K42" t="inlineStr">
        <is>
          <t>Answering Machine Autodial</t>
        </is>
      </c>
      <c r="L42" t="n">
        <v>31</v>
      </c>
      <c r="M42" t="inlineStr">
        <is>
          <t>2026-05-30 08:39:05</t>
        </is>
      </c>
      <c r="N42" t="inlineStr">
        <is>
          <t>system</t>
        </is>
      </c>
      <c r="O42" t="inlineStr">
        <is>
          <t>2026-05-15 11:58:32</t>
        </is>
      </c>
      <c r="P42" t="inlineStr">
        <is>
          <t>2026-05-15 11:58:32</t>
        </is>
      </c>
      <c r="Y42" t="inlineStr">
        <is>
          <t>27795527939</t>
        </is>
      </c>
    </row>
    <row r="43">
      <c r="A43" t="inlineStr">
        <is>
          <t>14363455</t>
        </is>
      </c>
      <c r="B43" t="inlineStr">
        <is>
          <t>69081b1e-6e97-4f33-be11-96c655ea5bac</t>
        </is>
      </c>
      <c r="D43" t="inlineStr">
        <is>
          <t>30001082</t>
        </is>
      </c>
      <c r="E43" t="inlineStr">
        <is>
          <t>ussd_funeral_leads_altitude_20260504</t>
        </is>
      </c>
      <c r="J43" t="inlineStr">
        <is>
          <t>AA</t>
        </is>
      </c>
      <c r="K43" t="inlineStr">
        <is>
          <t>Answering Machine Autodial</t>
        </is>
      </c>
      <c r="L43" t="n">
        <v>31</v>
      </c>
      <c r="M43" t="inlineStr">
        <is>
          <t>2026-05-30 08:39:05</t>
        </is>
      </c>
      <c r="N43" t="inlineStr">
        <is>
          <t>system</t>
        </is>
      </c>
      <c r="O43" t="inlineStr">
        <is>
          <t>2026-05-15 11:58:32</t>
        </is>
      </c>
      <c r="P43" t="inlineStr">
        <is>
          <t>2026-05-15 11:58:32</t>
        </is>
      </c>
      <c r="Y43" t="inlineStr">
        <is>
          <t>27774826586</t>
        </is>
      </c>
    </row>
    <row r="44">
      <c r="A44" t="inlineStr">
        <is>
          <t>14363456</t>
        </is>
      </c>
      <c r="B44" t="inlineStr">
        <is>
          <t>667f51f8-ee54-48e5-895d-11004c77c720</t>
        </is>
      </c>
      <c r="D44" t="inlineStr">
        <is>
          <t>30001082</t>
        </is>
      </c>
      <c r="E44" t="inlineStr">
        <is>
          <t>ussd_funeral_leads_altitude_20260504</t>
        </is>
      </c>
      <c r="J44" t="inlineStr">
        <is>
          <t>AA</t>
        </is>
      </c>
      <c r="K44" t="inlineStr">
        <is>
          <t>Answering Machine Autodial</t>
        </is>
      </c>
      <c r="L44" t="n">
        <v>31</v>
      </c>
      <c r="M44" t="inlineStr">
        <is>
          <t>2026-05-30 08:39:05</t>
        </is>
      </c>
      <c r="N44" t="inlineStr">
        <is>
          <t>system</t>
        </is>
      </c>
      <c r="O44" t="inlineStr">
        <is>
          <t>2026-05-15 11:58:32</t>
        </is>
      </c>
      <c r="P44" t="inlineStr">
        <is>
          <t>2026-05-15 11:58:32</t>
        </is>
      </c>
      <c r="Y44" t="inlineStr">
        <is>
          <t>27661209592</t>
        </is>
      </c>
    </row>
    <row r="45">
      <c r="A45" t="inlineStr">
        <is>
          <t>14363458</t>
        </is>
      </c>
      <c r="B45" t="inlineStr">
        <is>
          <t>72768a81-fc61-44ca-bd77-f4393480ee21</t>
        </is>
      </c>
      <c r="D45" t="inlineStr">
        <is>
          <t>30001082</t>
        </is>
      </c>
      <c r="E45" t="inlineStr">
        <is>
          <t>ussd_funeral_leads_altitude_20260504</t>
        </is>
      </c>
      <c r="J45" t="inlineStr">
        <is>
          <t>AA</t>
        </is>
      </c>
      <c r="K45" t="inlineStr">
        <is>
          <t>Answering Machine Autodial</t>
        </is>
      </c>
      <c r="L45" t="n">
        <v>31</v>
      </c>
      <c r="M45" t="inlineStr">
        <is>
          <t>2026-05-30 08:39:05</t>
        </is>
      </c>
      <c r="N45" t="inlineStr">
        <is>
          <t>system</t>
        </is>
      </c>
      <c r="O45" t="inlineStr">
        <is>
          <t>2026-05-15 11:58:32</t>
        </is>
      </c>
      <c r="P45" t="inlineStr">
        <is>
          <t>2026-05-15 11:58:32</t>
        </is>
      </c>
      <c r="Y45" t="inlineStr">
        <is>
          <t>27764713335</t>
        </is>
      </c>
    </row>
    <row r="46">
      <c r="A46" t="inlineStr">
        <is>
          <t>14363460</t>
        </is>
      </c>
      <c r="B46" t="inlineStr">
        <is>
          <t>de5788ff-ffc0-4757-a0a1-ebb2ea58fc89</t>
        </is>
      </c>
      <c r="D46" t="inlineStr">
        <is>
          <t>30001082</t>
        </is>
      </c>
      <c r="E46" t="inlineStr">
        <is>
          <t>ussd_funeral_leads_altitude_20260504</t>
        </is>
      </c>
      <c r="J46" t="inlineStr">
        <is>
          <t>AA</t>
        </is>
      </c>
      <c r="K46" t="inlineStr">
        <is>
          <t>Answering Machine Autodial</t>
        </is>
      </c>
      <c r="L46" t="n">
        <v>31</v>
      </c>
      <c r="M46" t="inlineStr">
        <is>
          <t>2026-05-30 08:39:05</t>
        </is>
      </c>
      <c r="N46" t="inlineStr">
        <is>
          <t>system</t>
        </is>
      </c>
      <c r="O46" t="inlineStr">
        <is>
          <t>2026-05-15 11:58:32</t>
        </is>
      </c>
      <c r="P46" t="inlineStr">
        <is>
          <t>2026-05-15 11:58:32</t>
        </is>
      </c>
      <c r="Y46" t="inlineStr">
        <is>
          <t>27818027098</t>
        </is>
      </c>
    </row>
    <row r="47">
      <c r="A47" t="inlineStr">
        <is>
          <t>14363463</t>
        </is>
      </c>
      <c r="B47" t="inlineStr">
        <is>
          <t>82bb8733-966c-4d55-8197-92f722238bd8</t>
        </is>
      </c>
      <c r="D47" t="inlineStr">
        <is>
          <t>30001082</t>
        </is>
      </c>
      <c r="E47" t="inlineStr">
        <is>
          <t>ussd_funeral_leads_altitude_20260504</t>
        </is>
      </c>
      <c r="J47" t="inlineStr">
        <is>
          <t>AA</t>
        </is>
      </c>
      <c r="K47" t="inlineStr">
        <is>
          <t>Answering Machine Autodial</t>
        </is>
      </c>
      <c r="L47" t="n">
        <v>31</v>
      </c>
      <c r="M47" t="inlineStr">
        <is>
          <t>2026-05-30 08:39:05</t>
        </is>
      </c>
      <c r="N47" t="inlineStr">
        <is>
          <t>system</t>
        </is>
      </c>
      <c r="O47" t="inlineStr">
        <is>
          <t>2026-05-15 11:58:32</t>
        </is>
      </c>
      <c r="P47" t="inlineStr">
        <is>
          <t>2026-05-15 11:58:32</t>
        </is>
      </c>
      <c r="Y47" t="inlineStr">
        <is>
          <t>27725793072</t>
        </is>
      </c>
    </row>
    <row r="48">
      <c r="A48" t="inlineStr">
        <is>
          <t>14363492</t>
        </is>
      </c>
      <c r="B48" t="inlineStr">
        <is>
          <t>d31cdf9a-7f7d-4b25-ab56-53a2a2c39395</t>
        </is>
      </c>
      <c r="D48" t="inlineStr">
        <is>
          <t>30001082</t>
        </is>
      </c>
      <c r="E48" t="inlineStr">
        <is>
          <t>ussd_funeral_leads_altitude_20260504</t>
        </is>
      </c>
      <c r="J48" t="inlineStr">
        <is>
          <t>CU</t>
        </is>
      </c>
      <c r="K48" t="inlineStr">
        <is>
          <t>Client Hung Up</t>
        </is>
      </c>
      <c r="L48" t="n">
        <v>31</v>
      </c>
      <c r="M48" t="inlineStr">
        <is>
          <t>2026-05-30 08:39:05</t>
        </is>
      </c>
      <c r="N48" t="inlineStr">
        <is>
          <t>Jennifer Ngobeni</t>
        </is>
      </c>
      <c r="O48" t="inlineStr">
        <is>
          <t>2026-05-15 11:58:32</t>
        </is>
      </c>
      <c r="P48" t="inlineStr">
        <is>
          <t>2026-05-15 11:58:32</t>
        </is>
      </c>
      <c r="Y48" t="inlineStr">
        <is>
          <t>27674413648</t>
        </is>
      </c>
    </row>
    <row r="49">
      <c r="A49" t="inlineStr">
        <is>
          <t>14363421</t>
        </is>
      </c>
      <c r="B49" t="inlineStr">
        <is>
          <t>c354c5a1-5476-4dac-9dcf-5e4fb4e38d42</t>
        </is>
      </c>
      <c r="D49" t="inlineStr">
        <is>
          <t>30001082</t>
        </is>
      </c>
      <c r="E49" t="inlineStr">
        <is>
          <t>ussd_funeral_leads_altitude_20260504</t>
        </is>
      </c>
      <c r="J49" t="inlineStr">
        <is>
          <t>AA</t>
        </is>
      </c>
      <c r="K49" t="inlineStr">
        <is>
          <t>Answering Machine Autodial</t>
        </is>
      </c>
      <c r="L49" t="n">
        <v>31</v>
      </c>
      <c r="M49" t="inlineStr">
        <is>
          <t>2026-05-30 08:38:47</t>
        </is>
      </c>
      <c r="N49" t="inlineStr">
        <is>
          <t>system</t>
        </is>
      </c>
      <c r="O49" t="inlineStr">
        <is>
          <t>2026-05-15 11:58:32</t>
        </is>
      </c>
      <c r="P49" t="inlineStr">
        <is>
          <t>2026-05-15 11:58:32</t>
        </is>
      </c>
      <c r="Y49" t="inlineStr">
        <is>
          <t>27766814421</t>
        </is>
      </c>
    </row>
    <row r="50">
      <c r="A50" t="inlineStr">
        <is>
          <t>14363416</t>
        </is>
      </c>
      <c r="B50" t="inlineStr">
        <is>
          <t>6d3e8bf8-59c4-45ec-88ce-93800b24f8d3</t>
        </is>
      </c>
      <c r="D50" t="inlineStr">
        <is>
          <t>30001082</t>
        </is>
      </c>
      <c r="E50" t="inlineStr">
        <is>
          <t>ussd_funeral_leads_altitude_20260504</t>
        </is>
      </c>
      <c r="J50" t="inlineStr">
        <is>
          <t>AA</t>
        </is>
      </c>
      <c r="K50" t="inlineStr">
        <is>
          <t>Answering Machine Autodial</t>
        </is>
      </c>
      <c r="L50" t="n">
        <v>31</v>
      </c>
      <c r="M50" t="inlineStr">
        <is>
          <t>2026-05-30 08:38:46</t>
        </is>
      </c>
      <c r="N50" t="inlineStr">
        <is>
          <t>system</t>
        </is>
      </c>
      <c r="O50" t="inlineStr">
        <is>
          <t>2026-05-15 11:58:32</t>
        </is>
      </c>
      <c r="P50" t="inlineStr">
        <is>
          <t>2026-05-15 11:58:32</t>
        </is>
      </c>
      <c r="Y50" t="inlineStr">
        <is>
          <t>27725769984</t>
        </is>
      </c>
    </row>
    <row r="51">
      <c r="A51" t="inlineStr">
        <is>
          <t>14363415</t>
        </is>
      </c>
      <c r="B51" t="inlineStr">
        <is>
          <t>c0247a98-c594-45a7-b4ca-9c69e7bf5435</t>
        </is>
      </c>
      <c r="D51" t="inlineStr">
        <is>
          <t>30001082</t>
        </is>
      </c>
      <c r="E51" t="inlineStr">
        <is>
          <t>ussd_funeral_leads_altitude_20260504</t>
        </is>
      </c>
      <c r="J51" t="inlineStr">
        <is>
          <t>AA</t>
        </is>
      </c>
      <c r="K51" t="inlineStr">
        <is>
          <t>Answering Machine Autodial</t>
        </is>
      </c>
      <c r="L51" t="n">
        <v>31</v>
      </c>
      <c r="M51" t="inlineStr">
        <is>
          <t>2026-05-30 08:38:44</t>
        </is>
      </c>
      <c r="N51" t="inlineStr">
        <is>
          <t>system</t>
        </is>
      </c>
      <c r="O51" t="inlineStr">
        <is>
          <t>2026-05-15 11:58:32</t>
        </is>
      </c>
      <c r="P51" t="inlineStr">
        <is>
          <t>2026-05-15 11:58:32</t>
        </is>
      </c>
      <c r="Y51" t="inlineStr">
        <is>
          <t>27661725046</t>
        </is>
      </c>
    </row>
    <row r="52">
      <c r="A52" t="inlineStr">
        <is>
          <t>14362941</t>
        </is>
      </c>
      <c r="B52" t="inlineStr">
        <is>
          <t>ed30dc4b-9b47-4ba0-8e6d-9bc1e7570032</t>
        </is>
      </c>
      <c r="D52" t="inlineStr">
        <is>
          <t>30001082</t>
        </is>
      </c>
      <c r="E52" t="inlineStr">
        <is>
          <t>ussd_funeral_leads_altitude_20260504</t>
        </is>
      </c>
      <c r="J52" t="inlineStr">
        <is>
          <t>AA</t>
        </is>
      </c>
      <c r="K52" t="inlineStr">
        <is>
          <t>Answering Machine Autodial</t>
        </is>
      </c>
      <c r="L52" t="n">
        <v>31</v>
      </c>
      <c r="M52" t="inlineStr">
        <is>
          <t>2026-05-30 08:38:40</t>
        </is>
      </c>
      <c r="N52" t="inlineStr">
        <is>
          <t>system</t>
        </is>
      </c>
      <c r="O52" t="inlineStr">
        <is>
          <t>2026-05-15 11:58:32</t>
        </is>
      </c>
      <c r="P52" t="inlineStr">
        <is>
          <t>2026-05-15 11:58:32</t>
        </is>
      </c>
      <c r="Y52" t="inlineStr">
        <is>
          <t>27796410025</t>
        </is>
      </c>
    </row>
    <row r="53">
      <c r="A53" t="inlineStr">
        <is>
          <t>14362939</t>
        </is>
      </c>
      <c r="B53" t="inlineStr">
        <is>
          <t>5d74f463-ac94-46dd-b4c6-8c08a25e9985</t>
        </is>
      </c>
      <c r="D53" t="inlineStr">
        <is>
          <t>30001082</t>
        </is>
      </c>
      <c r="E53" t="inlineStr">
        <is>
          <t>ussd_funeral_leads_altitude_20260504</t>
        </is>
      </c>
      <c r="J53" t="inlineStr">
        <is>
          <t>NA</t>
        </is>
      </c>
      <c r="K53" t="inlineStr">
        <is>
          <t>No Answer Autodial</t>
        </is>
      </c>
      <c r="L53" t="n">
        <v>31</v>
      </c>
      <c r="M53" t="inlineStr">
        <is>
          <t>2026-05-30 08:38:39</t>
        </is>
      </c>
      <c r="N53" t="inlineStr">
        <is>
          <t>system</t>
        </is>
      </c>
      <c r="O53" t="inlineStr">
        <is>
          <t>2026-05-15 11:58:32</t>
        </is>
      </c>
      <c r="P53" t="inlineStr">
        <is>
          <t>2026-05-15 11:58:32</t>
        </is>
      </c>
      <c r="Y53" t="inlineStr">
        <is>
          <t>27794579683</t>
        </is>
      </c>
    </row>
    <row r="54">
      <c r="A54" t="inlineStr">
        <is>
          <t>14362938</t>
        </is>
      </c>
      <c r="B54" t="inlineStr">
        <is>
          <t>e13a03b0-3cf1-4b40-ab72-ce44618f7565</t>
        </is>
      </c>
      <c r="D54" t="inlineStr">
        <is>
          <t>30001082</t>
        </is>
      </c>
      <c r="E54" t="inlineStr">
        <is>
          <t>ussd_funeral_leads_altitude_20260504</t>
        </is>
      </c>
      <c r="J54" t="inlineStr">
        <is>
          <t>AA</t>
        </is>
      </c>
      <c r="K54" t="inlineStr">
        <is>
          <t>Answering Machine Autodial</t>
        </is>
      </c>
      <c r="L54" t="n">
        <v>31</v>
      </c>
      <c r="M54" t="inlineStr">
        <is>
          <t>2026-05-30 08:38:34</t>
        </is>
      </c>
      <c r="N54" t="inlineStr">
        <is>
          <t>system</t>
        </is>
      </c>
      <c r="O54" t="inlineStr">
        <is>
          <t>2026-05-15 11:58:32</t>
        </is>
      </c>
      <c r="P54" t="inlineStr">
        <is>
          <t>2026-05-15 11:58:32</t>
        </is>
      </c>
      <c r="Y54" t="inlineStr">
        <is>
          <t>27646018700</t>
        </is>
      </c>
    </row>
    <row r="55">
      <c r="A55" t="inlineStr">
        <is>
          <t>14362935</t>
        </is>
      </c>
      <c r="B55" t="inlineStr">
        <is>
          <t>686f99ec-b253-4b4d-8cf4-dc359394f5b8</t>
        </is>
      </c>
      <c r="D55" t="inlineStr">
        <is>
          <t>30001082</t>
        </is>
      </c>
      <c r="E55" t="inlineStr">
        <is>
          <t>ussd_funeral_leads_altitude_20260504</t>
        </is>
      </c>
      <c r="H55" t="inlineStr">
        <is>
          <t>27649612807</t>
        </is>
      </c>
      <c r="J55" t="inlineStr">
        <is>
          <t>A</t>
        </is>
      </c>
      <c r="K55" t="inlineStr">
        <is>
          <t>Answering Machine</t>
        </is>
      </c>
      <c r="L55" t="n">
        <v>31</v>
      </c>
      <c r="M55" t="inlineStr">
        <is>
          <t>2026-05-30 08:38:28</t>
        </is>
      </c>
      <c r="N55" t="inlineStr">
        <is>
          <t>Vuyiswa Nxumalo</t>
        </is>
      </c>
      <c r="O55" t="inlineStr">
        <is>
          <t>2026-05-15 11:58:32</t>
        </is>
      </c>
      <c r="P55" t="inlineStr">
        <is>
          <t>2026-05-15 11:58:32</t>
        </is>
      </c>
      <c r="Y55" t="inlineStr">
        <is>
          <t>27649612807</t>
        </is>
      </c>
    </row>
    <row r="56">
      <c r="A56" t="inlineStr">
        <is>
          <t>14362991</t>
        </is>
      </c>
      <c r="B56" t="inlineStr">
        <is>
          <t>99c4ae80-8619-458b-9f11-f0ec367a47de</t>
        </is>
      </c>
      <c r="D56" t="inlineStr">
        <is>
          <t>30001082</t>
        </is>
      </c>
      <c r="E56" t="inlineStr">
        <is>
          <t>ussd_funeral_leads_altitude_20260504</t>
        </is>
      </c>
      <c r="J56" t="inlineStr">
        <is>
          <t>AA</t>
        </is>
      </c>
      <c r="K56" t="inlineStr">
        <is>
          <t>Answering Machine Autodial</t>
        </is>
      </c>
      <c r="L56" t="n">
        <v>31</v>
      </c>
      <c r="M56" t="inlineStr">
        <is>
          <t>2026-05-30 08:38:22</t>
        </is>
      </c>
      <c r="N56" t="inlineStr">
        <is>
          <t>system</t>
        </is>
      </c>
      <c r="O56" t="inlineStr">
        <is>
          <t>2026-05-15 11:58:32</t>
        </is>
      </c>
      <c r="P56" t="inlineStr">
        <is>
          <t>2026-05-15 11:58:32</t>
        </is>
      </c>
      <c r="Y56" t="inlineStr">
        <is>
          <t>27761913959</t>
        </is>
      </c>
    </row>
    <row r="57">
      <c r="A57" t="inlineStr">
        <is>
          <t>14363000</t>
        </is>
      </c>
      <c r="B57" t="inlineStr">
        <is>
          <t>18cd151f-b098-4909-91b7-d9041e744711</t>
        </is>
      </c>
      <c r="D57" t="inlineStr">
        <is>
          <t>30001082</t>
        </is>
      </c>
      <c r="E57" t="inlineStr">
        <is>
          <t>ussd_funeral_leads_altitude_20260504</t>
        </is>
      </c>
      <c r="J57" t="inlineStr">
        <is>
          <t>BLQ</t>
        </is>
      </c>
      <c r="K57" t="inlineStr">
        <is>
          <t>Bad Line Quality</t>
        </is>
      </c>
      <c r="L57" t="n">
        <v>31</v>
      </c>
      <c r="M57" t="inlineStr">
        <is>
          <t>2026-05-30 08:38:22</t>
        </is>
      </c>
      <c r="N57" t="inlineStr">
        <is>
          <t>Gontse Monageng</t>
        </is>
      </c>
      <c r="O57" t="inlineStr">
        <is>
          <t>2026-05-15 11:58:32</t>
        </is>
      </c>
      <c r="P57" t="inlineStr">
        <is>
          <t>2026-05-15 11:58:32</t>
        </is>
      </c>
      <c r="Y57" t="inlineStr">
        <is>
          <t>27763356245</t>
        </is>
      </c>
    </row>
    <row r="58">
      <c r="A58" t="inlineStr">
        <is>
          <t>14362982</t>
        </is>
      </c>
      <c r="B58" t="inlineStr">
        <is>
          <t>812ed7c4-c6f8-4f4b-9067-4d1568cbda7c</t>
        </is>
      </c>
      <c r="D58" t="inlineStr">
        <is>
          <t>30001082</t>
        </is>
      </c>
      <c r="E58" t="inlineStr">
        <is>
          <t>ussd_funeral_leads_altitude_20260504</t>
        </is>
      </c>
      <c r="J58" t="inlineStr">
        <is>
          <t>AA</t>
        </is>
      </c>
      <c r="K58" t="inlineStr">
        <is>
          <t>Answering Machine Autodial</t>
        </is>
      </c>
      <c r="L58" t="n">
        <v>31</v>
      </c>
      <c r="M58" t="inlineStr">
        <is>
          <t>2026-05-30 08:38:18</t>
        </is>
      </c>
      <c r="N58" t="inlineStr">
        <is>
          <t>system</t>
        </is>
      </c>
      <c r="O58" t="inlineStr">
        <is>
          <t>2026-05-15 11:58:32</t>
        </is>
      </c>
      <c r="P58" t="inlineStr">
        <is>
          <t>2026-05-15 11:58:32</t>
        </is>
      </c>
      <c r="Y58" t="inlineStr">
        <is>
          <t>27609252901</t>
        </is>
      </c>
    </row>
    <row r="59">
      <c r="A59" t="inlineStr">
        <is>
          <t>14363114</t>
        </is>
      </c>
      <c r="B59" t="inlineStr">
        <is>
          <t>b669a103-338c-4ce3-a403-2cf1ef2610a3</t>
        </is>
      </c>
      <c r="D59" t="inlineStr">
        <is>
          <t>30001082</t>
        </is>
      </c>
      <c r="E59" t="inlineStr">
        <is>
          <t>ussd_funeral_leads_altitude_20260504</t>
        </is>
      </c>
      <c r="J59" t="inlineStr">
        <is>
          <t>NA</t>
        </is>
      </c>
      <c r="K59" t="inlineStr">
        <is>
          <t>No Answer Autodial</t>
        </is>
      </c>
      <c r="L59" t="n">
        <v>31</v>
      </c>
      <c r="M59" t="inlineStr">
        <is>
          <t>2026-05-30 08:38:17</t>
        </is>
      </c>
      <c r="N59" t="inlineStr">
        <is>
          <t>system</t>
        </is>
      </c>
      <c r="O59" t="inlineStr">
        <is>
          <t>2026-05-15 11:58:32</t>
        </is>
      </c>
      <c r="P59" t="inlineStr">
        <is>
          <t>2026-05-15 11:58:32</t>
        </is>
      </c>
      <c r="Y59" t="inlineStr">
        <is>
          <t>27791677711</t>
        </is>
      </c>
    </row>
    <row r="60">
      <c r="A60" t="inlineStr">
        <is>
          <t>14400000</t>
        </is>
      </c>
      <c r="B60" t="inlineStr">
        <is>
          <t>0e46072a-0c48-44fb-bd32-7b123bacbb6f</t>
        </is>
      </c>
      <c r="D60" t="inlineStr">
        <is>
          <t>30001082</t>
        </is>
      </c>
      <c r="E60" t="inlineStr">
        <is>
          <t>ussd_funeral_leads_altitude_20260504</t>
        </is>
      </c>
      <c r="J60" t="inlineStr">
        <is>
          <t>AA</t>
        </is>
      </c>
      <c r="K60" t="inlineStr">
        <is>
          <t>Answering Machine Autodial</t>
        </is>
      </c>
      <c r="L60" t="n">
        <v>31</v>
      </c>
      <c r="M60" t="inlineStr">
        <is>
          <t>2026-05-30 08:38:16</t>
        </is>
      </c>
      <c r="N60" t="inlineStr">
        <is>
          <t>system</t>
        </is>
      </c>
      <c r="O60" t="inlineStr">
        <is>
          <t>2026-05-15 11:58:32</t>
        </is>
      </c>
      <c r="P60" t="inlineStr">
        <is>
          <t>2026-05-15 11:58:32</t>
        </is>
      </c>
      <c r="Y60" t="inlineStr">
        <is>
          <t>27660384894</t>
        </is>
      </c>
    </row>
    <row r="61">
      <c r="A61" t="inlineStr">
        <is>
          <t>14363016</t>
        </is>
      </c>
      <c r="B61" t="inlineStr">
        <is>
          <t>0a9ddc21-e279-4c97-9db8-78a127d6f3fc</t>
        </is>
      </c>
      <c r="D61" t="inlineStr">
        <is>
          <t>30001082</t>
        </is>
      </c>
      <c r="E61" t="inlineStr">
        <is>
          <t>ussd_funeral_leads_altitude_20260504</t>
        </is>
      </c>
      <c r="H61" t="inlineStr">
        <is>
          <t>27714067469</t>
        </is>
      </c>
      <c r="J61" t="inlineStr">
        <is>
          <t>NA</t>
        </is>
      </c>
      <c r="K61" t="inlineStr">
        <is>
          <t>No Answer Autodial</t>
        </is>
      </c>
      <c r="L61" t="n">
        <v>31</v>
      </c>
      <c r="M61" t="inlineStr">
        <is>
          <t>2026-05-30 08:38:14</t>
        </is>
      </c>
      <c r="N61" t="inlineStr">
        <is>
          <t>system</t>
        </is>
      </c>
      <c r="O61" t="inlineStr">
        <is>
          <t>2026-05-15 11:58:32</t>
        </is>
      </c>
      <c r="P61" t="inlineStr">
        <is>
          <t>2026-05-15 11:58:32</t>
        </is>
      </c>
      <c r="Y61" t="inlineStr">
        <is>
          <t>27714067469</t>
        </is>
      </c>
    </row>
    <row r="62">
      <c r="A62" t="inlineStr">
        <is>
          <t>14363012</t>
        </is>
      </c>
      <c r="B62" t="inlineStr">
        <is>
          <t>1c7a0bef-9dcf-4326-a42c-e014e051df78</t>
        </is>
      </c>
      <c r="D62" t="inlineStr">
        <is>
          <t>30001082</t>
        </is>
      </c>
      <c r="E62" t="inlineStr">
        <is>
          <t>ussd_funeral_leads_altitude_20260504</t>
        </is>
      </c>
      <c r="J62" t="inlineStr">
        <is>
          <t>CU</t>
        </is>
      </c>
      <c r="K62" t="inlineStr">
        <is>
          <t>Client Hung Up</t>
        </is>
      </c>
      <c r="L62" t="n">
        <v>31</v>
      </c>
      <c r="M62" t="inlineStr">
        <is>
          <t>2026-05-30 08:38:13</t>
        </is>
      </c>
      <c r="N62" t="inlineStr">
        <is>
          <t>Goitsimang Mogwasa</t>
        </is>
      </c>
      <c r="O62" t="inlineStr">
        <is>
          <t>2026-05-15 11:58:32</t>
        </is>
      </c>
      <c r="P62" t="inlineStr">
        <is>
          <t>2026-05-15 11:58:32</t>
        </is>
      </c>
      <c r="Y62" t="inlineStr">
        <is>
          <t>27827114658</t>
        </is>
      </c>
    </row>
    <row r="63">
      <c r="A63" t="inlineStr">
        <is>
          <t>14362946</t>
        </is>
      </c>
      <c r="B63" t="inlineStr">
        <is>
          <t>9473f9ea-c2f2-493d-b306-74278253bd6e</t>
        </is>
      </c>
      <c r="D63" t="inlineStr">
        <is>
          <t>30001082</t>
        </is>
      </c>
      <c r="E63" t="inlineStr">
        <is>
          <t>ussd_funeral_leads_altitude_20260504</t>
        </is>
      </c>
      <c r="J63" t="inlineStr">
        <is>
          <t>AA</t>
        </is>
      </c>
      <c r="K63" t="inlineStr">
        <is>
          <t>Answering Machine Autodial</t>
        </is>
      </c>
      <c r="L63" t="n">
        <v>31</v>
      </c>
      <c r="M63" t="inlineStr">
        <is>
          <t>2026-05-30 08:38:13</t>
        </is>
      </c>
      <c r="N63" t="inlineStr">
        <is>
          <t>system</t>
        </is>
      </c>
      <c r="O63" t="inlineStr">
        <is>
          <t>2026-05-15 11:58:32</t>
        </is>
      </c>
      <c r="P63" t="inlineStr">
        <is>
          <t>2026-05-15 11:58:32</t>
        </is>
      </c>
      <c r="Y63" t="inlineStr">
        <is>
          <t>27767293206</t>
        </is>
      </c>
    </row>
    <row r="64">
      <c r="A64" t="inlineStr">
        <is>
          <t>14363358</t>
        </is>
      </c>
      <c r="B64" t="inlineStr">
        <is>
          <t>ac6d89b1-774e-4a72-9a40-143823d25206</t>
        </is>
      </c>
      <c r="D64" t="inlineStr">
        <is>
          <t>30001082</t>
        </is>
      </c>
      <c r="E64" t="inlineStr">
        <is>
          <t>ussd_funeral_leads_altitude_20260504</t>
        </is>
      </c>
      <c r="J64" t="inlineStr">
        <is>
          <t>AA</t>
        </is>
      </c>
      <c r="K64" t="inlineStr">
        <is>
          <t>Answering Machine Autodial</t>
        </is>
      </c>
      <c r="L64" t="n">
        <v>31</v>
      </c>
      <c r="M64" t="inlineStr">
        <is>
          <t>2026-05-30 08:38:12</t>
        </is>
      </c>
      <c r="N64" t="inlineStr">
        <is>
          <t>system</t>
        </is>
      </c>
      <c r="O64" t="inlineStr">
        <is>
          <t>2026-05-15 11:58:32</t>
        </is>
      </c>
      <c r="P64" t="inlineStr">
        <is>
          <t>2026-05-15 11:58:32</t>
        </is>
      </c>
      <c r="Y64" t="inlineStr">
        <is>
          <t>27727287950</t>
        </is>
      </c>
    </row>
    <row r="65">
      <c r="A65" t="inlineStr">
        <is>
          <t>14363368</t>
        </is>
      </c>
      <c r="B65" t="inlineStr">
        <is>
          <t>00febfad-385b-4208-a279-08222c572848</t>
        </is>
      </c>
      <c r="D65" t="inlineStr">
        <is>
          <t>30001082</t>
        </is>
      </c>
      <c r="E65" t="inlineStr">
        <is>
          <t>ussd_funeral_leads_altitude_20260504</t>
        </is>
      </c>
      <c r="J65" t="inlineStr">
        <is>
          <t>NA</t>
        </is>
      </c>
      <c r="K65" t="inlineStr">
        <is>
          <t>No Answer Autodial</t>
        </is>
      </c>
      <c r="L65" t="n">
        <v>31</v>
      </c>
      <c r="M65" t="inlineStr">
        <is>
          <t>2026-05-30 08:38:12</t>
        </is>
      </c>
      <c r="N65" t="inlineStr">
        <is>
          <t>system</t>
        </is>
      </c>
      <c r="O65" t="inlineStr">
        <is>
          <t>2026-05-15 11:58:32</t>
        </is>
      </c>
      <c r="P65" t="inlineStr">
        <is>
          <t>2026-05-15 11:58:32</t>
        </is>
      </c>
      <c r="Y65" t="inlineStr">
        <is>
          <t>27797923430</t>
        </is>
      </c>
    </row>
    <row r="66">
      <c r="A66" t="inlineStr">
        <is>
          <t>14363371</t>
        </is>
      </c>
      <c r="B66" t="inlineStr">
        <is>
          <t>2d17e892-0c54-4795-9a57-95f6b4341503</t>
        </is>
      </c>
      <c r="D66" t="inlineStr">
        <is>
          <t>30001082</t>
        </is>
      </c>
      <c r="E66" t="inlineStr">
        <is>
          <t>ussd_funeral_leads_altitude_20260504</t>
        </is>
      </c>
      <c r="J66" t="inlineStr">
        <is>
          <t>AA</t>
        </is>
      </c>
      <c r="K66" t="inlineStr">
        <is>
          <t>Answering Machine Autodial</t>
        </is>
      </c>
      <c r="L66" t="n">
        <v>31</v>
      </c>
      <c r="M66" t="inlineStr">
        <is>
          <t>2026-05-30 08:38:12</t>
        </is>
      </c>
      <c r="N66" t="inlineStr">
        <is>
          <t>system</t>
        </is>
      </c>
      <c r="O66" t="inlineStr">
        <is>
          <t>2026-05-15 11:58:32</t>
        </is>
      </c>
      <c r="P66" t="inlineStr">
        <is>
          <t>2026-05-15 11:58:32</t>
        </is>
      </c>
      <c r="Y66" t="inlineStr">
        <is>
          <t>27762251327</t>
        </is>
      </c>
    </row>
    <row r="67">
      <c r="A67" t="inlineStr">
        <is>
          <t>14363337</t>
        </is>
      </c>
      <c r="B67" t="inlineStr">
        <is>
          <t>dcaa5ab7-d3ae-48e2-beaf-2a8db51ba040</t>
        </is>
      </c>
      <c r="D67" t="inlineStr">
        <is>
          <t>30001082</t>
        </is>
      </c>
      <c r="E67" t="inlineStr">
        <is>
          <t>ussd_funeral_leads_altitude_20260504</t>
        </is>
      </c>
      <c r="J67" t="inlineStr">
        <is>
          <t>AA</t>
        </is>
      </c>
      <c r="K67" t="inlineStr">
        <is>
          <t>Answering Machine Autodial</t>
        </is>
      </c>
      <c r="L67" t="n">
        <v>31</v>
      </c>
      <c r="M67" t="inlineStr">
        <is>
          <t>2026-05-30 08:38:11</t>
        </is>
      </c>
      <c r="N67" t="inlineStr">
        <is>
          <t>system</t>
        </is>
      </c>
      <c r="O67" t="inlineStr">
        <is>
          <t>2026-05-15 11:58:32</t>
        </is>
      </c>
      <c r="P67" t="inlineStr">
        <is>
          <t>2026-05-15 11:58:32</t>
        </is>
      </c>
      <c r="Y67" t="inlineStr">
        <is>
          <t>27725708045</t>
        </is>
      </c>
    </row>
    <row r="68">
      <c r="A68" t="inlineStr">
        <is>
          <t>14363348</t>
        </is>
      </c>
      <c r="B68" t="inlineStr">
        <is>
          <t>853f2ea1-2bef-4161-8bfb-3fdcc5fb37b5</t>
        </is>
      </c>
      <c r="D68" t="inlineStr">
        <is>
          <t>30001082</t>
        </is>
      </c>
      <c r="E68" t="inlineStr">
        <is>
          <t>ussd_funeral_leads_altitude_20260504</t>
        </is>
      </c>
      <c r="J68" t="inlineStr">
        <is>
          <t>NA</t>
        </is>
      </c>
      <c r="K68" t="inlineStr">
        <is>
          <t>No Answer Autodial</t>
        </is>
      </c>
      <c r="L68" t="n">
        <v>31</v>
      </c>
      <c r="M68" t="inlineStr">
        <is>
          <t>2026-05-30 08:38:11</t>
        </is>
      </c>
      <c r="N68" t="inlineStr">
        <is>
          <t>system</t>
        </is>
      </c>
      <c r="O68" t="inlineStr">
        <is>
          <t>2026-05-15 11:58:32</t>
        </is>
      </c>
      <c r="P68" t="inlineStr">
        <is>
          <t>2026-05-15 11:58:32</t>
        </is>
      </c>
      <c r="Y68" t="inlineStr">
        <is>
          <t>27711298441</t>
        </is>
      </c>
    </row>
    <row r="69">
      <c r="A69" t="inlineStr">
        <is>
          <t>14363349</t>
        </is>
      </c>
      <c r="B69" t="inlineStr">
        <is>
          <t>3cc299e5-b0c3-42e5-ad79-1e925af23c74</t>
        </is>
      </c>
      <c r="D69" t="inlineStr">
        <is>
          <t>30001082</t>
        </is>
      </c>
      <c r="E69" t="inlineStr">
        <is>
          <t>ussd_funeral_leads_altitude_20260504</t>
        </is>
      </c>
      <c r="J69" t="inlineStr">
        <is>
          <t>NA</t>
        </is>
      </c>
      <c r="K69" t="inlineStr">
        <is>
          <t>No Answer Autodial</t>
        </is>
      </c>
      <c r="L69" t="n">
        <v>31</v>
      </c>
      <c r="M69" t="inlineStr">
        <is>
          <t>2026-05-30 08:38:11</t>
        </is>
      </c>
      <c r="N69" t="inlineStr">
        <is>
          <t>system</t>
        </is>
      </c>
      <c r="O69" t="inlineStr">
        <is>
          <t>2026-05-15 11:58:32</t>
        </is>
      </c>
      <c r="P69" t="inlineStr">
        <is>
          <t>2026-05-15 11:58:32</t>
        </is>
      </c>
      <c r="Y69" t="inlineStr">
        <is>
          <t>27646919861</t>
        </is>
      </c>
    </row>
    <row r="70">
      <c r="A70" t="inlineStr">
        <is>
          <t>14363350</t>
        </is>
      </c>
      <c r="B70" t="inlineStr">
        <is>
          <t>f174464d-4199-491c-a6e3-662f017e6cc6</t>
        </is>
      </c>
      <c r="D70" t="inlineStr">
        <is>
          <t>30001082</t>
        </is>
      </c>
      <c r="E70" t="inlineStr">
        <is>
          <t>ussd_funeral_leads_altitude_20260504</t>
        </is>
      </c>
      <c r="H70" t="inlineStr">
        <is>
          <t>27661638169</t>
        </is>
      </c>
      <c r="J70" t="inlineStr">
        <is>
          <t>ADC</t>
        </is>
      </c>
      <c r="K70" t="inlineStr">
        <is>
          <t>Auto Dial Disconnected</t>
        </is>
      </c>
      <c r="L70" t="n">
        <v>31</v>
      </c>
      <c r="M70" t="inlineStr">
        <is>
          <t>2026-05-30 08:38:11</t>
        </is>
      </c>
      <c r="N70" t="inlineStr">
        <is>
          <t>system</t>
        </is>
      </c>
      <c r="O70" t="inlineStr">
        <is>
          <t>2026-05-15 11:58:32</t>
        </is>
      </c>
      <c r="P70" t="inlineStr">
        <is>
          <t>2026-05-15 11:58:32</t>
        </is>
      </c>
      <c r="Y70" t="inlineStr">
        <is>
          <t>27661638169</t>
        </is>
      </c>
    </row>
    <row r="71">
      <c r="A71" t="inlineStr">
        <is>
          <t>14363353</t>
        </is>
      </c>
      <c r="B71" t="inlineStr">
        <is>
          <t>28cbb737-04cc-4904-9c5f-e68805cba5e6</t>
        </is>
      </c>
      <c r="D71" t="inlineStr">
        <is>
          <t>30001082</t>
        </is>
      </c>
      <c r="E71" t="inlineStr">
        <is>
          <t>ussd_funeral_leads_altitude_20260504</t>
        </is>
      </c>
      <c r="J71" t="inlineStr">
        <is>
          <t>AA</t>
        </is>
      </c>
      <c r="K71" t="inlineStr">
        <is>
          <t>Answering Machine Autodial</t>
        </is>
      </c>
      <c r="L71" t="n">
        <v>31</v>
      </c>
      <c r="M71" t="inlineStr">
        <is>
          <t>2026-05-30 08:38:11</t>
        </is>
      </c>
      <c r="N71" t="inlineStr">
        <is>
          <t>system</t>
        </is>
      </c>
      <c r="O71" t="inlineStr">
        <is>
          <t>2026-05-15 11:58:32</t>
        </is>
      </c>
      <c r="P71" t="inlineStr">
        <is>
          <t>2026-05-15 11:58:32</t>
        </is>
      </c>
      <c r="Y71" t="inlineStr">
        <is>
          <t>27769388910</t>
        </is>
      </c>
    </row>
    <row r="72">
      <c r="A72" t="inlineStr">
        <is>
          <t>14363328</t>
        </is>
      </c>
      <c r="B72" t="inlineStr">
        <is>
          <t>4949d1c5-25f5-4f17-90ef-09c3303a4110</t>
        </is>
      </c>
      <c r="D72" t="inlineStr">
        <is>
          <t>30001082</t>
        </is>
      </c>
      <c r="E72" t="inlineStr">
        <is>
          <t>ussd_funeral_leads_altitude_20260504</t>
        </is>
      </c>
      <c r="J72" t="inlineStr">
        <is>
          <t>NA</t>
        </is>
      </c>
      <c r="K72" t="inlineStr">
        <is>
          <t>No Answer Autodial</t>
        </is>
      </c>
      <c r="L72" t="n">
        <v>31</v>
      </c>
      <c r="M72" t="inlineStr">
        <is>
          <t>2026-05-30 08:38:06</t>
        </is>
      </c>
      <c r="N72" t="inlineStr">
        <is>
          <t>system</t>
        </is>
      </c>
      <c r="O72" t="inlineStr">
        <is>
          <t>2026-05-15 11:58:32</t>
        </is>
      </c>
      <c r="P72" t="inlineStr">
        <is>
          <t>2026-05-15 11:58:32</t>
        </is>
      </c>
      <c r="Y72" t="inlineStr">
        <is>
          <t>27637185872</t>
        </is>
      </c>
    </row>
    <row r="73">
      <c r="A73" t="inlineStr">
        <is>
          <t>14363334</t>
        </is>
      </c>
      <c r="B73" t="inlineStr">
        <is>
          <t>4c1d6dff-8829-4926-92f7-f1c7adb16077</t>
        </is>
      </c>
      <c r="D73" t="inlineStr">
        <is>
          <t>30001082</t>
        </is>
      </c>
      <c r="E73" t="inlineStr">
        <is>
          <t>ussd_funeral_leads_altitude_20260504</t>
        </is>
      </c>
      <c r="J73" t="inlineStr">
        <is>
          <t>AA</t>
        </is>
      </c>
      <c r="K73" t="inlineStr">
        <is>
          <t>Answering Machine Autodial</t>
        </is>
      </c>
      <c r="L73" t="n">
        <v>31</v>
      </c>
      <c r="M73" t="inlineStr">
        <is>
          <t>2026-05-30 08:38:06</t>
        </is>
      </c>
      <c r="N73" t="inlineStr">
        <is>
          <t>system</t>
        </is>
      </c>
      <c r="O73" t="inlineStr">
        <is>
          <t>2026-05-15 11:58:32</t>
        </is>
      </c>
      <c r="P73" t="inlineStr">
        <is>
          <t>2026-05-15 11:58:32</t>
        </is>
      </c>
      <c r="Y73" t="inlineStr">
        <is>
          <t>27716941870</t>
        </is>
      </c>
    </row>
    <row r="74">
      <c r="A74" t="inlineStr">
        <is>
          <t>14363319</t>
        </is>
      </c>
      <c r="B74" t="inlineStr">
        <is>
          <t>90669d99-a895-40f3-9e00-694c957ce4a3</t>
        </is>
      </c>
      <c r="D74" t="inlineStr">
        <is>
          <t>30001082</t>
        </is>
      </c>
      <c r="E74" t="inlineStr">
        <is>
          <t>ussd_funeral_leads_altitude_20260504</t>
        </is>
      </c>
      <c r="J74" t="inlineStr">
        <is>
          <t>AA</t>
        </is>
      </c>
      <c r="K74" t="inlineStr">
        <is>
          <t>Answering Machine Autodial</t>
        </is>
      </c>
      <c r="L74" t="n">
        <v>31</v>
      </c>
      <c r="M74" t="inlineStr">
        <is>
          <t>2026-05-30 08:38:05</t>
        </is>
      </c>
      <c r="N74" t="inlineStr">
        <is>
          <t>system</t>
        </is>
      </c>
      <c r="O74" t="inlineStr">
        <is>
          <t>2026-05-15 11:58:32</t>
        </is>
      </c>
      <c r="P74" t="inlineStr">
        <is>
          <t>2026-05-15 11:58:32</t>
        </is>
      </c>
      <c r="Y74" t="inlineStr">
        <is>
          <t>27728975929</t>
        </is>
      </c>
    </row>
    <row r="75">
      <c r="A75" t="inlineStr">
        <is>
          <t>14363288</t>
        </is>
      </c>
      <c r="B75" t="inlineStr">
        <is>
          <t>c23231ae-ded3-41ff-b9ff-040f1ffcd8e2</t>
        </is>
      </c>
      <c r="D75" t="inlineStr">
        <is>
          <t>30001082</t>
        </is>
      </c>
      <c r="E75" t="inlineStr">
        <is>
          <t>ussd_funeral_leads_altitude_20260504</t>
        </is>
      </c>
      <c r="J75" t="inlineStr">
        <is>
          <t>AA</t>
        </is>
      </c>
      <c r="K75" t="inlineStr">
        <is>
          <t>Answering Machine Autodial</t>
        </is>
      </c>
      <c r="L75" t="n">
        <v>31</v>
      </c>
      <c r="M75" t="inlineStr">
        <is>
          <t>2026-05-30 08:38:05</t>
        </is>
      </c>
      <c r="N75" t="inlineStr">
        <is>
          <t>system</t>
        </is>
      </c>
      <c r="O75" t="inlineStr">
        <is>
          <t>2026-05-15 11:58:32</t>
        </is>
      </c>
      <c r="P75" t="inlineStr">
        <is>
          <t>2026-05-15 11:58:32</t>
        </is>
      </c>
      <c r="Y75" t="inlineStr">
        <is>
          <t>27774784951</t>
        </is>
      </c>
    </row>
    <row r="76">
      <c r="A76" t="inlineStr">
        <is>
          <t>14363293</t>
        </is>
      </c>
      <c r="B76" t="inlineStr">
        <is>
          <t>7a96f913-e56e-4424-8821-1bc49d233b7b</t>
        </is>
      </c>
      <c r="D76" t="inlineStr">
        <is>
          <t>30001082</t>
        </is>
      </c>
      <c r="E76" t="inlineStr">
        <is>
          <t>ussd_funeral_leads_altitude_20260504</t>
        </is>
      </c>
      <c r="J76" t="inlineStr">
        <is>
          <t>NA</t>
        </is>
      </c>
      <c r="K76" t="inlineStr">
        <is>
          <t>No Answer Autodial</t>
        </is>
      </c>
      <c r="L76" t="n">
        <v>31</v>
      </c>
      <c r="M76" t="inlineStr">
        <is>
          <t>2026-05-30 08:38:05</t>
        </is>
      </c>
      <c r="N76" t="inlineStr">
        <is>
          <t>system</t>
        </is>
      </c>
      <c r="O76" t="inlineStr">
        <is>
          <t>2026-05-15 11:58:32</t>
        </is>
      </c>
      <c r="P76" t="inlineStr">
        <is>
          <t>2026-05-15 11:58:32</t>
        </is>
      </c>
      <c r="Y76" t="inlineStr">
        <is>
          <t>27790920484</t>
        </is>
      </c>
    </row>
    <row r="77">
      <c r="A77" t="inlineStr">
        <is>
          <t>14363299</t>
        </is>
      </c>
      <c r="B77" t="inlineStr">
        <is>
          <t>27a45de9-c6b0-4640-97f6-58c624bce843</t>
        </is>
      </c>
      <c r="D77" t="inlineStr">
        <is>
          <t>30001082</t>
        </is>
      </c>
      <c r="E77" t="inlineStr">
        <is>
          <t>ussd_funeral_leads_altitude_20260504</t>
        </is>
      </c>
      <c r="H77" t="inlineStr">
        <is>
          <t>27772926571</t>
        </is>
      </c>
      <c r="J77" t="inlineStr">
        <is>
          <t>CU</t>
        </is>
      </c>
      <c r="K77" t="inlineStr">
        <is>
          <t>Client Hung Up</t>
        </is>
      </c>
      <c r="L77" t="n">
        <v>31</v>
      </c>
      <c r="M77" t="inlineStr">
        <is>
          <t>2026-05-30 08:38:05</t>
        </is>
      </c>
      <c r="N77" t="inlineStr">
        <is>
          <t>Dimakatso Nkomo</t>
        </is>
      </c>
      <c r="O77" t="inlineStr">
        <is>
          <t>2026-05-15 11:58:32</t>
        </is>
      </c>
      <c r="P77" t="inlineStr">
        <is>
          <t>2026-05-15 11:58:32</t>
        </is>
      </c>
      <c r="Y77" t="inlineStr">
        <is>
          <t>27772926571</t>
        </is>
      </c>
    </row>
    <row r="78">
      <c r="A78" t="inlineStr">
        <is>
          <t>14363306</t>
        </is>
      </c>
      <c r="B78" t="inlineStr">
        <is>
          <t>2860747d-1ec6-4854-acc5-9da010b3a440</t>
        </is>
      </c>
      <c r="D78" t="inlineStr">
        <is>
          <t>30001082</t>
        </is>
      </c>
      <c r="E78" t="inlineStr">
        <is>
          <t>ussd_funeral_leads_altitude_20260504</t>
        </is>
      </c>
      <c r="J78" t="inlineStr">
        <is>
          <t>AA</t>
        </is>
      </c>
      <c r="K78" t="inlineStr">
        <is>
          <t>Answering Machine Autodial</t>
        </is>
      </c>
      <c r="L78" t="n">
        <v>31</v>
      </c>
      <c r="M78" t="inlineStr">
        <is>
          <t>2026-05-30 08:38:05</t>
        </is>
      </c>
      <c r="N78" t="inlineStr">
        <is>
          <t>system</t>
        </is>
      </c>
      <c r="O78" t="inlineStr">
        <is>
          <t>2026-05-15 11:58:32</t>
        </is>
      </c>
      <c r="P78" t="inlineStr">
        <is>
          <t>2026-05-15 11:58:32</t>
        </is>
      </c>
      <c r="Y78" t="inlineStr">
        <is>
          <t>27675647731</t>
        </is>
      </c>
    </row>
    <row r="79">
      <c r="A79" t="inlineStr">
        <is>
          <t>14363273</t>
        </is>
      </c>
      <c r="B79" t="inlineStr">
        <is>
          <t>fee97097-f31c-4feb-985c-345c2afea54d</t>
        </is>
      </c>
      <c r="D79" t="inlineStr">
        <is>
          <t>30001082</t>
        </is>
      </c>
      <c r="E79" t="inlineStr">
        <is>
          <t>ussd_funeral_leads_altitude_20260504</t>
        </is>
      </c>
      <c r="J79" t="inlineStr">
        <is>
          <t>CU</t>
        </is>
      </c>
      <c r="K79" t="inlineStr">
        <is>
          <t>Client Hung Up</t>
        </is>
      </c>
      <c r="L79" t="n">
        <v>31</v>
      </c>
      <c r="M79" t="inlineStr">
        <is>
          <t>2026-05-30 08:38:03</t>
        </is>
      </c>
      <c r="N79" t="inlineStr">
        <is>
          <t>Jennifer Ngobeni</t>
        </is>
      </c>
      <c r="O79" t="inlineStr">
        <is>
          <t>2026-05-15 11:58:32</t>
        </is>
      </c>
      <c r="P79" t="inlineStr">
        <is>
          <t>2026-05-15 11:58:32</t>
        </is>
      </c>
      <c r="Y79" t="inlineStr">
        <is>
          <t>27761667456</t>
        </is>
      </c>
    </row>
    <row r="80">
      <c r="A80" t="inlineStr">
        <is>
          <t>14363278</t>
        </is>
      </c>
      <c r="B80" t="inlineStr">
        <is>
          <t>b64d2b9b-e207-4038-b902-3c83a546571e</t>
        </is>
      </c>
      <c r="D80" t="inlineStr">
        <is>
          <t>30001082</t>
        </is>
      </c>
      <c r="E80" t="inlineStr">
        <is>
          <t>ussd_funeral_leads_altitude_20260504</t>
        </is>
      </c>
      <c r="J80" t="inlineStr">
        <is>
          <t>AE</t>
        </is>
      </c>
      <c r="K80" t="inlineStr">
        <is>
          <t>Auto Engaged</t>
        </is>
      </c>
      <c r="L80" t="n">
        <v>31</v>
      </c>
      <c r="M80" t="inlineStr">
        <is>
          <t>2026-05-30 08:38:03</t>
        </is>
      </c>
      <c r="N80" t="inlineStr">
        <is>
          <t>system</t>
        </is>
      </c>
      <c r="O80" t="inlineStr">
        <is>
          <t>2026-05-15 11:58:32</t>
        </is>
      </c>
      <c r="P80" t="inlineStr">
        <is>
          <t>2026-05-15 11:58:32</t>
        </is>
      </c>
      <c r="Y80" t="inlineStr">
        <is>
          <t>27646331515</t>
        </is>
      </c>
    </row>
    <row r="81">
      <c r="A81" t="inlineStr">
        <is>
          <t>14400000</t>
        </is>
      </c>
      <c r="B81" t="inlineStr">
        <is>
          <t>e80509f4-5a52-4b38-856a-9f34b7351aba</t>
        </is>
      </c>
      <c r="D81" t="inlineStr">
        <is>
          <t>30001082</t>
        </is>
      </c>
      <c r="E81" t="inlineStr">
        <is>
          <t>ussd_funeral_leads_altitude_20260504</t>
        </is>
      </c>
      <c r="J81" t="inlineStr">
        <is>
          <t>AA</t>
        </is>
      </c>
      <c r="K81" t="inlineStr">
        <is>
          <t>Answering Machine Autodial</t>
        </is>
      </c>
      <c r="L81" t="n">
        <v>31</v>
      </c>
      <c r="M81" t="inlineStr">
        <is>
          <t>2026-05-30 08:37:59</t>
        </is>
      </c>
      <c r="N81" t="inlineStr">
        <is>
          <t>system</t>
        </is>
      </c>
      <c r="O81" t="inlineStr">
        <is>
          <t>2026-05-15 11:58:32</t>
        </is>
      </c>
      <c r="P81" t="inlineStr">
        <is>
          <t>2026-05-15 11:58:32</t>
        </is>
      </c>
      <c r="Y81" t="inlineStr">
        <is>
          <t>27648290036</t>
        </is>
      </c>
    </row>
    <row r="82">
      <c r="A82" t="inlineStr">
        <is>
          <t>14363246</t>
        </is>
      </c>
      <c r="B82" t="inlineStr">
        <is>
          <t>aec46ca9-5bfd-41ce-8949-e84c96eed32d</t>
        </is>
      </c>
      <c r="D82" t="inlineStr">
        <is>
          <t>30001082</t>
        </is>
      </c>
      <c r="E82" t="inlineStr">
        <is>
          <t>ussd_funeral_leads_altitude_20260504</t>
        </is>
      </c>
      <c r="J82" t="inlineStr">
        <is>
          <t>AA</t>
        </is>
      </c>
      <c r="K82" t="inlineStr">
        <is>
          <t>Answering Machine Autodial</t>
        </is>
      </c>
      <c r="L82" t="n">
        <v>31</v>
      </c>
      <c r="M82" t="inlineStr">
        <is>
          <t>2026-05-30 08:37:59</t>
        </is>
      </c>
      <c r="N82" t="inlineStr">
        <is>
          <t>system</t>
        </is>
      </c>
      <c r="O82" t="inlineStr">
        <is>
          <t>2026-05-15 11:58:32</t>
        </is>
      </c>
      <c r="P82" t="inlineStr">
        <is>
          <t>2026-05-15 11:58:32</t>
        </is>
      </c>
      <c r="Y82" t="inlineStr">
        <is>
          <t>27673446737</t>
        </is>
      </c>
    </row>
    <row r="83">
      <c r="A83" t="inlineStr">
        <is>
          <t>14363243</t>
        </is>
      </c>
      <c r="B83" t="inlineStr">
        <is>
          <t>4eb46838-eb31-4550-919e-cd31ccd28f17</t>
        </is>
      </c>
      <c r="D83" t="inlineStr">
        <is>
          <t>30001082</t>
        </is>
      </c>
      <c r="E83" t="inlineStr">
        <is>
          <t>ussd_funeral_leads_altitude_20260504</t>
        </is>
      </c>
      <c r="J83" t="inlineStr">
        <is>
          <t>AA</t>
        </is>
      </c>
      <c r="K83" t="inlineStr">
        <is>
          <t>Answering Machine Autodial</t>
        </is>
      </c>
      <c r="L83" t="n">
        <v>31</v>
      </c>
      <c r="M83" t="inlineStr">
        <is>
          <t>2026-05-30 08:37:58</t>
        </is>
      </c>
      <c r="N83" t="inlineStr">
        <is>
          <t>system</t>
        </is>
      </c>
      <c r="O83" t="inlineStr">
        <is>
          <t>2026-05-15 11:58:32</t>
        </is>
      </c>
      <c r="P83" t="inlineStr">
        <is>
          <t>2026-05-15 11:58:32</t>
        </is>
      </c>
      <c r="Y83" t="inlineStr">
        <is>
          <t>27824593350</t>
        </is>
      </c>
    </row>
    <row r="84">
      <c r="A84" t="inlineStr">
        <is>
          <t>14363236</t>
        </is>
      </c>
      <c r="B84" t="inlineStr">
        <is>
          <t>f979ae51-caba-420e-9afe-b017aca6ab5a</t>
        </is>
      </c>
      <c r="D84" t="inlineStr">
        <is>
          <t>30001082</t>
        </is>
      </c>
      <c r="E84" t="inlineStr">
        <is>
          <t>ussd_funeral_leads_altitude_20260504</t>
        </is>
      </c>
      <c r="J84" t="inlineStr">
        <is>
          <t>AA</t>
        </is>
      </c>
      <c r="K84" t="inlineStr">
        <is>
          <t>Answering Machine Autodial</t>
        </is>
      </c>
      <c r="L84" t="n">
        <v>31</v>
      </c>
      <c r="M84" t="inlineStr">
        <is>
          <t>2026-05-30 08:37:46</t>
        </is>
      </c>
      <c r="N84" t="inlineStr">
        <is>
          <t>system</t>
        </is>
      </c>
      <c r="O84" t="inlineStr">
        <is>
          <t>2026-05-15 11:58:32</t>
        </is>
      </c>
      <c r="P84" t="inlineStr">
        <is>
          <t>2026-05-15 11:58:32</t>
        </is>
      </c>
      <c r="Y84" t="inlineStr">
        <is>
          <t>27769574023</t>
        </is>
      </c>
    </row>
    <row r="85">
      <c r="A85" t="inlineStr">
        <is>
          <t>14363218</t>
        </is>
      </c>
      <c r="B85" t="inlineStr">
        <is>
          <t>0de872ea-ec02-4c34-9ba5-df7fb8ff34e0</t>
        </is>
      </c>
      <c r="D85" t="inlineStr">
        <is>
          <t>30001082</t>
        </is>
      </c>
      <c r="E85" t="inlineStr">
        <is>
          <t>ussd_funeral_leads_altitude_20260504</t>
        </is>
      </c>
      <c r="J85" t="inlineStr">
        <is>
          <t>AA</t>
        </is>
      </c>
      <c r="K85" t="inlineStr">
        <is>
          <t>Answering Machine Autodial</t>
        </is>
      </c>
      <c r="L85" t="n">
        <v>31</v>
      </c>
      <c r="M85" t="inlineStr">
        <is>
          <t>2026-05-30 08:37:43</t>
        </is>
      </c>
      <c r="N85" t="inlineStr">
        <is>
          <t>system</t>
        </is>
      </c>
      <c r="O85" t="inlineStr">
        <is>
          <t>2026-05-15 11:58:32</t>
        </is>
      </c>
      <c r="P85" t="inlineStr">
        <is>
          <t>2026-05-15 11:58:32</t>
        </is>
      </c>
      <c r="Y85" t="inlineStr">
        <is>
          <t>27674940164</t>
        </is>
      </c>
    </row>
    <row r="86">
      <c r="A86" t="inlineStr">
        <is>
          <t>14363226</t>
        </is>
      </c>
      <c r="B86" t="inlineStr">
        <is>
          <t>a797bda5-25e0-4343-beb5-fa104afb4c5b</t>
        </is>
      </c>
      <c r="D86" t="inlineStr">
        <is>
          <t>30001082</t>
        </is>
      </c>
      <c r="E86" t="inlineStr">
        <is>
          <t>ussd_funeral_leads_altitude_20260504</t>
        </is>
      </c>
      <c r="J86" t="inlineStr">
        <is>
          <t>NA</t>
        </is>
      </c>
      <c r="K86" t="inlineStr">
        <is>
          <t>No Answer Autodial</t>
        </is>
      </c>
      <c r="L86" t="n">
        <v>31</v>
      </c>
      <c r="M86" t="inlineStr">
        <is>
          <t>2026-05-30 08:37:43</t>
        </is>
      </c>
      <c r="N86" t="inlineStr">
        <is>
          <t>system</t>
        </is>
      </c>
      <c r="O86" t="inlineStr">
        <is>
          <t>2026-05-15 11:58:32</t>
        </is>
      </c>
      <c r="P86" t="inlineStr">
        <is>
          <t>2026-05-15 11:58:32</t>
        </is>
      </c>
      <c r="Y86" t="inlineStr">
        <is>
          <t>27760633408</t>
        </is>
      </c>
    </row>
    <row r="87">
      <c r="A87" t="inlineStr">
        <is>
          <t>14363257</t>
        </is>
      </c>
      <c r="B87" t="inlineStr">
        <is>
          <t>c47e3c09-3ffd-4407-805f-7fc7bb2cb284</t>
        </is>
      </c>
      <c r="D87" t="inlineStr">
        <is>
          <t>30001082</t>
        </is>
      </c>
      <c r="E87" t="inlineStr">
        <is>
          <t>ussd_funeral_leads_altitude_20260504</t>
        </is>
      </c>
      <c r="J87" t="inlineStr">
        <is>
          <t>CU</t>
        </is>
      </c>
      <c r="K87" t="inlineStr">
        <is>
          <t>Client Hung Up</t>
        </is>
      </c>
      <c r="L87" t="n">
        <v>32</v>
      </c>
      <c r="M87" t="inlineStr">
        <is>
          <t>2026-05-30 07:14:37</t>
        </is>
      </c>
      <c r="N87" t="inlineStr">
        <is>
          <t>Tebogo Chauke</t>
        </is>
      </c>
      <c r="O87" t="inlineStr">
        <is>
          <t>2026-05-15 11:58:32</t>
        </is>
      </c>
      <c r="P87" t="inlineStr">
        <is>
          <t>2026-05-15 11:58:32</t>
        </is>
      </c>
      <c r="Y87" t="inlineStr">
        <is>
          <t>27723815906</t>
        </is>
      </c>
    </row>
    <row r="88">
      <c r="A88" t="inlineStr">
        <is>
          <t>14363011</t>
        </is>
      </c>
      <c r="B88" t="inlineStr">
        <is>
          <t>be0fea64-42f1-4708-a6e1-5d959a9dbd86</t>
        </is>
      </c>
      <c r="D88" t="inlineStr">
        <is>
          <t>30001082</t>
        </is>
      </c>
      <c r="E88" t="inlineStr">
        <is>
          <t>ussd_funeral_leads_altitude_20260504</t>
        </is>
      </c>
      <c r="H88" t="inlineStr">
        <is>
          <t>27606656596</t>
        </is>
      </c>
      <c r="J88" t="inlineStr">
        <is>
          <t>IABDN</t>
        </is>
      </c>
      <c r="K88" t="inlineStr">
        <is>
          <t>Inbound Abandon</t>
        </is>
      </c>
      <c r="L88" t="n">
        <v>31</v>
      </c>
      <c r="M88" t="inlineStr">
        <is>
          <t>2026-05-29 14:35:34</t>
        </is>
      </c>
      <c r="N88" t="inlineStr">
        <is>
          <t>system</t>
        </is>
      </c>
      <c r="O88" t="inlineStr">
        <is>
          <t>2026-05-15 11:58:32</t>
        </is>
      </c>
      <c r="P88" t="inlineStr">
        <is>
          <t>2026-05-15 11:58:32</t>
        </is>
      </c>
      <c r="Y88" t="inlineStr">
        <is>
          <t>27606656596</t>
        </is>
      </c>
    </row>
    <row r="89">
      <c r="A89" t="inlineStr">
        <is>
          <t>14363205</t>
        </is>
      </c>
      <c r="B89" t="inlineStr">
        <is>
          <t>14ce8898-3969-4a11-9c5a-11b7e6a85f6e</t>
        </is>
      </c>
      <c r="D89" t="inlineStr">
        <is>
          <t>30001082</t>
        </is>
      </c>
      <c r="E89" t="inlineStr">
        <is>
          <t>ussd_funeral_leads_altitude_20260504</t>
        </is>
      </c>
      <c r="J89" t="inlineStr">
        <is>
          <t>AA</t>
        </is>
      </c>
      <c r="K89" t="inlineStr">
        <is>
          <t>Answering Machine Autodial</t>
        </is>
      </c>
      <c r="L89" t="n">
        <v>31</v>
      </c>
      <c r="M89" t="inlineStr">
        <is>
          <t>2026-05-29 12:11:24</t>
        </is>
      </c>
      <c r="N89" t="inlineStr">
        <is>
          <t>system</t>
        </is>
      </c>
      <c r="O89" t="inlineStr">
        <is>
          <t>2026-05-15 11:58:32</t>
        </is>
      </c>
      <c r="P89" t="inlineStr">
        <is>
          <t>2026-05-15 11:58:32</t>
        </is>
      </c>
      <c r="Y89" t="inlineStr">
        <is>
          <t>27710000052</t>
        </is>
      </c>
    </row>
    <row r="90">
      <c r="A90" t="inlineStr">
        <is>
          <t>14363476</t>
        </is>
      </c>
      <c r="B90" t="inlineStr">
        <is>
          <t>86b3754a-86be-4194-a87b-b4987fb0e9ef</t>
        </is>
      </c>
      <c r="D90" t="inlineStr">
        <is>
          <t>30001082</t>
        </is>
      </c>
      <c r="E90" t="inlineStr">
        <is>
          <t>ussd_funeral_leads_altitude_20260504</t>
        </is>
      </c>
      <c r="J90" t="inlineStr">
        <is>
          <t>NA</t>
        </is>
      </c>
      <c r="K90" t="inlineStr">
        <is>
          <t>No Answer Autodial</t>
        </is>
      </c>
      <c r="L90" t="n">
        <v>31</v>
      </c>
      <c r="M90" t="inlineStr">
        <is>
          <t>2026-05-29 11:42:49</t>
        </is>
      </c>
      <c r="N90" t="inlineStr">
        <is>
          <t>system</t>
        </is>
      </c>
      <c r="O90" t="inlineStr">
        <is>
          <t>2026-05-15 11:58:32</t>
        </is>
      </c>
      <c r="P90" t="inlineStr">
        <is>
          <t>2026-05-15 11:58:32</t>
        </is>
      </c>
      <c r="Y90" t="inlineStr">
        <is>
          <t>27763046811</t>
        </is>
      </c>
    </row>
    <row r="91">
      <c r="A91" t="inlineStr">
        <is>
          <t>14363462</t>
        </is>
      </c>
      <c r="B91" t="inlineStr">
        <is>
          <t>b7ccc99b-2a93-4e4e-95b2-d42627707daf</t>
        </is>
      </c>
      <c r="D91" t="inlineStr">
        <is>
          <t>30001082</t>
        </is>
      </c>
      <c r="E91" t="inlineStr">
        <is>
          <t>ussd_funeral_leads_altitude_20260504</t>
        </is>
      </c>
      <c r="J91" t="inlineStr">
        <is>
          <t>AA</t>
        </is>
      </c>
      <c r="K91" t="inlineStr">
        <is>
          <t>Answering Machine Autodial</t>
        </is>
      </c>
      <c r="L91" t="n">
        <v>31</v>
      </c>
      <c r="M91" t="inlineStr">
        <is>
          <t>2026-05-29 11:42:48</t>
        </is>
      </c>
      <c r="N91" t="inlineStr">
        <is>
          <t>system</t>
        </is>
      </c>
      <c r="O91" t="inlineStr">
        <is>
          <t>2026-05-15 11:58:32</t>
        </is>
      </c>
      <c r="P91" t="inlineStr">
        <is>
          <t>2026-05-15 11:58:32</t>
        </is>
      </c>
      <c r="Y91" t="inlineStr">
        <is>
          <t>27726012403</t>
        </is>
      </c>
    </row>
    <row r="92">
      <c r="A92" t="inlineStr">
        <is>
          <t>14363464</t>
        </is>
      </c>
      <c r="B92" t="inlineStr">
        <is>
          <t>0d7c5222-4c66-4ed3-98fb-c4ea30b5e97a</t>
        </is>
      </c>
      <c r="D92" t="inlineStr">
        <is>
          <t>30001082</t>
        </is>
      </c>
      <c r="E92" t="inlineStr">
        <is>
          <t>ussd_funeral_leads_altitude_20260504</t>
        </is>
      </c>
      <c r="J92" t="inlineStr">
        <is>
          <t>AA</t>
        </is>
      </c>
      <c r="K92" t="inlineStr">
        <is>
          <t>Answering Machine Autodial</t>
        </is>
      </c>
      <c r="L92" t="n">
        <v>31</v>
      </c>
      <c r="M92" t="inlineStr">
        <is>
          <t>2026-05-29 11:42:48</t>
        </is>
      </c>
      <c r="N92" t="inlineStr">
        <is>
          <t>system</t>
        </is>
      </c>
      <c r="O92" t="inlineStr">
        <is>
          <t>2026-05-15 11:58:32</t>
        </is>
      </c>
      <c r="P92" t="inlineStr">
        <is>
          <t>2026-05-15 11:58:32</t>
        </is>
      </c>
      <c r="Y92" t="inlineStr">
        <is>
          <t>27649505791</t>
        </is>
      </c>
    </row>
    <row r="93">
      <c r="A93" t="inlineStr">
        <is>
          <t>14363470</t>
        </is>
      </c>
      <c r="B93" t="inlineStr">
        <is>
          <t>0ba18784-84fa-42a4-a402-1524d41f9390</t>
        </is>
      </c>
      <c r="D93" t="inlineStr">
        <is>
          <t>30001082</t>
        </is>
      </c>
      <c r="E93" t="inlineStr">
        <is>
          <t>ussd_funeral_leads_altitude_20260504</t>
        </is>
      </c>
      <c r="J93" t="inlineStr">
        <is>
          <t>AA</t>
        </is>
      </c>
      <c r="K93" t="inlineStr">
        <is>
          <t>Answering Machine Autodial</t>
        </is>
      </c>
      <c r="L93" t="n">
        <v>31</v>
      </c>
      <c r="M93" t="inlineStr">
        <is>
          <t>2026-05-29 11:42:48</t>
        </is>
      </c>
      <c r="N93" t="inlineStr">
        <is>
          <t>system</t>
        </is>
      </c>
      <c r="O93" t="inlineStr">
        <is>
          <t>2026-05-15 11:58:32</t>
        </is>
      </c>
      <c r="P93" t="inlineStr">
        <is>
          <t>2026-05-15 11:58:32</t>
        </is>
      </c>
      <c r="Y93" t="inlineStr">
        <is>
          <t>27818374255</t>
        </is>
      </c>
    </row>
    <row r="94">
      <c r="A94" t="inlineStr">
        <is>
          <t>14363474</t>
        </is>
      </c>
      <c r="B94" t="inlineStr">
        <is>
          <t>4c418d49-c59b-409a-8232-94e6413e10e6</t>
        </is>
      </c>
      <c r="D94" t="inlineStr">
        <is>
          <t>30001082</t>
        </is>
      </c>
      <c r="E94" t="inlineStr">
        <is>
          <t>ussd_funeral_leads_altitude_20260504</t>
        </is>
      </c>
      <c r="J94" t="inlineStr">
        <is>
          <t>AA</t>
        </is>
      </c>
      <c r="K94" t="inlineStr">
        <is>
          <t>Answering Machine Autodial</t>
        </is>
      </c>
      <c r="L94" t="n">
        <v>31</v>
      </c>
      <c r="M94" t="inlineStr">
        <is>
          <t>2026-05-29 11:42:48</t>
        </is>
      </c>
      <c r="N94" t="inlineStr">
        <is>
          <t>system</t>
        </is>
      </c>
      <c r="O94" t="inlineStr">
        <is>
          <t>2026-05-15 11:58:32</t>
        </is>
      </c>
      <c r="P94" t="inlineStr">
        <is>
          <t>2026-05-15 11:58:32</t>
        </is>
      </c>
      <c r="Y94" t="inlineStr">
        <is>
          <t>27774176145</t>
        </is>
      </c>
    </row>
    <row r="95">
      <c r="A95" t="inlineStr">
        <is>
          <t>14363487</t>
        </is>
      </c>
      <c r="B95" t="inlineStr">
        <is>
          <t>9c5679fb-48d3-4c55-8605-c2fcede612c5</t>
        </is>
      </c>
      <c r="D95" t="inlineStr">
        <is>
          <t>30001082</t>
        </is>
      </c>
      <c r="E95" t="inlineStr">
        <is>
          <t>ussd_funeral_leads_altitude_20260504</t>
        </is>
      </c>
      <c r="J95" t="inlineStr">
        <is>
          <t>CU</t>
        </is>
      </c>
      <c r="K95" t="inlineStr">
        <is>
          <t>Client Hung Up</t>
        </is>
      </c>
      <c r="L95" t="n">
        <v>31</v>
      </c>
      <c r="M95" t="inlineStr">
        <is>
          <t>2026-05-29 11:42:47</t>
        </is>
      </c>
      <c r="N95" t="inlineStr">
        <is>
          <t>Jennifer Ngobeni</t>
        </is>
      </c>
      <c r="O95" t="inlineStr">
        <is>
          <t>2026-05-15 11:58:32</t>
        </is>
      </c>
      <c r="P95" t="inlineStr">
        <is>
          <t>2026-05-15 11:58:32</t>
        </is>
      </c>
      <c r="Y95" t="inlineStr">
        <is>
          <t>27827811734</t>
        </is>
      </c>
    </row>
    <row r="96">
      <c r="A96" t="inlineStr">
        <is>
          <t>14363457</t>
        </is>
      </c>
      <c r="B96" t="inlineStr">
        <is>
          <t>f8254be6-6425-4b81-808c-d64ad5ee1f30</t>
        </is>
      </c>
      <c r="D96" t="inlineStr">
        <is>
          <t>30001082</t>
        </is>
      </c>
      <c r="E96" t="inlineStr">
        <is>
          <t>ussd_funeral_leads_altitude_20260504</t>
        </is>
      </c>
      <c r="J96" t="inlineStr">
        <is>
          <t>NA</t>
        </is>
      </c>
      <c r="K96" t="inlineStr">
        <is>
          <t>No Answer Autodial</t>
        </is>
      </c>
      <c r="L96" t="n">
        <v>31</v>
      </c>
      <c r="M96" t="inlineStr">
        <is>
          <t>2026-05-29 11:42:46</t>
        </is>
      </c>
      <c r="N96" t="inlineStr">
        <is>
          <t>system</t>
        </is>
      </c>
      <c r="O96" t="inlineStr">
        <is>
          <t>2026-05-15 11:58:32</t>
        </is>
      </c>
      <c r="P96" t="inlineStr">
        <is>
          <t>2026-05-15 11:58:32</t>
        </is>
      </c>
      <c r="Y96" t="inlineStr">
        <is>
          <t>27674641386</t>
        </is>
      </c>
    </row>
    <row r="97">
      <c r="A97" t="inlineStr">
        <is>
          <t>14363452</t>
        </is>
      </c>
      <c r="B97" t="inlineStr">
        <is>
          <t>8b90dc5f-44f7-49cf-abf2-a19ae45fa756</t>
        </is>
      </c>
      <c r="D97" t="inlineStr">
        <is>
          <t>30001082</t>
        </is>
      </c>
      <c r="E97" t="inlineStr">
        <is>
          <t>ussd_funeral_leads_altitude_20260504</t>
        </is>
      </c>
      <c r="H97" t="inlineStr">
        <is>
          <t>27649870418</t>
        </is>
      </c>
      <c r="J97" t="inlineStr">
        <is>
          <t>AA</t>
        </is>
      </c>
      <c r="K97" t="inlineStr">
        <is>
          <t>Answering Machine Autodial</t>
        </is>
      </c>
      <c r="L97" t="n">
        <v>31</v>
      </c>
      <c r="M97" t="inlineStr">
        <is>
          <t>2026-05-29 11:42:44</t>
        </is>
      </c>
      <c r="N97" t="inlineStr">
        <is>
          <t>system</t>
        </is>
      </c>
      <c r="O97" t="inlineStr">
        <is>
          <t>2026-05-15 11:58:32</t>
        </is>
      </c>
      <c r="P97" t="inlineStr">
        <is>
          <t>2026-05-15 11:58:32</t>
        </is>
      </c>
      <c r="Y97" t="inlineStr">
        <is>
          <t>27649870418</t>
        </is>
      </c>
    </row>
    <row r="98">
      <c r="A98" t="inlineStr">
        <is>
          <t>14363432</t>
        </is>
      </c>
      <c r="B98" t="inlineStr">
        <is>
          <t>6d88c10d-76dc-42d7-baf3-9ab030ba7e79</t>
        </is>
      </c>
      <c r="D98" t="inlineStr">
        <is>
          <t>30001082</t>
        </is>
      </c>
      <c r="E98" t="inlineStr">
        <is>
          <t>ussd_funeral_leads_altitude_20260504</t>
        </is>
      </c>
      <c r="J98" t="inlineStr">
        <is>
          <t>NA</t>
        </is>
      </c>
      <c r="K98" t="inlineStr">
        <is>
          <t>No Answer Autodial</t>
        </is>
      </c>
      <c r="L98" t="n">
        <v>31</v>
      </c>
      <c r="M98" t="inlineStr">
        <is>
          <t>2026-05-29 11:42:43</t>
        </is>
      </c>
      <c r="N98" t="inlineStr">
        <is>
          <t>system</t>
        </is>
      </c>
      <c r="O98" t="inlineStr">
        <is>
          <t>2026-05-15 11:58:32</t>
        </is>
      </c>
      <c r="P98" t="inlineStr">
        <is>
          <t>2026-05-15 11:58:32</t>
        </is>
      </c>
      <c r="Y98" t="inlineStr">
        <is>
          <t>27715873418</t>
        </is>
      </c>
    </row>
    <row r="99">
      <c r="A99" t="inlineStr">
        <is>
          <t>14363435</t>
        </is>
      </c>
      <c r="B99" t="inlineStr">
        <is>
          <t>390b08cc-2bbe-4343-b646-3eb1f8805cb8</t>
        </is>
      </c>
      <c r="D99" t="inlineStr">
        <is>
          <t>30001082</t>
        </is>
      </c>
      <c r="E99" t="inlineStr">
        <is>
          <t>ussd_funeral_leads_altitude_20260504</t>
        </is>
      </c>
      <c r="J99" t="inlineStr">
        <is>
          <t>AA</t>
        </is>
      </c>
      <c r="K99" t="inlineStr">
        <is>
          <t>Answering Machine Autodial</t>
        </is>
      </c>
      <c r="L99" t="n">
        <v>31</v>
      </c>
      <c r="M99" t="inlineStr">
        <is>
          <t>2026-05-29 11:42:43</t>
        </is>
      </c>
      <c r="N99" t="inlineStr">
        <is>
          <t>system</t>
        </is>
      </c>
      <c r="O99" t="inlineStr">
        <is>
          <t>2026-05-15 11:58:32</t>
        </is>
      </c>
      <c r="P99" t="inlineStr">
        <is>
          <t>2026-05-15 11:58:32</t>
        </is>
      </c>
      <c r="Y99" t="inlineStr">
        <is>
          <t>27828151787</t>
        </is>
      </c>
    </row>
    <row r="100">
      <c r="A100" t="inlineStr">
        <is>
          <t>14363439</t>
        </is>
      </c>
      <c r="B100" t="inlineStr">
        <is>
          <t>7166c4d9-eeb2-48f3-85e1-41b38a720857</t>
        </is>
      </c>
      <c r="D100" t="inlineStr">
        <is>
          <t>30001082</t>
        </is>
      </c>
      <c r="E100" t="inlineStr">
        <is>
          <t>ussd_funeral_leads_altitude_20260504</t>
        </is>
      </c>
      <c r="J100" t="inlineStr">
        <is>
          <t>AA</t>
        </is>
      </c>
      <c r="K100" t="inlineStr">
        <is>
          <t>Answering Machine Autodial</t>
        </is>
      </c>
      <c r="L100" t="n">
        <v>31</v>
      </c>
      <c r="M100" t="inlineStr">
        <is>
          <t>2026-05-29 11:42:43</t>
        </is>
      </c>
      <c r="N100" t="inlineStr">
        <is>
          <t>system</t>
        </is>
      </c>
      <c r="O100" t="inlineStr">
        <is>
          <t>2026-05-15 11:58:32</t>
        </is>
      </c>
      <c r="P100" t="inlineStr">
        <is>
          <t>2026-05-15 11:58:32</t>
        </is>
      </c>
      <c r="Y100" t="inlineStr">
        <is>
          <t>27794171147</t>
        </is>
      </c>
    </row>
    <row r="101">
      <c r="A101" t="inlineStr">
        <is>
          <t>14363423</t>
        </is>
      </c>
      <c r="B101" t="inlineStr">
        <is>
          <t>0f88b395-57a1-4d6c-b698-6d1e62c8213c</t>
        </is>
      </c>
      <c r="D101" t="inlineStr">
        <is>
          <t>30001082</t>
        </is>
      </c>
      <c r="E101" t="inlineStr">
        <is>
          <t>ussd_funeral_leads_altitude_20260504</t>
        </is>
      </c>
      <c r="J101" t="inlineStr">
        <is>
          <t>AA</t>
        </is>
      </c>
      <c r="K101" t="inlineStr">
        <is>
          <t>Answering Machine Autodial</t>
        </is>
      </c>
      <c r="L101" t="n">
        <v>31</v>
      </c>
      <c r="M101" t="inlineStr">
        <is>
          <t>2026-05-29 11:42:42</t>
        </is>
      </c>
      <c r="N101" t="inlineStr">
        <is>
          <t>system</t>
        </is>
      </c>
      <c r="O101" t="inlineStr">
        <is>
          <t>2026-05-15 11:58:32</t>
        </is>
      </c>
      <c r="P101" t="inlineStr">
        <is>
          <t>2026-05-15 11:58:32</t>
        </is>
      </c>
      <c r="Y101" t="inlineStr">
        <is>
          <t>27795549599</t>
        </is>
      </c>
    </row>
    <row r="102">
      <c r="A102" t="inlineStr">
        <is>
          <t>14363412</t>
        </is>
      </c>
      <c r="B102" t="inlineStr">
        <is>
          <t>88cefad0-1f7a-417c-b7da-41f53be59d4a</t>
        </is>
      </c>
      <c r="D102" t="inlineStr">
        <is>
          <t>30001082</t>
        </is>
      </c>
      <c r="E102" t="inlineStr">
        <is>
          <t>ussd_funeral_leads_altitude_20260504</t>
        </is>
      </c>
      <c r="J102" t="inlineStr">
        <is>
          <t>AA</t>
        </is>
      </c>
      <c r="K102" t="inlineStr">
        <is>
          <t>Answering Machine Autodial</t>
        </is>
      </c>
      <c r="L102" t="n">
        <v>31</v>
      </c>
      <c r="M102" t="inlineStr">
        <is>
          <t>2026-05-29 11:42:39</t>
        </is>
      </c>
      <c r="N102" t="inlineStr">
        <is>
          <t>system</t>
        </is>
      </c>
      <c r="O102" t="inlineStr">
        <is>
          <t>2026-05-15 11:58:32</t>
        </is>
      </c>
      <c r="P102" t="inlineStr">
        <is>
          <t>2026-05-15 11:58:32</t>
        </is>
      </c>
      <c r="Y102" t="inlineStr">
        <is>
          <t>27760381881</t>
        </is>
      </c>
    </row>
    <row r="103">
      <c r="A103" t="inlineStr">
        <is>
          <t>14363378</t>
        </is>
      </c>
      <c r="B103" t="inlineStr">
        <is>
          <t>f0af7d81-b781-4d78-919a-e653f7364d7b</t>
        </is>
      </c>
      <c r="D103" t="inlineStr">
        <is>
          <t>30001082</t>
        </is>
      </c>
      <c r="E103" t="inlineStr">
        <is>
          <t>ussd_funeral_leads_altitude_20260504</t>
        </is>
      </c>
      <c r="J103" t="inlineStr">
        <is>
          <t>NA</t>
        </is>
      </c>
      <c r="K103" t="inlineStr">
        <is>
          <t>No Answer Autodial</t>
        </is>
      </c>
      <c r="L103" t="n">
        <v>31</v>
      </c>
      <c r="M103" t="inlineStr">
        <is>
          <t>2026-05-29 11:42:38</t>
        </is>
      </c>
      <c r="N103" t="inlineStr">
        <is>
          <t>system</t>
        </is>
      </c>
      <c r="O103" t="inlineStr">
        <is>
          <t>2026-05-15 11:58:32</t>
        </is>
      </c>
      <c r="P103" t="inlineStr">
        <is>
          <t>2026-05-15 11:58:32</t>
        </is>
      </c>
      <c r="Y103" t="inlineStr">
        <is>
          <t>27714123120</t>
        </is>
      </c>
    </row>
    <row r="104">
      <c r="A104" t="inlineStr">
        <is>
          <t>14363397</t>
        </is>
      </c>
      <c r="B104" t="inlineStr">
        <is>
          <t>8bc1865c-f4f9-4fa1-8824-d774410b9fdd</t>
        </is>
      </c>
      <c r="D104" t="inlineStr">
        <is>
          <t>30001082</t>
        </is>
      </c>
      <c r="E104" t="inlineStr">
        <is>
          <t>ussd_funeral_leads_altitude_20260504</t>
        </is>
      </c>
      <c r="J104" t="inlineStr">
        <is>
          <t>AA</t>
        </is>
      </c>
      <c r="K104" t="inlineStr">
        <is>
          <t>Answering Machine Autodial</t>
        </is>
      </c>
      <c r="L104" t="n">
        <v>31</v>
      </c>
      <c r="M104" t="inlineStr">
        <is>
          <t>2026-05-29 11:42:38</t>
        </is>
      </c>
      <c r="N104" t="inlineStr">
        <is>
          <t>system</t>
        </is>
      </c>
      <c r="O104" t="inlineStr">
        <is>
          <t>2026-05-15 11:58:32</t>
        </is>
      </c>
      <c r="P104" t="inlineStr">
        <is>
          <t>2026-05-15 11:58:32</t>
        </is>
      </c>
      <c r="Y104" t="inlineStr">
        <is>
          <t>27723779029</t>
        </is>
      </c>
    </row>
    <row r="105">
      <c r="A105" t="inlineStr">
        <is>
          <t>14363342</t>
        </is>
      </c>
      <c r="B105" t="inlineStr">
        <is>
          <t>34868c94-d508-4692-8045-a67a81c1e3f6</t>
        </is>
      </c>
      <c r="D105" t="inlineStr">
        <is>
          <t>30001082</t>
        </is>
      </c>
      <c r="E105" t="inlineStr">
        <is>
          <t>ussd_funeral_leads_altitude_20260504</t>
        </is>
      </c>
      <c r="J105" t="inlineStr">
        <is>
          <t>AA</t>
        </is>
      </c>
      <c r="K105" t="inlineStr">
        <is>
          <t>Answering Machine Autodial</t>
        </is>
      </c>
      <c r="L105" t="n">
        <v>31</v>
      </c>
      <c r="M105" t="inlineStr">
        <is>
          <t>2026-05-29 11:42:13</t>
        </is>
      </c>
      <c r="N105" t="inlineStr">
        <is>
          <t>system</t>
        </is>
      </c>
      <c r="O105" t="inlineStr">
        <is>
          <t>2026-05-15 11:58:32</t>
        </is>
      </c>
      <c r="P105" t="inlineStr">
        <is>
          <t>2026-05-15 11:58:32</t>
        </is>
      </c>
      <c r="Y105" t="inlineStr">
        <is>
          <t>27792604111</t>
        </is>
      </c>
    </row>
    <row r="106">
      <c r="A106" t="inlineStr">
        <is>
          <t>14363343</t>
        </is>
      </c>
      <c r="B106" t="inlineStr">
        <is>
          <t>5eeb15e9-33a8-4b62-b909-31dd22cd391c</t>
        </is>
      </c>
      <c r="D106" t="inlineStr">
        <is>
          <t>30001082</t>
        </is>
      </c>
      <c r="E106" t="inlineStr">
        <is>
          <t>ussd_funeral_leads_altitude_20260504</t>
        </is>
      </c>
      <c r="J106" t="inlineStr">
        <is>
          <t>NA</t>
        </is>
      </c>
      <c r="K106" t="inlineStr">
        <is>
          <t>No Answer Autodial</t>
        </is>
      </c>
      <c r="L106" t="n">
        <v>31</v>
      </c>
      <c r="M106" t="inlineStr">
        <is>
          <t>2026-05-29 11:42:13</t>
        </is>
      </c>
      <c r="N106" t="inlineStr">
        <is>
          <t>system</t>
        </is>
      </c>
      <c r="O106" t="inlineStr">
        <is>
          <t>2026-05-15 11:58:32</t>
        </is>
      </c>
      <c r="P106" t="inlineStr">
        <is>
          <t>2026-05-15 11:58:32</t>
        </is>
      </c>
      <c r="Y106" t="inlineStr">
        <is>
          <t>27713492799</t>
        </is>
      </c>
    </row>
    <row r="107">
      <c r="A107" t="inlineStr">
        <is>
          <t>14363346</t>
        </is>
      </c>
      <c r="B107" t="inlineStr">
        <is>
          <t>98a63f75-2d4d-434f-b7a2-6a3516a4844b</t>
        </is>
      </c>
      <c r="D107" t="inlineStr">
        <is>
          <t>30001082</t>
        </is>
      </c>
      <c r="E107" t="inlineStr">
        <is>
          <t>ussd_funeral_leads_altitude_20260504</t>
        </is>
      </c>
      <c r="J107" t="inlineStr">
        <is>
          <t>AE</t>
        </is>
      </c>
      <c r="K107" t="inlineStr">
        <is>
          <t>Auto Engaged</t>
        </is>
      </c>
      <c r="L107" t="n">
        <v>31</v>
      </c>
      <c r="M107" t="inlineStr">
        <is>
          <t>2026-05-29 11:42:13</t>
        </is>
      </c>
      <c r="N107" t="inlineStr">
        <is>
          <t>system</t>
        </is>
      </c>
      <c r="O107" t="inlineStr">
        <is>
          <t>2026-05-15 11:58:32</t>
        </is>
      </c>
      <c r="P107" t="inlineStr">
        <is>
          <t>2026-05-15 11:58:32</t>
        </is>
      </c>
      <c r="Y107" t="inlineStr">
        <is>
          <t>27724951053</t>
        </is>
      </c>
    </row>
    <row r="108">
      <c r="A108" t="inlineStr">
        <is>
          <t>14363330</t>
        </is>
      </c>
      <c r="B108" t="inlineStr">
        <is>
          <t>08a0a040-3d39-4803-aa14-d051535a3c2b</t>
        </is>
      </c>
      <c r="D108" t="inlineStr">
        <is>
          <t>30001082</t>
        </is>
      </c>
      <c r="E108" t="inlineStr">
        <is>
          <t>ussd_funeral_leads_altitude_20260504</t>
        </is>
      </c>
      <c r="J108" t="inlineStr">
        <is>
          <t>NA</t>
        </is>
      </c>
      <c r="K108" t="inlineStr">
        <is>
          <t>No Answer Autodial</t>
        </is>
      </c>
      <c r="L108" t="n">
        <v>31</v>
      </c>
      <c r="M108" t="inlineStr">
        <is>
          <t>2026-05-29 11:42:10</t>
        </is>
      </c>
      <c r="N108" t="inlineStr">
        <is>
          <t>system</t>
        </is>
      </c>
      <c r="O108" t="inlineStr">
        <is>
          <t>2026-05-15 11:58:32</t>
        </is>
      </c>
      <c r="P108" t="inlineStr">
        <is>
          <t>2026-05-15 11:58:32</t>
        </is>
      </c>
      <c r="Y108" t="inlineStr">
        <is>
          <t>27818674747</t>
        </is>
      </c>
    </row>
    <row r="109">
      <c r="A109" t="inlineStr">
        <is>
          <t>14363308</t>
        </is>
      </c>
      <c r="B109" t="inlineStr">
        <is>
          <t>c30c6cb6-1d55-4676-bd84-a545a977ceac</t>
        </is>
      </c>
      <c r="D109" t="inlineStr">
        <is>
          <t>30001082</t>
        </is>
      </c>
      <c r="E109" t="inlineStr">
        <is>
          <t>ussd_funeral_leads_altitude_20260504</t>
        </is>
      </c>
      <c r="J109" t="inlineStr">
        <is>
          <t>AA</t>
        </is>
      </c>
      <c r="K109" t="inlineStr">
        <is>
          <t>Answering Machine Autodial</t>
        </is>
      </c>
      <c r="L109" t="n">
        <v>31</v>
      </c>
      <c r="M109" t="inlineStr">
        <is>
          <t>2026-05-29 11:42:09</t>
        </is>
      </c>
      <c r="N109" t="inlineStr">
        <is>
          <t>system</t>
        </is>
      </c>
      <c r="O109" t="inlineStr">
        <is>
          <t>2026-05-15 11:58:32</t>
        </is>
      </c>
      <c r="P109" t="inlineStr">
        <is>
          <t>2026-05-15 11:58:32</t>
        </is>
      </c>
      <c r="Y109" t="inlineStr">
        <is>
          <t>27637870796</t>
        </is>
      </c>
    </row>
    <row r="110">
      <c r="A110" t="inlineStr">
        <is>
          <t>14363313</t>
        </is>
      </c>
      <c r="B110" t="inlineStr">
        <is>
          <t>298c69aa-4c1e-44ed-9c8e-079c63134909</t>
        </is>
      </c>
      <c r="D110" t="inlineStr">
        <is>
          <t>30001082</t>
        </is>
      </c>
      <c r="E110" t="inlineStr">
        <is>
          <t>ussd_funeral_leads_altitude_20260504</t>
        </is>
      </c>
      <c r="J110" t="inlineStr">
        <is>
          <t>NA</t>
        </is>
      </c>
      <c r="K110" t="inlineStr">
        <is>
          <t>No Answer Autodial</t>
        </is>
      </c>
      <c r="L110" t="n">
        <v>31</v>
      </c>
      <c r="M110" t="inlineStr">
        <is>
          <t>2026-05-29 11:42:09</t>
        </is>
      </c>
      <c r="N110" t="inlineStr">
        <is>
          <t>system</t>
        </is>
      </c>
      <c r="O110" t="inlineStr">
        <is>
          <t>2026-05-15 11:58:32</t>
        </is>
      </c>
      <c r="P110" t="inlineStr">
        <is>
          <t>2026-05-15 11:58:32</t>
        </is>
      </c>
      <c r="Y110" t="inlineStr">
        <is>
          <t>27798655333</t>
        </is>
      </c>
    </row>
    <row r="111">
      <c r="A111" t="inlineStr">
        <is>
          <t>14362931</t>
        </is>
      </c>
      <c r="B111" t="inlineStr">
        <is>
          <t>b3e01231-b219-4236-8fac-9fc42d87206a</t>
        </is>
      </c>
      <c r="D111" t="inlineStr">
        <is>
          <t>30001082</t>
        </is>
      </c>
      <c r="E111" t="inlineStr">
        <is>
          <t>ussd_funeral_leads_altitude_20260504</t>
        </is>
      </c>
      <c r="J111" t="inlineStr">
        <is>
          <t>AA</t>
        </is>
      </c>
      <c r="K111" t="inlineStr">
        <is>
          <t>Answering Machine Autodial</t>
        </is>
      </c>
      <c r="L111" t="n">
        <v>31</v>
      </c>
      <c r="M111" t="inlineStr">
        <is>
          <t>2026-05-29 11:42:08</t>
        </is>
      </c>
      <c r="N111" t="inlineStr">
        <is>
          <t>system</t>
        </is>
      </c>
      <c r="O111" t="inlineStr">
        <is>
          <t>2026-05-15 11:58:32</t>
        </is>
      </c>
      <c r="P111" t="inlineStr">
        <is>
          <t>2026-05-15 11:58:32</t>
        </is>
      </c>
      <c r="Y111" t="inlineStr">
        <is>
          <t>27723024113</t>
        </is>
      </c>
    </row>
    <row r="112">
      <c r="A112" t="inlineStr">
        <is>
          <t>14362951</t>
        </is>
      </c>
      <c r="B112" t="inlineStr">
        <is>
          <t>3ba19736-d9ce-46fc-ad2f-d20d704a4ea4</t>
        </is>
      </c>
      <c r="D112" t="inlineStr">
        <is>
          <t>30001082</t>
        </is>
      </c>
      <c r="E112" t="inlineStr">
        <is>
          <t>ussd_funeral_leads_altitude_20260504</t>
        </is>
      </c>
      <c r="J112" t="inlineStr">
        <is>
          <t>CUA</t>
        </is>
      </c>
      <c r="K112" t="inlineStr">
        <is>
          <t>Client Underage</t>
        </is>
      </c>
      <c r="L112" t="n">
        <v>31</v>
      </c>
      <c r="M112" t="inlineStr">
        <is>
          <t>2026-05-29 11:42:08</t>
        </is>
      </c>
      <c r="N112" t="inlineStr">
        <is>
          <t>Dimakatso Nkomo</t>
        </is>
      </c>
      <c r="O112" t="inlineStr">
        <is>
          <t>2026-05-15 11:58:32</t>
        </is>
      </c>
      <c r="P112" t="inlineStr">
        <is>
          <t>2026-05-15 11:58:32</t>
        </is>
      </c>
      <c r="Y112" t="inlineStr">
        <is>
          <t>27636174024</t>
        </is>
      </c>
    </row>
    <row r="113">
      <c r="A113" t="inlineStr">
        <is>
          <t>14362953</t>
        </is>
      </c>
      <c r="B113" t="inlineStr">
        <is>
          <t>4c234ef0-4a30-47c9-9396-1fbc18732905</t>
        </is>
      </c>
      <c r="D113" t="inlineStr">
        <is>
          <t>30001082</t>
        </is>
      </c>
      <c r="E113" t="inlineStr">
        <is>
          <t>ussd_funeral_leads_altitude_20260504</t>
        </is>
      </c>
      <c r="J113" t="inlineStr">
        <is>
          <t>AA</t>
        </is>
      </c>
      <c r="K113" t="inlineStr">
        <is>
          <t>Answering Machine Autodial</t>
        </is>
      </c>
      <c r="L113" t="n">
        <v>31</v>
      </c>
      <c r="M113" t="inlineStr">
        <is>
          <t>2026-05-29 11:42:08</t>
        </is>
      </c>
      <c r="N113" t="inlineStr">
        <is>
          <t>system</t>
        </is>
      </c>
      <c r="O113" t="inlineStr">
        <is>
          <t>2026-05-15 11:58:32</t>
        </is>
      </c>
      <c r="P113" t="inlineStr">
        <is>
          <t>2026-05-15 11:58:32</t>
        </is>
      </c>
      <c r="Y113" t="inlineStr">
        <is>
          <t>27722419109</t>
        </is>
      </c>
    </row>
    <row r="114">
      <c r="A114" t="inlineStr">
        <is>
          <t>14362994</t>
        </is>
      </c>
      <c r="B114" t="inlineStr">
        <is>
          <t>80b24e43-9311-4172-b91b-f2d2f98727d0</t>
        </is>
      </c>
      <c r="D114" t="inlineStr">
        <is>
          <t>30001082</t>
        </is>
      </c>
      <c r="E114" t="inlineStr">
        <is>
          <t>ussd_funeral_leads_altitude_20260504</t>
        </is>
      </c>
      <c r="J114" t="inlineStr">
        <is>
          <t>AA</t>
        </is>
      </c>
      <c r="K114" t="inlineStr">
        <is>
          <t>Answering Machine Autodial</t>
        </is>
      </c>
      <c r="L114" t="n">
        <v>31</v>
      </c>
      <c r="M114" t="inlineStr">
        <is>
          <t>2026-05-29 11:42:06</t>
        </is>
      </c>
      <c r="N114" t="inlineStr">
        <is>
          <t>system</t>
        </is>
      </c>
      <c r="O114" t="inlineStr">
        <is>
          <t>2026-05-15 11:58:32</t>
        </is>
      </c>
      <c r="P114" t="inlineStr">
        <is>
          <t>2026-05-15 11:58:32</t>
        </is>
      </c>
      <c r="Y114" t="inlineStr">
        <is>
          <t>27711065717</t>
        </is>
      </c>
    </row>
    <row r="115">
      <c r="A115" t="inlineStr">
        <is>
          <t>14362999</t>
        </is>
      </c>
      <c r="B115" t="inlineStr">
        <is>
          <t>33b5c6a0-a6d2-4c1f-9613-2b527e3fa5fb</t>
        </is>
      </c>
      <c r="D115" t="inlineStr">
        <is>
          <t>30001082</t>
        </is>
      </c>
      <c r="E115" t="inlineStr">
        <is>
          <t>ussd_funeral_leads_altitude_20260504</t>
        </is>
      </c>
      <c r="J115" t="inlineStr">
        <is>
          <t>AA</t>
        </is>
      </c>
      <c r="K115" t="inlineStr">
        <is>
          <t>Answering Machine Autodial</t>
        </is>
      </c>
      <c r="L115" t="n">
        <v>31</v>
      </c>
      <c r="M115" t="inlineStr">
        <is>
          <t>2026-05-29 11:42:06</t>
        </is>
      </c>
      <c r="N115" t="inlineStr">
        <is>
          <t>system</t>
        </is>
      </c>
      <c r="O115" t="inlineStr">
        <is>
          <t>2026-05-15 11:58:32</t>
        </is>
      </c>
      <c r="P115" t="inlineStr">
        <is>
          <t>2026-05-15 11:58:32</t>
        </is>
      </c>
      <c r="Y115" t="inlineStr">
        <is>
          <t>27606738911</t>
        </is>
      </c>
    </row>
    <row r="116">
      <c r="A116" t="inlineStr">
        <is>
          <t>14363005</t>
        </is>
      </c>
      <c r="B116" t="inlineStr">
        <is>
          <t>c3f34a00-c2de-4f4f-8690-2492478ea9ff</t>
        </is>
      </c>
      <c r="D116" t="inlineStr">
        <is>
          <t>30001082</t>
        </is>
      </c>
      <c r="E116" t="inlineStr">
        <is>
          <t>ussd_funeral_leads_altitude_20260504</t>
        </is>
      </c>
      <c r="J116" t="inlineStr">
        <is>
          <t>AA</t>
        </is>
      </c>
      <c r="K116" t="inlineStr">
        <is>
          <t>Answering Machine Autodial</t>
        </is>
      </c>
      <c r="L116" t="n">
        <v>31</v>
      </c>
      <c r="M116" t="inlineStr">
        <is>
          <t>2026-05-29 11:42:06</t>
        </is>
      </c>
      <c r="N116" t="inlineStr">
        <is>
          <t>system</t>
        </is>
      </c>
      <c r="O116" t="inlineStr">
        <is>
          <t>2026-05-15 11:58:32</t>
        </is>
      </c>
      <c r="P116" t="inlineStr">
        <is>
          <t>2026-05-15 11:58:32</t>
        </is>
      </c>
      <c r="Y116" t="inlineStr">
        <is>
          <t>27714697732</t>
        </is>
      </c>
    </row>
    <row r="117">
      <c r="A117" t="inlineStr">
        <is>
          <t>14362993</t>
        </is>
      </c>
      <c r="B117" t="inlineStr">
        <is>
          <t>bca8039b-684c-444c-a062-d2189ce60a04</t>
        </is>
      </c>
      <c r="D117" t="inlineStr">
        <is>
          <t>30001082</t>
        </is>
      </c>
      <c r="E117" t="inlineStr">
        <is>
          <t>ussd_funeral_leads_altitude_20260504</t>
        </is>
      </c>
      <c r="J117" t="inlineStr">
        <is>
          <t>CU</t>
        </is>
      </c>
      <c r="K117" t="inlineStr">
        <is>
          <t>Client Hung Up</t>
        </is>
      </c>
      <c r="L117" t="n">
        <v>31</v>
      </c>
      <c r="M117" t="inlineStr">
        <is>
          <t>2026-05-29 11:42:05</t>
        </is>
      </c>
      <c r="N117" t="inlineStr">
        <is>
          <t>Gugulethu Duma</t>
        </is>
      </c>
      <c r="O117" t="inlineStr">
        <is>
          <t>2026-05-15 11:58:32</t>
        </is>
      </c>
      <c r="P117" t="inlineStr">
        <is>
          <t>2026-05-15 11:58:32</t>
        </is>
      </c>
      <c r="Y117" t="inlineStr">
        <is>
          <t>27763442741</t>
        </is>
      </c>
    </row>
    <row r="118">
      <c r="A118" t="inlineStr">
        <is>
          <t>14362971</t>
        </is>
      </c>
      <c r="B118" t="inlineStr">
        <is>
          <t>d50a966f-a0db-4774-9923-0dc90aa59772</t>
        </is>
      </c>
      <c r="D118" t="inlineStr">
        <is>
          <t>30001082</t>
        </is>
      </c>
      <c r="E118" t="inlineStr">
        <is>
          <t>ussd_funeral_leads_altitude_20260504</t>
        </is>
      </c>
      <c r="J118" t="inlineStr">
        <is>
          <t>AA</t>
        </is>
      </c>
      <c r="K118" t="inlineStr">
        <is>
          <t>Answering Machine Autodial</t>
        </is>
      </c>
      <c r="L118" t="n">
        <v>31</v>
      </c>
      <c r="M118" t="inlineStr">
        <is>
          <t>2026-05-29 11:42:03</t>
        </is>
      </c>
      <c r="N118" t="inlineStr">
        <is>
          <t>system</t>
        </is>
      </c>
      <c r="O118" t="inlineStr">
        <is>
          <t>2026-05-15 11:58:32</t>
        </is>
      </c>
      <c r="P118" t="inlineStr">
        <is>
          <t>2026-05-15 11:58:32</t>
        </is>
      </c>
      <c r="Y118" t="inlineStr">
        <is>
          <t>27828359654</t>
        </is>
      </c>
    </row>
    <row r="119">
      <c r="A119" t="inlineStr">
        <is>
          <t>14362989</t>
        </is>
      </c>
      <c r="B119" t="inlineStr">
        <is>
          <t>aec2d0fa-cb11-428e-897b-4a9caebd0522</t>
        </is>
      </c>
      <c r="D119" t="inlineStr">
        <is>
          <t>30001082</t>
        </is>
      </c>
      <c r="E119" t="inlineStr">
        <is>
          <t>ussd_funeral_leads_altitude_20260504</t>
        </is>
      </c>
      <c r="J119" t="inlineStr">
        <is>
          <t>AA</t>
        </is>
      </c>
      <c r="K119" t="inlineStr">
        <is>
          <t>Answering Machine Autodial</t>
        </is>
      </c>
      <c r="L119" t="n">
        <v>31</v>
      </c>
      <c r="M119" t="inlineStr">
        <is>
          <t>2026-05-29 11:42:03</t>
        </is>
      </c>
      <c r="N119" t="inlineStr">
        <is>
          <t>system</t>
        </is>
      </c>
      <c r="O119" t="inlineStr">
        <is>
          <t>2026-05-15 11:58:32</t>
        </is>
      </c>
      <c r="P119" t="inlineStr">
        <is>
          <t>2026-05-15 11:58:32</t>
        </is>
      </c>
      <c r="Y119" t="inlineStr">
        <is>
          <t>27608452303</t>
        </is>
      </c>
    </row>
    <row r="120">
      <c r="A120" t="inlineStr">
        <is>
          <t>14363100</t>
        </is>
      </c>
      <c r="B120" t="inlineStr">
        <is>
          <t>1ad47df9-e0b0-4f9e-8342-7f6306ae93d5</t>
        </is>
      </c>
      <c r="D120" t="inlineStr">
        <is>
          <t>30001082</t>
        </is>
      </c>
      <c r="E120" t="inlineStr">
        <is>
          <t>ussd_funeral_leads_altitude_20260504</t>
        </is>
      </c>
      <c r="J120" t="inlineStr">
        <is>
          <t>ADC</t>
        </is>
      </c>
      <c r="K120" t="inlineStr">
        <is>
          <t>Auto Dial Disconnected</t>
        </is>
      </c>
      <c r="L120" t="n">
        <v>31</v>
      </c>
      <c r="M120" t="inlineStr">
        <is>
          <t>2026-05-29 11:42:01</t>
        </is>
      </c>
      <c r="N120" t="inlineStr">
        <is>
          <t>system</t>
        </is>
      </c>
      <c r="O120" t="inlineStr">
        <is>
          <t>2026-05-15 11:58:32</t>
        </is>
      </c>
      <c r="P120" t="inlineStr">
        <is>
          <t>2026-05-15 11:58:32</t>
        </is>
      </c>
      <c r="Y120" t="inlineStr">
        <is>
          <t>27825372194</t>
        </is>
      </c>
    </row>
    <row r="121">
      <c r="A121" t="inlineStr">
        <is>
          <t>14363109</t>
        </is>
      </c>
      <c r="B121" t="inlineStr">
        <is>
          <t>2d728136-cfcc-47bb-b72a-9f77b37ae656</t>
        </is>
      </c>
      <c r="D121" t="inlineStr">
        <is>
          <t>30001082</t>
        </is>
      </c>
      <c r="E121" t="inlineStr">
        <is>
          <t>ussd_funeral_leads_altitude_20260504</t>
        </is>
      </c>
      <c r="H121" t="inlineStr">
        <is>
          <t>27763059778</t>
        </is>
      </c>
      <c r="J121" t="inlineStr">
        <is>
          <t>NA</t>
        </is>
      </c>
      <c r="K121" t="inlineStr">
        <is>
          <t>No Answer Autodial</t>
        </is>
      </c>
      <c r="L121" t="n">
        <v>31</v>
      </c>
      <c r="M121" t="inlineStr">
        <is>
          <t>2026-05-29 11:42:01</t>
        </is>
      </c>
      <c r="N121" t="inlineStr">
        <is>
          <t>system</t>
        </is>
      </c>
      <c r="O121" t="inlineStr">
        <is>
          <t>2026-05-15 11:58:32</t>
        </is>
      </c>
      <c r="P121" t="inlineStr">
        <is>
          <t>2026-05-15 11:58:32</t>
        </is>
      </c>
      <c r="Y121" t="inlineStr">
        <is>
          <t>27763059778</t>
        </is>
      </c>
    </row>
    <row r="122">
      <c r="A122" t="inlineStr">
        <is>
          <t>14363023</t>
        </is>
      </c>
      <c r="B122" t="inlineStr">
        <is>
          <t>b020ff68-c0db-4769-80cf-376a9869077f</t>
        </is>
      </c>
      <c r="D122" t="inlineStr">
        <is>
          <t>30001082</t>
        </is>
      </c>
      <c r="E122" t="inlineStr">
        <is>
          <t>ussd_funeral_leads_altitude_20260504</t>
        </is>
      </c>
      <c r="J122" t="inlineStr">
        <is>
          <t>AA</t>
        </is>
      </c>
      <c r="K122" t="inlineStr">
        <is>
          <t>Answering Machine Autodial</t>
        </is>
      </c>
      <c r="L122" t="n">
        <v>31</v>
      </c>
      <c r="M122" t="inlineStr">
        <is>
          <t>2026-05-29 11:42:00</t>
        </is>
      </c>
      <c r="N122" t="inlineStr">
        <is>
          <t>system</t>
        </is>
      </c>
      <c r="O122" t="inlineStr">
        <is>
          <t>2026-05-15 11:58:32</t>
        </is>
      </c>
      <c r="P122" t="inlineStr">
        <is>
          <t>2026-05-15 11:58:32</t>
        </is>
      </c>
      <c r="Y122" t="inlineStr">
        <is>
          <t>27722327440</t>
        </is>
      </c>
    </row>
    <row r="123">
      <c r="A123" t="inlineStr">
        <is>
          <t>14363070</t>
        </is>
      </c>
      <c r="B123" t="inlineStr">
        <is>
          <t>ef80944c-13d0-4125-baf8-7212560e01f7</t>
        </is>
      </c>
      <c r="D123" t="inlineStr">
        <is>
          <t>30001082</t>
        </is>
      </c>
      <c r="E123" t="inlineStr">
        <is>
          <t>ussd_funeral_leads_altitude_20260504</t>
        </is>
      </c>
      <c r="J123" t="inlineStr">
        <is>
          <t>ADC</t>
        </is>
      </c>
      <c r="K123" t="inlineStr">
        <is>
          <t>Auto Dial Disconnected</t>
        </is>
      </c>
      <c r="L123" t="n">
        <v>31</v>
      </c>
      <c r="M123" t="inlineStr">
        <is>
          <t>2026-05-29 11:42:00</t>
        </is>
      </c>
      <c r="N123" t="inlineStr">
        <is>
          <t>system</t>
        </is>
      </c>
      <c r="O123" t="inlineStr">
        <is>
          <t>2026-05-15 11:58:32</t>
        </is>
      </c>
      <c r="P123" t="inlineStr">
        <is>
          <t>2026-05-15 11:58:32</t>
        </is>
      </c>
      <c r="Y123" t="inlineStr">
        <is>
          <t>27675702617</t>
        </is>
      </c>
    </row>
    <row r="124">
      <c r="A124" t="inlineStr">
        <is>
          <t>14363071</t>
        </is>
      </c>
      <c r="B124" t="inlineStr">
        <is>
          <t>c1209ded-fa9c-4a66-8f78-676e559fa090</t>
        </is>
      </c>
      <c r="D124" t="inlineStr">
        <is>
          <t>30001082</t>
        </is>
      </c>
      <c r="E124" t="inlineStr">
        <is>
          <t>ussd_funeral_leads_altitude_20260504</t>
        </is>
      </c>
      <c r="J124" t="inlineStr">
        <is>
          <t>AA</t>
        </is>
      </c>
      <c r="K124" t="inlineStr">
        <is>
          <t>Answering Machine Autodial</t>
        </is>
      </c>
      <c r="L124" t="n">
        <v>31</v>
      </c>
      <c r="M124" t="inlineStr">
        <is>
          <t>2026-05-29 11:42:00</t>
        </is>
      </c>
      <c r="N124" t="inlineStr">
        <is>
          <t>system</t>
        </is>
      </c>
      <c r="O124" t="inlineStr">
        <is>
          <t>2026-05-15 11:58:32</t>
        </is>
      </c>
      <c r="P124" t="inlineStr">
        <is>
          <t>2026-05-15 11:58:32</t>
        </is>
      </c>
      <c r="Y124" t="inlineStr">
        <is>
          <t>27609846204</t>
        </is>
      </c>
    </row>
    <row r="125">
      <c r="A125" t="inlineStr">
        <is>
          <t>14363074</t>
        </is>
      </c>
      <c r="B125" t="inlineStr">
        <is>
          <t>46d293b5-186f-447c-b4b1-97867c839332</t>
        </is>
      </c>
      <c r="D125" t="inlineStr">
        <is>
          <t>30001082</t>
        </is>
      </c>
      <c r="E125" t="inlineStr">
        <is>
          <t>ussd_funeral_leads_altitude_20260504</t>
        </is>
      </c>
      <c r="J125" t="inlineStr">
        <is>
          <t>AA</t>
        </is>
      </c>
      <c r="K125" t="inlineStr">
        <is>
          <t>Answering Machine Autodial</t>
        </is>
      </c>
      <c r="L125" t="n">
        <v>31</v>
      </c>
      <c r="M125" t="inlineStr">
        <is>
          <t>2026-05-29 11:42:00</t>
        </is>
      </c>
      <c r="N125" t="inlineStr">
        <is>
          <t>system</t>
        </is>
      </c>
      <c r="O125" t="inlineStr">
        <is>
          <t>2026-05-15 11:58:32</t>
        </is>
      </c>
      <c r="P125" t="inlineStr">
        <is>
          <t>2026-05-15 11:58:32</t>
        </is>
      </c>
      <c r="Y125" t="inlineStr">
        <is>
          <t>27713203818</t>
        </is>
      </c>
    </row>
    <row r="126">
      <c r="A126" t="inlineStr">
        <is>
          <t>14363079</t>
        </is>
      </c>
      <c r="B126" t="inlineStr">
        <is>
          <t>a17f7336-0bed-4d21-80c1-62824e78bc43</t>
        </is>
      </c>
      <c r="D126" t="inlineStr">
        <is>
          <t>30001082</t>
        </is>
      </c>
      <c r="E126" t="inlineStr">
        <is>
          <t>ussd_funeral_leads_altitude_20260504</t>
        </is>
      </c>
      <c r="J126" t="inlineStr">
        <is>
          <t>AA</t>
        </is>
      </c>
      <c r="K126" t="inlineStr">
        <is>
          <t>Answering Machine Autodial</t>
        </is>
      </c>
      <c r="L126" t="n">
        <v>31</v>
      </c>
      <c r="M126" t="inlineStr">
        <is>
          <t>2026-05-29 11:42:00</t>
        </is>
      </c>
      <c r="N126" t="inlineStr">
        <is>
          <t>system</t>
        </is>
      </c>
      <c r="O126" t="inlineStr">
        <is>
          <t>2026-05-15 11:58:32</t>
        </is>
      </c>
      <c r="P126" t="inlineStr">
        <is>
          <t>2026-05-15 11:58:32</t>
        </is>
      </c>
      <c r="Y126" t="inlineStr">
        <is>
          <t>27773763754</t>
        </is>
      </c>
    </row>
    <row r="127">
      <c r="A127" t="inlineStr">
        <is>
          <t>14363080</t>
        </is>
      </c>
      <c r="B127" t="inlineStr">
        <is>
          <t>9f68fb3e-d99e-4eaf-8e08-7808f69c42f4</t>
        </is>
      </c>
      <c r="D127" t="inlineStr">
        <is>
          <t>30001082</t>
        </is>
      </c>
      <c r="E127" t="inlineStr">
        <is>
          <t>ussd_funeral_leads_altitude_20260504</t>
        </is>
      </c>
      <c r="J127" t="inlineStr">
        <is>
          <t>NA</t>
        </is>
      </c>
      <c r="K127" t="inlineStr">
        <is>
          <t>No Answer Autodial</t>
        </is>
      </c>
      <c r="L127" t="n">
        <v>31</v>
      </c>
      <c r="M127" t="inlineStr">
        <is>
          <t>2026-05-29 11:42:00</t>
        </is>
      </c>
      <c r="N127" t="inlineStr">
        <is>
          <t>system</t>
        </is>
      </c>
      <c r="O127" t="inlineStr">
        <is>
          <t>2026-05-15 11:58:32</t>
        </is>
      </c>
      <c r="P127" t="inlineStr">
        <is>
          <t>2026-05-15 11:58:32</t>
        </is>
      </c>
      <c r="Y127" t="inlineStr">
        <is>
          <t>27766513429</t>
        </is>
      </c>
    </row>
    <row r="128">
      <c r="A128" t="inlineStr">
        <is>
          <t>14363094</t>
        </is>
      </c>
      <c r="B128" t="inlineStr">
        <is>
          <t>50d95596-4566-42ae-b023-431a02735ec9</t>
        </is>
      </c>
      <c r="D128" t="inlineStr">
        <is>
          <t>30001082</t>
        </is>
      </c>
      <c r="E128" t="inlineStr">
        <is>
          <t>ussd_funeral_leads_altitude_20260504</t>
        </is>
      </c>
      <c r="H128" t="inlineStr">
        <is>
          <t>27829624557</t>
        </is>
      </c>
      <c r="J128" t="inlineStr">
        <is>
          <t>NA</t>
        </is>
      </c>
      <c r="K128" t="inlineStr">
        <is>
          <t>No Answer Autodial</t>
        </is>
      </c>
      <c r="L128" t="n">
        <v>31</v>
      </c>
      <c r="M128" t="inlineStr">
        <is>
          <t>2026-05-29 11:42:00</t>
        </is>
      </c>
      <c r="N128" t="inlineStr">
        <is>
          <t>system</t>
        </is>
      </c>
      <c r="O128" t="inlineStr">
        <is>
          <t>2026-05-15 11:58:32</t>
        </is>
      </c>
      <c r="P128" t="inlineStr">
        <is>
          <t>2026-05-15 11:58:32</t>
        </is>
      </c>
      <c r="Y128" t="inlineStr">
        <is>
          <t>27829624557</t>
        </is>
      </c>
    </row>
    <row r="129">
      <c r="A129" t="inlineStr">
        <is>
          <t>14363066</t>
        </is>
      </c>
      <c r="B129" t="inlineStr">
        <is>
          <t>41b4406e-137e-47f2-9b35-3f62f622cea6</t>
        </is>
      </c>
      <c r="D129" t="inlineStr">
        <is>
          <t>30001082</t>
        </is>
      </c>
      <c r="E129" t="inlineStr">
        <is>
          <t>ussd_funeral_leads_altitude_20260504</t>
        </is>
      </c>
      <c r="J129" t="inlineStr">
        <is>
          <t>NA</t>
        </is>
      </c>
      <c r="K129" t="inlineStr">
        <is>
          <t>No Answer Autodial</t>
        </is>
      </c>
      <c r="L129" t="n">
        <v>31</v>
      </c>
      <c r="M129" t="inlineStr">
        <is>
          <t>2026-05-29 11:41:59</t>
        </is>
      </c>
      <c r="N129" t="inlineStr">
        <is>
          <t>system</t>
        </is>
      </c>
      <c r="O129" t="inlineStr">
        <is>
          <t>2026-05-15 11:58:32</t>
        </is>
      </c>
      <c r="P129" t="inlineStr">
        <is>
          <t>2026-05-15 11:58:32</t>
        </is>
      </c>
      <c r="Y129" t="inlineStr">
        <is>
          <t>27711592227</t>
        </is>
      </c>
    </row>
    <row r="130">
      <c r="A130" t="inlineStr">
        <is>
          <t>14363061</t>
        </is>
      </c>
      <c r="B130" t="inlineStr">
        <is>
          <t>1d3fb1e2-3fc4-44bb-82f3-79afd926a2de</t>
        </is>
      </c>
      <c r="D130" t="inlineStr">
        <is>
          <t>30001082</t>
        </is>
      </c>
      <c r="E130" t="inlineStr">
        <is>
          <t>ussd_funeral_leads_altitude_20260504</t>
        </is>
      </c>
      <c r="J130" t="inlineStr">
        <is>
          <t>CU</t>
        </is>
      </c>
      <c r="K130" t="inlineStr">
        <is>
          <t>Client Hung Up</t>
        </is>
      </c>
      <c r="L130" t="n">
        <v>31</v>
      </c>
      <c r="M130" t="inlineStr">
        <is>
          <t>2026-05-29 11:41:56</t>
        </is>
      </c>
      <c r="N130" t="inlineStr">
        <is>
          <t>Fortunate Ndubane</t>
        </is>
      </c>
      <c r="O130" t="inlineStr">
        <is>
          <t>2026-05-15 11:58:32</t>
        </is>
      </c>
      <c r="P130" t="inlineStr">
        <is>
          <t>2026-05-15 11:58:32</t>
        </is>
      </c>
      <c r="Y130" t="inlineStr">
        <is>
          <t>27799064194</t>
        </is>
      </c>
    </row>
    <row r="131">
      <c r="A131" t="inlineStr">
        <is>
          <t>14363057</t>
        </is>
      </c>
      <c r="B131" t="inlineStr">
        <is>
          <t>44d7c1fc-0181-45e8-a992-f92c1ce8510a</t>
        </is>
      </c>
      <c r="D131" t="inlineStr">
        <is>
          <t>30001082</t>
        </is>
      </c>
      <c r="E131" t="inlineStr">
        <is>
          <t>ussd_funeral_leads_altitude_20260504</t>
        </is>
      </c>
      <c r="J131" t="inlineStr">
        <is>
          <t>AA</t>
        </is>
      </c>
      <c r="K131" t="inlineStr">
        <is>
          <t>Answering Machine Autodial</t>
        </is>
      </c>
      <c r="L131" t="n">
        <v>31</v>
      </c>
      <c r="M131" t="inlineStr">
        <is>
          <t>2026-05-29 11:41:55</t>
        </is>
      </c>
      <c r="N131" t="inlineStr">
        <is>
          <t>system</t>
        </is>
      </c>
      <c r="O131" t="inlineStr">
        <is>
          <t>2026-05-15 11:58:32</t>
        </is>
      </c>
      <c r="P131" t="inlineStr">
        <is>
          <t>2026-05-15 11:58:32</t>
        </is>
      </c>
      <c r="Y131" t="inlineStr">
        <is>
          <t>27637560193</t>
        </is>
      </c>
    </row>
    <row r="132">
      <c r="A132" t="inlineStr">
        <is>
          <t>14363039</t>
        </is>
      </c>
      <c r="B132" t="inlineStr">
        <is>
          <t>5b4bd79c-9653-46c9-9a1d-161855ea657b</t>
        </is>
      </c>
      <c r="D132" t="inlineStr">
        <is>
          <t>30001082</t>
        </is>
      </c>
      <c r="E132" t="inlineStr">
        <is>
          <t>ussd_funeral_leads_altitude_20260504</t>
        </is>
      </c>
      <c r="J132" t="inlineStr">
        <is>
          <t>NA</t>
        </is>
      </c>
      <c r="K132" t="inlineStr">
        <is>
          <t>No Answer Autodial</t>
        </is>
      </c>
      <c r="L132" t="n">
        <v>31</v>
      </c>
      <c r="M132" t="inlineStr">
        <is>
          <t>2026-05-29 11:41:54</t>
        </is>
      </c>
      <c r="N132" t="inlineStr">
        <is>
          <t>system</t>
        </is>
      </c>
      <c r="O132" t="inlineStr">
        <is>
          <t>2026-05-15 11:58:32</t>
        </is>
      </c>
      <c r="P132" t="inlineStr">
        <is>
          <t>2026-05-15 11:58:32</t>
        </is>
      </c>
      <c r="Y132" t="inlineStr">
        <is>
          <t>27665963894</t>
        </is>
      </c>
    </row>
    <row r="133">
      <c r="A133" t="inlineStr">
        <is>
          <t>14363035</t>
        </is>
      </c>
      <c r="B133" t="inlineStr">
        <is>
          <t>63283453-d1fd-42d0-b694-124906a184eb</t>
        </is>
      </c>
      <c r="D133" t="inlineStr">
        <is>
          <t>30001082</t>
        </is>
      </c>
      <c r="E133" t="inlineStr">
        <is>
          <t>ussd_funeral_leads_altitude_20260504</t>
        </is>
      </c>
      <c r="H133" t="inlineStr">
        <is>
          <t>27712136526</t>
        </is>
      </c>
      <c r="J133" t="inlineStr">
        <is>
          <t>CU</t>
        </is>
      </c>
      <c r="K133" t="inlineStr">
        <is>
          <t>Client Hung Up</t>
        </is>
      </c>
      <c r="L133" t="n">
        <v>31</v>
      </c>
      <c r="M133" t="inlineStr">
        <is>
          <t>2026-05-29 11:41:51</t>
        </is>
      </c>
      <c r="N133" t="inlineStr">
        <is>
          <t>Vuyiswa Nxumalo</t>
        </is>
      </c>
      <c r="O133" t="inlineStr">
        <is>
          <t>2026-05-15 11:58:32</t>
        </is>
      </c>
      <c r="P133" t="inlineStr">
        <is>
          <t>2026-05-15 11:58:32</t>
        </is>
      </c>
      <c r="Y133" t="inlineStr">
        <is>
          <t>27712136526</t>
        </is>
      </c>
    </row>
    <row r="134">
      <c r="A134" t="inlineStr">
        <is>
          <t>14363038</t>
        </is>
      </c>
      <c r="B134" t="inlineStr">
        <is>
          <t>0b6a89dc-c163-43b1-91e6-c6560d3db8b6</t>
        </is>
      </c>
      <c r="D134" t="inlineStr">
        <is>
          <t>30001082</t>
        </is>
      </c>
      <c r="E134" t="inlineStr">
        <is>
          <t>ussd_funeral_leads_altitude_20260504</t>
        </is>
      </c>
      <c r="J134" t="inlineStr">
        <is>
          <t>AA</t>
        </is>
      </c>
      <c r="K134" t="inlineStr">
        <is>
          <t>Answering Machine Autodial</t>
        </is>
      </c>
      <c r="L134" t="n">
        <v>31</v>
      </c>
      <c r="M134" t="inlineStr">
        <is>
          <t>2026-05-29 11:41:51</t>
        </is>
      </c>
      <c r="N134" t="inlineStr">
        <is>
          <t>system</t>
        </is>
      </c>
      <c r="O134" t="inlineStr">
        <is>
          <t>2026-05-15 11:58:32</t>
        </is>
      </c>
      <c r="P134" t="inlineStr">
        <is>
          <t>2026-05-15 11:58:32</t>
        </is>
      </c>
      <c r="Y134" t="inlineStr">
        <is>
          <t>27726564409</t>
        </is>
      </c>
    </row>
    <row r="135">
      <c r="A135" t="inlineStr">
        <is>
          <t>14363024</t>
        </is>
      </c>
      <c r="B135" t="inlineStr">
        <is>
          <t>fe28704c-974d-4ba4-8f08-83b8d2028970</t>
        </is>
      </c>
      <c r="D135" t="inlineStr">
        <is>
          <t>30001082</t>
        </is>
      </c>
      <c r="E135" t="inlineStr">
        <is>
          <t>ussd_funeral_leads_altitude_20260504</t>
        </is>
      </c>
      <c r="J135" t="inlineStr">
        <is>
          <t>AA</t>
        </is>
      </c>
      <c r="K135" t="inlineStr">
        <is>
          <t>Answering Machine Autodial</t>
        </is>
      </c>
      <c r="L135" t="n">
        <v>31</v>
      </c>
      <c r="M135" t="inlineStr">
        <is>
          <t>2026-05-29 11:41:50</t>
        </is>
      </c>
      <c r="N135" t="inlineStr">
        <is>
          <t>system</t>
        </is>
      </c>
      <c r="O135" t="inlineStr">
        <is>
          <t>2026-05-15 11:58:32</t>
        </is>
      </c>
      <c r="P135" t="inlineStr">
        <is>
          <t>2026-05-15 11:58:32</t>
        </is>
      </c>
      <c r="Y135" t="inlineStr">
        <is>
          <t>27765983508</t>
        </is>
      </c>
    </row>
    <row r="136">
      <c r="A136" t="inlineStr">
        <is>
          <t>14363028</t>
        </is>
      </c>
      <c r="B136" t="inlineStr">
        <is>
          <t>596a8563-be4f-490b-afda-2eb2946a9cd6</t>
        </is>
      </c>
      <c r="D136" t="inlineStr">
        <is>
          <t>30001082</t>
        </is>
      </c>
      <c r="E136" t="inlineStr">
        <is>
          <t>ussd_funeral_leads_altitude_20260504</t>
        </is>
      </c>
      <c r="J136" t="inlineStr">
        <is>
          <t>AA</t>
        </is>
      </c>
      <c r="K136" t="inlineStr">
        <is>
          <t>Answering Machine Autodial</t>
        </is>
      </c>
      <c r="L136" t="n">
        <v>31</v>
      </c>
      <c r="M136" t="inlineStr">
        <is>
          <t>2026-05-29 11:41:50</t>
        </is>
      </c>
      <c r="N136" t="inlineStr">
        <is>
          <t>system</t>
        </is>
      </c>
      <c r="O136" t="inlineStr">
        <is>
          <t>2026-05-15 11:58:32</t>
        </is>
      </c>
      <c r="P136" t="inlineStr">
        <is>
          <t>2026-05-15 11:58:32</t>
        </is>
      </c>
      <c r="Y136" t="inlineStr">
        <is>
          <t>27794076983</t>
        </is>
      </c>
    </row>
    <row r="137">
      <c r="A137" t="inlineStr">
        <is>
          <t>14363088</t>
        </is>
      </c>
      <c r="B137" t="inlineStr">
        <is>
          <t>bb9f36da-6381-44e9-9c09-cffde3a95343</t>
        </is>
      </c>
      <c r="D137" t="inlineStr">
        <is>
          <t>30001082</t>
        </is>
      </c>
      <c r="E137" t="inlineStr">
        <is>
          <t>ussd_funeral_leads_altitude_20260504</t>
        </is>
      </c>
      <c r="J137" t="inlineStr">
        <is>
          <t>AA</t>
        </is>
      </c>
      <c r="K137" t="inlineStr">
        <is>
          <t>Answering Machine Autodial</t>
        </is>
      </c>
      <c r="L137" t="n">
        <v>31</v>
      </c>
      <c r="M137" t="inlineStr">
        <is>
          <t>2026-05-29 11:41:50</t>
        </is>
      </c>
      <c r="N137" t="inlineStr">
        <is>
          <t>system</t>
        </is>
      </c>
      <c r="O137" t="inlineStr">
        <is>
          <t>2026-05-15 11:58:32</t>
        </is>
      </c>
      <c r="P137" t="inlineStr">
        <is>
          <t>2026-05-15 11:58:32</t>
        </is>
      </c>
      <c r="Y137" t="inlineStr">
        <is>
          <t>27799101668</t>
        </is>
      </c>
    </row>
    <row r="138">
      <c r="A138" t="inlineStr">
        <is>
          <t>14363275</t>
        </is>
      </c>
      <c r="B138" t="inlineStr">
        <is>
          <t>ac0b9f54-2969-4dc5-9cc4-e254cb606ed3</t>
        </is>
      </c>
      <c r="D138" t="inlineStr">
        <is>
          <t>30001082</t>
        </is>
      </c>
      <c r="E138" t="inlineStr">
        <is>
          <t>ussd_funeral_leads_altitude_20260504</t>
        </is>
      </c>
      <c r="J138" t="inlineStr">
        <is>
          <t>NA</t>
        </is>
      </c>
      <c r="K138" t="inlineStr">
        <is>
          <t>No Answer Autodial</t>
        </is>
      </c>
      <c r="L138" t="n">
        <v>31</v>
      </c>
      <c r="M138" t="inlineStr">
        <is>
          <t>2026-05-29 11:41:16</t>
        </is>
      </c>
      <c r="N138" t="inlineStr">
        <is>
          <t>system</t>
        </is>
      </c>
      <c r="O138" t="inlineStr">
        <is>
          <t>2026-05-15 11:58:32</t>
        </is>
      </c>
      <c r="P138" t="inlineStr">
        <is>
          <t>2026-05-15 11:58:32</t>
        </is>
      </c>
      <c r="Y138" t="inlineStr">
        <is>
          <t>27772609634</t>
        </is>
      </c>
    </row>
    <row r="139">
      <c r="A139" t="inlineStr">
        <is>
          <t>14363286</t>
        </is>
      </c>
      <c r="B139" t="inlineStr">
        <is>
          <t>605ed8a9-1bbb-4d7e-ba8f-5e0a059c9aab</t>
        </is>
      </c>
      <c r="D139" t="inlineStr">
        <is>
          <t>30001082</t>
        </is>
      </c>
      <c r="E139" t="inlineStr">
        <is>
          <t>ussd_funeral_leads_altitude_20260504</t>
        </is>
      </c>
      <c r="J139" t="inlineStr">
        <is>
          <t>CU</t>
        </is>
      </c>
      <c r="K139" t="inlineStr">
        <is>
          <t>Client Hung Up</t>
        </is>
      </c>
      <c r="L139" t="n">
        <v>31</v>
      </c>
      <c r="M139" t="inlineStr">
        <is>
          <t>2026-05-29 11:41:16</t>
        </is>
      </c>
      <c r="N139" t="inlineStr">
        <is>
          <t>Dimakatso Nkomo</t>
        </is>
      </c>
      <c r="O139" t="inlineStr">
        <is>
          <t>2026-05-15 11:58:32</t>
        </is>
      </c>
      <c r="P139" t="inlineStr">
        <is>
          <t>2026-05-15 11:58:32</t>
        </is>
      </c>
      <c r="Y139" t="inlineStr">
        <is>
          <t>27797960975</t>
        </is>
      </c>
    </row>
    <row r="140">
      <c r="A140" t="inlineStr">
        <is>
          <t>14363289</t>
        </is>
      </c>
      <c r="B140" t="inlineStr">
        <is>
          <t>743b5cd8-81bb-4fa3-bf69-17a8f3efe2ff</t>
        </is>
      </c>
      <c r="D140" t="inlineStr">
        <is>
          <t>30001082</t>
        </is>
      </c>
      <c r="E140" t="inlineStr">
        <is>
          <t>ussd_funeral_leads_altitude_20260504</t>
        </is>
      </c>
      <c r="J140" t="inlineStr">
        <is>
          <t>NA</t>
        </is>
      </c>
      <c r="K140" t="inlineStr">
        <is>
          <t>No Answer Autodial</t>
        </is>
      </c>
      <c r="L140" t="n">
        <v>31</v>
      </c>
      <c r="M140" t="inlineStr">
        <is>
          <t>2026-05-29 11:41:16</t>
        </is>
      </c>
      <c r="N140" t="inlineStr">
        <is>
          <t>system</t>
        </is>
      </c>
      <c r="O140" t="inlineStr">
        <is>
          <t>2026-05-15 11:58:32</t>
        </is>
      </c>
      <c r="P140" t="inlineStr">
        <is>
          <t>2026-05-15 11:58:32</t>
        </is>
      </c>
      <c r="Y140" t="inlineStr">
        <is>
          <t>27792560453</t>
        </is>
      </c>
    </row>
    <row r="141">
      <c r="A141" t="inlineStr">
        <is>
          <t>14363297</t>
        </is>
      </c>
      <c r="B141" t="inlineStr">
        <is>
          <t>4c966a74-95cb-475b-856f-442f4ace0378</t>
        </is>
      </c>
      <c r="D141" t="inlineStr">
        <is>
          <t>30001082</t>
        </is>
      </c>
      <c r="E141" t="inlineStr">
        <is>
          <t>ussd_funeral_leads_altitude_20260504</t>
        </is>
      </c>
      <c r="J141" t="inlineStr">
        <is>
          <t>CB</t>
        </is>
      </c>
      <c r="K141" t="inlineStr">
        <is>
          <t>Busy Tone</t>
        </is>
      </c>
      <c r="L141" t="n">
        <v>31</v>
      </c>
      <c r="M141" t="inlineStr">
        <is>
          <t>2026-05-29 11:41:16</t>
        </is>
      </c>
      <c r="N141" t="inlineStr">
        <is>
          <t>Jennifer Ngobeni</t>
        </is>
      </c>
      <c r="O141" t="inlineStr">
        <is>
          <t>2026-05-15 11:58:32</t>
        </is>
      </c>
      <c r="P141" t="inlineStr">
        <is>
          <t>2026-05-15 11:58:32</t>
        </is>
      </c>
      <c r="Y141" t="inlineStr">
        <is>
          <t>27792402315</t>
        </is>
      </c>
    </row>
    <row r="142">
      <c r="A142" t="inlineStr">
        <is>
          <t>14363300</t>
        </is>
      </c>
      <c r="B142" t="inlineStr">
        <is>
          <t>ae7dc6fe-7cd1-421b-85fa-dce50e92b713</t>
        </is>
      </c>
      <c r="D142" t="inlineStr">
        <is>
          <t>30001082</t>
        </is>
      </c>
      <c r="E142" t="inlineStr">
        <is>
          <t>ussd_funeral_leads_altitude_20260504</t>
        </is>
      </c>
      <c r="H142" t="inlineStr">
        <is>
          <t>27607692577</t>
        </is>
      </c>
      <c r="J142" t="inlineStr">
        <is>
          <t>NA</t>
        </is>
      </c>
      <c r="K142" t="inlineStr">
        <is>
          <t>No Answer Autodial</t>
        </is>
      </c>
      <c r="L142" t="n">
        <v>31</v>
      </c>
      <c r="M142" t="inlineStr">
        <is>
          <t>2026-05-29 11:41:16</t>
        </is>
      </c>
      <c r="N142" t="inlineStr">
        <is>
          <t>system</t>
        </is>
      </c>
      <c r="O142" t="inlineStr">
        <is>
          <t>2026-05-15 11:58:32</t>
        </is>
      </c>
      <c r="P142" t="inlineStr">
        <is>
          <t>2026-05-15 11:58:32</t>
        </is>
      </c>
      <c r="Y142" t="inlineStr">
        <is>
          <t>27607692577</t>
        </is>
      </c>
    </row>
    <row r="143">
      <c r="A143" t="inlineStr">
        <is>
          <t>14363271</t>
        </is>
      </c>
      <c r="B143" t="inlineStr">
        <is>
          <t>68354e97-8d8e-456a-a936-5f124830504c</t>
        </is>
      </c>
      <c r="D143" t="inlineStr">
        <is>
          <t>30001082</t>
        </is>
      </c>
      <c r="E143" t="inlineStr">
        <is>
          <t>ussd_funeral_leads_altitude_20260504</t>
        </is>
      </c>
      <c r="J143" t="inlineStr">
        <is>
          <t>NA</t>
        </is>
      </c>
      <c r="K143" t="inlineStr">
        <is>
          <t>No Answer Autodial</t>
        </is>
      </c>
      <c r="L143" t="n">
        <v>31</v>
      </c>
      <c r="M143" t="inlineStr">
        <is>
          <t>2026-05-29 11:41:15</t>
        </is>
      </c>
      <c r="N143" t="inlineStr">
        <is>
          <t>system</t>
        </is>
      </c>
      <c r="O143" t="inlineStr">
        <is>
          <t>2026-05-15 11:58:32</t>
        </is>
      </c>
      <c r="P143" t="inlineStr">
        <is>
          <t>2026-05-15 11:58:32</t>
        </is>
      </c>
      <c r="Y143" t="inlineStr">
        <is>
          <t>27711003197</t>
        </is>
      </c>
    </row>
    <row r="144">
      <c r="A144" t="inlineStr">
        <is>
          <t>14363255</t>
        </is>
      </c>
      <c r="B144" t="inlineStr">
        <is>
          <t>42109d40-f4d2-4492-9923-4ef4a32ed46d</t>
        </is>
      </c>
      <c r="D144" t="inlineStr">
        <is>
          <t>30001082</t>
        </is>
      </c>
      <c r="E144" t="inlineStr">
        <is>
          <t>ussd_funeral_leads_altitude_20260504</t>
        </is>
      </c>
      <c r="J144" t="inlineStr">
        <is>
          <t>NA</t>
        </is>
      </c>
      <c r="K144" t="inlineStr">
        <is>
          <t>No Answer Autodial</t>
        </is>
      </c>
      <c r="L144" t="n">
        <v>31</v>
      </c>
      <c r="M144" t="inlineStr">
        <is>
          <t>2026-05-29 11:41:12</t>
        </is>
      </c>
      <c r="N144" t="inlineStr">
        <is>
          <t>system</t>
        </is>
      </c>
      <c r="O144" t="inlineStr">
        <is>
          <t>2026-05-15 11:58:32</t>
        </is>
      </c>
      <c r="P144" t="inlineStr">
        <is>
          <t>2026-05-15 11:58:32</t>
        </is>
      </c>
      <c r="Y144" t="inlineStr">
        <is>
          <t>27792465673</t>
        </is>
      </c>
    </row>
    <row r="145">
      <c r="A145" t="inlineStr">
        <is>
          <t>14363262</t>
        </is>
      </c>
      <c r="B145" t="inlineStr">
        <is>
          <t>77072db9-204e-41be-8646-f861634fdf0c</t>
        </is>
      </c>
      <c r="D145" t="inlineStr">
        <is>
          <t>30001082</t>
        </is>
      </c>
      <c r="E145" t="inlineStr">
        <is>
          <t>ussd_funeral_leads_altitude_20260504</t>
        </is>
      </c>
      <c r="J145" t="inlineStr">
        <is>
          <t>AA</t>
        </is>
      </c>
      <c r="K145" t="inlineStr">
        <is>
          <t>Answering Machine Autodial</t>
        </is>
      </c>
      <c r="L145" t="n">
        <v>31</v>
      </c>
      <c r="M145" t="inlineStr">
        <is>
          <t>2026-05-29 11:41:12</t>
        </is>
      </c>
      <c r="N145" t="inlineStr">
        <is>
          <t>system</t>
        </is>
      </c>
      <c r="O145" t="inlineStr">
        <is>
          <t>2026-05-15 11:58:32</t>
        </is>
      </c>
      <c r="P145" t="inlineStr">
        <is>
          <t>2026-05-15 11:58:32</t>
        </is>
      </c>
      <c r="Y145" t="inlineStr">
        <is>
          <t>27673690666</t>
        </is>
      </c>
    </row>
    <row r="146">
      <c r="A146" t="inlineStr">
        <is>
          <t>14363215</t>
        </is>
      </c>
      <c r="B146" t="inlineStr">
        <is>
          <t>74688f6e-3cac-436d-981e-09893da97a62</t>
        </is>
      </c>
      <c r="D146" t="inlineStr">
        <is>
          <t>30001082</t>
        </is>
      </c>
      <c r="E146" t="inlineStr">
        <is>
          <t>ussd_funeral_leads_altitude_20260504</t>
        </is>
      </c>
      <c r="J146" t="inlineStr">
        <is>
          <t>CU</t>
        </is>
      </c>
      <c r="K146" t="inlineStr">
        <is>
          <t>Client Hung Up</t>
        </is>
      </c>
      <c r="L146" t="n">
        <v>31</v>
      </c>
      <c r="M146" t="inlineStr">
        <is>
          <t>2026-05-29 11:41:11</t>
        </is>
      </c>
      <c r="N146" t="inlineStr">
        <is>
          <t>Vuyiswa Nxumalo</t>
        </is>
      </c>
      <c r="O146" t="inlineStr">
        <is>
          <t>2026-05-15 11:58:32</t>
        </is>
      </c>
      <c r="P146" t="inlineStr">
        <is>
          <t>2026-05-15 11:58:32</t>
        </is>
      </c>
      <c r="Y146" t="inlineStr">
        <is>
          <t>27721920158</t>
        </is>
      </c>
    </row>
    <row r="147">
      <c r="A147" t="inlineStr">
        <is>
          <t>14363176</t>
        </is>
      </c>
      <c r="B147" t="inlineStr">
        <is>
          <t>e11ffed1-4403-4b9a-a0f4-55166e8f5530</t>
        </is>
      </c>
      <c r="D147" t="inlineStr">
        <is>
          <t>30001082</t>
        </is>
      </c>
      <c r="E147" t="inlineStr">
        <is>
          <t>ussd_funeral_leads_altitude_20260504</t>
        </is>
      </c>
      <c r="J147" t="inlineStr">
        <is>
          <t>AA</t>
        </is>
      </c>
      <c r="K147" t="inlineStr">
        <is>
          <t>Answering Machine Autodial</t>
        </is>
      </c>
      <c r="L147" t="n">
        <v>31</v>
      </c>
      <c r="M147" t="inlineStr">
        <is>
          <t>2026-05-29 11:41:10</t>
        </is>
      </c>
      <c r="N147" t="inlineStr">
        <is>
          <t>system</t>
        </is>
      </c>
      <c r="O147" t="inlineStr">
        <is>
          <t>2026-05-15 11:58:32</t>
        </is>
      </c>
      <c r="P147" t="inlineStr">
        <is>
          <t>2026-05-15 11:58:32</t>
        </is>
      </c>
      <c r="Y147" t="inlineStr">
        <is>
          <t>27715330974</t>
        </is>
      </c>
    </row>
    <row r="148">
      <c r="A148" t="inlineStr">
        <is>
          <t>14363193</t>
        </is>
      </c>
      <c r="B148" t="inlineStr">
        <is>
          <t>7c221eb2-35e5-48bb-ad18-2eb293714de6</t>
        </is>
      </c>
      <c r="D148" t="inlineStr">
        <is>
          <t>30001082</t>
        </is>
      </c>
      <c r="E148" t="inlineStr">
        <is>
          <t>ussd_funeral_leads_altitude_20260504</t>
        </is>
      </c>
      <c r="J148" t="inlineStr">
        <is>
          <t>NA</t>
        </is>
      </c>
      <c r="K148" t="inlineStr">
        <is>
          <t>No Answer Autodial</t>
        </is>
      </c>
      <c r="L148" t="n">
        <v>31</v>
      </c>
      <c r="M148" t="inlineStr">
        <is>
          <t>2026-05-29 11:41:10</t>
        </is>
      </c>
      <c r="N148" t="inlineStr">
        <is>
          <t>system</t>
        </is>
      </c>
      <c r="O148" t="inlineStr">
        <is>
          <t>2026-05-15 11:58:32</t>
        </is>
      </c>
      <c r="P148" t="inlineStr">
        <is>
          <t>2026-05-15 11:58:32</t>
        </is>
      </c>
      <c r="Y148" t="inlineStr">
        <is>
          <t>27797444168</t>
        </is>
      </c>
    </row>
    <row r="149">
      <c r="A149" t="inlineStr">
        <is>
          <t>14363196</t>
        </is>
      </c>
      <c r="B149" t="inlineStr">
        <is>
          <t>ff2916b8-ab89-4522-b6ba-552633b8d6da</t>
        </is>
      </c>
      <c r="D149" t="inlineStr">
        <is>
          <t>30001082</t>
        </is>
      </c>
      <c r="E149" t="inlineStr">
        <is>
          <t>ussd_funeral_leads_altitude_20260504</t>
        </is>
      </c>
      <c r="J149" t="inlineStr">
        <is>
          <t>NI</t>
        </is>
      </c>
      <c r="K149" t="inlineStr">
        <is>
          <t>Not Interested</t>
        </is>
      </c>
      <c r="L149" t="n">
        <v>31</v>
      </c>
      <c r="M149" t="inlineStr">
        <is>
          <t>2026-05-29 11:41:10</t>
        </is>
      </c>
      <c r="N149" t="inlineStr">
        <is>
          <t>Goitsimang Mogwasa</t>
        </is>
      </c>
      <c r="O149" t="inlineStr">
        <is>
          <t>2026-05-15 11:58:32</t>
        </is>
      </c>
      <c r="P149" t="inlineStr">
        <is>
          <t>2026-05-15 11:58:32</t>
        </is>
      </c>
      <c r="Y149" t="inlineStr">
        <is>
          <t>27761285725</t>
        </is>
      </c>
    </row>
    <row r="150">
      <c r="A150" t="inlineStr">
        <is>
          <t>14363199</t>
        </is>
      </c>
      <c r="B150" t="inlineStr">
        <is>
          <t>02399aa7-6ffc-4434-a6b7-f814582ebf47</t>
        </is>
      </c>
      <c r="D150" t="inlineStr">
        <is>
          <t>30001082</t>
        </is>
      </c>
      <c r="E150" t="inlineStr">
        <is>
          <t>ussd_funeral_leads_altitude_20260504</t>
        </is>
      </c>
      <c r="J150" t="inlineStr">
        <is>
          <t>AE</t>
        </is>
      </c>
      <c r="K150" t="inlineStr">
        <is>
          <t>Auto Engaged</t>
        </is>
      </c>
      <c r="L150" t="n">
        <v>31</v>
      </c>
      <c r="M150" t="inlineStr">
        <is>
          <t>2026-05-29 11:41:10</t>
        </is>
      </c>
      <c r="N150" t="inlineStr">
        <is>
          <t>system</t>
        </is>
      </c>
      <c r="O150" t="inlineStr">
        <is>
          <t>2026-05-15 11:58:32</t>
        </is>
      </c>
      <c r="P150" t="inlineStr">
        <is>
          <t>2026-05-15 11:58:32</t>
        </is>
      </c>
      <c r="Y150" t="inlineStr">
        <is>
          <t>27768548779</t>
        </is>
      </c>
    </row>
    <row r="151">
      <c r="A151" t="inlineStr">
        <is>
          <t>14363173</t>
        </is>
      </c>
      <c r="B151" t="inlineStr">
        <is>
          <t>16dfcbdf-f9fa-4b3f-a6a8-682e909ecad2</t>
        </is>
      </c>
      <c r="D151" t="inlineStr">
        <is>
          <t>30001082</t>
        </is>
      </c>
      <c r="E151" t="inlineStr">
        <is>
          <t>ussd_funeral_leads_altitude_20260504</t>
        </is>
      </c>
      <c r="J151" t="inlineStr">
        <is>
          <t>AA</t>
        </is>
      </c>
      <c r="K151" t="inlineStr">
        <is>
          <t>Answering Machine Autodial</t>
        </is>
      </c>
      <c r="L151" t="n">
        <v>31</v>
      </c>
      <c r="M151" t="inlineStr">
        <is>
          <t>2026-05-29 11:40:35</t>
        </is>
      </c>
      <c r="N151" t="inlineStr">
        <is>
          <t>system</t>
        </is>
      </c>
      <c r="O151" t="inlineStr">
        <is>
          <t>2026-05-15 11:58:32</t>
        </is>
      </c>
      <c r="P151" t="inlineStr">
        <is>
          <t>2026-05-15 11:58:32</t>
        </is>
      </c>
      <c r="Y151" t="inlineStr">
        <is>
          <t>27728697092</t>
        </is>
      </c>
    </row>
    <row r="152">
      <c r="A152" t="inlineStr">
        <is>
          <t>14363171</t>
        </is>
      </c>
      <c r="B152" t="inlineStr">
        <is>
          <t>09f21cca-fe86-4c52-8371-ef493247fabb</t>
        </is>
      </c>
      <c r="D152" t="inlineStr">
        <is>
          <t>30001082</t>
        </is>
      </c>
      <c r="E152" t="inlineStr">
        <is>
          <t>ussd_funeral_leads_altitude_20260504</t>
        </is>
      </c>
      <c r="J152" t="inlineStr">
        <is>
          <t>AA</t>
        </is>
      </c>
      <c r="K152" t="inlineStr">
        <is>
          <t>Answering Machine Autodial</t>
        </is>
      </c>
      <c r="L152" t="n">
        <v>31</v>
      </c>
      <c r="M152" t="inlineStr">
        <is>
          <t>2026-05-29 11:40:30</t>
        </is>
      </c>
      <c r="N152" t="inlineStr">
        <is>
          <t>system</t>
        </is>
      </c>
      <c r="O152" t="inlineStr">
        <is>
          <t>2026-05-15 11:58:32</t>
        </is>
      </c>
      <c r="P152" t="inlineStr">
        <is>
          <t>2026-05-15 11:58:32</t>
        </is>
      </c>
      <c r="Y152" t="inlineStr">
        <is>
          <t>27826299068</t>
        </is>
      </c>
    </row>
    <row r="153">
      <c r="A153" t="inlineStr">
        <is>
          <t>14363164</t>
        </is>
      </c>
      <c r="B153" t="inlineStr">
        <is>
          <t>1e6c2da9-12a5-4c41-91ec-ff965ae93386</t>
        </is>
      </c>
      <c r="D153" t="inlineStr">
        <is>
          <t>30001082</t>
        </is>
      </c>
      <c r="E153" t="inlineStr">
        <is>
          <t>ussd_funeral_leads_altitude_20260504</t>
        </is>
      </c>
      <c r="H153" t="inlineStr">
        <is>
          <t>27798372855</t>
        </is>
      </c>
      <c r="J153" t="inlineStr">
        <is>
          <t>CU</t>
        </is>
      </c>
      <c r="K153" t="inlineStr">
        <is>
          <t>Client Hung Up</t>
        </is>
      </c>
      <c r="L153" t="n">
        <v>31</v>
      </c>
      <c r="M153" t="inlineStr">
        <is>
          <t>2026-05-29 11:40:28</t>
        </is>
      </c>
      <c r="N153" t="inlineStr">
        <is>
          <t>Gugulethu Duma</t>
        </is>
      </c>
      <c r="O153" t="inlineStr">
        <is>
          <t>2026-05-15 11:58:32</t>
        </is>
      </c>
      <c r="P153" t="inlineStr">
        <is>
          <t>2026-05-15 11:58:32</t>
        </is>
      </c>
      <c r="Y153" t="inlineStr">
        <is>
          <t>27798372855</t>
        </is>
      </c>
    </row>
    <row r="154">
      <c r="A154" t="inlineStr">
        <is>
          <t>14363147</t>
        </is>
      </c>
      <c r="B154" t="inlineStr">
        <is>
          <t>02c06917-8a6e-464c-996a-aa0d8b960225</t>
        </is>
      </c>
      <c r="D154" t="inlineStr">
        <is>
          <t>30001082</t>
        </is>
      </c>
      <c r="E154" t="inlineStr">
        <is>
          <t>ussd_funeral_leads_altitude_20260504</t>
        </is>
      </c>
      <c r="J154" t="inlineStr">
        <is>
          <t>AE</t>
        </is>
      </c>
      <c r="K154" t="inlineStr">
        <is>
          <t>Auto Engaged</t>
        </is>
      </c>
      <c r="L154" t="n">
        <v>31</v>
      </c>
      <c r="M154" t="inlineStr">
        <is>
          <t>2026-05-29 11:40:27</t>
        </is>
      </c>
      <c r="N154" t="inlineStr">
        <is>
          <t>system</t>
        </is>
      </c>
      <c r="O154" t="inlineStr">
        <is>
          <t>2026-05-15 11:58:32</t>
        </is>
      </c>
      <c r="P154" t="inlineStr">
        <is>
          <t>2026-05-15 11:58:32</t>
        </is>
      </c>
      <c r="Y154" t="inlineStr">
        <is>
          <t>27729651964</t>
        </is>
      </c>
    </row>
    <row r="155">
      <c r="A155" t="inlineStr">
        <is>
          <t>14363157</t>
        </is>
      </c>
      <c r="B155" t="inlineStr">
        <is>
          <t>0bd0c2e0-9081-42a8-9dba-fd0ab02c5a01</t>
        </is>
      </c>
      <c r="D155" t="inlineStr">
        <is>
          <t>30001082</t>
        </is>
      </c>
      <c r="E155" t="inlineStr">
        <is>
          <t>ussd_funeral_leads_altitude_20260504</t>
        </is>
      </c>
      <c r="J155" t="inlineStr">
        <is>
          <t>AA</t>
        </is>
      </c>
      <c r="K155" t="inlineStr">
        <is>
          <t>Answering Machine Autodial</t>
        </is>
      </c>
      <c r="L155" t="n">
        <v>31</v>
      </c>
      <c r="M155" t="inlineStr">
        <is>
          <t>2026-05-29 11:40:27</t>
        </is>
      </c>
      <c r="N155" t="inlineStr">
        <is>
          <t>system</t>
        </is>
      </c>
      <c r="O155" t="inlineStr">
        <is>
          <t>2026-05-15 11:58:32</t>
        </is>
      </c>
      <c r="P155" t="inlineStr">
        <is>
          <t>2026-05-15 11:58:32</t>
        </is>
      </c>
      <c r="Y155" t="inlineStr">
        <is>
          <t>27724638250</t>
        </is>
      </c>
    </row>
    <row r="156">
      <c r="A156" t="inlineStr">
        <is>
          <t>14363161</t>
        </is>
      </c>
      <c r="B156" t="inlineStr">
        <is>
          <t>7db8574f-a248-4a90-8294-808442667455</t>
        </is>
      </c>
      <c r="D156" t="inlineStr">
        <is>
          <t>30001082</t>
        </is>
      </c>
      <c r="E156" t="inlineStr">
        <is>
          <t>ussd_funeral_leads_altitude_20260504</t>
        </is>
      </c>
      <c r="J156" t="inlineStr">
        <is>
          <t>NA</t>
        </is>
      </c>
      <c r="K156" t="inlineStr">
        <is>
          <t>No Answer Autodial</t>
        </is>
      </c>
      <c r="L156" t="n">
        <v>31</v>
      </c>
      <c r="M156" t="inlineStr">
        <is>
          <t>2026-05-29 11:40:27</t>
        </is>
      </c>
      <c r="N156" t="inlineStr">
        <is>
          <t>system</t>
        </is>
      </c>
      <c r="O156" t="inlineStr">
        <is>
          <t>2026-05-15 11:58:32</t>
        </is>
      </c>
      <c r="P156" t="inlineStr">
        <is>
          <t>2026-05-15 11:58:32</t>
        </is>
      </c>
      <c r="Y156" t="inlineStr">
        <is>
          <t>27723709912</t>
        </is>
      </c>
    </row>
    <row r="157">
      <c r="A157" t="inlineStr">
        <is>
          <t>14400000</t>
        </is>
      </c>
      <c r="B157" t="inlineStr">
        <is>
          <t>e394ea0d-8c34-49ef-b98a-c66037f75a71</t>
        </is>
      </c>
      <c r="D157" t="inlineStr">
        <is>
          <t>30001082</t>
        </is>
      </c>
      <c r="E157" t="inlineStr">
        <is>
          <t>ussd_funeral_leads_altitude_20260504</t>
        </is>
      </c>
      <c r="J157" t="inlineStr">
        <is>
          <t>AA</t>
        </is>
      </c>
      <c r="K157" t="inlineStr">
        <is>
          <t>Answering Machine Autodial</t>
        </is>
      </c>
      <c r="L157" t="n">
        <v>31</v>
      </c>
      <c r="M157" t="inlineStr">
        <is>
          <t>2026-05-29 11:40:27</t>
        </is>
      </c>
      <c r="N157" t="inlineStr">
        <is>
          <t>system</t>
        </is>
      </c>
      <c r="O157" t="inlineStr">
        <is>
          <t>2026-05-15 11:58:32</t>
        </is>
      </c>
      <c r="P157" t="inlineStr">
        <is>
          <t>2026-05-15 11:58:32</t>
        </is>
      </c>
      <c r="Y157" t="inlineStr">
        <is>
          <t>27647468101</t>
        </is>
      </c>
    </row>
    <row r="158">
      <c r="A158" t="inlineStr">
        <is>
          <t>14363140</t>
        </is>
      </c>
      <c r="B158" t="inlineStr">
        <is>
          <t>cff1741a-da46-4339-9b14-c60742f06fbf</t>
        </is>
      </c>
      <c r="D158" t="inlineStr">
        <is>
          <t>30001082</t>
        </is>
      </c>
      <c r="E158" t="inlineStr">
        <is>
          <t>ussd_funeral_leads_altitude_20260504</t>
        </is>
      </c>
      <c r="J158" t="inlineStr">
        <is>
          <t>A</t>
        </is>
      </c>
      <c r="K158" t="inlineStr">
        <is>
          <t>Answering Machine</t>
        </is>
      </c>
      <c r="L158" t="n">
        <v>31</v>
      </c>
      <c r="M158" t="inlineStr">
        <is>
          <t>2026-05-29 11:40:25</t>
        </is>
      </c>
      <c r="N158" t="inlineStr">
        <is>
          <t>Vuyiswa Nxumalo</t>
        </is>
      </c>
      <c r="O158" t="inlineStr">
        <is>
          <t>2026-05-15 11:58:32</t>
        </is>
      </c>
      <c r="P158" t="inlineStr">
        <is>
          <t>2026-05-15 11:58:32</t>
        </is>
      </c>
      <c r="Y158" t="inlineStr">
        <is>
          <t>27772658504</t>
        </is>
      </c>
    </row>
    <row r="159">
      <c r="A159" t="inlineStr">
        <is>
          <t>14363126</t>
        </is>
      </c>
      <c r="B159" t="inlineStr">
        <is>
          <t>2b0725c6-d8ec-4fc2-80f1-fa96518a7475</t>
        </is>
      </c>
      <c r="D159" t="inlineStr">
        <is>
          <t>30001082</t>
        </is>
      </c>
      <c r="E159" t="inlineStr">
        <is>
          <t>ussd_funeral_leads_altitude_20260504</t>
        </is>
      </c>
      <c r="J159" t="inlineStr">
        <is>
          <t>AA</t>
        </is>
      </c>
      <c r="K159" t="inlineStr">
        <is>
          <t>Answering Machine Autodial</t>
        </is>
      </c>
      <c r="L159" t="n">
        <v>31</v>
      </c>
      <c r="M159" t="inlineStr">
        <is>
          <t>2026-05-29 11:40:24</t>
        </is>
      </c>
      <c r="N159" t="inlineStr">
        <is>
          <t>system</t>
        </is>
      </c>
      <c r="O159" t="inlineStr">
        <is>
          <t>2026-05-15 11:58:32</t>
        </is>
      </c>
      <c r="P159" t="inlineStr">
        <is>
          <t>2026-05-15 11:58:32</t>
        </is>
      </c>
      <c r="Y159" t="inlineStr">
        <is>
          <t>27661562406</t>
        </is>
      </c>
    </row>
    <row r="160">
      <c r="A160" t="inlineStr">
        <is>
          <t>14362965</t>
        </is>
      </c>
      <c r="B160" t="inlineStr">
        <is>
          <t>2b495b91-0347-41b8-a9fc-e220d85b1fc4</t>
        </is>
      </c>
      <c r="D160" t="inlineStr">
        <is>
          <t>30001082</t>
        </is>
      </c>
      <c r="E160" t="inlineStr">
        <is>
          <t>ussd_funeral_leads_altitude_20260504</t>
        </is>
      </c>
      <c r="J160" t="inlineStr">
        <is>
          <t>AA</t>
        </is>
      </c>
      <c r="K160" t="inlineStr">
        <is>
          <t>Answering Machine Autodial</t>
        </is>
      </c>
      <c r="L160" t="n">
        <v>31</v>
      </c>
      <c r="M160" t="inlineStr">
        <is>
          <t>2026-05-29 11:40:21</t>
        </is>
      </c>
      <c r="N160" t="inlineStr">
        <is>
          <t>system</t>
        </is>
      </c>
      <c r="O160" t="inlineStr">
        <is>
          <t>2026-05-15 11:58:32</t>
        </is>
      </c>
      <c r="P160" t="inlineStr">
        <is>
          <t>2026-05-15 11:58:32</t>
        </is>
      </c>
      <c r="Y160" t="inlineStr">
        <is>
          <t>27823928391</t>
        </is>
      </c>
    </row>
    <row r="161">
      <c r="A161" t="inlineStr">
        <is>
          <t>14362954</t>
        </is>
      </c>
      <c r="B161" t="inlineStr">
        <is>
          <t>b300298a-18aa-406f-b79e-ec0050a305c1</t>
        </is>
      </c>
      <c r="D161" t="inlineStr">
        <is>
          <t>30001082</t>
        </is>
      </c>
      <c r="E161" t="inlineStr">
        <is>
          <t>ussd_funeral_leads_altitude_20260504</t>
        </is>
      </c>
      <c r="H161" t="inlineStr">
        <is>
          <t>27649517416</t>
        </is>
      </c>
      <c r="J161" t="inlineStr">
        <is>
          <t>NA</t>
        </is>
      </c>
      <c r="K161" t="inlineStr">
        <is>
          <t>No Answer Autodial</t>
        </is>
      </c>
      <c r="L161" t="n">
        <v>31</v>
      </c>
      <c r="M161" t="inlineStr">
        <is>
          <t>2026-05-29 11:40:21</t>
        </is>
      </c>
      <c r="N161" t="inlineStr">
        <is>
          <t>system</t>
        </is>
      </c>
      <c r="O161" t="inlineStr">
        <is>
          <t>2026-05-15 11:58:32</t>
        </is>
      </c>
      <c r="P161" t="inlineStr">
        <is>
          <t>2026-05-15 11:58:32</t>
        </is>
      </c>
      <c r="Y161" t="inlineStr">
        <is>
          <t>27649517416</t>
        </is>
      </c>
    </row>
    <row r="162">
      <c r="A162" t="inlineStr">
        <is>
          <t>14363063</t>
        </is>
      </c>
      <c r="B162" t="inlineStr">
        <is>
          <t>bded7140-92ea-4df7-8fe9-7b9df6ceb29c</t>
        </is>
      </c>
      <c r="D162" t="inlineStr">
        <is>
          <t>30001082</t>
        </is>
      </c>
      <c r="E162" t="inlineStr">
        <is>
          <t>ussd_funeral_leads_altitude_20260504</t>
        </is>
      </c>
      <c r="J162" t="inlineStr">
        <is>
          <t>NA</t>
        </is>
      </c>
      <c r="K162" t="inlineStr">
        <is>
          <t>No Answer Autodial</t>
        </is>
      </c>
      <c r="L162" t="n">
        <v>31</v>
      </c>
      <c r="M162" t="inlineStr">
        <is>
          <t>2026-05-29 10:13:45</t>
        </is>
      </c>
      <c r="N162" t="inlineStr">
        <is>
          <t>system</t>
        </is>
      </c>
      <c r="O162" t="inlineStr">
        <is>
          <t>2026-05-15 11:58:32</t>
        </is>
      </c>
      <c r="P162" t="inlineStr">
        <is>
          <t>2026-05-15 11:58:32</t>
        </is>
      </c>
      <c r="Y162" t="inlineStr">
        <is>
          <t>27790322577</t>
        </is>
      </c>
    </row>
    <row r="163">
      <c r="A163" t="inlineStr">
        <is>
          <t>14363234</t>
        </is>
      </c>
      <c r="B163" t="inlineStr">
        <is>
          <t>2c9a0437-85d3-45e3-80a4-f7ddd0fab607</t>
        </is>
      </c>
      <c r="D163" t="inlineStr">
        <is>
          <t>30001082</t>
        </is>
      </c>
      <c r="E163" t="inlineStr">
        <is>
          <t>ussd_funeral_leads_altitude_20260504</t>
        </is>
      </c>
      <c r="J163" t="inlineStr">
        <is>
          <t>NA</t>
        </is>
      </c>
      <c r="K163" t="inlineStr">
        <is>
          <t>No Answer Autodial</t>
        </is>
      </c>
      <c r="L163" t="n">
        <v>31</v>
      </c>
      <c r="M163" t="inlineStr">
        <is>
          <t>2026-05-29 10:12:30</t>
        </is>
      </c>
      <c r="N163" t="inlineStr">
        <is>
          <t>system</t>
        </is>
      </c>
      <c r="O163" t="inlineStr">
        <is>
          <t>2026-05-15 11:58:32</t>
        </is>
      </c>
      <c r="P163" t="inlineStr">
        <is>
          <t>2026-05-15 11:58:32</t>
        </is>
      </c>
      <c r="Y163" t="inlineStr">
        <is>
          <t>27647091154</t>
        </is>
      </c>
    </row>
    <row r="164">
      <c r="A164" t="inlineStr">
        <is>
          <t>14362937</t>
        </is>
      </c>
      <c r="B164" t="inlineStr">
        <is>
          <t>82fe30eb-fef0-45da-be52-f6e90558aaa4</t>
        </is>
      </c>
      <c r="D164" t="inlineStr">
        <is>
          <t>30001082</t>
        </is>
      </c>
      <c r="E164" t="inlineStr">
        <is>
          <t>ussd_funeral_leads_altitude_20260504</t>
        </is>
      </c>
      <c r="J164" t="inlineStr">
        <is>
          <t>LANG</t>
        </is>
      </c>
      <c r="K164" t="inlineStr">
        <is>
          <t>Language Barrier</t>
        </is>
      </c>
      <c r="L164" t="n">
        <v>31</v>
      </c>
      <c r="M164" t="inlineStr">
        <is>
          <t>2026-05-29 10:11:50</t>
        </is>
      </c>
      <c r="N164" t="inlineStr">
        <is>
          <t>Virginia Letsatsi</t>
        </is>
      </c>
      <c r="O164" t="inlineStr">
        <is>
          <t>2026-05-15 11:58:32</t>
        </is>
      </c>
      <c r="P164" t="inlineStr">
        <is>
          <t>2026-05-15 11:58:32</t>
        </is>
      </c>
      <c r="Y164" t="inlineStr">
        <is>
          <t>27637976932</t>
        </is>
      </c>
    </row>
    <row r="165">
      <c r="A165" t="inlineStr">
        <is>
          <t>14363134</t>
        </is>
      </c>
      <c r="B165" t="inlineStr">
        <is>
          <t>23cb8f80-08b6-4b55-bbba-294e1cd81cff</t>
        </is>
      </c>
      <c r="D165" t="inlineStr">
        <is>
          <t>30001082</t>
        </is>
      </c>
      <c r="E165" t="inlineStr">
        <is>
          <t>ussd_funeral_leads_altitude_20260504</t>
        </is>
      </c>
      <c r="J165" t="inlineStr">
        <is>
          <t>AA</t>
        </is>
      </c>
      <c r="K165" t="inlineStr">
        <is>
          <t>Answering Machine Autodial</t>
        </is>
      </c>
      <c r="L165" t="n">
        <v>31</v>
      </c>
      <c r="M165" t="inlineStr">
        <is>
          <t>2026-05-29 09:12:32</t>
        </is>
      </c>
      <c r="N165" t="inlineStr">
        <is>
          <t>system</t>
        </is>
      </c>
      <c r="O165" t="inlineStr">
        <is>
          <t>2026-05-15 11:58:32</t>
        </is>
      </c>
      <c r="P165" t="inlineStr">
        <is>
          <t>2026-05-15 11:58:32</t>
        </is>
      </c>
      <c r="Y165" t="inlineStr">
        <is>
          <t>27648386103</t>
        </is>
      </c>
    </row>
    <row r="166">
      <c r="A166" t="inlineStr">
        <is>
          <t>14363310</t>
        </is>
      </c>
      <c r="B166" t="inlineStr">
        <is>
          <t>12f41630-fcad-4cc5-b28b-63296d94513f</t>
        </is>
      </c>
      <c r="D166" t="inlineStr">
        <is>
          <t>30001082</t>
        </is>
      </c>
      <c r="E166" t="inlineStr">
        <is>
          <t>ussd_funeral_leads_altitude_20260504</t>
        </is>
      </c>
      <c r="J166" t="inlineStr">
        <is>
          <t>ADC</t>
        </is>
      </c>
      <c r="K166" t="inlineStr">
        <is>
          <t>Auto Dial Disconnected</t>
        </is>
      </c>
      <c r="L166" t="n">
        <v>31</v>
      </c>
      <c r="M166" t="inlineStr">
        <is>
          <t>2026-05-29 09:12:32</t>
        </is>
      </c>
      <c r="N166" t="inlineStr">
        <is>
          <t>system</t>
        </is>
      </c>
      <c r="O166" t="inlineStr">
        <is>
          <t>2026-05-15 11:58:32</t>
        </is>
      </c>
      <c r="P166" t="inlineStr">
        <is>
          <t>2026-05-15 11:58:32</t>
        </is>
      </c>
      <c r="Y166" t="inlineStr">
        <is>
          <t>27664622770</t>
        </is>
      </c>
    </row>
    <row r="167">
      <c r="A167" t="inlineStr">
        <is>
          <t>14363325</t>
        </is>
      </c>
      <c r="B167" t="inlineStr">
        <is>
          <t>6b27ea1b-0711-474b-bf0e-49566d671c03</t>
        </is>
      </c>
      <c r="D167" t="inlineStr">
        <is>
          <t>30001082</t>
        </is>
      </c>
      <c r="E167" t="inlineStr">
        <is>
          <t>ussd_funeral_leads_altitude_20260504</t>
        </is>
      </c>
      <c r="J167" t="inlineStr">
        <is>
          <t>ADC</t>
        </is>
      </c>
      <c r="K167" t="inlineStr">
        <is>
          <t>Auto Dial Disconnected</t>
        </is>
      </c>
      <c r="L167" t="n">
        <v>31</v>
      </c>
      <c r="M167" t="inlineStr">
        <is>
          <t>2026-05-29 09:12:32</t>
        </is>
      </c>
      <c r="N167" t="inlineStr">
        <is>
          <t>system</t>
        </is>
      </c>
      <c r="O167" t="inlineStr">
        <is>
          <t>2026-05-15 11:58:32</t>
        </is>
      </c>
      <c r="P167" t="inlineStr">
        <is>
          <t>2026-05-15 11:58:32</t>
        </is>
      </c>
      <c r="Y167" t="inlineStr">
        <is>
          <t>27715178666</t>
        </is>
      </c>
    </row>
    <row r="168">
      <c r="A168" t="inlineStr">
        <is>
          <t>14363172</t>
        </is>
      </c>
      <c r="B168" t="inlineStr">
        <is>
          <t>ad2aae6a-74cc-4fe8-885d-998aef8e5449</t>
        </is>
      </c>
      <c r="D168" t="inlineStr">
        <is>
          <t>30001082</t>
        </is>
      </c>
      <c r="E168" t="inlineStr">
        <is>
          <t>ussd_funeral_leads_altitude_20260504</t>
        </is>
      </c>
      <c r="H168" t="inlineStr">
        <is>
          <t>27673794279</t>
        </is>
      </c>
      <c r="J168" t="inlineStr">
        <is>
          <t>CU</t>
        </is>
      </c>
      <c r="K168" t="inlineStr">
        <is>
          <t>Client Hung Up</t>
        </is>
      </c>
      <c r="L168" t="n">
        <v>32</v>
      </c>
      <c r="M168" t="inlineStr">
        <is>
          <t>2026-05-29 07:20:08</t>
        </is>
      </c>
      <c r="N168" t="inlineStr">
        <is>
          <t>Gontse Monageng</t>
        </is>
      </c>
      <c r="O168" t="inlineStr">
        <is>
          <t>2026-05-15 11:58:32</t>
        </is>
      </c>
      <c r="P168" t="inlineStr">
        <is>
          <t>2026-05-15 11:58:32</t>
        </is>
      </c>
      <c r="Y168" t="inlineStr">
        <is>
          <t>27673794279</t>
        </is>
      </c>
    </row>
    <row r="169">
      <c r="A169" t="inlineStr">
        <is>
          <t>14362967</t>
        </is>
      </c>
      <c r="B169" t="inlineStr">
        <is>
          <t>92f58061-d818-4717-b6a1-b1de2afd046e</t>
        </is>
      </c>
      <c r="D169" t="inlineStr">
        <is>
          <t>30001082</t>
        </is>
      </c>
      <c r="E169" t="inlineStr">
        <is>
          <t>ussd_funeral_leads_altitude_20260504</t>
        </is>
      </c>
      <c r="H169" t="inlineStr">
        <is>
          <t>27793881565</t>
        </is>
      </c>
      <c r="J169" t="inlineStr">
        <is>
          <t>NA</t>
        </is>
      </c>
      <c r="K169" t="inlineStr">
        <is>
          <t>No Answer Autodial</t>
        </is>
      </c>
      <c r="L169" t="n">
        <v>31</v>
      </c>
      <c r="M169" t="inlineStr">
        <is>
          <t>2026-05-29 07:13:32</t>
        </is>
      </c>
      <c r="N169" t="inlineStr">
        <is>
          <t>system</t>
        </is>
      </c>
      <c r="O169" t="inlineStr">
        <is>
          <t>2026-05-15 11:58:32</t>
        </is>
      </c>
      <c r="P169" t="inlineStr">
        <is>
          <t>2026-05-15 11:58:32</t>
        </is>
      </c>
      <c r="Y169" t="inlineStr">
        <is>
          <t>27793881565</t>
        </is>
      </c>
    </row>
    <row r="170">
      <c r="A170" t="inlineStr">
        <is>
          <t>14363141</t>
        </is>
      </c>
      <c r="B170" t="inlineStr">
        <is>
          <t>5d8a1e68-2c69-4dd0-823b-9706a462cf54</t>
        </is>
      </c>
      <c r="D170" t="inlineStr">
        <is>
          <t>30001082</t>
        </is>
      </c>
      <c r="E170" t="inlineStr">
        <is>
          <t>ussd_funeral_leads_altitude_20260504</t>
        </is>
      </c>
      <c r="H170" t="inlineStr">
        <is>
          <t>27660479805</t>
        </is>
      </c>
      <c r="J170" t="inlineStr">
        <is>
          <t>DNQS</t>
        </is>
      </c>
      <c r="K170" t="inlineStr">
        <is>
          <t>Does Not Qualify</t>
        </is>
      </c>
      <c r="L170" t="n">
        <v>31</v>
      </c>
      <c r="M170" t="inlineStr">
        <is>
          <t>2026-05-29 07:13:32</t>
        </is>
      </c>
      <c r="N170" t="inlineStr">
        <is>
          <t>Vuyiswa Nxumalo</t>
        </is>
      </c>
      <c r="O170" t="inlineStr">
        <is>
          <t>2026-05-15 11:58:32</t>
        </is>
      </c>
      <c r="P170" t="inlineStr">
        <is>
          <t>2026-05-15 11:58:32</t>
        </is>
      </c>
      <c r="Y170" t="inlineStr">
        <is>
          <t>27660479805</t>
        </is>
      </c>
    </row>
    <row r="171">
      <c r="A171" t="inlineStr">
        <is>
          <t>14362949</t>
        </is>
      </c>
      <c r="B171" t="inlineStr">
        <is>
          <t>2f2d23d3-31b3-4637-a44e-4dad35637df3</t>
        </is>
      </c>
      <c r="D171" t="inlineStr">
        <is>
          <t>30001082</t>
        </is>
      </c>
      <c r="E171" t="inlineStr">
        <is>
          <t>ussd_funeral_leads_altitude_20260504</t>
        </is>
      </c>
      <c r="J171" t="inlineStr">
        <is>
          <t>NA</t>
        </is>
      </c>
      <c r="K171" t="inlineStr">
        <is>
          <t>No Answer Autodial</t>
        </is>
      </c>
      <c r="L171" t="n">
        <v>31</v>
      </c>
      <c r="M171" t="inlineStr">
        <is>
          <t>2026-05-29 07:13:32</t>
        </is>
      </c>
      <c r="N171" t="inlineStr">
        <is>
          <t>system</t>
        </is>
      </c>
      <c r="O171" t="inlineStr">
        <is>
          <t>2026-05-15 11:58:32</t>
        </is>
      </c>
      <c r="P171" t="inlineStr">
        <is>
          <t>2026-05-15 11:58:32</t>
        </is>
      </c>
      <c r="Y171" t="inlineStr">
        <is>
          <t>27674649399</t>
        </is>
      </c>
    </row>
    <row r="172">
      <c r="A172" t="inlineStr">
        <is>
          <t>14362959</t>
        </is>
      </c>
      <c r="B172" t="inlineStr">
        <is>
          <t>8df35518-a4ce-45ee-9048-27ec2125af85</t>
        </is>
      </c>
      <c r="D172" t="inlineStr">
        <is>
          <t>30001082</t>
        </is>
      </c>
      <c r="E172" t="inlineStr">
        <is>
          <t>ussd_funeral_leads_altitude_20260504</t>
        </is>
      </c>
      <c r="J172" t="inlineStr">
        <is>
          <t>NA</t>
        </is>
      </c>
      <c r="K172" t="inlineStr">
        <is>
          <t>No Answer Autodial</t>
        </is>
      </c>
      <c r="L172" t="n">
        <v>31</v>
      </c>
      <c r="M172" t="inlineStr">
        <is>
          <t>2026-05-29 07:13:32</t>
        </is>
      </c>
      <c r="N172" t="inlineStr">
        <is>
          <t>system</t>
        </is>
      </c>
      <c r="O172" t="inlineStr">
        <is>
          <t>2026-05-15 11:58:32</t>
        </is>
      </c>
      <c r="P172" t="inlineStr">
        <is>
          <t>2026-05-15 11:58:32</t>
        </is>
      </c>
      <c r="Y172" t="inlineStr">
        <is>
          <t>27727589682</t>
        </is>
      </c>
    </row>
    <row r="173">
      <c r="A173" t="inlineStr">
        <is>
          <t>14400000</t>
        </is>
      </c>
      <c r="B173" t="inlineStr">
        <is>
          <t>1e791b52-cc39-4bd3-911f-d446df0f55cc</t>
        </is>
      </c>
      <c r="D173" t="inlineStr">
        <is>
          <t>30001082</t>
        </is>
      </c>
      <c r="E173" t="inlineStr">
        <is>
          <t>ussd_funeral_leads_altitude_20260504</t>
        </is>
      </c>
      <c r="J173" t="inlineStr">
        <is>
          <t>AA</t>
        </is>
      </c>
      <c r="K173" t="inlineStr">
        <is>
          <t>Answering Machine Autodial</t>
        </is>
      </c>
      <c r="L173" t="n">
        <v>31</v>
      </c>
      <c r="M173" t="inlineStr">
        <is>
          <t>2026-05-29 07:13:32</t>
        </is>
      </c>
      <c r="N173" t="inlineStr">
        <is>
          <t>system</t>
        </is>
      </c>
      <c r="O173" t="inlineStr">
        <is>
          <t>2026-05-15 11:58:32</t>
        </is>
      </c>
      <c r="P173" t="inlineStr">
        <is>
          <t>2026-05-15 11:58:32</t>
        </is>
      </c>
      <c r="Y173" t="inlineStr">
        <is>
          <t>27725142855</t>
        </is>
      </c>
    </row>
    <row r="174">
      <c r="A174" t="inlineStr">
        <is>
          <t>14363447</t>
        </is>
      </c>
      <c r="B174" t="inlineStr">
        <is>
          <t>7ef27475-f8f2-457d-910c-1baa60483ad7</t>
        </is>
      </c>
      <c r="D174" t="inlineStr">
        <is>
          <t>30001082</t>
        </is>
      </c>
      <c r="E174" t="inlineStr">
        <is>
          <t>ussd_funeral_leads_altitude_20260504</t>
        </is>
      </c>
      <c r="J174" t="inlineStr">
        <is>
          <t>NA</t>
        </is>
      </c>
      <c r="K174" t="inlineStr">
        <is>
          <t>No Answer Autodial</t>
        </is>
      </c>
      <c r="L174" t="n">
        <v>31</v>
      </c>
      <c r="M174" t="inlineStr">
        <is>
          <t>2026-05-29 07:13:31</t>
        </is>
      </c>
      <c r="N174" t="inlineStr">
        <is>
          <t>system</t>
        </is>
      </c>
      <c r="O174" t="inlineStr">
        <is>
          <t>2026-05-15 11:58:32</t>
        </is>
      </c>
      <c r="P174" t="inlineStr">
        <is>
          <t>2026-05-15 11:58:32</t>
        </is>
      </c>
      <c r="Y174" t="inlineStr">
        <is>
          <t>27791254985</t>
        </is>
      </c>
    </row>
    <row r="175">
      <c r="A175" t="inlineStr">
        <is>
          <t>14363029</t>
        </is>
      </c>
      <c r="B175" t="inlineStr">
        <is>
          <t>3206e232-8f4b-4b8c-8cc1-779568ce058c</t>
        </is>
      </c>
      <c r="D175" t="inlineStr">
        <is>
          <t>30001082</t>
        </is>
      </c>
      <c r="E175" t="inlineStr">
        <is>
          <t>ussd_funeral_leads_altitude_20260504</t>
        </is>
      </c>
      <c r="H175" t="inlineStr">
        <is>
          <t>27714828629</t>
        </is>
      </c>
      <c r="J175" t="inlineStr">
        <is>
          <t>CU</t>
        </is>
      </c>
      <c r="K175" t="inlineStr">
        <is>
          <t>Client Hung Up</t>
        </is>
      </c>
      <c r="L175" t="n">
        <v>31</v>
      </c>
      <c r="M175" t="inlineStr">
        <is>
          <t>2026-05-29 07:13:29</t>
        </is>
      </c>
      <c r="N175" t="inlineStr">
        <is>
          <t>Goitsimang Mogwasa</t>
        </is>
      </c>
      <c r="O175" t="inlineStr">
        <is>
          <t>2026-05-15 11:58:32</t>
        </is>
      </c>
      <c r="P175" t="inlineStr">
        <is>
          <t>2026-05-15 11:58:32</t>
        </is>
      </c>
      <c r="Y175" t="inlineStr">
        <is>
          <t>27714828629</t>
        </is>
      </c>
    </row>
    <row r="176">
      <c r="A176" t="inlineStr">
        <is>
          <t>14363049</t>
        </is>
      </c>
      <c r="B176" t="inlineStr">
        <is>
          <t>02471312-cd1f-426b-9922-c164808041cd</t>
        </is>
      </c>
      <c r="D176" t="inlineStr">
        <is>
          <t>30001082</t>
        </is>
      </c>
      <c r="E176" t="inlineStr">
        <is>
          <t>ussd_funeral_leads_altitude_20260504</t>
        </is>
      </c>
      <c r="J176" t="inlineStr">
        <is>
          <t>CU</t>
        </is>
      </c>
      <c r="K176" t="inlineStr">
        <is>
          <t>Client Hung Up</t>
        </is>
      </c>
      <c r="L176" t="n">
        <v>31</v>
      </c>
      <c r="M176" t="inlineStr">
        <is>
          <t>2026-05-29 07:13:23</t>
        </is>
      </c>
      <c r="N176" t="inlineStr">
        <is>
          <t>Goitsimang Mogwasa</t>
        </is>
      </c>
      <c r="O176" t="inlineStr">
        <is>
          <t>2026-05-15 11:58:32</t>
        </is>
      </c>
      <c r="P176" t="inlineStr">
        <is>
          <t>2026-05-15 11:58:32</t>
        </is>
      </c>
      <c r="Y176" t="inlineStr">
        <is>
          <t>27762370695</t>
        </is>
      </c>
    </row>
    <row r="177">
      <c r="A177" t="inlineStr">
        <is>
          <t>14363075</t>
        </is>
      </c>
      <c r="B177" t="inlineStr">
        <is>
          <t>e78a25f6-25cf-490a-9fd7-ce5671edf6d8</t>
        </is>
      </c>
      <c r="D177" t="inlineStr">
        <is>
          <t>30001082</t>
        </is>
      </c>
      <c r="E177" t="inlineStr">
        <is>
          <t>ussd_funeral_leads_altitude_20260504</t>
        </is>
      </c>
      <c r="J177" t="inlineStr">
        <is>
          <t>ADC</t>
        </is>
      </c>
      <c r="K177" t="inlineStr">
        <is>
          <t>Auto Dial Disconnected</t>
        </is>
      </c>
      <c r="L177" t="n">
        <v>31</v>
      </c>
      <c r="M177" t="inlineStr">
        <is>
          <t>2026-05-29 07:13:23</t>
        </is>
      </c>
      <c r="N177" t="inlineStr">
        <is>
          <t>system</t>
        </is>
      </c>
      <c r="O177" t="inlineStr">
        <is>
          <t>2026-05-15 11:58:32</t>
        </is>
      </c>
      <c r="P177" t="inlineStr">
        <is>
          <t>2026-05-15 11:58:32</t>
        </is>
      </c>
      <c r="Y177" t="inlineStr">
        <is>
          <t>27649506178</t>
        </is>
      </c>
    </row>
    <row r="178">
      <c r="A178" t="inlineStr">
        <is>
          <t>14363111</t>
        </is>
      </c>
      <c r="B178" t="inlineStr">
        <is>
          <t>5b2d15d8-0ba2-448b-bfa6-93f71719ca92</t>
        </is>
      </c>
      <c r="D178" t="inlineStr">
        <is>
          <t>30001082</t>
        </is>
      </c>
      <c r="E178" t="inlineStr">
        <is>
          <t>ussd_funeral_leads_altitude_20260504</t>
        </is>
      </c>
      <c r="J178" t="inlineStr">
        <is>
          <t>NA</t>
        </is>
      </c>
      <c r="K178" t="inlineStr">
        <is>
          <t>No Answer Autodial</t>
        </is>
      </c>
      <c r="L178" t="n">
        <v>31</v>
      </c>
      <c r="M178" t="inlineStr">
        <is>
          <t>2026-05-29 07:13:22</t>
        </is>
      </c>
      <c r="N178" t="inlineStr">
        <is>
          <t>system</t>
        </is>
      </c>
      <c r="O178" t="inlineStr">
        <is>
          <t>2026-05-15 11:58:32</t>
        </is>
      </c>
      <c r="P178" t="inlineStr">
        <is>
          <t>2026-05-15 11:58:32</t>
        </is>
      </c>
      <c r="Y178" t="inlineStr">
        <is>
          <t>27790370101</t>
        </is>
      </c>
    </row>
    <row r="179">
      <c r="A179" t="inlineStr">
        <is>
          <t>14363076</t>
        </is>
      </c>
      <c r="B179" t="inlineStr">
        <is>
          <t>ead0ffd4-3157-4277-a201-757440bfc229</t>
        </is>
      </c>
      <c r="D179" t="inlineStr">
        <is>
          <t>30001082</t>
        </is>
      </c>
      <c r="E179" t="inlineStr">
        <is>
          <t>ussd_funeral_leads_altitude_20260504</t>
        </is>
      </c>
      <c r="J179" t="inlineStr">
        <is>
          <t>CU</t>
        </is>
      </c>
      <c r="K179" t="inlineStr">
        <is>
          <t>Client Hung Up</t>
        </is>
      </c>
      <c r="L179" t="n">
        <v>31</v>
      </c>
      <c r="M179" t="inlineStr">
        <is>
          <t>2026-05-29 07:13:22</t>
        </is>
      </c>
      <c r="N179" t="inlineStr">
        <is>
          <t>Jennifer Ngobeni</t>
        </is>
      </c>
      <c r="O179" t="inlineStr">
        <is>
          <t>2026-05-15 11:58:32</t>
        </is>
      </c>
      <c r="P179" t="inlineStr">
        <is>
          <t>2026-05-15 11:58:32</t>
        </is>
      </c>
      <c r="Y179" t="inlineStr">
        <is>
          <t>27790543583</t>
        </is>
      </c>
    </row>
    <row r="180">
      <c r="A180" t="inlineStr">
        <is>
          <t>14363093</t>
        </is>
      </c>
      <c r="B180" t="inlineStr">
        <is>
          <t>03cb15e5-7b87-4354-ad6d-1d945de0227b</t>
        </is>
      </c>
      <c r="D180" t="inlineStr">
        <is>
          <t>30001082</t>
        </is>
      </c>
      <c r="E180" t="inlineStr">
        <is>
          <t>ussd_funeral_leads_altitude_20260504</t>
        </is>
      </c>
      <c r="J180" t="inlineStr">
        <is>
          <t>AA</t>
        </is>
      </c>
      <c r="K180" t="inlineStr">
        <is>
          <t>Answering Machine Autodial</t>
        </is>
      </c>
      <c r="L180" t="n">
        <v>31</v>
      </c>
      <c r="M180" t="inlineStr">
        <is>
          <t>2026-05-29 07:13:22</t>
        </is>
      </c>
      <c r="N180" t="inlineStr">
        <is>
          <t>system</t>
        </is>
      </c>
      <c r="O180" t="inlineStr">
        <is>
          <t>2026-05-15 11:58:32</t>
        </is>
      </c>
      <c r="P180" t="inlineStr">
        <is>
          <t>2026-05-15 11:58:32</t>
        </is>
      </c>
      <c r="Y180" t="inlineStr">
        <is>
          <t>27673848810</t>
        </is>
      </c>
    </row>
    <row r="181">
      <c r="A181" t="inlineStr">
        <is>
          <t>14363145</t>
        </is>
      </c>
      <c r="B181" t="inlineStr">
        <is>
          <t>1184932b-d78b-4f27-8419-7fddb634b8e1</t>
        </is>
      </c>
      <c r="D181" t="inlineStr">
        <is>
          <t>30001082</t>
        </is>
      </c>
      <c r="E181" t="inlineStr">
        <is>
          <t>ussd_funeral_leads_altitude_20260504</t>
        </is>
      </c>
      <c r="J181" t="inlineStr">
        <is>
          <t>AA</t>
        </is>
      </c>
      <c r="K181" t="inlineStr">
        <is>
          <t>Answering Machine Autodial</t>
        </is>
      </c>
      <c r="L181" t="n">
        <v>31</v>
      </c>
      <c r="M181" t="inlineStr">
        <is>
          <t>2026-05-29 07:13:19</t>
        </is>
      </c>
      <c r="N181" t="inlineStr">
        <is>
          <t>system</t>
        </is>
      </c>
      <c r="O181" t="inlineStr">
        <is>
          <t>2026-05-15 11:58:32</t>
        </is>
      </c>
      <c r="P181" t="inlineStr">
        <is>
          <t>2026-05-15 11:58:32</t>
        </is>
      </c>
      <c r="Y181" t="inlineStr">
        <is>
          <t>27794142345</t>
        </is>
      </c>
    </row>
    <row r="182">
      <c r="A182" t="inlineStr">
        <is>
          <t>14363154</t>
        </is>
      </c>
      <c r="B182" t="inlineStr">
        <is>
          <t>773d06f6-ef69-45f7-8cd3-58efaf358b9a</t>
        </is>
      </c>
      <c r="D182" t="inlineStr">
        <is>
          <t>30001082</t>
        </is>
      </c>
      <c r="E182" t="inlineStr">
        <is>
          <t>ussd_funeral_leads_altitude_20260504</t>
        </is>
      </c>
      <c r="J182" t="inlineStr">
        <is>
          <t>AA</t>
        </is>
      </c>
      <c r="K182" t="inlineStr">
        <is>
          <t>Answering Machine Autodial</t>
        </is>
      </c>
      <c r="L182" t="n">
        <v>31</v>
      </c>
      <c r="M182" t="inlineStr">
        <is>
          <t>2026-05-29 07:13:19</t>
        </is>
      </c>
      <c r="N182" t="inlineStr">
        <is>
          <t>system</t>
        </is>
      </c>
      <c r="O182" t="inlineStr">
        <is>
          <t>2026-05-15 11:58:32</t>
        </is>
      </c>
      <c r="P182" t="inlineStr">
        <is>
          <t>2026-05-15 11:58:32</t>
        </is>
      </c>
      <c r="Y182" t="inlineStr">
        <is>
          <t>27661647462</t>
        </is>
      </c>
    </row>
    <row r="183">
      <c r="A183" t="inlineStr">
        <is>
          <t>14363247</t>
        </is>
      </c>
      <c r="B183" t="inlineStr">
        <is>
          <t>848a5198-2427-4b14-a210-24a839633019</t>
        </is>
      </c>
      <c r="D183" t="inlineStr">
        <is>
          <t>30001082</t>
        </is>
      </c>
      <c r="E183" t="inlineStr">
        <is>
          <t>ussd_funeral_leads_altitude_20260504</t>
        </is>
      </c>
      <c r="J183" t="inlineStr">
        <is>
          <t>NA</t>
        </is>
      </c>
      <c r="K183" t="inlineStr">
        <is>
          <t>No Answer Autodial</t>
        </is>
      </c>
      <c r="L183" t="n">
        <v>31</v>
      </c>
      <c r="M183" t="inlineStr">
        <is>
          <t>2026-05-29 07:13:19</t>
        </is>
      </c>
      <c r="N183" t="inlineStr">
        <is>
          <t>system</t>
        </is>
      </c>
      <c r="O183" t="inlineStr">
        <is>
          <t>2026-05-15 11:58:32</t>
        </is>
      </c>
      <c r="P183" t="inlineStr">
        <is>
          <t>2026-05-15 11:58:32</t>
        </is>
      </c>
      <c r="Y183" t="inlineStr">
        <is>
          <t>27790611483</t>
        </is>
      </c>
    </row>
    <row r="184">
      <c r="A184" t="inlineStr">
        <is>
          <t>14363351</t>
        </is>
      </c>
      <c r="B184" t="inlineStr">
        <is>
          <t>b168a44f-f2e1-42c0-847c-3d0b1b6f915c</t>
        </is>
      </c>
      <c r="D184" t="inlineStr">
        <is>
          <t>30001082</t>
        </is>
      </c>
      <c r="E184" t="inlineStr">
        <is>
          <t>ussd_funeral_leads_altitude_20260504</t>
        </is>
      </c>
      <c r="H184" t="inlineStr">
        <is>
          <t>27768180766</t>
        </is>
      </c>
      <c r="J184" t="inlineStr">
        <is>
          <t>AA</t>
        </is>
      </c>
      <c r="K184" t="inlineStr">
        <is>
          <t>Answering Machine Autodial</t>
        </is>
      </c>
      <c r="L184" t="n">
        <v>31</v>
      </c>
      <c r="M184" t="inlineStr">
        <is>
          <t>2026-05-29 07:13:19</t>
        </is>
      </c>
      <c r="N184" t="inlineStr">
        <is>
          <t>system</t>
        </is>
      </c>
      <c r="O184" t="inlineStr">
        <is>
          <t>2026-05-15 11:58:32</t>
        </is>
      </c>
      <c r="P184" t="inlineStr">
        <is>
          <t>2026-05-15 11:58:32</t>
        </is>
      </c>
      <c r="Y184" t="inlineStr">
        <is>
          <t>27768180766</t>
        </is>
      </c>
    </row>
    <row r="185">
      <c r="A185" t="inlineStr">
        <is>
          <t>14400000</t>
        </is>
      </c>
      <c r="B185" t="inlineStr">
        <is>
          <t>e5052eb5-05f8-44a2-a143-8efb28748417</t>
        </is>
      </c>
      <c r="D185" t="inlineStr">
        <is>
          <t>30001082</t>
        </is>
      </c>
      <c r="E185" t="inlineStr">
        <is>
          <t>ussd_funeral_leads_altitude_20260504</t>
        </is>
      </c>
      <c r="J185" t="inlineStr">
        <is>
          <t>AA</t>
        </is>
      </c>
      <c r="K185" t="inlineStr">
        <is>
          <t>Answering Machine Autodial</t>
        </is>
      </c>
      <c r="L185" t="n">
        <v>31</v>
      </c>
      <c r="M185" t="inlineStr">
        <is>
          <t>2026-05-29 07:13:19</t>
        </is>
      </c>
      <c r="N185" t="inlineStr">
        <is>
          <t>system</t>
        </is>
      </c>
      <c r="O185" t="inlineStr">
        <is>
          <t>2026-05-15 11:58:32</t>
        </is>
      </c>
      <c r="P185" t="inlineStr">
        <is>
          <t>2026-05-15 11:58:32</t>
        </is>
      </c>
      <c r="Y185" t="inlineStr">
        <is>
          <t>27820813514</t>
        </is>
      </c>
    </row>
    <row r="186">
      <c r="A186" t="inlineStr">
        <is>
          <t>14363180</t>
        </is>
      </c>
      <c r="B186" t="inlineStr">
        <is>
          <t>6b411199-2c21-44e1-8406-8ee6f2788ad7</t>
        </is>
      </c>
      <c r="D186" t="inlineStr">
        <is>
          <t>30001082</t>
        </is>
      </c>
      <c r="E186" t="inlineStr">
        <is>
          <t>ussd_funeral_leads_altitude_20260504</t>
        </is>
      </c>
      <c r="J186" t="inlineStr">
        <is>
          <t>AA</t>
        </is>
      </c>
      <c r="K186" t="inlineStr">
        <is>
          <t>Answering Machine Autodial</t>
        </is>
      </c>
      <c r="L186" t="n">
        <v>31</v>
      </c>
      <c r="M186" t="inlineStr">
        <is>
          <t>2026-05-29 07:13:18</t>
        </is>
      </c>
      <c r="N186" t="inlineStr">
        <is>
          <t>system</t>
        </is>
      </c>
      <c r="O186" t="inlineStr">
        <is>
          <t>2026-05-15 11:58:32</t>
        </is>
      </c>
      <c r="P186" t="inlineStr">
        <is>
          <t>2026-05-15 11:58:32</t>
        </is>
      </c>
      <c r="Y186" t="inlineStr">
        <is>
          <t>27790734113</t>
        </is>
      </c>
    </row>
    <row r="187">
      <c r="A187" t="inlineStr">
        <is>
          <t>14363422</t>
        </is>
      </c>
      <c r="B187" t="inlineStr">
        <is>
          <t>cc027964-8578-4e5f-8a40-a9af498a0a8b</t>
        </is>
      </c>
      <c r="D187" t="inlineStr">
        <is>
          <t>30001082</t>
        </is>
      </c>
      <c r="E187" t="inlineStr">
        <is>
          <t>ussd_funeral_leads_altitude_20260504</t>
        </is>
      </c>
      <c r="J187" t="inlineStr">
        <is>
          <t>ADC</t>
        </is>
      </c>
      <c r="K187" t="inlineStr">
        <is>
          <t>Auto Dial Disconnected</t>
        </is>
      </c>
      <c r="L187" t="n">
        <v>31</v>
      </c>
      <c r="M187" t="inlineStr">
        <is>
          <t>2026-05-29 07:13:18</t>
        </is>
      </c>
      <c r="N187" t="inlineStr">
        <is>
          <t>system</t>
        </is>
      </c>
      <c r="O187" t="inlineStr">
        <is>
          <t>2026-05-15 11:58:32</t>
        </is>
      </c>
      <c r="P187" t="inlineStr">
        <is>
          <t>2026-05-15 11:58:32</t>
        </is>
      </c>
      <c r="Y187" t="inlineStr">
        <is>
          <t>27673721489</t>
        </is>
      </c>
    </row>
    <row r="188">
      <c r="A188" t="inlineStr">
        <is>
          <t>14363231</t>
        </is>
      </c>
      <c r="B188" t="inlineStr">
        <is>
          <t>c30e8182-c5a6-4960-b9c9-27431ca1a088</t>
        </is>
      </c>
      <c r="D188" t="inlineStr">
        <is>
          <t>30001082</t>
        </is>
      </c>
      <c r="E188" t="inlineStr">
        <is>
          <t>ussd_funeral_leads_altitude_20260504</t>
        </is>
      </c>
      <c r="J188" t="inlineStr">
        <is>
          <t>ADC</t>
        </is>
      </c>
      <c r="K188" t="inlineStr">
        <is>
          <t>Auto Dial Disconnected</t>
        </is>
      </c>
      <c r="L188" t="n">
        <v>31</v>
      </c>
      <c r="M188" t="inlineStr">
        <is>
          <t>2026-05-29 07:13:16</t>
        </is>
      </c>
      <c r="N188" t="inlineStr">
        <is>
          <t>system</t>
        </is>
      </c>
      <c r="O188" t="inlineStr">
        <is>
          <t>2026-05-15 11:58:32</t>
        </is>
      </c>
      <c r="P188" t="inlineStr">
        <is>
          <t>2026-05-15 11:58:32</t>
        </is>
      </c>
      <c r="Y188" t="inlineStr">
        <is>
          <t>27673778645</t>
        </is>
      </c>
    </row>
    <row r="189">
      <c r="A189" t="inlineStr">
        <is>
          <t>14363441</t>
        </is>
      </c>
      <c r="B189" t="inlineStr">
        <is>
          <t>3d012af6-9c48-43e7-b875-41b798154009</t>
        </is>
      </c>
      <c r="D189" t="inlineStr">
        <is>
          <t>30001082</t>
        </is>
      </c>
      <c r="E189" t="inlineStr">
        <is>
          <t>ussd_funeral_leads_altitude_20260504</t>
        </is>
      </c>
      <c r="J189" t="inlineStr">
        <is>
          <t>CBACK</t>
        </is>
      </c>
      <c r="K189" t="inlineStr">
        <is>
          <t>Callback</t>
        </is>
      </c>
      <c r="L189" t="n">
        <v>29</v>
      </c>
      <c r="M189" t="inlineStr">
        <is>
          <t>2026-05-29 07:07:37</t>
        </is>
      </c>
      <c r="N189" t="inlineStr">
        <is>
          <t>Gontse Monageng</t>
        </is>
      </c>
      <c r="O189" t="inlineStr">
        <is>
          <t>2026-05-15 11:58:32</t>
        </is>
      </c>
      <c r="P189" t="inlineStr">
        <is>
          <t>2026-05-15 11:58:32</t>
        </is>
      </c>
      <c r="Y189" t="inlineStr">
        <is>
          <t>27790646628</t>
        </is>
      </c>
    </row>
    <row r="190">
      <c r="A190" t="inlineStr">
        <is>
          <t>14363129</t>
        </is>
      </c>
      <c r="B190" t="inlineStr">
        <is>
          <t>63276385-0a4b-4eb8-81bd-8c1351319591</t>
        </is>
      </c>
      <c r="D190" t="inlineStr">
        <is>
          <t>30001082</t>
        </is>
      </c>
      <c r="E190" t="inlineStr">
        <is>
          <t>ussd_funeral_leads_altitude_20260504</t>
        </is>
      </c>
      <c r="J190" t="inlineStr">
        <is>
          <t>LANG</t>
        </is>
      </c>
      <c r="K190" t="inlineStr">
        <is>
          <t>Language Barrier</t>
        </is>
      </c>
      <c r="L190" t="n">
        <v>26</v>
      </c>
      <c r="M190" t="inlineStr">
        <is>
          <t>2026-05-29 07:00:43</t>
        </is>
      </c>
      <c r="N190" t="inlineStr">
        <is>
          <t>Virginia Letsatsi</t>
        </is>
      </c>
      <c r="O190" t="inlineStr">
        <is>
          <t>2026-05-15 11:58:32</t>
        </is>
      </c>
      <c r="P190" t="inlineStr">
        <is>
          <t>2026-05-15 11:58:32</t>
        </is>
      </c>
      <c r="Y190" t="inlineStr">
        <is>
          <t>27649275333</t>
        </is>
      </c>
    </row>
    <row r="191">
      <c r="A191" t="inlineStr">
        <is>
          <t>14362929</t>
        </is>
      </c>
      <c r="B191" t="inlineStr">
        <is>
          <t>1266089d-f6e7-4414-bf75-e42e9d28942b</t>
        </is>
      </c>
      <c r="D191" t="inlineStr">
        <is>
          <t>30001082</t>
        </is>
      </c>
      <c r="E191" t="inlineStr">
        <is>
          <t>ussd_funeral_leads_altitude_20260504</t>
        </is>
      </c>
      <c r="J191" t="inlineStr">
        <is>
          <t>LANG</t>
        </is>
      </c>
      <c r="K191" t="inlineStr">
        <is>
          <t>Language Barrier</t>
        </is>
      </c>
      <c r="L191" t="n">
        <v>28</v>
      </c>
      <c r="M191" t="inlineStr">
        <is>
          <t>2026-05-28 14:51:07</t>
        </is>
      </c>
      <c r="N191" t="inlineStr">
        <is>
          <t>Gontse Monageng</t>
        </is>
      </c>
      <c r="O191" t="inlineStr">
        <is>
          <t>2026-05-15 11:58:32</t>
        </is>
      </c>
      <c r="P191" t="inlineStr">
        <is>
          <t>2026-05-15 11:58:32</t>
        </is>
      </c>
      <c r="Y191" t="inlineStr">
        <is>
          <t>27761772817</t>
        </is>
      </c>
    </row>
    <row r="192">
      <c r="A192" t="inlineStr">
        <is>
          <t>14363365</t>
        </is>
      </c>
      <c r="B192" t="inlineStr">
        <is>
          <t>ba7ef545-ec90-41a7-ba29-b2c26e6fe424</t>
        </is>
      </c>
      <c r="D192" t="inlineStr">
        <is>
          <t>30001082</t>
        </is>
      </c>
      <c r="E192" t="inlineStr">
        <is>
          <t>ussd_funeral_leads_altitude_20260504</t>
        </is>
      </c>
      <c r="J192" t="inlineStr">
        <is>
          <t>CBACK</t>
        </is>
      </c>
      <c r="K192" t="inlineStr">
        <is>
          <t>Callback</t>
        </is>
      </c>
      <c r="L192" t="n">
        <v>28</v>
      </c>
      <c r="M192" t="inlineStr">
        <is>
          <t>2026-05-28 14:50:11</t>
        </is>
      </c>
      <c r="N192" t="inlineStr">
        <is>
          <t>Tebogo Chauke</t>
        </is>
      </c>
      <c r="O192" t="inlineStr">
        <is>
          <t>2026-05-15 11:58:32</t>
        </is>
      </c>
      <c r="P192" t="inlineStr">
        <is>
          <t>2026-05-15 11:58:32</t>
        </is>
      </c>
      <c r="Y192" t="inlineStr">
        <is>
          <t>27760728185</t>
        </is>
      </c>
    </row>
    <row r="193">
      <c r="A193" t="inlineStr">
        <is>
          <t>14363004</t>
        </is>
      </c>
      <c r="B193" t="inlineStr">
        <is>
          <t>63c850b4-c6f5-46f3-aff8-f78a18f5c03c</t>
        </is>
      </c>
      <c r="D193" t="inlineStr">
        <is>
          <t>30001082</t>
        </is>
      </c>
      <c r="E193" t="inlineStr">
        <is>
          <t>ussd_funeral_leads_altitude_20260504</t>
        </is>
      </c>
      <c r="J193" t="inlineStr">
        <is>
          <t>CU</t>
        </is>
      </c>
      <c r="K193" t="inlineStr">
        <is>
          <t>Client Hung Up</t>
        </is>
      </c>
      <c r="L193" t="n">
        <v>31</v>
      </c>
      <c r="M193" t="inlineStr">
        <is>
          <t>2026-05-28 14:37:24</t>
        </is>
      </c>
      <c r="N193" t="inlineStr">
        <is>
          <t>Sibongile Manyaka</t>
        </is>
      </c>
      <c r="O193" t="inlineStr">
        <is>
          <t>2026-05-15 11:58:32</t>
        </is>
      </c>
      <c r="P193" t="inlineStr">
        <is>
          <t>2026-05-15 11:58:32</t>
        </is>
      </c>
      <c r="Y193" t="inlineStr">
        <is>
          <t>27664451793</t>
        </is>
      </c>
    </row>
    <row r="194">
      <c r="A194" t="inlineStr">
        <is>
          <t>14363426</t>
        </is>
      </c>
      <c r="B194" t="inlineStr">
        <is>
          <t>7377172a-e789-4e8b-9abf-3563b0cc8964</t>
        </is>
      </c>
      <c r="D194" t="inlineStr">
        <is>
          <t>30001082</t>
        </is>
      </c>
      <c r="E194" t="inlineStr">
        <is>
          <t>ussd_funeral_leads_altitude_20260504</t>
        </is>
      </c>
      <c r="J194" t="inlineStr">
        <is>
          <t>CU</t>
        </is>
      </c>
      <c r="K194" t="inlineStr">
        <is>
          <t>Client Hung Up</t>
        </is>
      </c>
      <c r="L194" t="n">
        <v>31</v>
      </c>
      <c r="M194" t="inlineStr">
        <is>
          <t>2026-05-28 14:37:24</t>
        </is>
      </c>
      <c r="N194" t="inlineStr">
        <is>
          <t>Virginia Letsatsi</t>
        </is>
      </c>
      <c r="O194" t="inlineStr">
        <is>
          <t>2026-05-15 11:58:32</t>
        </is>
      </c>
      <c r="P194" t="inlineStr">
        <is>
          <t>2026-05-15 11:58:32</t>
        </is>
      </c>
      <c r="Y194" t="inlineStr">
        <is>
          <t>27664543364</t>
        </is>
      </c>
    </row>
    <row r="195">
      <c r="A195" t="inlineStr">
        <is>
          <t>14363478</t>
        </is>
      </c>
      <c r="B195" t="inlineStr">
        <is>
          <t>b62151d1-bfd3-417c-ac4b-d33910eec954</t>
        </is>
      </c>
      <c r="D195" t="inlineStr">
        <is>
          <t>30001082</t>
        </is>
      </c>
      <c r="E195" t="inlineStr">
        <is>
          <t>ussd_funeral_leads_altitude_20260504</t>
        </is>
      </c>
      <c r="H195" t="inlineStr">
        <is>
          <t>27722528548</t>
        </is>
      </c>
      <c r="J195" t="inlineStr">
        <is>
          <t>CU</t>
        </is>
      </c>
      <c r="K195" t="inlineStr">
        <is>
          <t>Client Hung Up</t>
        </is>
      </c>
      <c r="L195" t="n">
        <v>31</v>
      </c>
      <c r="M195" t="inlineStr">
        <is>
          <t>2026-05-28 14:37:24</t>
        </is>
      </c>
      <c r="N195" t="inlineStr">
        <is>
          <t>Goitsimang Mogwasa</t>
        </is>
      </c>
      <c r="O195" t="inlineStr">
        <is>
          <t>2026-05-15 11:58:32</t>
        </is>
      </c>
      <c r="P195" t="inlineStr">
        <is>
          <t>2026-05-15 11:58:32</t>
        </is>
      </c>
      <c r="Y195" t="inlineStr">
        <is>
          <t>27722528548</t>
        </is>
      </c>
    </row>
    <row r="196">
      <c r="A196" t="inlineStr">
        <is>
          <t>14363051</t>
        </is>
      </c>
      <c r="B196" t="inlineStr">
        <is>
          <t>99a0db8b-4a5d-4d57-912e-4712abfde3e1</t>
        </is>
      </c>
      <c r="D196" t="inlineStr">
        <is>
          <t>30001082</t>
        </is>
      </c>
      <c r="E196" t="inlineStr">
        <is>
          <t>ussd_funeral_leads_altitude_20260504</t>
        </is>
      </c>
      <c r="J196" t="inlineStr">
        <is>
          <t>NA</t>
        </is>
      </c>
      <c r="K196" t="inlineStr">
        <is>
          <t>No Answer Autodial</t>
        </is>
      </c>
      <c r="L196" t="n">
        <v>31</v>
      </c>
      <c r="M196" t="inlineStr">
        <is>
          <t>2026-05-28 14:36:45</t>
        </is>
      </c>
      <c r="N196" t="inlineStr">
        <is>
          <t>system</t>
        </is>
      </c>
      <c r="O196" t="inlineStr">
        <is>
          <t>2026-05-15 11:58:32</t>
        </is>
      </c>
      <c r="P196" t="inlineStr">
        <is>
          <t>2026-05-15 11:58:32</t>
        </is>
      </c>
      <c r="Y196" t="inlineStr">
        <is>
          <t>27822927495</t>
        </is>
      </c>
    </row>
    <row r="197">
      <c r="A197" t="inlineStr">
        <is>
          <t>14363431</t>
        </is>
      </c>
      <c r="B197" t="inlineStr">
        <is>
          <t>555a8ff9-4403-4ae2-a907-8e7c9168e7d7</t>
        </is>
      </c>
      <c r="D197" t="inlineStr">
        <is>
          <t>30001082</t>
        </is>
      </c>
      <c r="E197" t="inlineStr">
        <is>
          <t>ussd_funeral_leads_altitude_20260504</t>
        </is>
      </c>
      <c r="J197" t="inlineStr">
        <is>
          <t>AE</t>
        </is>
      </c>
      <c r="K197" t="inlineStr">
        <is>
          <t>Auto Engaged</t>
        </is>
      </c>
      <c r="L197" t="n">
        <v>31</v>
      </c>
      <c r="M197" t="inlineStr">
        <is>
          <t>2026-05-28 14:36:45</t>
        </is>
      </c>
      <c r="N197" t="inlineStr">
        <is>
          <t>system</t>
        </is>
      </c>
      <c r="O197" t="inlineStr">
        <is>
          <t>2026-05-15 11:58:32</t>
        </is>
      </c>
      <c r="P197" t="inlineStr">
        <is>
          <t>2026-05-15 11:58:32</t>
        </is>
      </c>
      <c r="Y197" t="inlineStr">
        <is>
          <t>27792311917</t>
        </is>
      </c>
    </row>
    <row r="198">
      <c r="A198" t="inlineStr">
        <is>
          <t>14363214</t>
        </is>
      </c>
      <c r="B198" t="inlineStr">
        <is>
          <t>d55448a9-1157-4d88-a216-7f7cc6ab99ae</t>
        </is>
      </c>
      <c r="D198" t="inlineStr">
        <is>
          <t>30001082</t>
        </is>
      </c>
      <c r="E198" t="inlineStr">
        <is>
          <t>ussd_funeral_leads_altitude_20260504</t>
        </is>
      </c>
      <c r="J198" t="inlineStr">
        <is>
          <t>ADC</t>
        </is>
      </c>
      <c r="K198" t="inlineStr">
        <is>
          <t>Auto Dial Disconnected</t>
        </is>
      </c>
      <c r="L198" t="n">
        <v>31</v>
      </c>
      <c r="M198" t="inlineStr">
        <is>
          <t>2026-05-28 13:57:25</t>
        </is>
      </c>
      <c r="N198" t="inlineStr">
        <is>
          <t>system</t>
        </is>
      </c>
      <c r="O198" t="inlineStr">
        <is>
          <t>2026-05-15 11:58:32</t>
        </is>
      </c>
      <c r="P198" t="inlineStr">
        <is>
          <t>2026-05-15 11:58:32</t>
        </is>
      </c>
      <c r="Y198" t="inlineStr">
        <is>
          <t>27767753113</t>
        </is>
      </c>
    </row>
    <row r="199">
      <c r="A199" t="inlineStr">
        <is>
          <t>14363202</t>
        </is>
      </c>
      <c r="B199" t="inlineStr">
        <is>
          <t>9a33f672-4413-4a35-a708-77661361d8af</t>
        </is>
      </c>
      <c r="D199" t="inlineStr">
        <is>
          <t>30001082</t>
        </is>
      </c>
      <c r="E199" t="inlineStr">
        <is>
          <t>ussd_funeral_leads_altitude_20260504</t>
        </is>
      </c>
      <c r="J199" t="inlineStr">
        <is>
          <t>AA</t>
        </is>
      </c>
      <c r="K199" t="inlineStr">
        <is>
          <t>Answering Machine Autodial</t>
        </is>
      </c>
      <c r="L199" t="n">
        <v>31</v>
      </c>
      <c r="M199" t="inlineStr">
        <is>
          <t>2026-05-28 13:57:25</t>
        </is>
      </c>
      <c r="N199" t="inlineStr">
        <is>
          <t>system</t>
        </is>
      </c>
      <c r="O199" t="inlineStr">
        <is>
          <t>2026-05-15 11:58:32</t>
        </is>
      </c>
      <c r="P199" t="inlineStr">
        <is>
          <t>2026-05-15 11:58:32</t>
        </is>
      </c>
      <c r="Y199" t="inlineStr">
        <is>
          <t>27773681475</t>
        </is>
      </c>
    </row>
    <row r="200">
      <c r="A200" t="inlineStr">
        <is>
          <t>14363434</t>
        </is>
      </c>
      <c r="B200" t="inlineStr">
        <is>
          <t>f1610b9c-f906-434a-8cf9-98c7dcc27a4d</t>
        </is>
      </c>
      <c r="D200" t="inlineStr">
        <is>
          <t>30001082</t>
        </is>
      </c>
      <c r="E200" t="inlineStr">
        <is>
          <t>ussd_funeral_leads_altitude_20260504</t>
        </is>
      </c>
      <c r="J200" t="inlineStr">
        <is>
          <t>NA</t>
        </is>
      </c>
      <c r="K200" t="inlineStr">
        <is>
          <t>No Answer Autodial</t>
        </is>
      </c>
      <c r="L200" t="n">
        <v>31</v>
      </c>
      <c r="M200" t="inlineStr">
        <is>
          <t>2026-05-28 13:57:25</t>
        </is>
      </c>
      <c r="N200" t="inlineStr">
        <is>
          <t>system</t>
        </is>
      </c>
      <c r="O200" t="inlineStr">
        <is>
          <t>2026-05-15 11:58:32</t>
        </is>
      </c>
      <c r="P200" t="inlineStr">
        <is>
          <t>2026-05-15 11:58:32</t>
        </is>
      </c>
      <c r="Y200" t="inlineStr">
        <is>
          <t>27725696921</t>
        </is>
      </c>
    </row>
    <row r="201">
      <c r="A201" t="inlineStr">
        <is>
          <t>14363201</t>
        </is>
      </c>
      <c r="B201" t="inlineStr">
        <is>
          <t>56200d04-a9fa-4081-bd6a-e01c96bffa4b</t>
        </is>
      </c>
      <c r="D201" t="inlineStr">
        <is>
          <t>30001082</t>
        </is>
      </c>
      <c r="E201" t="inlineStr">
        <is>
          <t>ussd_funeral_leads_altitude_20260504</t>
        </is>
      </c>
      <c r="J201" t="inlineStr">
        <is>
          <t>ADC</t>
        </is>
      </c>
      <c r="K201" t="inlineStr">
        <is>
          <t>Auto Dial Disconnected</t>
        </is>
      </c>
      <c r="L201" t="n">
        <v>31</v>
      </c>
      <c r="M201" t="inlineStr">
        <is>
          <t>2026-05-28 13:57:21</t>
        </is>
      </c>
      <c r="N201" t="inlineStr">
        <is>
          <t>system</t>
        </is>
      </c>
      <c r="O201" t="inlineStr">
        <is>
          <t>2026-05-15 11:58:32</t>
        </is>
      </c>
      <c r="P201" t="inlineStr">
        <is>
          <t>2026-05-15 11:58:32</t>
        </is>
      </c>
      <c r="Y201" t="inlineStr">
        <is>
          <t>27725418147</t>
        </is>
      </c>
    </row>
    <row r="202">
      <c r="A202" t="inlineStr">
        <is>
          <t>14363117</t>
        </is>
      </c>
      <c r="B202" t="inlineStr">
        <is>
          <t>c6a30446-454d-45ec-86ba-2632957f09b9</t>
        </is>
      </c>
      <c r="D202" t="inlineStr">
        <is>
          <t>30001082</t>
        </is>
      </c>
      <c r="E202" t="inlineStr">
        <is>
          <t>ussd_funeral_leads_altitude_20260504</t>
        </is>
      </c>
      <c r="J202" t="inlineStr">
        <is>
          <t>NA</t>
        </is>
      </c>
      <c r="K202" t="inlineStr">
        <is>
          <t>No Answer Autodial</t>
        </is>
      </c>
      <c r="L202" t="n">
        <v>31</v>
      </c>
      <c r="M202" t="inlineStr">
        <is>
          <t>2026-05-28 13:57:20</t>
        </is>
      </c>
      <c r="N202" t="inlineStr">
        <is>
          <t>system</t>
        </is>
      </c>
      <c r="O202" t="inlineStr">
        <is>
          <t>2026-05-15 11:58:32</t>
        </is>
      </c>
      <c r="P202" t="inlineStr">
        <is>
          <t>2026-05-15 11:58:32</t>
        </is>
      </c>
      <c r="Y202" t="inlineStr">
        <is>
          <t>27798165292</t>
        </is>
      </c>
    </row>
    <row r="203">
      <c r="A203" t="inlineStr">
        <is>
          <t>14363102</t>
        </is>
      </c>
      <c r="B203" t="inlineStr">
        <is>
          <t>c67c6f30-ab03-49df-a228-a7e27fc89407</t>
        </is>
      </c>
      <c r="D203" t="inlineStr">
        <is>
          <t>30001082</t>
        </is>
      </c>
      <c r="E203" t="inlineStr">
        <is>
          <t>ussd_funeral_leads_altitude_20260504</t>
        </is>
      </c>
      <c r="J203" t="inlineStr">
        <is>
          <t>TDN</t>
        </is>
      </c>
      <c r="K203" t="inlineStr">
        <is>
          <t>Temporary Disconnected Number</t>
        </is>
      </c>
      <c r="L203" t="n">
        <v>31</v>
      </c>
      <c r="M203" t="inlineStr">
        <is>
          <t>2026-05-28 12:47:53</t>
        </is>
      </c>
      <c r="N203" t="inlineStr">
        <is>
          <t>system</t>
        </is>
      </c>
      <c r="O203" t="inlineStr">
        <is>
          <t>2026-05-15 11:58:32</t>
        </is>
      </c>
      <c r="P203" t="inlineStr">
        <is>
          <t>2026-05-15 11:58:32</t>
        </is>
      </c>
      <c r="Y203" t="inlineStr">
        <is>
          <t>27820655161</t>
        </is>
      </c>
    </row>
    <row r="204">
      <c r="A204" t="inlineStr">
        <is>
          <t>14363133</t>
        </is>
      </c>
      <c r="B204" t="inlineStr">
        <is>
          <t>f89df712-d642-482f-86e7-ac8448022be4</t>
        </is>
      </c>
      <c r="D204" t="inlineStr">
        <is>
          <t>30001082</t>
        </is>
      </c>
      <c r="E204" t="inlineStr">
        <is>
          <t>ussd_funeral_leads_altitude_20260504</t>
        </is>
      </c>
      <c r="J204" t="inlineStr">
        <is>
          <t>TDN</t>
        </is>
      </c>
      <c r="K204" t="inlineStr">
        <is>
          <t>Temporary Disconnected Number</t>
        </is>
      </c>
      <c r="L204" t="n">
        <v>31</v>
      </c>
      <c r="M204" t="inlineStr">
        <is>
          <t>2026-05-28 12:47:52</t>
        </is>
      </c>
      <c r="N204" t="inlineStr">
        <is>
          <t>system</t>
        </is>
      </c>
      <c r="O204" t="inlineStr">
        <is>
          <t>2026-05-15 11:58:32</t>
        </is>
      </c>
      <c r="P204" t="inlineStr">
        <is>
          <t>2026-05-15 11:58:32</t>
        </is>
      </c>
      <c r="Y204" t="inlineStr">
        <is>
          <t>27790867565</t>
        </is>
      </c>
    </row>
    <row r="205">
      <c r="A205" t="inlineStr">
        <is>
          <t>14362968</t>
        </is>
      </c>
      <c r="B205" t="inlineStr">
        <is>
          <t>970d4171-cf5b-43c7-a7b2-b5ea0471a67e</t>
        </is>
      </c>
      <c r="D205" t="inlineStr">
        <is>
          <t>30001082</t>
        </is>
      </c>
      <c r="E205" t="inlineStr">
        <is>
          <t>ussd_funeral_leads_altitude_20260504</t>
        </is>
      </c>
      <c r="J205" t="inlineStr">
        <is>
          <t>TDN</t>
        </is>
      </c>
      <c r="K205" t="inlineStr">
        <is>
          <t>Temporary Disconnected Number</t>
        </is>
      </c>
      <c r="L205" t="n">
        <v>31</v>
      </c>
      <c r="M205" t="inlineStr">
        <is>
          <t>2026-05-28 12:47:51</t>
        </is>
      </c>
      <c r="N205" t="inlineStr">
        <is>
          <t>system</t>
        </is>
      </c>
      <c r="O205" t="inlineStr">
        <is>
          <t>2026-05-15 11:58:32</t>
        </is>
      </c>
      <c r="P205" t="inlineStr">
        <is>
          <t>2026-05-15 11:58:32</t>
        </is>
      </c>
      <c r="Y205" t="inlineStr">
        <is>
          <t>27761441483</t>
        </is>
      </c>
    </row>
    <row r="206">
      <c r="A206" t="inlineStr">
        <is>
          <t>14363130</t>
        </is>
      </c>
      <c r="B206" t="inlineStr">
        <is>
          <t>066821c2-7359-43da-b253-8d4082014335</t>
        </is>
      </c>
      <c r="D206" t="inlineStr">
        <is>
          <t>30001082</t>
        </is>
      </c>
      <c r="E206" t="inlineStr">
        <is>
          <t>ussd_funeral_leads_altitude_20260504</t>
        </is>
      </c>
      <c r="J206" t="inlineStr">
        <is>
          <t>TDN</t>
        </is>
      </c>
      <c r="K206" t="inlineStr">
        <is>
          <t>Temporary Disconnected Number</t>
        </is>
      </c>
      <c r="L206" t="n">
        <v>31</v>
      </c>
      <c r="M206" t="inlineStr">
        <is>
          <t>2026-05-28 12:47:51</t>
        </is>
      </c>
      <c r="N206" t="inlineStr">
        <is>
          <t>system</t>
        </is>
      </c>
      <c r="O206" t="inlineStr">
        <is>
          <t>2026-05-15 11:58:32</t>
        </is>
      </c>
      <c r="P206" t="inlineStr">
        <is>
          <t>2026-05-15 11:58:32</t>
        </is>
      </c>
      <c r="Y206" t="inlineStr">
        <is>
          <t>27665288432</t>
        </is>
      </c>
    </row>
    <row r="207">
      <c r="A207" t="inlineStr">
        <is>
          <t>14363132</t>
        </is>
      </c>
      <c r="B207" t="inlineStr">
        <is>
          <t>881672c3-de82-4e55-9f58-3f6c458195f3</t>
        </is>
      </c>
      <c r="D207" t="inlineStr">
        <is>
          <t>30001082</t>
        </is>
      </c>
      <c r="E207" t="inlineStr">
        <is>
          <t>ussd_funeral_leads_altitude_20260504</t>
        </is>
      </c>
      <c r="J207" t="inlineStr">
        <is>
          <t>TDN</t>
        </is>
      </c>
      <c r="K207" t="inlineStr">
        <is>
          <t>Temporary Disconnected Number</t>
        </is>
      </c>
      <c r="L207" t="n">
        <v>31</v>
      </c>
      <c r="M207" t="inlineStr">
        <is>
          <t>2026-05-28 12:47:51</t>
        </is>
      </c>
      <c r="N207" t="inlineStr">
        <is>
          <t>system</t>
        </is>
      </c>
      <c r="O207" t="inlineStr">
        <is>
          <t>2026-05-15 11:58:32</t>
        </is>
      </c>
      <c r="P207" t="inlineStr">
        <is>
          <t>2026-05-15 11:58:32</t>
        </is>
      </c>
      <c r="Y207" t="inlineStr">
        <is>
          <t>27664390112</t>
        </is>
      </c>
    </row>
    <row r="208">
      <c r="A208" t="inlineStr">
        <is>
          <t>14362933</t>
        </is>
      </c>
      <c r="B208" t="inlineStr">
        <is>
          <t>a25f147b-bc64-4c11-9712-e5f64d932cfd</t>
        </is>
      </c>
      <c r="D208" t="inlineStr">
        <is>
          <t>30001082</t>
        </is>
      </c>
      <c r="E208" t="inlineStr">
        <is>
          <t>ussd_funeral_leads_altitude_20260504</t>
        </is>
      </c>
      <c r="J208" t="inlineStr">
        <is>
          <t>TDN</t>
        </is>
      </c>
      <c r="K208" t="inlineStr">
        <is>
          <t>Temporary Disconnected Number</t>
        </is>
      </c>
      <c r="L208" t="n">
        <v>31</v>
      </c>
      <c r="M208" t="inlineStr">
        <is>
          <t>2026-05-28 12:47:51</t>
        </is>
      </c>
      <c r="N208" t="inlineStr">
        <is>
          <t>system</t>
        </is>
      </c>
      <c r="O208" t="inlineStr">
        <is>
          <t>2026-05-15 11:58:32</t>
        </is>
      </c>
      <c r="P208" t="inlineStr">
        <is>
          <t>2026-05-15 11:58:32</t>
        </is>
      </c>
      <c r="Y208" t="inlineStr">
        <is>
          <t>27764647112</t>
        </is>
      </c>
    </row>
    <row r="209">
      <c r="A209" t="inlineStr">
        <is>
          <t>14400000</t>
        </is>
      </c>
      <c r="B209" t="inlineStr">
        <is>
          <t>6721e687-944b-4b06-9705-e18d28ce60de</t>
        </is>
      </c>
      <c r="D209" t="inlineStr">
        <is>
          <t>30001082</t>
        </is>
      </c>
      <c r="E209" t="inlineStr">
        <is>
          <t>ussd_funeral_leads_altitude_20260504</t>
        </is>
      </c>
      <c r="J209" t="inlineStr">
        <is>
          <t>TDN</t>
        </is>
      </c>
      <c r="K209" t="inlineStr">
        <is>
          <t>Temporary Disconnected Number</t>
        </is>
      </c>
      <c r="L209" t="n">
        <v>31</v>
      </c>
      <c r="M209" t="inlineStr">
        <is>
          <t>2026-05-28 12:47:51</t>
        </is>
      </c>
      <c r="N209" t="inlineStr">
        <is>
          <t>system</t>
        </is>
      </c>
      <c r="O209" t="inlineStr">
        <is>
          <t>2026-05-15 11:58:32</t>
        </is>
      </c>
      <c r="P209" t="inlineStr">
        <is>
          <t>2026-05-15 11:58:32</t>
        </is>
      </c>
      <c r="Y209" t="inlineStr">
        <is>
          <t>27715511505</t>
        </is>
      </c>
    </row>
    <row r="210">
      <c r="A210" t="inlineStr">
        <is>
          <t>14363103</t>
        </is>
      </c>
      <c r="B210" t="inlineStr">
        <is>
          <t>d6e97127-5982-45ab-875f-39915c2cbafc</t>
        </is>
      </c>
      <c r="D210" t="inlineStr">
        <is>
          <t>30001082</t>
        </is>
      </c>
      <c r="E210" t="inlineStr">
        <is>
          <t>ussd_funeral_leads_altitude_20260504</t>
        </is>
      </c>
      <c r="J210" t="inlineStr">
        <is>
          <t>TDN</t>
        </is>
      </c>
      <c r="K210" t="inlineStr">
        <is>
          <t>Temporary Disconnected Number</t>
        </is>
      </c>
      <c r="L210" t="n">
        <v>31</v>
      </c>
      <c r="M210" t="inlineStr">
        <is>
          <t>2026-05-28 12:47:50</t>
        </is>
      </c>
      <c r="N210" t="inlineStr">
        <is>
          <t>system</t>
        </is>
      </c>
      <c r="O210" t="inlineStr">
        <is>
          <t>2026-05-15 11:58:32</t>
        </is>
      </c>
      <c r="P210" t="inlineStr">
        <is>
          <t>2026-05-15 11:58:32</t>
        </is>
      </c>
      <c r="Y210" t="inlineStr">
        <is>
          <t>27637550963</t>
        </is>
      </c>
    </row>
    <row r="211">
      <c r="A211" t="inlineStr">
        <is>
          <t>14363108</t>
        </is>
      </c>
      <c r="B211" t="inlineStr">
        <is>
          <t>1ab9539a-7fb9-47e2-b1fd-b8e0fb441244</t>
        </is>
      </c>
      <c r="D211" t="inlineStr">
        <is>
          <t>30001082</t>
        </is>
      </c>
      <c r="E211" t="inlineStr">
        <is>
          <t>ussd_funeral_leads_altitude_20260504</t>
        </is>
      </c>
      <c r="J211" t="inlineStr">
        <is>
          <t>TDN</t>
        </is>
      </c>
      <c r="K211" t="inlineStr">
        <is>
          <t>Temporary Disconnected Number</t>
        </is>
      </c>
      <c r="L211" t="n">
        <v>31</v>
      </c>
      <c r="M211" t="inlineStr">
        <is>
          <t>2026-05-28 12:47:50</t>
        </is>
      </c>
      <c r="N211" t="inlineStr">
        <is>
          <t>system</t>
        </is>
      </c>
      <c r="O211" t="inlineStr">
        <is>
          <t>2026-05-15 11:58:32</t>
        </is>
      </c>
      <c r="P211" t="inlineStr">
        <is>
          <t>2026-05-15 11:58:32</t>
        </is>
      </c>
      <c r="Y211" t="inlineStr">
        <is>
          <t>27790359939</t>
        </is>
      </c>
    </row>
    <row r="212">
      <c r="A212" t="inlineStr">
        <is>
          <t>14362998</t>
        </is>
      </c>
      <c r="B212" t="inlineStr">
        <is>
          <t>3c46c594-d783-4030-b0c7-5a17c8e7dc26</t>
        </is>
      </c>
      <c r="D212" t="inlineStr">
        <is>
          <t>30001082</t>
        </is>
      </c>
      <c r="E212" t="inlineStr">
        <is>
          <t>ussd_funeral_leads_altitude_20260504</t>
        </is>
      </c>
      <c r="J212" t="inlineStr">
        <is>
          <t>TDN</t>
        </is>
      </c>
      <c r="K212" t="inlineStr">
        <is>
          <t>Temporary Disconnected Number</t>
        </is>
      </c>
      <c r="L212" t="n">
        <v>31</v>
      </c>
      <c r="M212" t="inlineStr">
        <is>
          <t>2026-05-28 12:47:50</t>
        </is>
      </c>
      <c r="N212" t="inlineStr">
        <is>
          <t>system</t>
        </is>
      </c>
      <c r="O212" t="inlineStr">
        <is>
          <t>2026-05-15 11:58:32</t>
        </is>
      </c>
      <c r="P212" t="inlineStr">
        <is>
          <t>2026-05-15 11:58:32</t>
        </is>
      </c>
      <c r="Y212" t="inlineStr">
        <is>
          <t>27772924608</t>
        </is>
      </c>
    </row>
    <row r="213">
      <c r="A213" t="inlineStr">
        <is>
          <t>14363002</t>
        </is>
      </c>
      <c r="B213" t="inlineStr">
        <is>
          <t>a0edf422-c008-4e6a-bba1-e7409bb0c736</t>
        </is>
      </c>
      <c r="D213" t="inlineStr">
        <is>
          <t>30001082</t>
        </is>
      </c>
      <c r="E213" t="inlineStr">
        <is>
          <t>ussd_funeral_leads_altitude_20260504</t>
        </is>
      </c>
      <c r="J213" t="inlineStr">
        <is>
          <t>TDN</t>
        </is>
      </c>
      <c r="K213" t="inlineStr">
        <is>
          <t>Temporary Disconnected Number</t>
        </is>
      </c>
      <c r="L213" t="n">
        <v>31</v>
      </c>
      <c r="M213" t="inlineStr">
        <is>
          <t>2026-05-28 12:47:50</t>
        </is>
      </c>
      <c r="N213" t="inlineStr">
        <is>
          <t>system</t>
        </is>
      </c>
      <c r="O213" t="inlineStr">
        <is>
          <t>2026-05-15 11:58:32</t>
        </is>
      </c>
      <c r="P213" t="inlineStr">
        <is>
          <t>2026-05-15 11:58:32</t>
        </is>
      </c>
      <c r="Y213" t="inlineStr">
        <is>
          <t>27723439598</t>
        </is>
      </c>
    </row>
    <row r="214">
      <c r="A214" t="inlineStr">
        <is>
          <t>14363009</t>
        </is>
      </c>
      <c r="B214" t="inlineStr">
        <is>
          <t>37ba0efa-e162-459b-8eeb-36bc89c304a0</t>
        </is>
      </c>
      <c r="D214" t="inlineStr">
        <is>
          <t>30001082</t>
        </is>
      </c>
      <c r="E214" t="inlineStr">
        <is>
          <t>ussd_funeral_leads_altitude_20260504</t>
        </is>
      </c>
      <c r="J214" t="inlineStr">
        <is>
          <t>TDN</t>
        </is>
      </c>
      <c r="K214" t="inlineStr">
        <is>
          <t>Temporary Disconnected Number</t>
        </is>
      </c>
      <c r="L214" t="n">
        <v>31</v>
      </c>
      <c r="M214" t="inlineStr">
        <is>
          <t>2026-05-28 12:47:50</t>
        </is>
      </c>
      <c r="N214" t="inlineStr">
        <is>
          <t>system</t>
        </is>
      </c>
      <c r="O214" t="inlineStr">
        <is>
          <t>2026-05-15 11:58:32</t>
        </is>
      </c>
      <c r="P214" t="inlineStr">
        <is>
          <t>2026-05-15 11:58:32</t>
        </is>
      </c>
      <c r="Y214" t="inlineStr">
        <is>
          <t>27712525543</t>
        </is>
      </c>
    </row>
    <row r="215">
      <c r="A215" t="inlineStr">
        <is>
          <t>14363170</t>
        </is>
      </c>
      <c r="B215" t="inlineStr">
        <is>
          <t>7bfcc8d3-5b0c-4437-b83f-5360c673eb5c</t>
        </is>
      </c>
      <c r="D215" t="inlineStr">
        <is>
          <t>30001082</t>
        </is>
      </c>
      <c r="E215" t="inlineStr">
        <is>
          <t>ussd_funeral_leads_altitude_20260504</t>
        </is>
      </c>
      <c r="J215" t="inlineStr">
        <is>
          <t>TDN</t>
        </is>
      </c>
      <c r="K215" t="inlineStr">
        <is>
          <t>Temporary Disconnected Number</t>
        </is>
      </c>
      <c r="L215" t="n">
        <v>31</v>
      </c>
      <c r="M215" t="inlineStr">
        <is>
          <t>2026-05-28 12:45:47</t>
        </is>
      </c>
      <c r="N215" t="inlineStr">
        <is>
          <t>system</t>
        </is>
      </c>
      <c r="O215" t="inlineStr">
        <is>
          <t>2026-05-15 11:58:32</t>
        </is>
      </c>
      <c r="P215" t="inlineStr">
        <is>
          <t>2026-05-15 11:58:32</t>
        </is>
      </c>
      <c r="Y215" t="inlineStr">
        <is>
          <t>27825102961</t>
        </is>
      </c>
    </row>
    <row r="216">
      <c r="A216" t="inlineStr">
        <is>
          <t>14363169</t>
        </is>
      </c>
      <c r="B216" t="inlineStr">
        <is>
          <t>11eb8185-c1a6-486b-9a99-d4fbf735863d</t>
        </is>
      </c>
      <c r="D216" t="inlineStr">
        <is>
          <t>30001082</t>
        </is>
      </c>
      <c r="E216" t="inlineStr">
        <is>
          <t>ussd_funeral_leads_altitude_20260504</t>
        </is>
      </c>
      <c r="J216" t="inlineStr">
        <is>
          <t>ADC</t>
        </is>
      </c>
      <c r="K216" t="inlineStr">
        <is>
          <t>Auto Dial Disconnected</t>
        </is>
      </c>
      <c r="L216" t="n">
        <v>31</v>
      </c>
      <c r="M216" t="inlineStr">
        <is>
          <t>2026-05-28 12:45:46</t>
        </is>
      </c>
      <c r="N216" t="inlineStr">
        <is>
          <t>system</t>
        </is>
      </c>
      <c r="O216" t="inlineStr">
        <is>
          <t>2026-05-15 11:58:32</t>
        </is>
      </c>
      <c r="P216" t="inlineStr">
        <is>
          <t>2026-05-15 11:58:32</t>
        </is>
      </c>
      <c r="Y216" t="inlineStr">
        <is>
          <t>27774519358</t>
        </is>
      </c>
    </row>
    <row r="217">
      <c r="A217" t="inlineStr">
        <is>
          <t>14363168</t>
        </is>
      </c>
      <c r="B217" t="inlineStr">
        <is>
          <t>4756bae4-805d-40ec-9add-d742941d53ce</t>
        </is>
      </c>
      <c r="D217" t="inlineStr">
        <is>
          <t>30001082</t>
        </is>
      </c>
      <c r="E217" t="inlineStr">
        <is>
          <t>ussd_funeral_leads_altitude_20260504</t>
        </is>
      </c>
      <c r="J217" t="inlineStr">
        <is>
          <t>AE</t>
        </is>
      </c>
      <c r="K217" t="inlineStr">
        <is>
          <t>Auto Engaged</t>
        </is>
      </c>
      <c r="L217" t="n">
        <v>31</v>
      </c>
      <c r="M217" t="inlineStr">
        <is>
          <t>2026-05-28 12:45:45</t>
        </is>
      </c>
      <c r="N217" t="inlineStr">
        <is>
          <t>system</t>
        </is>
      </c>
      <c r="O217" t="inlineStr">
        <is>
          <t>2026-05-15 11:58:32</t>
        </is>
      </c>
      <c r="P217" t="inlineStr">
        <is>
          <t>2026-05-15 11:58:32</t>
        </is>
      </c>
      <c r="Y217" t="inlineStr">
        <is>
          <t>27818656067</t>
        </is>
      </c>
    </row>
    <row r="218">
      <c r="A218" t="inlineStr">
        <is>
          <t>14363104</t>
        </is>
      </c>
      <c r="B218" t="inlineStr">
        <is>
          <t>10a3ee0d-f78a-4026-b377-59e330bc1085</t>
        </is>
      </c>
      <c r="D218" t="inlineStr">
        <is>
          <t>30001082</t>
        </is>
      </c>
      <c r="E218" t="inlineStr">
        <is>
          <t>ussd_funeral_leads_altitude_20260504</t>
        </is>
      </c>
      <c r="J218" t="inlineStr">
        <is>
          <t>AE</t>
        </is>
      </c>
      <c r="K218" t="inlineStr">
        <is>
          <t>Auto Engaged</t>
        </is>
      </c>
      <c r="L218" t="n">
        <v>31</v>
      </c>
      <c r="M218" t="inlineStr">
        <is>
          <t>2026-05-28 12:45:44</t>
        </is>
      </c>
      <c r="N218" t="inlineStr">
        <is>
          <t>system</t>
        </is>
      </c>
      <c r="O218" t="inlineStr">
        <is>
          <t>2026-05-15 11:58:32</t>
        </is>
      </c>
      <c r="P218" t="inlineStr">
        <is>
          <t>2026-05-15 11:58:32</t>
        </is>
      </c>
      <c r="Y218" t="inlineStr">
        <is>
          <t>27798024240</t>
        </is>
      </c>
    </row>
    <row r="219">
      <c r="A219" t="inlineStr">
        <is>
          <t>14363115</t>
        </is>
      </c>
      <c r="B219" t="inlineStr">
        <is>
          <t>2e6a1e23-24f3-4c50-9125-e949c23d0cd5</t>
        </is>
      </c>
      <c r="D219" t="inlineStr">
        <is>
          <t>30001082</t>
        </is>
      </c>
      <c r="E219" t="inlineStr">
        <is>
          <t>ussd_funeral_leads_altitude_20260504</t>
        </is>
      </c>
      <c r="H219" t="inlineStr">
        <is>
          <t>27664239070</t>
        </is>
      </c>
      <c r="J219" t="inlineStr">
        <is>
          <t>AE</t>
        </is>
      </c>
      <c r="K219" t="inlineStr">
        <is>
          <t>Auto Engaged</t>
        </is>
      </c>
      <c r="L219" t="n">
        <v>31</v>
      </c>
      <c r="M219" t="inlineStr">
        <is>
          <t>2026-05-28 12:45:44</t>
        </is>
      </c>
      <c r="N219" t="inlineStr">
        <is>
          <t>system</t>
        </is>
      </c>
      <c r="O219" t="inlineStr">
        <is>
          <t>2026-05-15 11:58:32</t>
        </is>
      </c>
      <c r="P219" t="inlineStr">
        <is>
          <t>2026-05-15 11:58:32</t>
        </is>
      </c>
      <c r="Y219" t="inlineStr">
        <is>
          <t>27664239070</t>
        </is>
      </c>
    </row>
    <row r="220">
      <c r="A220" t="inlineStr">
        <is>
          <t>14362942</t>
        </is>
      </c>
      <c r="B220" t="inlineStr">
        <is>
          <t>914d42dd-3018-430f-b6b7-c769960b2356</t>
        </is>
      </c>
      <c r="D220" t="inlineStr">
        <is>
          <t>30001082</t>
        </is>
      </c>
      <c r="E220" t="inlineStr">
        <is>
          <t>ussd_funeral_leads_altitude_20260504</t>
        </is>
      </c>
      <c r="J220" t="inlineStr">
        <is>
          <t>AA</t>
        </is>
      </c>
      <c r="K220" t="inlineStr">
        <is>
          <t>Answering Machine Autodial</t>
        </is>
      </c>
      <c r="L220" t="n">
        <v>31</v>
      </c>
      <c r="M220" t="inlineStr">
        <is>
          <t>2026-05-28 12:45:44</t>
        </is>
      </c>
      <c r="N220" t="inlineStr">
        <is>
          <t>system</t>
        </is>
      </c>
      <c r="O220" t="inlineStr">
        <is>
          <t>2026-05-15 11:58:32</t>
        </is>
      </c>
      <c r="P220" t="inlineStr">
        <is>
          <t>2026-05-15 11:58:32</t>
        </is>
      </c>
      <c r="Y220" t="inlineStr">
        <is>
          <t>27713814195</t>
        </is>
      </c>
    </row>
    <row r="221">
      <c r="A221" t="inlineStr">
        <is>
          <t>14363073</t>
        </is>
      </c>
      <c r="B221" t="inlineStr">
        <is>
          <t>3fbeb739-f0e4-4e01-9503-21d91abb3b60</t>
        </is>
      </c>
      <c r="D221" t="inlineStr">
        <is>
          <t>30001082</t>
        </is>
      </c>
      <c r="E221" t="inlineStr">
        <is>
          <t>ussd_funeral_leads_altitude_20260504</t>
        </is>
      </c>
      <c r="J221" t="inlineStr">
        <is>
          <t>TDN</t>
        </is>
      </c>
      <c r="K221" t="inlineStr">
        <is>
          <t>Temporary Disconnected Number</t>
        </is>
      </c>
      <c r="L221" t="n">
        <v>31</v>
      </c>
      <c r="M221" t="inlineStr">
        <is>
          <t>2026-05-28 12:45:43</t>
        </is>
      </c>
      <c r="N221" t="inlineStr">
        <is>
          <t>system</t>
        </is>
      </c>
      <c r="O221" t="inlineStr">
        <is>
          <t>2026-05-15 11:58:32</t>
        </is>
      </c>
      <c r="P221" t="inlineStr">
        <is>
          <t>2026-05-15 11:58:32</t>
        </is>
      </c>
      <c r="Y221" t="inlineStr">
        <is>
          <t>27795873189</t>
        </is>
      </c>
    </row>
    <row r="222">
      <c r="A222" t="inlineStr">
        <is>
          <t>14363084</t>
        </is>
      </c>
      <c r="B222" t="inlineStr">
        <is>
          <t>4fbc43a6-56d2-47da-a435-d2aac562b622</t>
        </is>
      </c>
      <c r="D222" t="inlineStr">
        <is>
          <t>30001082</t>
        </is>
      </c>
      <c r="E222" t="inlineStr">
        <is>
          <t>ussd_funeral_leads_altitude_20260504</t>
        </is>
      </c>
      <c r="J222" t="inlineStr">
        <is>
          <t>TDN</t>
        </is>
      </c>
      <c r="K222" t="inlineStr">
        <is>
          <t>Temporary Disconnected Number</t>
        </is>
      </c>
      <c r="L222" t="n">
        <v>31</v>
      </c>
      <c r="M222" t="inlineStr">
        <is>
          <t>2026-05-28 12:45:43</t>
        </is>
      </c>
      <c r="N222" t="inlineStr">
        <is>
          <t>system</t>
        </is>
      </c>
      <c r="O222" t="inlineStr">
        <is>
          <t>2026-05-15 11:58:32</t>
        </is>
      </c>
      <c r="P222" t="inlineStr">
        <is>
          <t>2026-05-15 11:58:32</t>
        </is>
      </c>
      <c r="Y222" t="inlineStr">
        <is>
          <t>27774311726</t>
        </is>
      </c>
    </row>
    <row r="223">
      <c r="A223" t="inlineStr">
        <is>
          <t>14363144</t>
        </is>
      </c>
      <c r="B223" t="inlineStr">
        <is>
          <t>29118e92-701b-4d8e-88fe-2ee6658b20df</t>
        </is>
      </c>
      <c r="D223" t="inlineStr">
        <is>
          <t>30001082</t>
        </is>
      </c>
      <c r="E223" t="inlineStr">
        <is>
          <t>ussd_funeral_leads_altitude_20260504</t>
        </is>
      </c>
      <c r="J223" t="inlineStr">
        <is>
          <t>AE</t>
        </is>
      </c>
      <c r="K223" t="inlineStr">
        <is>
          <t>Auto Engaged</t>
        </is>
      </c>
      <c r="L223" t="n">
        <v>31</v>
      </c>
      <c r="M223" t="inlineStr">
        <is>
          <t>2026-05-28 12:45:42</t>
        </is>
      </c>
      <c r="N223" t="inlineStr">
        <is>
          <t>system</t>
        </is>
      </c>
      <c r="O223" t="inlineStr">
        <is>
          <t>2026-05-15 11:58:32</t>
        </is>
      </c>
      <c r="P223" t="inlineStr">
        <is>
          <t>2026-05-15 11:58:32</t>
        </is>
      </c>
      <c r="Y223" t="inlineStr">
        <is>
          <t>27711499443</t>
        </is>
      </c>
    </row>
    <row r="224">
      <c r="A224" t="inlineStr">
        <is>
          <t>14363153</t>
        </is>
      </c>
      <c r="B224" t="inlineStr">
        <is>
          <t>6415b359-7c09-4fe0-9789-91c91357ed99</t>
        </is>
      </c>
      <c r="D224" t="inlineStr">
        <is>
          <t>30001082</t>
        </is>
      </c>
      <c r="E224" t="inlineStr">
        <is>
          <t>ussd_funeral_leads_altitude_20260504</t>
        </is>
      </c>
      <c r="J224" t="inlineStr">
        <is>
          <t>TDN</t>
        </is>
      </c>
      <c r="K224" t="inlineStr">
        <is>
          <t>Temporary Disconnected Number</t>
        </is>
      </c>
      <c r="L224" t="n">
        <v>31</v>
      </c>
      <c r="M224" t="inlineStr">
        <is>
          <t>2026-05-28 12:45:42</t>
        </is>
      </c>
      <c r="N224" t="inlineStr">
        <is>
          <t>system</t>
        </is>
      </c>
      <c r="O224" t="inlineStr">
        <is>
          <t>2026-05-15 11:58:32</t>
        </is>
      </c>
      <c r="P224" t="inlineStr">
        <is>
          <t>2026-05-15 11:58:32</t>
        </is>
      </c>
      <c r="Y224" t="inlineStr">
        <is>
          <t>27823429597</t>
        </is>
      </c>
    </row>
    <row r="225">
      <c r="A225" t="inlineStr">
        <is>
          <t>14363155</t>
        </is>
      </c>
      <c r="B225" t="inlineStr">
        <is>
          <t>d8d76a3b-bb1d-4259-bbc4-0762b80c4c9f</t>
        </is>
      </c>
      <c r="D225" t="inlineStr">
        <is>
          <t>30001082</t>
        </is>
      </c>
      <c r="E225" t="inlineStr">
        <is>
          <t>ussd_funeral_leads_altitude_20260504</t>
        </is>
      </c>
      <c r="J225" t="inlineStr">
        <is>
          <t>NA</t>
        </is>
      </c>
      <c r="K225" t="inlineStr">
        <is>
          <t>No Answer Autodial</t>
        </is>
      </c>
      <c r="L225" t="n">
        <v>31</v>
      </c>
      <c r="M225" t="inlineStr">
        <is>
          <t>2026-05-28 12:45:42</t>
        </is>
      </c>
      <c r="N225" t="inlineStr">
        <is>
          <t>system</t>
        </is>
      </c>
      <c r="O225" t="inlineStr">
        <is>
          <t>2026-05-15 11:58:32</t>
        </is>
      </c>
      <c r="P225" t="inlineStr">
        <is>
          <t>2026-05-15 11:58:32</t>
        </is>
      </c>
      <c r="Y225" t="inlineStr">
        <is>
          <t>27649281394</t>
        </is>
      </c>
    </row>
    <row r="226">
      <c r="A226" t="inlineStr">
        <is>
          <t>14363167</t>
        </is>
      </c>
      <c r="B226" t="inlineStr">
        <is>
          <t>c2fefdce-6ee7-4788-ae62-55112a99f9bf</t>
        </is>
      </c>
      <c r="D226" t="inlineStr">
        <is>
          <t>30001082</t>
        </is>
      </c>
      <c r="E226" t="inlineStr">
        <is>
          <t>ussd_funeral_leads_altitude_20260504</t>
        </is>
      </c>
      <c r="J226" t="inlineStr">
        <is>
          <t>TDN</t>
        </is>
      </c>
      <c r="K226" t="inlineStr">
        <is>
          <t>Temporary Disconnected Number</t>
        </is>
      </c>
      <c r="L226" t="n">
        <v>31</v>
      </c>
      <c r="M226" t="inlineStr">
        <is>
          <t>2026-05-28 12:45:41</t>
        </is>
      </c>
      <c r="N226" t="inlineStr">
        <is>
          <t>system</t>
        </is>
      </c>
      <c r="O226" t="inlineStr">
        <is>
          <t>2026-05-15 11:58:32</t>
        </is>
      </c>
      <c r="P226" t="inlineStr">
        <is>
          <t>2026-05-15 11:58:32</t>
        </is>
      </c>
      <c r="Y226" t="inlineStr">
        <is>
          <t>27791827254</t>
        </is>
      </c>
    </row>
    <row r="227">
      <c r="A227" t="inlineStr">
        <is>
          <t>14363055</t>
        </is>
      </c>
      <c r="B227" t="inlineStr">
        <is>
          <t>3d25557a-20cd-4cf5-bcff-11aa749c417e</t>
        </is>
      </c>
      <c r="D227" t="inlineStr">
        <is>
          <t>30001082</t>
        </is>
      </c>
      <c r="E227" t="inlineStr">
        <is>
          <t>ussd_funeral_leads_altitude_20260504</t>
        </is>
      </c>
      <c r="J227" t="inlineStr">
        <is>
          <t>AA</t>
        </is>
      </c>
      <c r="K227" t="inlineStr">
        <is>
          <t>Answering Machine Autodial</t>
        </is>
      </c>
      <c r="L227" t="n">
        <v>31</v>
      </c>
      <c r="M227" t="inlineStr">
        <is>
          <t>2026-05-28 12:45:39</t>
        </is>
      </c>
      <c r="N227" t="inlineStr">
        <is>
          <t>system</t>
        </is>
      </c>
      <c r="O227" t="inlineStr">
        <is>
          <t>2026-05-15 11:58:32</t>
        </is>
      </c>
      <c r="P227" t="inlineStr">
        <is>
          <t>2026-05-15 11:58:32</t>
        </is>
      </c>
      <c r="Y227" t="inlineStr">
        <is>
          <t>27649395138</t>
        </is>
      </c>
    </row>
    <row r="228">
      <c r="A228" t="inlineStr">
        <is>
          <t>14363036</t>
        </is>
      </c>
      <c r="B228" t="inlineStr">
        <is>
          <t>66d4053f-f188-44aa-b5b5-17dd98448402</t>
        </is>
      </c>
      <c r="D228" t="inlineStr">
        <is>
          <t>30001082</t>
        </is>
      </c>
      <c r="E228" t="inlineStr">
        <is>
          <t>ussd_funeral_leads_altitude_20260504</t>
        </is>
      </c>
      <c r="J228" t="inlineStr">
        <is>
          <t>TDN</t>
        </is>
      </c>
      <c r="K228" t="inlineStr">
        <is>
          <t>Temporary Disconnected Number</t>
        </is>
      </c>
      <c r="L228" t="n">
        <v>31</v>
      </c>
      <c r="M228" t="inlineStr">
        <is>
          <t>2026-05-28 12:45:37</t>
        </is>
      </c>
      <c r="N228" t="inlineStr">
        <is>
          <t>system</t>
        </is>
      </c>
      <c r="O228" t="inlineStr">
        <is>
          <t>2026-05-15 11:58:32</t>
        </is>
      </c>
      <c r="P228" t="inlineStr">
        <is>
          <t>2026-05-15 11:58:32</t>
        </is>
      </c>
      <c r="Y228" t="inlineStr">
        <is>
          <t>27674389933</t>
        </is>
      </c>
    </row>
    <row r="229">
      <c r="A229" t="inlineStr">
        <is>
          <t>14363026</t>
        </is>
      </c>
      <c r="B229" t="inlineStr">
        <is>
          <t>43bdbab1-2673-4588-a7ed-c21f88527420</t>
        </is>
      </c>
      <c r="D229" t="inlineStr">
        <is>
          <t>30001082</t>
        </is>
      </c>
      <c r="E229" t="inlineStr">
        <is>
          <t>ussd_funeral_leads_altitude_20260504</t>
        </is>
      </c>
      <c r="J229" t="inlineStr">
        <is>
          <t>AE</t>
        </is>
      </c>
      <c r="K229" t="inlineStr">
        <is>
          <t>Auto Engaged</t>
        </is>
      </c>
      <c r="L229" t="n">
        <v>31</v>
      </c>
      <c r="M229" t="inlineStr">
        <is>
          <t>2026-05-28 12:45:36</t>
        </is>
      </c>
      <c r="N229" t="inlineStr">
        <is>
          <t>system</t>
        </is>
      </c>
      <c r="O229" t="inlineStr">
        <is>
          <t>2026-05-15 11:58:32</t>
        </is>
      </c>
      <c r="P229" t="inlineStr">
        <is>
          <t>2026-05-15 11:58:32</t>
        </is>
      </c>
      <c r="Y229" t="inlineStr">
        <is>
          <t>27766338749</t>
        </is>
      </c>
    </row>
    <row r="230">
      <c r="A230" t="inlineStr">
        <is>
          <t>14363030</t>
        </is>
      </c>
      <c r="B230" t="inlineStr">
        <is>
          <t>4d25cc20-8495-4ba6-bb3d-68a7a02fd274</t>
        </is>
      </c>
      <c r="D230" t="inlineStr">
        <is>
          <t>30001082</t>
        </is>
      </c>
      <c r="E230" t="inlineStr">
        <is>
          <t>ussd_funeral_leads_altitude_20260504</t>
        </is>
      </c>
      <c r="J230" t="inlineStr">
        <is>
          <t>AE</t>
        </is>
      </c>
      <c r="K230" t="inlineStr">
        <is>
          <t>Auto Engaged</t>
        </is>
      </c>
      <c r="L230" t="n">
        <v>31</v>
      </c>
      <c r="M230" t="inlineStr">
        <is>
          <t>2026-05-28 12:45:36</t>
        </is>
      </c>
      <c r="N230" t="inlineStr">
        <is>
          <t>system</t>
        </is>
      </c>
      <c r="O230" t="inlineStr">
        <is>
          <t>2026-05-15 11:58:32</t>
        </is>
      </c>
      <c r="P230" t="inlineStr">
        <is>
          <t>2026-05-15 11:58:32</t>
        </is>
      </c>
      <c r="Y230" t="inlineStr">
        <is>
          <t>27822230792</t>
        </is>
      </c>
    </row>
    <row r="231">
      <c r="A231" t="inlineStr">
        <is>
          <t>14363031</t>
        </is>
      </c>
      <c r="B231" t="inlineStr">
        <is>
          <t>a356a168-ad4e-43c6-85ed-672a793c0c17</t>
        </is>
      </c>
      <c r="D231" t="inlineStr">
        <is>
          <t>30001082</t>
        </is>
      </c>
      <c r="E231" t="inlineStr">
        <is>
          <t>ussd_funeral_leads_altitude_20260504</t>
        </is>
      </c>
      <c r="J231" t="inlineStr">
        <is>
          <t>AE</t>
        </is>
      </c>
      <c r="K231" t="inlineStr">
        <is>
          <t>Auto Engaged</t>
        </is>
      </c>
      <c r="L231" t="n">
        <v>31</v>
      </c>
      <c r="M231" t="inlineStr">
        <is>
          <t>2026-05-28 12:45:36</t>
        </is>
      </c>
      <c r="N231" t="inlineStr">
        <is>
          <t>system</t>
        </is>
      </c>
      <c r="O231" t="inlineStr">
        <is>
          <t>2026-05-15 11:58:32</t>
        </is>
      </c>
      <c r="P231" t="inlineStr">
        <is>
          <t>2026-05-15 11:58:32</t>
        </is>
      </c>
      <c r="Y231" t="inlineStr">
        <is>
          <t>27772056522</t>
        </is>
      </c>
    </row>
    <row r="232">
      <c r="A232" t="inlineStr">
        <is>
          <t>14363382</t>
        </is>
      </c>
      <c r="B232" t="inlineStr">
        <is>
          <t>f4183928-8885-4369-9db2-f1a48387850c</t>
        </is>
      </c>
      <c r="D232" t="inlineStr">
        <is>
          <t>30001082</t>
        </is>
      </c>
      <c r="E232" t="inlineStr">
        <is>
          <t>ussd_funeral_leads_altitude_20260504</t>
        </is>
      </c>
      <c r="J232" t="inlineStr">
        <is>
          <t>TDN</t>
        </is>
      </c>
      <c r="K232" t="inlineStr">
        <is>
          <t>Temporary Disconnected Number</t>
        </is>
      </c>
      <c r="L232" t="n">
        <v>31</v>
      </c>
      <c r="M232" t="inlineStr">
        <is>
          <t>2026-05-28 12:45:36</t>
        </is>
      </c>
      <c r="N232" t="inlineStr">
        <is>
          <t>system</t>
        </is>
      </c>
      <c r="O232" t="inlineStr">
        <is>
          <t>2026-05-15 11:58:32</t>
        </is>
      </c>
      <c r="P232" t="inlineStr">
        <is>
          <t>2026-05-15 11:58:32</t>
        </is>
      </c>
      <c r="Y232" t="inlineStr">
        <is>
          <t>27711798060</t>
        </is>
      </c>
    </row>
    <row r="233">
      <c r="A233" t="inlineStr">
        <is>
          <t>14363326</t>
        </is>
      </c>
      <c r="B233" t="inlineStr">
        <is>
          <t>7ce4d56d-a676-428e-aa53-a10616c85b04</t>
        </is>
      </c>
      <c r="D233" t="inlineStr">
        <is>
          <t>30001082</t>
        </is>
      </c>
      <c r="E233" t="inlineStr">
        <is>
          <t>ussd_funeral_leads_altitude_20260504</t>
        </is>
      </c>
      <c r="J233" t="inlineStr">
        <is>
          <t>TDN</t>
        </is>
      </c>
      <c r="K233" t="inlineStr">
        <is>
          <t>Temporary Disconnected Number</t>
        </is>
      </c>
      <c r="L233" t="n">
        <v>31</v>
      </c>
      <c r="M233" t="inlineStr">
        <is>
          <t>2026-05-28 12:45:35</t>
        </is>
      </c>
      <c r="N233" t="inlineStr">
        <is>
          <t>system</t>
        </is>
      </c>
      <c r="O233" t="inlineStr">
        <is>
          <t>2026-05-15 11:58:32</t>
        </is>
      </c>
      <c r="P233" t="inlineStr">
        <is>
          <t>2026-05-15 11:58:32</t>
        </is>
      </c>
      <c r="Y233" t="inlineStr">
        <is>
          <t>27609476949</t>
        </is>
      </c>
    </row>
    <row r="234">
      <c r="A234" t="inlineStr">
        <is>
          <t>14363438</t>
        </is>
      </c>
      <c r="B234" t="inlineStr">
        <is>
          <t>6b1f175b-9cc8-48d9-9b68-495015d62dae</t>
        </is>
      </c>
      <c r="D234" t="inlineStr">
        <is>
          <t>30001082</t>
        </is>
      </c>
      <c r="E234" t="inlineStr">
        <is>
          <t>ussd_funeral_leads_altitude_20260504</t>
        </is>
      </c>
      <c r="J234" t="inlineStr">
        <is>
          <t>AE</t>
        </is>
      </c>
      <c r="K234" t="inlineStr">
        <is>
          <t>Auto Engaged</t>
        </is>
      </c>
      <c r="L234" t="n">
        <v>31</v>
      </c>
      <c r="M234" t="inlineStr">
        <is>
          <t>2026-05-28 12:45:35</t>
        </is>
      </c>
      <c r="N234" t="inlineStr">
        <is>
          <t>system</t>
        </is>
      </c>
      <c r="O234" t="inlineStr">
        <is>
          <t>2026-05-15 11:58:32</t>
        </is>
      </c>
      <c r="P234" t="inlineStr">
        <is>
          <t>2026-05-15 11:58:32</t>
        </is>
      </c>
      <c r="Y234" t="inlineStr">
        <is>
          <t>27825398687</t>
        </is>
      </c>
    </row>
    <row r="235">
      <c r="A235" t="inlineStr">
        <is>
          <t>14363442</t>
        </is>
      </c>
      <c r="B235" t="inlineStr">
        <is>
          <t>b250e168-4290-430f-8769-ef566b9c11ca</t>
        </is>
      </c>
      <c r="D235" t="inlineStr">
        <is>
          <t>30001082</t>
        </is>
      </c>
      <c r="E235" t="inlineStr">
        <is>
          <t>ussd_funeral_leads_altitude_20260504</t>
        </is>
      </c>
      <c r="J235" t="inlineStr">
        <is>
          <t>AE</t>
        </is>
      </c>
      <c r="K235" t="inlineStr">
        <is>
          <t>Auto Engaged</t>
        </is>
      </c>
      <c r="L235" t="n">
        <v>31</v>
      </c>
      <c r="M235" t="inlineStr">
        <is>
          <t>2026-05-28 12:45:35</t>
        </is>
      </c>
      <c r="N235" t="inlineStr">
        <is>
          <t>system</t>
        </is>
      </c>
      <c r="O235" t="inlineStr">
        <is>
          <t>2026-05-15 11:58:32</t>
        </is>
      </c>
      <c r="P235" t="inlineStr">
        <is>
          <t>2026-05-15 11:58:32</t>
        </is>
      </c>
      <c r="Y235" t="inlineStr">
        <is>
          <t>27726487199</t>
        </is>
      </c>
    </row>
    <row r="236">
      <c r="A236" t="inlineStr">
        <is>
          <t>14363467</t>
        </is>
      </c>
      <c r="B236" t="inlineStr">
        <is>
          <t>2a7efcfa-ec2b-4ba4-a392-9cd384688b9a</t>
        </is>
      </c>
      <c r="D236" t="inlineStr">
        <is>
          <t>30001082</t>
        </is>
      </c>
      <c r="E236" t="inlineStr">
        <is>
          <t>ussd_funeral_leads_altitude_20260504</t>
        </is>
      </c>
      <c r="J236" t="inlineStr">
        <is>
          <t>TDN</t>
        </is>
      </c>
      <c r="K236" t="inlineStr">
        <is>
          <t>Temporary Disconnected Number</t>
        </is>
      </c>
      <c r="L236" t="n">
        <v>31</v>
      </c>
      <c r="M236" t="inlineStr">
        <is>
          <t>2026-05-28 12:45:35</t>
        </is>
      </c>
      <c r="N236" t="inlineStr">
        <is>
          <t>system</t>
        </is>
      </c>
      <c r="O236" t="inlineStr">
        <is>
          <t>2026-05-15 11:58:32</t>
        </is>
      </c>
      <c r="P236" t="inlineStr">
        <is>
          <t>2026-05-15 11:58:32</t>
        </is>
      </c>
      <c r="Y236" t="inlineStr">
        <is>
          <t>27797955631</t>
        </is>
      </c>
    </row>
    <row r="237">
      <c r="A237" t="inlineStr">
        <is>
          <t>14363468</t>
        </is>
      </c>
      <c r="B237" t="inlineStr">
        <is>
          <t>c416900b-1f2d-4b2f-9159-636f964d5836</t>
        </is>
      </c>
      <c r="D237" t="inlineStr">
        <is>
          <t>30001082</t>
        </is>
      </c>
      <c r="E237" t="inlineStr">
        <is>
          <t>ussd_funeral_leads_altitude_20260504</t>
        </is>
      </c>
      <c r="J237" t="inlineStr">
        <is>
          <t>AE</t>
        </is>
      </c>
      <c r="K237" t="inlineStr">
        <is>
          <t>Auto Engaged</t>
        </is>
      </c>
      <c r="L237" t="n">
        <v>31</v>
      </c>
      <c r="M237" t="inlineStr">
        <is>
          <t>2026-05-28 12:45:35</t>
        </is>
      </c>
      <c r="N237" t="inlineStr">
        <is>
          <t>system</t>
        </is>
      </c>
      <c r="O237" t="inlineStr">
        <is>
          <t>2026-05-15 11:58:32</t>
        </is>
      </c>
      <c r="P237" t="inlineStr">
        <is>
          <t>2026-05-15 11:58:32</t>
        </is>
      </c>
      <c r="Y237" t="inlineStr">
        <is>
          <t>27767514295</t>
        </is>
      </c>
    </row>
    <row r="238">
      <c r="A238" t="inlineStr">
        <is>
          <t>14363472</t>
        </is>
      </c>
      <c r="B238" t="inlineStr">
        <is>
          <t>6f0fc241-09bc-4496-b7a4-f2108ae63f79</t>
        </is>
      </c>
      <c r="D238" t="inlineStr">
        <is>
          <t>30001082</t>
        </is>
      </c>
      <c r="E238" t="inlineStr">
        <is>
          <t>ussd_funeral_leads_altitude_20260504</t>
        </is>
      </c>
      <c r="J238" t="inlineStr">
        <is>
          <t>AA</t>
        </is>
      </c>
      <c r="K238" t="inlineStr">
        <is>
          <t>Answering Machine Autodial</t>
        </is>
      </c>
      <c r="L238" t="n">
        <v>31</v>
      </c>
      <c r="M238" t="inlineStr">
        <is>
          <t>2026-05-28 12:45:35</t>
        </is>
      </c>
      <c r="N238" t="inlineStr">
        <is>
          <t>system</t>
        </is>
      </c>
      <c r="O238" t="inlineStr">
        <is>
          <t>2026-05-15 11:58:32</t>
        </is>
      </c>
      <c r="P238" t="inlineStr">
        <is>
          <t>2026-05-15 11:58:32</t>
        </is>
      </c>
      <c r="Y238" t="inlineStr">
        <is>
          <t>27607699409</t>
        </is>
      </c>
    </row>
    <row r="239">
      <c r="A239" t="inlineStr">
        <is>
          <t>14363400</t>
        </is>
      </c>
      <c r="B239" t="inlineStr">
        <is>
          <t>867a6d2d-f7c4-4098-be47-4769a23fc496</t>
        </is>
      </c>
      <c r="D239" t="inlineStr">
        <is>
          <t>30001082</t>
        </is>
      </c>
      <c r="E239" t="inlineStr">
        <is>
          <t>ussd_funeral_leads_altitude_20260504</t>
        </is>
      </c>
      <c r="J239" t="inlineStr">
        <is>
          <t>TDN</t>
        </is>
      </c>
      <c r="K239" t="inlineStr">
        <is>
          <t>Temporary Disconnected Number</t>
        </is>
      </c>
      <c r="L239" t="n">
        <v>31</v>
      </c>
      <c r="M239" t="inlineStr">
        <is>
          <t>2026-05-28 12:45:35</t>
        </is>
      </c>
      <c r="N239" t="inlineStr">
        <is>
          <t>system</t>
        </is>
      </c>
      <c r="O239" t="inlineStr">
        <is>
          <t>2026-05-15 11:58:32</t>
        </is>
      </c>
      <c r="P239" t="inlineStr">
        <is>
          <t>2026-05-15 11:58:32</t>
        </is>
      </c>
      <c r="Y239" t="inlineStr">
        <is>
          <t>27720916146</t>
        </is>
      </c>
    </row>
    <row r="240">
      <c r="A240" t="inlineStr">
        <is>
          <t>14363019</t>
        </is>
      </c>
      <c r="B240" t="inlineStr">
        <is>
          <t>bb54eac9-8aab-4aca-b133-e5f8b41ff78d</t>
        </is>
      </c>
      <c r="D240" t="inlineStr">
        <is>
          <t>30001082</t>
        </is>
      </c>
      <c r="E240" t="inlineStr">
        <is>
          <t>ussd_funeral_leads_altitude_20260504</t>
        </is>
      </c>
      <c r="J240" t="inlineStr">
        <is>
          <t>TDN</t>
        </is>
      </c>
      <c r="K240" t="inlineStr">
        <is>
          <t>Temporary Disconnected Number</t>
        </is>
      </c>
      <c r="L240" t="n">
        <v>31</v>
      </c>
      <c r="M240" t="inlineStr">
        <is>
          <t>2026-05-28 12:45:34</t>
        </is>
      </c>
      <c r="N240" t="inlineStr">
        <is>
          <t>system</t>
        </is>
      </c>
      <c r="O240" t="inlineStr">
        <is>
          <t>2026-05-15 11:58:32</t>
        </is>
      </c>
      <c r="P240" t="inlineStr">
        <is>
          <t>2026-05-15 11:58:32</t>
        </is>
      </c>
      <c r="Y240" t="inlineStr">
        <is>
          <t>27767753338</t>
        </is>
      </c>
    </row>
    <row r="241">
      <c r="A241" t="inlineStr">
        <is>
          <t>14363251</t>
        </is>
      </c>
      <c r="B241" t="inlineStr">
        <is>
          <t>2536e41d-1f2b-4e0f-b461-005c544550fa</t>
        </is>
      </c>
      <c r="D241" t="inlineStr">
        <is>
          <t>30001082</t>
        </is>
      </c>
      <c r="E241" t="inlineStr">
        <is>
          <t>ussd_funeral_leads_altitude_20260504</t>
        </is>
      </c>
      <c r="J241" t="inlineStr">
        <is>
          <t>TDN</t>
        </is>
      </c>
      <c r="K241" t="inlineStr">
        <is>
          <t>Temporary Disconnected Number</t>
        </is>
      </c>
      <c r="L241" t="n">
        <v>31</v>
      </c>
      <c r="M241" t="inlineStr">
        <is>
          <t>2026-05-28 12:45:34</t>
        </is>
      </c>
      <c r="N241" t="inlineStr">
        <is>
          <t>system</t>
        </is>
      </c>
      <c r="O241" t="inlineStr">
        <is>
          <t>2026-05-15 11:58:32</t>
        </is>
      </c>
      <c r="P241" t="inlineStr">
        <is>
          <t>2026-05-15 11:58:32</t>
        </is>
      </c>
      <c r="Y241" t="inlineStr">
        <is>
          <t>27793429102</t>
        </is>
      </c>
    </row>
    <row r="242">
      <c r="A242" t="inlineStr">
        <is>
          <t>14363256</t>
        </is>
      </c>
      <c r="B242" t="inlineStr">
        <is>
          <t>30f4e744-2881-4bfc-b7c8-21e9c8ba01b1</t>
        </is>
      </c>
      <c r="D242" t="inlineStr">
        <is>
          <t>30001082</t>
        </is>
      </c>
      <c r="E242" t="inlineStr">
        <is>
          <t>ussd_funeral_leads_altitude_20260504</t>
        </is>
      </c>
      <c r="J242" t="inlineStr">
        <is>
          <t>TDN</t>
        </is>
      </c>
      <c r="K242" t="inlineStr">
        <is>
          <t>Temporary Disconnected Number</t>
        </is>
      </c>
      <c r="L242" t="n">
        <v>31</v>
      </c>
      <c r="M242" t="inlineStr">
        <is>
          <t>2026-05-28 12:45:34</t>
        </is>
      </c>
      <c r="N242" t="inlineStr">
        <is>
          <t>system</t>
        </is>
      </c>
      <c r="O242" t="inlineStr">
        <is>
          <t>2026-05-15 11:58:32</t>
        </is>
      </c>
      <c r="P242" t="inlineStr">
        <is>
          <t>2026-05-15 11:58:32</t>
        </is>
      </c>
      <c r="Y242" t="inlineStr">
        <is>
          <t>27724822825</t>
        </is>
      </c>
    </row>
    <row r="243">
      <c r="A243" t="inlineStr">
        <is>
          <t>14363340</t>
        </is>
      </c>
      <c r="B243" t="inlineStr">
        <is>
          <t>6966b622-35a0-49bc-b947-b58cb7fe02b8</t>
        </is>
      </c>
      <c r="D243" t="inlineStr">
        <is>
          <t>30001082</t>
        </is>
      </c>
      <c r="E243" t="inlineStr">
        <is>
          <t>ussd_funeral_leads_altitude_20260504</t>
        </is>
      </c>
      <c r="J243" t="inlineStr">
        <is>
          <t>TDN</t>
        </is>
      </c>
      <c r="K243" t="inlineStr">
        <is>
          <t>Temporary Disconnected Number</t>
        </is>
      </c>
      <c r="L243" t="n">
        <v>31</v>
      </c>
      <c r="M243" t="inlineStr">
        <is>
          <t>2026-05-28 12:45:34</t>
        </is>
      </c>
      <c r="N243" t="inlineStr">
        <is>
          <t>system</t>
        </is>
      </c>
      <c r="O243" t="inlineStr">
        <is>
          <t>2026-05-15 11:58:32</t>
        </is>
      </c>
      <c r="P243" t="inlineStr">
        <is>
          <t>2026-05-15 11:58:32</t>
        </is>
      </c>
      <c r="Y243" t="inlineStr">
        <is>
          <t>27795513965</t>
        </is>
      </c>
    </row>
    <row r="244">
      <c r="A244" t="inlineStr">
        <is>
          <t>14363261</t>
        </is>
      </c>
      <c r="B244" t="inlineStr">
        <is>
          <t>44ce92f6-6ded-4b96-89ab-87f6495fcb36</t>
        </is>
      </c>
      <c r="D244" t="inlineStr">
        <is>
          <t>30001082</t>
        </is>
      </c>
      <c r="E244" t="inlineStr">
        <is>
          <t>ussd_funeral_leads_altitude_20260504</t>
        </is>
      </c>
      <c r="J244" t="inlineStr">
        <is>
          <t>AE</t>
        </is>
      </c>
      <c r="K244" t="inlineStr">
        <is>
          <t>Auto Engaged</t>
        </is>
      </c>
      <c r="L244" t="n">
        <v>31</v>
      </c>
      <c r="M244" t="inlineStr">
        <is>
          <t>2026-05-28 12:45:34</t>
        </is>
      </c>
      <c r="N244" t="inlineStr">
        <is>
          <t>system</t>
        </is>
      </c>
      <c r="O244" t="inlineStr">
        <is>
          <t>2026-05-15 11:58:32</t>
        </is>
      </c>
      <c r="P244" t="inlineStr">
        <is>
          <t>2026-05-15 11:58:32</t>
        </is>
      </c>
      <c r="Y244" t="inlineStr">
        <is>
          <t>27822335372</t>
        </is>
      </c>
    </row>
    <row r="245">
      <c r="A245" t="inlineStr">
        <is>
          <t>14363269</t>
        </is>
      </c>
      <c r="B245" t="inlineStr">
        <is>
          <t>9a93659c-6827-4b7e-b923-4f94e21d8c07</t>
        </is>
      </c>
      <c r="D245" t="inlineStr">
        <is>
          <t>30001082</t>
        </is>
      </c>
      <c r="E245" t="inlineStr">
        <is>
          <t>ussd_funeral_leads_altitude_20260504</t>
        </is>
      </c>
      <c r="J245" t="inlineStr">
        <is>
          <t>CU</t>
        </is>
      </c>
      <c r="K245" t="inlineStr">
        <is>
          <t>Client Hung Up</t>
        </is>
      </c>
      <c r="L245" t="n">
        <v>31</v>
      </c>
      <c r="M245" t="inlineStr">
        <is>
          <t>2026-05-28 12:45:34</t>
        </is>
      </c>
      <c r="N245" t="inlineStr">
        <is>
          <t>Goitsimang Mogwasa</t>
        </is>
      </c>
      <c r="O245" t="inlineStr">
        <is>
          <t>2026-05-15 11:58:32</t>
        </is>
      </c>
      <c r="P245" t="inlineStr">
        <is>
          <t>2026-05-15 11:58:32</t>
        </is>
      </c>
      <c r="Y245" t="inlineStr">
        <is>
          <t>27797593241</t>
        </is>
      </c>
    </row>
    <row r="246">
      <c r="A246" t="inlineStr">
        <is>
          <t>14363361</t>
        </is>
      </c>
      <c r="B246" t="inlineStr">
        <is>
          <t>5bf7c286-7ceb-44a6-922b-ac89cf93467e</t>
        </is>
      </c>
      <c r="D246" t="inlineStr">
        <is>
          <t>30001082</t>
        </is>
      </c>
      <c r="E246" t="inlineStr">
        <is>
          <t>ussd_funeral_leads_altitude_20260504</t>
        </is>
      </c>
      <c r="H246" t="inlineStr">
        <is>
          <t>27609935352</t>
        </is>
      </c>
      <c r="J246" t="inlineStr">
        <is>
          <t>TDN</t>
        </is>
      </c>
      <c r="K246" t="inlineStr">
        <is>
          <t>Temporary Disconnected Number</t>
        </is>
      </c>
      <c r="L246" t="n">
        <v>31</v>
      </c>
      <c r="M246" t="inlineStr">
        <is>
          <t>2026-05-28 12:45:34</t>
        </is>
      </c>
      <c r="N246" t="inlineStr">
        <is>
          <t>system</t>
        </is>
      </c>
      <c r="O246" t="inlineStr">
        <is>
          <t>2026-05-15 11:58:32</t>
        </is>
      </c>
      <c r="P246" t="inlineStr">
        <is>
          <t>2026-05-15 11:58:32</t>
        </is>
      </c>
      <c r="Y246" t="inlineStr">
        <is>
          <t>27609935352</t>
        </is>
      </c>
    </row>
    <row r="247">
      <c r="A247" t="inlineStr">
        <is>
          <t>14363281</t>
        </is>
      </c>
      <c r="B247" t="inlineStr">
        <is>
          <t>c341a95c-8056-4a5a-88f2-702a1d954772</t>
        </is>
      </c>
      <c r="D247" t="inlineStr">
        <is>
          <t>30001082</t>
        </is>
      </c>
      <c r="E247" t="inlineStr">
        <is>
          <t>ussd_funeral_leads_altitude_20260504</t>
        </is>
      </c>
      <c r="J247" t="inlineStr">
        <is>
          <t>AE</t>
        </is>
      </c>
      <c r="K247" t="inlineStr">
        <is>
          <t>Auto Engaged</t>
        </is>
      </c>
      <c r="L247" t="n">
        <v>31</v>
      </c>
      <c r="M247" t="inlineStr">
        <is>
          <t>2026-05-28 12:45:34</t>
        </is>
      </c>
      <c r="N247" t="inlineStr">
        <is>
          <t>system</t>
        </is>
      </c>
      <c r="O247" t="inlineStr">
        <is>
          <t>2026-05-15 11:58:32</t>
        </is>
      </c>
      <c r="P247" t="inlineStr">
        <is>
          <t>2026-05-15 11:58:32</t>
        </is>
      </c>
      <c r="Y247" t="inlineStr">
        <is>
          <t>27608003721</t>
        </is>
      </c>
    </row>
    <row r="248">
      <c r="A248" t="inlineStr">
        <is>
          <t>14363389</t>
        </is>
      </c>
      <c r="B248" t="inlineStr">
        <is>
          <t>8c64615c-0962-4e7b-82a7-56d9d0d8b8e7</t>
        </is>
      </c>
      <c r="D248" t="inlineStr">
        <is>
          <t>30001082</t>
        </is>
      </c>
      <c r="E248" t="inlineStr">
        <is>
          <t>ussd_funeral_leads_altitude_20260504</t>
        </is>
      </c>
      <c r="J248" t="inlineStr">
        <is>
          <t>TDN</t>
        </is>
      </c>
      <c r="K248" t="inlineStr">
        <is>
          <t>Temporary Disconnected Number</t>
        </is>
      </c>
      <c r="L248" t="n">
        <v>31</v>
      </c>
      <c r="M248" t="inlineStr">
        <is>
          <t>2026-05-28 12:45:34</t>
        </is>
      </c>
      <c r="N248" t="inlineStr">
        <is>
          <t>system</t>
        </is>
      </c>
      <c r="O248" t="inlineStr">
        <is>
          <t>2026-05-15 11:58:32</t>
        </is>
      </c>
      <c r="P248" t="inlineStr">
        <is>
          <t>2026-05-15 11:58:32</t>
        </is>
      </c>
      <c r="Y248" t="inlineStr">
        <is>
          <t>27769600740</t>
        </is>
      </c>
    </row>
    <row r="249">
      <c r="A249" t="inlineStr">
        <is>
          <t>14363399</t>
        </is>
      </c>
      <c r="B249" t="inlineStr">
        <is>
          <t>0de2a598-6acc-4f70-ad0f-b3b2531e8c71</t>
        </is>
      </c>
      <c r="D249" t="inlineStr">
        <is>
          <t>30001082</t>
        </is>
      </c>
      <c r="E249" t="inlineStr">
        <is>
          <t>ussd_funeral_leads_altitude_20260504</t>
        </is>
      </c>
      <c r="J249" t="inlineStr">
        <is>
          <t>TDN</t>
        </is>
      </c>
      <c r="K249" t="inlineStr">
        <is>
          <t>Temporary Disconnected Number</t>
        </is>
      </c>
      <c r="L249" t="n">
        <v>31</v>
      </c>
      <c r="M249" t="inlineStr">
        <is>
          <t>2026-05-28 12:45:34</t>
        </is>
      </c>
      <c r="N249" t="inlineStr">
        <is>
          <t>system</t>
        </is>
      </c>
      <c r="O249" t="inlineStr">
        <is>
          <t>2026-05-15 11:58:32</t>
        </is>
      </c>
      <c r="P249" t="inlineStr">
        <is>
          <t>2026-05-15 11:58:32</t>
        </is>
      </c>
      <c r="Y249" t="inlineStr">
        <is>
          <t>27714671973</t>
        </is>
      </c>
    </row>
    <row r="250">
      <c r="A250" t="inlineStr">
        <is>
          <t>14363174</t>
        </is>
      </c>
      <c r="B250" t="inlineStr">
        <is>
          <t>38f69637-33e6-4e80-8eb7-144c6f11492b</t>
        </is>
      </c>
      <c r="D250" t="inlineStr">
        <is>
          <t>30001082</t>
        </is>
      </c>
      <c r="E250" t="inlineStr">
        <is>
          <t>ussd_funeral_leads_altitude_20260504</t>
        </is>
      </c>
      <c r="J250" t="inlineStr">
        <is>
          <t>TDN</t>
        </is>
      </c>
      <c r="K250" t="inlineStr">
        <is>
          <t>Temporary Disconnected Number</t>
        </is>
      </c>
      <c r="L250" t="n">
        <v>31</v>
      </c>
      <c r="M250" t="inlineStr">
        <is>
          <t>2026-05-28 12:45:33</t>
        </is>
      </c>
      <c r="N250" t="inlineStr">
        <is>
          <t>system</t>
        </is>
      </c>
      <c r="O250" t="inlineStr">
        <is>
          <t>2026-05-15 11:58:32</t>
        </is>
      </c>
      <c r="P250" t="inlineStr">
        <is>
          <t>2026-05-15 11:58:32</t>
        </is>
      </c>
      <c r="Y250" t="inlineStr">
        <is>
          <t>27649182052</t>
        </is>
      </c>
    </row>
    <row r="251">
      <c r="A251" t="inlineStr">
        <is>
          <t>14363181</t>
        </is>
      </c>
      <c r="B251" t="inlineStr">
        <is>
          <t>19906345-51ff-4eb2-98dd-6a84c88c65ae</t>
        </is>
      </c>
      <c r="D251" t="inlineStr">
        <is>
          <t>30001082</t>
        </is>
      </c>
      <c r="E251" t="inlineStr">
        <is>
          <t>ussd_funeral_leads_altitude_20260504</t>
        </is>
      </c>
      <c r="J251" t="inlineStr">
        <is>
          <t>TDN</t>
        </is>
      </c>
      <c r="K251" t="inlineStr">
        <is>
          <t>Temporary Disconnected Number</t>
        </is>
      </c>
      <c r="L251" t="n">
        <v>31</v>
      </c>
      <c r="M251" t="inlineStr">
        <is>
          <t>2026-05-28 12:45:33</t>
        </is>
      </c>
      <c r="N251" t="inlineStr">
        <is>
          <t>system</t>
        </is>
      </c>
      <c r="O251" t="inlineStr">
        <is>
          <t>2026-05-15 11:58:32</t>
        </is>
      </c>
      <c r="P251" t="inlineStr">
        <is>
          <t>2026-05-15 11:58:32</t>
        </is>
      </c>
      <c r="Y251" t="inlineStr">
        <is>
          <t>27675549361</t>
        </is>
      </c>
    </row>
    <row r="252">
      <c r="A252" t="inlineStr">
        <is>
          <t>14363186</t>
        </is>
      </c>
      <c r="B252" t="inlineStr">
        <is>
          <t>31aad60c-fafd-4409-a34d-bc92601a583d</t>
        </is>
      </c>
      <c r="D252" t="inlineStr">
        <is>
          <t>30001082</t>
        </is>
      </c>
      <c r="E252" t="inlineStr">
        <is>
          <t>ussd_funeral_leads_altitude_20260504</t>
        </is>
      </c>
      <c r="J252" t="inlineStr">
        <is>
          <t>TDN</t>
        </is>
      </c>
      <c r="K252" t="inlineStr">
        <is>
          <t>Temporary Disconnected Number</t>
        </is>
      </c>
      <c r="L252" t="n">
        <v>31</v>
      </c>
      <c r="M252" t="inlineStr">
        <is>
          <t>2026-05-28 12:45:33</t>
        </is>
      </c>
      <c r="N252" t="inlineStr">
        <is>
          <t>system</t>
        </is>
      </c>
      <c r="O252" t="inlineStr">
        <is>
          <t>2026-05-15 11:58:32</t>
        </is>
      </c>
      <c r="P252" t="inlineStr">
        <is>
          <t>2026-05-15 11:58:32</t>
        </is>
      </c>
      <c r="Y252" t="inlineStr">
        <is>
          <t>27769861203</t>
        </is>
      </c>
    </row>
    <row r="253">
      <c r="A253" t="inlineStr">
        <is>
          <t>14363220</t>
        </is>
      </c>
      <c r="B253" t="inlineStr">
        <is>
          <t>ccb7d275-e1e8-4c5c-9d53-1ea80d1303e7</t>
        </is>
      </c>
      <c r="D253" t="inlineStr">
        <is>
          <t>30001082</t>
        </is>
      </c>
      <c r="E253" t="inlineStr">
        <is>
          <t>ussd_funeral_leads_altitude_20260504</t>
        </is>
      </c>
      <c r="J253" t="inlineStr">
        <is>
          <t>AE</t>
        </is>
      </c>
      <c r="K253" t="inlineStr">
        <is>
          <t>Auto Engaged</t>
        </is>
      </c>
      <c r="L253" t="n">
        <v>31</v>
      </c>
      <c r="M253" t="inlineStr">
        <is>
          <t>2026-05-28 12:45:33</t>
        </is>
      </c>
      <c r="N253" t="inlineStr">
        <is>
          <t>system</t>
        </is>
      </c>
      <c r="O253" t="inlineStr">
        <is>
          <t>2026-05-15 11:58:32</t>
        </is>
      </c>
      <c r="P253" t="inlineStr">
        <is>
          <t>2026-05-15 11:58:32</t>
        </is>
      </c>
      <c r="Y253" t="inlineStr">
        <is>
          <t>27822812397</t>
        </is>
      </c>
    </row>
    <row r="254">
      <c r="A254" t="inlineStr">
        <is>
          <t>14363197</t>
        </is>
      </c>
      <c r="B254" t="inlineStr">
        <is>
          <t>fb9070dc-5ca3-4543-ab74-b302dc604d15</t>
        </is>
      </c>
      <c r="D254" t="inlineStr">
        <is>
          <t>30001082</t>
        </is>
      </c>
      <c r="E254" t="inlineStr">
        <is>
          <t>ussd_funeral_leads_altitude_20260504</t>
        </is>
      </c>
      <c r="J254" t="inlineStr">
        <is>
          <t>TDN</t>
        </is>
      </c>
      <c r="K254" t="inlineStr">
        <is>
          <t>Temporary Disconnected Number</t>
        </is>
      </c>
      <c r="L254" t="n">
        <v>31</v>
      </c>
      <c r="M254" t="inlineStr">
        <is>
          <t>2026-05-28 12:45:33</t>
        </is>
      </c>
      <c r="N254" t="inlineStr">
        <is>
          <t>system</t>
        </is>
      </c>
      <c r="O254" t="inlineStr">
        <is>
          <t>2026-05-15 11:58:32</t>
        </is>
      </c>
      <c r="P254" t="inlineStr">
        <is>
          <t>2026-05-15 11:58:32</t>
        </is>
      </c>
      <c r="Y254" t="inlineStr">
        <is>
          <t>27796112668</t>
        </is>
      </c>
    </row>
    <row r="255">
      <c r="A255" t="inlineStr">
        <is>
          <t>14363242</t>
        </is>
      </c>
      <c r="B255" t="inlineStr">
        <is>
          <t>c2adfa33-98ca-4813-90d4-0e8e3e18ce45</t>
        </is>
      </c>
      <c r="D255" t="inlineStr">
        <is>
          <t>30001082</t>
        </is>
      </c>
      <c r="E255" t="inlineStr">
        <is>
          <t>ussd_funeral_leads_altitude_20260504</t>
        </is>
      </c>
      <c r="J255" t="inlineStr">
        <is>
          <t>AE</t>
        </is>
      </c>
      <c r="K255" t="inlineStr">
        <is>
          <t>Auto Engaged</t>
        </is>
      </c>
      <c r="L255" t="n">
        <v>31</v>
      </c>
      <c r="M255" t="inlineStr">
        <is>
          <t>2026-05-28 12:45:33</t>
        </is>
      </c>
      <c r="N255" t="inlineStr">
        <is>
          <t>system</t>
        </is>
      </c>
      <c r="O255" t="inlineStr">
        <is>
          <t>2026-05-15 11:58:32</t>
        </is>
      </c>
      <c r="P255" t="inlineStr">
        <is>
          <t>2026-05-15 11:58:32</t>
        </is>
      </c>
      <c r="Y255" t="inlineStr">
        <is>
          <t>27798205352</t>
        </is>
      </c>
    </row>
    <row r="256">
      <c r="A256" t="inlineStr">
        <is>
          <t>14363264</t>
        </is>
      </c>
      <c r="B256" t="inlineStr">
        <is>
          <t>a64bb785-335b-42eb-8820-b94b0dbbdaa7</t>
        </is>
      </c>
      <c r="D256" t="inlineStr">
        <is>
          <t>30001082</t>
        </is>
      </c>
      <c r="E256" t="inlineStr">
        <is>
          <t>ussd_funeral_leads_altitude_20260504</t>
        </is>
      </c>
      <c r="J256" t="inlineStr">
        <is>
          <t>AE</t>
        </is>
      </c>
      <c r="K256" t="inlineStr">
        <is>
          <t>Auto Engaged</t>
        </is>
      </c>
      <c r="L256" t="n">
        <v>31</v>
      </c>
      <c r="M256" t="inlineStr">
        <is>
          <t>2026-05-28 11:44:37</t>
        </is>
      </c>
      <c r="N256" t="inlineStr">
        <is>
          <t>system</t>
        </is>
      </c>
      <c r="O256" t="inlineStr">
        <is>
          <t>2026-05-15 11:58:32</t>
        </is>
      </c>
      <c r="P256" t="inlineStr">
        <is>
          <t>2026-05-15 11:58:32</t>
        </is>
      </c>
      <c r="Y256" t="inlineStr">
        <is>
          <t>27765094612</t>
        </is>
      </c>
    </row>
    <row r="257">
      <c r="A257" t="inlineStr">
        <is>
          <t>14363324</t>
        </is>
      </c>
      <c r="B257" t="inlineStr">
        <is>
          <t>02a38a32-c5f2-426b-abb5-756cbeea5732</t>
        </is>
      </c>
      <c r="D257" t="inlineStr">
        <is>
          <t>30001082</t>
        </is>
      </c>
      <c r="E257" t="inlineStr">
        <is>
          <t>ussd_funeral_leads_altitude_20260504</t>
        </is>
      </c>
      <c r="J257" t="inlineStr">
        <is>
          <t>A</t>
        </is>
      </c>
      <c r="K257" t="inlineStr">
        <is>
          <t>Answering Machine</t>
        </is>
      </c>
      <c r="L257" t="n">
        <v>32</v>
      </c>
      <c r="M257" t="inlineStr">
        <is>
          <t>2026-05-28 11:39:56</t>
        </is>
      </c>
      <c r="N257" t="inlineStr">
        <is>
          <t>Ayanda Masindane</t>
        </is>
      </c>
      <c r="O257" t="inlineStr">
        <is>
          <t>2026-05-15 11:58:32</t>
        </is>
      </c>
      <c r="P257" t="inlineStr">
        <is>
          <t>2026-05-15 11:58:32</t>
        </is>
      </c>
      <c r="Y257" t="inlineStr">
        <is>
          <t>27766076910</t>
        </is>
      </c>
    </row>
    <row r="258">
      <c r="A258" t="inlineStr">
        <is>
          <t>14363259</t>
        </is>
      </c>
      <c r="B258" t="inlineStr">
        <is>
          <t>87158b26-5f61-44d4-b206-2f8d510f4fff</t>
        </is>
      </c>
      <c r="D258" t="inlineStr">
        <is>
          <t>30001082</t>
        </is>
      </c>
      <c r="E258" t="inlineStr">
        <is>
          <t>ussd_funeral_leads_altitude_20260504</t>
        </is>
      </c>
      <c r="H258" t="inlineStr">
        <is>
          <t>27769215913</t>
        </is>
      </c>
      <c r="J258" t="inlineStr">
        <is>
          <t>NA</t>
        </is>
      </c>
      <c r="K258" t="inlineStr">
        <is>
          <t>No Answer Autodial</t>
        </is>
      </c>
      <c r="L258" t="n">
        <v>31</v>
      </c>
      <c r="M258" t="inlineStr">
        <is>
          <t>2026-05-28 11:35:55</t>
        </is>
      </c>
      <c r="N258" t="inlineStr">
        <is>
          <t>system</t>
        </is>
      </c>
      <c r="O258" t="inlineStr">
        <is>
          <t>2026-05-15 11:58:32</t>
        </is>
      </c>
      <c r="P258" t="inlineStr">
        <is>
          <t>2026-05-15 11:58:32</t>
        </is>
      </c>
      <c r="Y258" t="inlineStr">
        <is>
          <t>27769215913</t>
        </is>
      </c>
    </row>
    <row r="259">
      <c r="A259" t="inlineStr">
        <is>
          <t>14363433</t>
        </is>
      </c>
      <c r="B259" t="inlineStr">
        <is>
          <t>eda191fb-7866-43c0-9b95-df4f3f9c3843</t>
        </is>
      </c>
      <c r="D259" t="inlineStr">
        <is>
          <t>30001082</t>
        </is>
      </c>
      <c r="E259" t="inlineStr">
        <is>
          <t>ussd_funeral_leads_altitude_20260504</t>
        </is>
      </c>
      <c r="J259" t="inlineStr">
        <is>
          <t>NA</t>
        </is>
      </c>
      <c r="K259" t="inlineStr">
        <is>
          <t>No Answer Autodial</t>
        </is>
      </c>
      <c r="L259" t="n">
        <v>31</v>
      </c>
      <c r="M259" t="inlineStr">
        <is>
          <t>2026-05-28 11:35:55</t>
        </is>
      </c>
      <c r="N259" t="inlineStr">
        <is>
          <t>system</t>
        </is>
      </c>
      <c r="O259" t="inlineStr">
        <is>
          <t>2026-05-15 11:58:32</t>
        </is>
      </c>
      <c r="P259" t="inlineStr">
        <is>
          <t>2026-05-15 11:58:32</t>
        </is>
      </c>
      <c r="Y259" t="inlineStr">
        <is>
          <t>27674905614</t>
        </is>
      </c>
    </row>
    <row r="260">
      <c r="A260" t="inlineStr">
        <is>
          <t>14363381</t>
        </is>
      </c>
      <c r="B260" t="inlineStr">
        <is>
          <t>564fa388-b2ce-4e90-94d8-43f6e06812d7</t>
        </is>
      </c>
      <c r="D260" t="inlineStr">
        <is>
          <t>30001082</t>
        </is>
      </c>
      <c r="E260" t="inlineStr">
        <is>
          <t>ussd_funeral_leads_altitude_20260504</t>
        </is>
      </c>
      <c r="J260" t="inlineStr">
        <is>
          <t>ADC</t>
        </is>
      </c>
      <c r="K260" t="inlineStr">
        <is>
          <t>Auto Dial Disconnected</t>
        </is>
      </c>
      <c r="L260" t="n">
        <v>31</v>
      </c>
      <c r="M260" t="inlineStr">
        <is>
          <t>2026-05-28 11:35:55</t>
        </is>
      </c>
      <c r="N260" t="inlineStr">
        <is>
          <t>system</t>
        </is>
      </c>
      <c r="O260" t="inlineStr">
        <is>
          <t>2026-05-15 11:58:32</t>
        </is>
      </c>
      <c r="P260" t="inlineStr">
        <is>
          <t>2026-05-15 11:58:32</t>
        </is>
      </c>
      <c r="Y260" t="inlineStr">
        <is>
          <t>27607852262</t>
        </is>
      </c>
    </row>
    <row r="261">
      <c r="A261" t="inlineStr">
        <is>
          <t>14363315</t>
        </is>
      </c>
      <c r="B261" t="inlineStr">
        <is>
          <t>b6049ff3-0f3a-49d4-a9b5-419c523f94f4</t>
        </is>
      </c>
      <c r="D261" t="inlineStr">
        <is>
          <t>30001082</t>
        </is>
      </c>
      <c r="E261" t="inlineStr">
        <is>
          <t>ussd_funeral_leads_altitude_20260504</t>
        </is>
      </c>
      <c r="J261" t="inlineStr">
        <is>
          <t>NA</t>
        </is>
      </c>
      <c r="K261" t="inlineStr">
        <is>
          <t>No Answer Autodial</t>
        </is>
      </c>
      <c r="L261" t="n">
        <v>31</v>
      </c>
      <c r="M261" t="inlineStr">
        <is>
          <t>2026-05-28 11:35:54</t>
        </is>
      </c>
      <c r="N261" t="inlineStr">
        <is>
          <t>system</t>
        </is>
      </c>
      <c r="O261" t="inlineStr">
        <is>
          <t>2026-05-15 11:58:32</t>
        </is>
      </c>
      <c r="P261" t="inlineStr">
        <is>
          <t>2026-05-15 11:58:32</t>
        </is>
      </c>
      <c r="Y261" t="inlineStr">
        <is>
          <t>27715307472</t>
        </is>
      </c>
    </row>
    <row r="262">
      <c r="A262" t="inlineStr">
        <is>
          <t>14363331</t>
        </is>
      </c>
      <c r="B262" t="inlineStr">
        <is>
          <t>9f9e0684-dc2c-41a3-a85b-f584375e4217</t>
        </is>
      </c>
      <c r="D262" t="inlineStr">
        <is>
          <t>30001082</t>
        </is>
      </c>
      <c r="E262" t="inlineStr">
        <is>
          <t>ussd_funeral_leads_altitude_20260504</t>
        </is>
      </c>
      <c r="J262" t="inlineStr">
        <is>
          <t>AE</t>
        </is>
      </c>
      <c r="K262" t="inlineStr">
        <is>
          <t>Auto Engaged</t>
        </is>
      </c>
      <c r="L262" t="n">
        <v>31</v>
      </c>
      <c r="M262" t="inlineStr">
        <is>
          <t>2026-05-28 11:35:49</t>
        </is>
      </c>
      <c r="N262" t="inlineStr">
        <is>
          <t>system</t>
        </is>
      </c>
      <c r="O262" t="inlineStr">
        <is>
          <t>2026-05-15 11:58:32</t>
        </is>
      </c>
      <c r="P262" t="inlineStr">
        <is>
          <t>2026-05-15 11:58:32</t>
        </is>
      </c>
      <c r="Y262" t="inlineStr">
        <is>
          <t>27646180499</t>
        </is>
      </c>
    </row>
    <row r="263">
      <c r="A263" t="inlineStr">
        <is>
          <t>14363086</t>
        </is>
      </c>
      <c r="B263" t="inlineStr">
        <is>
          <t>50edf4fd-447e-4192-9787-3f280225a6d3</t>
        </is>
      </c>
      <c r="D263" t="inlineStr">
        <is>
          <t>30001082</t>
        </is>
      </c>
      <c r="E263" t="inlineStr">
        <is>
          <t>ussd_funeral_leads_altitude_20260504</t>
        </is>
      </c>
      <c r="J263" t="inlineStr">
        <is>
          <t>AA</t>
        </is>
      </c>
      <c r="K263" t="inlineStr">
        <is>
          <t>Answering Machine Autodial</t>
        </is>
      </c>
      <c r="L263" t="n">
        <v>31</v>
      </c>
      <c r="M263" t="inlineStr">
        <is>
          <t>2026-05-28 11:35:32</t>
        </is>
      </c>
      <c r="N263" t="inlineStr">
        <is>
          <t>system</t>
        </is>
      </c>
      <c r="O263" t="inlineStr">
        <is>
          <t>2026-05-15 11:58:32</t>
        </is>
      </c>
      <c r="P263" t="inlineStr">
        <is>
          <t>2026-05-15 11:58:32</t>
        </is>
      </c>
      <c r="Y263" t="inlineStr">
        <is>
          <t>27649545164</t>
        </is>
      </c>
    </row>
    <row r="264">
      <c r="A264" t="inlineStr">
        <is>
          <t>14363466</t>
        </is>
      </c>
      <c r="B264" t="inlineStr">
        <is>
          <t>6748fba1-21a4-4ebc-846d-8354d92a5567</t>
        </is>
      </c>
      <c r="D264" t="inlineStr">
        <is>
          <t>30001082</t>
        </is>
      </c>
      <c r="E264" t="inlineStr">
        <is>
          <t>ussd_funeral_leads_altitude_20260504</t>
        </is>
      </c>
      <c r="J264" t="inlineStr">
        <is>
          <t>AA</t>
        </is>
      </c>
      <c r="K264" t="inlineStr">
        <is>
          <t>Answering Machine Autodial</t>
        </is>
      </c>
      <c r="L264" t="n">
        <v>31</v>
      </c>
      <c r="M264" t="inlineStr">
        <is>
          <t>2026-05-28 11:35:32</t>
        </is>
      </c>
      <c r="N264" t="inlineStr">
        <is>
          <t>system</t>
        </is>
      </c>
      <c r="O264" t="inlineStr">
        <is>
          <t>2026-05-15 11:58:32</t>
        </is>
      </c>
      <c r="P264" t="inlineStr">
        <is>
          <t>2026-05-15 11:58:32</t>
        </is>
      </c>
      <c r="Y264" t="inlineStr">
        <is>
          <t>27761977522</t>
        </is>
      </c>
    </row>
    <row r="265">
      <c r="A265" t="inlineStr">
        <is>
          <t>14363190</t>
        </is>
      </c>
      <c r="B265" t="inlineStr">
        <is>
          <t>b5364c20-25ab-4235-9c4a-d1291bceaecc</t>
        </is>
      </c>
      <c r="D265" t="inlineStr">
        <is>
          <t>30001082</t>
        </is>
      </c>
      <c r="E265" t="inlineStr">
        <is>
          <t>ussd_funeral_leads_altitude_20260504</t>
        </is>
      </c>
      <c r="J265" t="inlineStr">
        <is>
          <t>AA</t>
        </is>
      </c>
      <c r="K265" t="inlineStr">
        <is>
          <t>Answering Machine Autodial</t>
        </is>
      </c>
      <c r="L265" t="n">
        <v>31</v>
      </c>
      <c r="M265" t="inlineStr">
        <is>
          <t>2026-05-28 11:35:31</t>
        </is>
      </c>
      <c r="N265" t="inlineStr">
        <is>
          <t>system</t>
        </is>
      </c>
      <c r="O265" t="inlineStr">
        <is>
          <t>2026-05-15 11:58:32</t>
        </is>
      </c>
      <c r="P265" t="inlineStr">
        <is>
          <t>2026-05-15 11:58:32</t>
        </is>
      </c>
      <c r="Y265" t="inlineStr">
        <is>
          <t>27826812183</t>
        </is>
      </c>
    </row>
    <row r="266">
      <c r="A266" t="inlineStr">
        <is>
          <t>14363336</t>
        </is>
      </c>
      <c r="B266" t="inlineStr">
        <is>
          <t>1f65cbbd-79bb-41d6-97bf-b5dad8ecc5f3</t>
        </is>
      </c>
      <c r="D266" t="inlineStr">
        <is>
          <t>30001082</t>
        </is>
      </c>
      <c r="E266" t="inlineStr">
        <is>
          <t>ussd_funeral_leads_altitude_20260504</t>
        </is>
      </c>
      <c r="J266" t="inlineStr">
        <is>
          <t>NA</t>
        </is>
      </c>
      <c r="K266" t="inlineStr">
        <is>
          <t>No Answer Autodial</t>
        </is>
      </c>
      <c r="L266" t="n">
        <v>31</v>
      </c>
      <c r="M266" t="inlineStr">
        <is>
          <t>2026-05-28 11:35:30</t>
        </is>
      </c>
      <c r="N266" t="inlineStr">
        <is>
          <t>system</t>
        </is>
      </c>
      <c r="O266" t="inlineStr">
        <is>
          <t>2026-05-15 11:58:32</t>
        </is>
      </c>
      <c r="P266" t="inlineStr">
        <is>
          <t>2026-05-15 11:58:32</t>
        </is>
      </c>
      <c r="Y266" t="inlineStr">
        <is>
          <t>27607537471</t>
        </is>
      </c>
    </row>
    <row r="267">
      <c r="A267" t="inlineStr">
        <is>
          <t>14363119</t>
        </is>
      </c>
      <c r="B267" t="inlineStr">
        <is>
          <t>5941500f-b837-457e-996f-76c1f5db6c7f</t>
        </is>
      </c>
      <c r="D267" t="inlineStr">
        <is>
          <t>30001082</t>
        </is>
      </c>
      <c r="E267" t="inlineStr">
        <is>
          <t>ussd_funeral_leads_altitude_20260504</t>
        </is>
      </c>
      <c r="J267" t="inlineStr">
        <is>
          <t>NA</t>
        </is>
      </c>
      <c r="K267" t="inlineStr">
        <is>
          <t>No Answer Autodial</t>
        </is>
      </c>
      <c r="L267" t="n">
        <v>31</v>
      </c>
      <c r="M267" t="inlineStr">
        <is>
          <t>2026-05-28 11:35:27</t>
        </is>
      </c>
      <c r="N267" t="inlineStr">
        <is>
          <t>system</t>
        </is>
      </c>
      <c r="O267" t="inlineStr">
        <is>
          <t>2026-05-15 11:58:32</t>
        </is>
      </c>
      <c r="P267" t="inlineStr">
        <is>
          <t>2026-05-15 11:58:32</t>
        </is>
      </c>
      <c r="Y267" t="inlineStr">
        <is>
          <t>27818394979</t>
        </is>
      </c>
    </row>
    <row r="268">
      <c r="A268" t="inlineStr">
        <is>
          <t>14363142</t>
        </is>
      </c>
      <c r="B268" t="inlineStr">
        <is>
          <t>3940514a-5ab8-44bd-a1ba-86ee44fa00b6</t>
        </is>
      </c>
      <c r="D268" t="inlineStr">
        <is>
          <t>30001082</t>
        </is>
      </c>
      <c r="E268" t="inlineStr">
        <is>
          <t>ussd_funeral_leads_altitude_20260504</t>
        </is>
      </c>
      <c r="J268" t="inlineStr">
        <is>
          <t>AA</t>
        </is>
      </c>
      <c r="K268" t="inlineStr">
        <is>
          <t>Answering Machine Autodial</t>
        </is>
      </c>
      <c r="L268" t="n">
        <v>31</v>
      </c>
      <c r="M268" t="inlineStr">
        <is>
          <t>2026-05-28 11:35:25</t>
        </is>
      </c>
      <c r="N268" t="inlineStr">
        <is>
          <t>system</t>
        </is>
      </c>
      <c r="O268" t="inlineStr">
        <is>
          <t>2026-05-15 11:58:32</t>
        </is>
      </c>
      <c r="P268" t="inlineStr">
        <is>
          <t>2026-05-15 11:58:32</t>
        </is>
      </c>
      <c r="Y268" t="inlineStr">
        <is>
          <t>27715419338</t>
        </is>
      </c>
    </row>
    <row r="269">
      <c r="A269" t="inlineStr">
        <is>
          <t>14362940</t>
        </is>
      </c>
      <c r="B269" t="inlineStr">
        <is>
          <t>76bb6b57-2dd2-4c76-8aac-9e20301ad372</t>
        </is>
      </c>
      <c r="D269" t="inlineStr">
        <is>
          <t>30001082</t>
        </is>
      </c>
      <c r="E269" t="inlineStr">
        <is>
          <t>ussd_funeral_leads_altitude_20260504</t>
        </is>
      </c>
      <c r="J269" t="inlineStr">
        <is>
          <t>AA</t>
        </is>
      </c>
      <c r="K269" t="inlineStr">
        <is>
          <t>Answering Machine Autodial</t>
        </is>
      </c>
      <c r="L269" t="n">
        <v>31</v>
      </c>
      <c r="M269" t="inlineStr">
        <is>
          <t>2026-05-28 11:35:25</t>
        </is>
      </c>
      <c r="N269" t="inlineStr">
        <is>
          <t>system</t>
        </is>
      </c>
      <c r="O269" t="inlineStr">
        <is>
          <t>2026-05-15 11:58:32</t>
        </is>
      </c>
      <c r="P269" t="inlineStr">
        <is>
          <t>2026-05-15 11:58:32</t>
        </is>
      </c>
      <c r="Y269" t="inlineStr">
        <is>
          <t>27726250654</t>
        </is>
      </c>
    </row>
    <row r="270">
      <c r="A270" t="inlineStr">
        <is>
          <t>14363268</t>
        </is>
      </c>
      <c r="B270" t="inlineStr">
        <is>
          <t>c215bad5-b698-476d-9aa1-684eb8f53357</t>
        </is>
      </c>
      <c r="D270" t="inlineStr">
        <is>
          <t>30001082</t>
        </is>
      </c>
      <c r="E270" t="inlineStr">
        <is>
          <t>ussd_funeral_leads_altitude_20260504</t>
        </is>
      </c>
      <c r="J270" t="inlineStr">
        <is>
          <t>NA</t>
        </is>
      </c>
      <c r="K270" t="inlineStr">
        <is>
          <t>No Answer Autodial</t>
        </is>
      </c>
      <c r="L270" t="n">
        <v>31</v>
      </c>
      <c r="M270" t="inlineStr">
        <is>
          <t>2026-05-28 11:35:25</t>
        </is>
      </c>
      <c r="N270" t="inlineStr">
        <is>
          <t>system</t>
        </is>
      </c>
      <c r="O270" t="inlineStr">
        <is>
          <t>2026-05-15 11:58:32</t>
        </is>
      </c>
      <c r="P270" t="inlineStr">
        <is>
          <t>2026-05-15 11:58:32</t>
        </is>
      </c>
      <c r="Y270" t="inlineStr">
        <is>
          <t>27675648885</t>
        </is>
      </c>
    </row>
    <row r="271">
      <c r="A271" t="inlineStr">
        <is>
          <t>14363413</t>
        </is>
      </c>
      <c r="B271" t="inlineStr">
        <is>
          <t>7b3b2b42-cfbe-4f4c-b4df-a93458a933b4</t>
        </is>
      </c>
      <c r="D271" t="inlineStr">
        <is>
          <t>30001082</t>
        </is>
      </c>
      <c r="E271" t="inlineStr">
        <is>
          <t>ussd_funeral_leads_altitude_20260504</t>
        </is>
      </c>
      <c r="J271" t="inlineStr">
        <is>
          <t>CBACK</t>
        </is>
      </c>
      <c r="K271" t="inlineStr">
        <is>
          <t>Callback</t>
        </is>
      </c>
      <c r="L271" t="n">
        <v>27</v>
      </c>
      <c r="M271" t="inlineStr">
        <is>
          <t>2026-05-28 10:41:34</t>
        </is>
      </c>
      <c r="N271" t="inlineStr">
        <is>
          <t>Tebogo Chauke</t>
        </is>
      </c>
      <c r="O271" t="inlineStr">
        <is>
          <t>2026-05-15 11:58:32</t>
        </is>
      </c>
      <c r="P271" t="inlineStr">
        <is>
          <t>2026-05-15 11:58:32</t>
        </is>
      </c>
      <c r="Y271" t="inlineStr">
        <is>
          <t>27715742903</t>
        </is>
      </c>
    </row>
    <row r="272">
      <c r="A272" t="inlineStr">
        <is>
          <t>14363139</t>
        </is>
      </c>
      <c r="B272" t="inlineStr">
        <is>
          <t>23d860da-7dd2-4a13-96ab-087996aa186b</t>
        </is>
      </c>
      <c r="D272" t="inlineStr">
        <is>
          <t>30001082</t>
        </is>
      </c>
      <c r="E272" t="inlineStr">
        <is>
          <t>ussd_funeral_leads_altitude_20260504</t>
        </is>
      </c>
      <c r="H272" t="inlineStr">
        <is>
          <t>27637393126</t>
        </is>
      </c>
      <c r="J272" t="inlineStr">
        <is>
          <t>AF</t>
        </is>
      </c>
      <c r="K272" t="inlineStr">
        <is>
          <t>Cannot Afford</t>
        </is>
      </c>
      <c r="L272" t="n">
        <v>22</v>
      </c>
      <c r="M272" t="inlineStr">
        <is>
          <t>2026-05-28 10:35:54</t>
        </is>
      </c>
      <c r="N272" t="inlineStr">
        <is>
          <t>Gontse Monageng</t>
        </is>
      </c>
      <c r="O272" t="inlineStr">
        <is>
          <t>2026-05-15 11:58:32</t>
        </is>
      </c>
      <c r="P272" t="inlineStr">
        <is>
          <t>2026-05-15 11:58:32</t>
        </is>
      </c>
      <c r="Y272" t="inlineStr">
        <is>
          <t>27637393126</t>
        </is>
      </c>
    </row>
    <row r="273">
      <c r="A273" t="inlineStr">
        <is>
          <t>14363356</t>
        </is>
      </c>
      <c r="B273" t="inlineStr">
        <is>
          <t>a69209e2-73b2-4798-a2a0-ed7d99c7dbd2</t>
        </is>
      </c>
      <c r="D273" t="inlineStr">
        <is>
          <t>30001082</t>
        </is>
      </c>
      <c r="E273" t="inlineStr">
        <is>
          <t>ussd_funeral_leads_altitude_20260504</t>
        </is>
      </c>
      <c r="J273" t="inlineStr">
        <is>
          <t>CBACK</t>
        </is>
      </c>
      <c r="K273" t="inlineStr">
        <is>
          <t>Callback</t>
        </is>
      </c>
      <c r="L273" t="n">
        <v>18</v>
      </c>
      <c r="M273" t="inlineStr">
        <is>
          <t>2026-05-28 10:34:54</t>
        </is>
      </c>
      <c r="N273" t="inlineStr">
        <is>
          <t>Gontse Monageng</t>
        </is>
      </c>
      <c r="O273" t="inlineStr">
        <is>
          <t>2026-05-15 11:58:32</t>
        </is>
      </c>
      <c r="P273" t="inlineStr">
        <is>
          <t>2026-05-15 11:58:32</t>
        </is>
      </c>
      <c r="Y273" t="inlineStr">
        <is>
          <t>27725663070</t>
        </is>
      </c>
    </row>
    <row r="274">
      <c r="A274" t="inlineStr">
        <is>
          <t>14363198</t>
        </is>
      </c>
      <c r="B274" t="inlineStr">
        <is>
          <t>9a4b81b9-a205-4cf0-82db-1dcb1c77574c</t>
        </is>
      </c>
      <c r="D274" t="inlineStr">
        <is>
          <t>30001082</t>
        </is>
      </c>
      <c r="E274" t="inlineStr">
        <is>
          <t>ussd_funeral_leads_altitude_20260504</t>
        </is>
      </c>
      <c r="J274" t="inlineStr">
        <is>
          <t>AE</t>
        </is>
      </c>
      <c r="K274" t="inlineStr">
        <is>
          <t>Auto Engaged</t>
        </is>
      </c>
      <c r="L274" t="n">
        <v>31</v>
      </c>
      <c r="M274" t="inlineStr">
        <is>
          <t>2026-05-28 09:45:40</t>
        </is>
      </c>
      <c r="N274" t="inlineStr">
        <is>
          <t>system</t>
        </is>
      </c>
      <c r="O274" t="inlineStr">
        <is>
          <t>2026-05-15 11:58:32</t>
        </is>
      </c>
      <c r="P274" t="inlineStr">
        <is>
          <t>2026-05-15 11:58:32</t>
        </is>
      </c>
      <c r="Y274" t="inlineStr">
        <is>
          <t>27767664108</t>
        </is>
      </c>
    </row>
    <row r="275">
      <c r="A275" t="inlineStr">
        <is>
          <t>14363200</t>
        </is>
      </c>
      <c r="B275" t="inlineStr">
        <is>
          <t>e5bc4970-c89a-4e7b-b87c-cd1e38e883e1</t>
        </is>
      </c>
      <c r="D275" t="inlineStr">
        <is>
          <t>30001082</t>
        </is>
      </c>
      <c r="E275" t="inlineStr">
        <is>
          <t>ussd_funeral_leads_altitude_20260504</t>
        </is>
      </c>
      <c r="J275" t="inlineStr">
        <is>
          <t>AE</t>
        </is>
      </c>
      <c r="K275" t="inlineStr">
        <is>
          <t>Auto Engaged</t>
        </is>
      </c>
      <c r="L275" t="n">
        <v>31</v>
      </c>
      <c r="M275" t="inlineStr">
        <is>
          <t>2026-05-28 09:45:40</t>
        </is>
      </c>
      <c r="N275" t="inlineStr">
        <is>
          <t>system</t>
        </is>
      </c>
      <c r="O275" t="inlineStr">
        <is>
          <t>2026-05-15 11:58:32</t>
        </is>
      </c>
      <c r="P275" t="inlineStr">
        <is>
          <t>2026-05-15 11:58:32</t>
        </is>
      </c>
      <c r="Y275" t="inlineStr">
        <is>
          <t>27660515854</t>
        </is>
      </c>
    </row>
    <row r="276">
      <c r="A276" t="inlineStr">
        <is>
          <t>14363069</t>
        </is>
      </c>
      <c r="B276" t="inlineStr">
        <is>
          <t>4287bdf7-6458-4434-afa9-f24d653c33f6</t>
        </is>
      </c>
      <c r="D276" t="inlineStr">
        <is>
          <t>30001082</t>
        </is>
      </c>
      <c r="E276" t="inlineStr">
        <is>
          <t>ussd_funeral_leads_altitude_20260504</t>
        </is>
      </c>
      <c r="J276" t="inlineStr">
        <is>
          <t>AE</t>
        </is>
      </c>
      <c r="K276" t="inlineStr">
        <is>
          <t>Auto Engaged</t>
        </is>
      </c>
      <c r="L276" t="n">
        <v>31</v>
      </c>
      <c r="M276" t="inlineStr">
        <is>
          <t>2026-05-28 09:45:38</t>
        </is>
      </c>
      <c r="N276" t="inlineStr">
        <is>
          <t>system</t>
        </is>
      </c>
      <c r="O276" t="inlineStr">
        <is>
          <t>2026-05-15 11:58:32</t>
        </is>
      </c>
      <c r="P276" t="inlineStr">
        <is>
          <t>2026-05-15 11:58:32</t>
        </is>
      </c>
      <c r="Y276" t="inlineStr">
        <is>
          <t>27724219952</t>
        </is>
      </c>
    </row>
    <row r="277">
      <c r="A277" t="inlineStr">
        <is>
          <t>14362944</t>
        </is>
      </c>
      <c r="B277" t="inlineStr">
        <is>
          <t>fd3bda4e-496e-4038-a270-e3705fe497ee</t>
        </is>
      </c>
      <c r="D277" t="inlineStr">
        <is>
          <t>30001082</t>
        </is>
      </c>
      <c r="E277" t="inlineStr">
        <is>
          <t>ussd_funeral_leads_altitude_20260504</t>
        </is>
      </c>
      <c r="H277" t="inlineStr">
        <is>
          <t>27713863496</t>
        </is>
      </c>
      <c r="J277" t="inlineStr">
        <is>
          <t>NA</t>
        </is>
      </c>
      <c r="K277" t="inlineStr">
        <is>
          <t>No Answer Autodial</t>
        </is>
      </c>
      <c r="L277" t="n">
        <v>31</v>
      </c>
      <c r="M277" t="inlineStr">
        <is>
          <t>2026-05-28 09:45:38</t>
        </is>
      </c>
      <c r="N277" t="inlineStr">
        <is>
          <t>system</t>
        </is>
      </c>
      <c r="O277" t="inlineStr">
        <is>
          <t>2026-05-15 11:58:32</t>
        </is>
      </c>
      <c r="P277" t="inlineStr">
        <is>
          <t>2026-05-15 11:58:32</t>
        </is>
      </c>
      <c r="Y277" t="inlineStr">
        <is>
          <t>27713863496</t>
        </is>
      </c>
    </row>
    <row r="278">
      <c r="A278" t="inlineStr">
        <is>
          <t>14362945</t>
        </is>
      </c>
      <c r="B278" t="inlineStr">
        <is>
          <t>7cc83fe0-d497-4d13-a23d-44a3826841df</t>
        </is>
      </c>
      <c r="D278" t="inlineStr">
        <is>
          <t>30001082</t>
        </is>
      </c>
      <c r="E278" t="inlineStr">
        <is>
          <t>ussd_funeral_leads_altitude_20260504</t>
        </is>
      </c>
      <c r="J278" t="inlineStr">
        <is>
          <t>AE</t>
        </is>
      </c>
      <c r="K278" t="inlineStr">
        <is>
          <t>Auto Engaged</t>
        </is>
      </c>
      <c r="L278" t="n">
        <v>31</v>
      </c>
      <c r="M278" t="inlineStr">
        <is>
          <t>2026-05-28 09:45:38</t>
        </is>
      </c>
      <c r="N278" t="inlineStr">
        <is>
          <t>system</t>
        </is>
      </c>
      <c r="O278" t="inlineStr">
        <is>
          <t>2026-05-15 11:58:32</t>
        </is>
      </c>
      <c r="P278" t="inlineStr">
        <is>
          <t>2026-05-15 11:58:32</t>
        </is>
      </c>
      <c r="Y278" t="inlineStr">
        <is>
          <t>27713746321</t>
        </is>
      </c>
    </row>
    <row r="279">
      <c r="A279" t="inlineStr">
        <is>
          <t>14363282</t>
        </is>
      </c>
      <c r="B279" t="inlineStr">
        <is>
          <t>0d28c0a5-aa9c-45b0-8586-ac167e5fb711</t>
        </is>
      </c>
      <c r="D279" t="inlineStr">
        <is>
          <t>30001082</t>
        </is>
      </c>
      <c r="E279" t="inlineStr">
        <is>
          <t>ussd_funeral_leads_altitude_20260504</t>
        </is>
      </c>
      <c r="J279" t="inlineStr">
        <is>
          <t>TDN</t>
        </is>
      </c>
      <c r="K279" t="inlineStr">
        <is>
          <t>Temporary Disconnected Number</t>
        </is>
      </c>
      <c r="L279" t="n">
        <v>31</v>
      </c>
      <c r="M279" t="inlineStr">
        <is>
          <t>2026-05-28 09:45:37</t>
        </is>
      </c>
      <c r="N279" t="inlineStr">
        <is>
          <t>system</t>
        </is>
      </c>
      <c r="O279" t="inlineStr">
        <is>
          <t>2026-05-15 11:58:32</t>
        </is>
      </c>
      <c r="P279" t="inlineStr">
        <is>
          <t>2026-05-15 11:58:32</t>
        </is>
      </c>
      <c r="Y279" t="inlineStr">
        <is>
          <t>27791538937</t>
        </is>
      </c>
    </row>
    <row r="280">
      <c r="A280" t="inlineStr">
        <is>
          <t>14363377</t>
        </is>
      </c>
      <c r="B280" t="inlineStr">
        <is>
          <t>5816429d-ec41-460a-86e4-d5a950d1fd53</t>
        </is>
      </c>
      <c r="D280" t="inlineStr">
        <is>
          <t>30001082</t>
        </is>
      </c>
      <c r="E280" t="inlineStr">
        <is>
          <t>ussd_funeral_leads_altitude_20260504</t>
        </is>
      </c>
      <c r="J280" t="inlineStr">
        <is>
          <t>AE</t>
        </is>
      </c>
      <c r="K280" t="inlineStr">
        <is>
          <t>Auto Engaged</t>
        </is>
      </c>
      <c r="L280" t="n">
        <v>31</v>
      </c>
      <c r="M280" t="inlineStr">
        <is>
          <t>2026-05-28 09:45:37</t>
        </is>
      </c>
      <c r="N280" t="inlineStr">
        <is>
          <t>system</t>
        </is>
      </c>
      <c r="O280" t="inlineStr">
        <is>
          <t>2026-05-15 11:58:32</t>
        </is>
      </c>
      <c r="P280" t="inlineStr">
        <is>
          <t>2026-05-15 11:58:32</t>
        </is>
      </c>
      <c r="Y280" t="inlineStr">
        <is>
          <t>27673332361</t>
        </is>
      </c>
    </row>
    <row r="281">
      <c r="A281" t="inlineStr">
        <is>
          <t>14363465</t>
        </is>
      </c>
      <c r="B281" t="inlineStr">
        <is>
          <t>cee35d78-7008-42f4-a4ef-8a2b6cc8ef40</t>
        </is>
      </c>
      <c r="D281" t="inlineStr">
        <is>
          <t>30001082</t>
        </is>
      </c>
      <c r="E281" t="inlineStr">
        <is>
          <t>ussd_funeral_leads_altitude_20260504</t>
        </is>
      </c>
      <c r="J281" t="inlineStr">
        <is>
          <t>AE</t>
        </is>
      </c>
      <c r="K281" t="inlineStr">
        <is>
          <t>Auto Engaged</t>
        </is>
      </c>
      <c r="L281" t="n">
        <v>31</v>
      </c>
      <c r="M281" t="inlineStr">
        <is>
          <t>2026-05-28 09:45:37</t>
        </is>
      </c>
      <c r="N281" t="inlineStr">
        <is>
          <t>system</t>
        </is>
      </c>
      <c r="O281" t="inlineStr">
        <is>
          <t>2026-05-15 11:58:32</t>
        </is>
      </c>
      <c r="P281" t="inlineStr">
        <is>
          <t>2026-05-15 11:58:32</t>
        </is>
      </c>
      <c r="Y281" t="inlineStr">
        <is>
          <t>27609009028</t>
        </is>
      </c>
    </row>
    <row r="282">
      <c r="A282" t="inlineStr">
        <is>
          <t>14363475</t>
        </is>
      </c>
      <c r="B282" t="inlineStr">
        <is>
          <t>05732d1d-9bca-490a-97e6-890be3c9e4b4</t>
        </is>
      </c>
      <c r="D282" t="inlineStr">
        <is>
          <t>30001082</t>
        </is>
      </c>
      <c r="E282" t="inlineStr">
        <is>
          <t>ussd_funeral_leads_altitude_20260504</t>
        </is>
      </c>
      <c r="J282" t="inlineStr">
        <is>
          <t>NA</t>
        </is>
      </c>
      <c r="K282" t="inlineStr">
        <is>
          <t>No Answer Autodial</t>
        </is>
      </c>
      <c r="L282" t="n">
        <v>31</v>
      </c>
      <c r="M282" t="inlineStr">
        <is>
          <t>2026-05-28 09:45:37</t>
        </is>
      </c>
      <c r="N282" t="inlineStr">
        <is>
          <t>system</t>
        </is>
      </c>
      <c r="O282" t="inlineStr">
        <is>
          <t>2026-05-15 11:58:32</t>
        </is>
      </c>
      <c r="P282" t="inlineStr">
        <is>
          <t>2026-05-15 11:58:32</t>
        </is>
      </c>
      <c r="Y282" t="inlineStr">
        <is>
          <t>27818378288</t>
        </is>
      </c>
    </row>
    <row r="283">
      <c r="A283" t="inlineStr">
        <is>
          <t>14363479</t>
        </is>
      </c>
      <c r="B283" t="inlineStr">
        <is>
          <t>850a6d54-0802-4636-ad7e-4272e83a4986</t>
        </is>
      </c>
      <c r="D283" t="inlineStr">
        <is>
          <t>30001082</t>
        </is>
      </c>
      <c r="E283" t="inlineStr">
        <is>
          <t>ussd_funeral_leads_altitude_20260504</t>
        </is>
      </c>
      <c r="J283" t="inlineStr">
        <is>
          <t>AE</t>
        </is>
      </c>
      <c r="K283" t="inlineStr">
        <is>
          <t>Auto Engaged</t>
        </is>
      </c>
      <c r="L283" t="n">
        <v>31</v>
      </c>
      <c r="M283" t="inlineStr">
        <is>
          <t>2026-05-28 09:45:37</t>
        </is>
      </c>
      <c r="N283" t="inlineStr">
        <is>
          <t>system</t>
        </is>
      </c>
      <c r="O283" t="inlineStr">
        <is>
          <t>2026-05-15 11:58:32</t>
        </is>
      </c>
      <c r="P283" t="inlineStr">
        <is>
          <t>2026-05-15 11:58:32</t>
        </is>
      </c>
      <c r="Y283" t="inlineStr">
        <is>
          <t>27665573813</t>
        </is>
      </c>
    </row>
    <row r="284">
      <c r="A284" t="inlineStr">
        <is>
          <t>14363058</t>
        </is>
      </c>
      <c r="B284" t="inlineStr">
        <is>
          <t>7ff8fc96-4570-4204-924a-72f184950d3d</t>
        </is>
      </c>
      <c r="D284" t="inlineStr">
        <is>
          <t>30001082</t>
        </is>
      </c>
      <c r="E284" t="inlineStr">
        <is>
          <t>ussd_funeral_leads_altitude_20260504</t>
        </is>
      </c>
      <c r="H284" t="inlineStr">
        <is>
          <t>27763407913</t>
        </is>
      </c>
      <c r="J284" t="inlineStr">
        <is>
          <t>ADC</t>
        </is>
      </c>
      <c r="K284" t="inlineStr">
        <is>
          <t>Auto Dial Disconnected</t>
        </is>
      </c>
      <c r="L284" t="n">
        <v>31</v>
      </c>
      <c r="M284" t="inlineStr">
        <is>
          <t>2026-05-28 09:45:36</t>
        </is>
      </c>
      <c r="N284" t="inlineStr">
        <is>
          <t>system</t>
        </is>
      </c>
      <c r="O284" t="inlineStr">
        <is>
          <t>2026-05-15 11:58:32</t>
        </is>
      </c>
      <c r="P284" t="inlineStr">
        <is>
          <t>2026-05-15 11:58:32</t>
        </is>
      </c>
      <c r="Y284" t="inlineStr">
        <is>
          <t>27763407913</t>
        </is>
      </c>
    </row>
    <row r="285">
      <c r="A285" t="inlineStr">
        <is>
          <t>14363060</t>
        </is>
      </c>
      <c r="B285" t="inlineStr">
        <is>
          <t>b96fe7ee-d022-4e02-845a-34175cca5f71</t>
        </is>
      </c>
      <c r="D285" t="inlineStr">
        <is>
          <t>30001082</t>
        </is>
      </c>
      <c r="E285" t="inlineStr">
        <is>
          <t>ussd_funeral_leads_altitude_20260504</t>
        </is>
      </c>
      <c r="J285" t="inlineStr">
        <is>
          <t>AE</t>
        </is>
      </c>
      <c r="K285" t="inlineStr">
        <is>
          <t>Auto Engaged</t>
        </is>
      </c>
      <c r="L285" t="n">
        <v>31</v>
      </c>
      <c r="M285" t="inlineStr">
        <is>
          <t>2026-05-28 09:45:36</t>
        </is>
      </c>
      <c r="N285" t="inlineStr">
        <is>
          <t>system</t>
        </is>
      </c>
      <c r="O285" t="inlineStr">
        <is>
          <t>2026-05-15 11:58:32</t>
        </is>
      </c>
      <c r="P285" t="inlineStr">
        <is>
          <t>2026-05-15 11:58:32</t>
        </is>
      </c>
      <c r="Y285" t="inlineStr">
        <is>
          <t>27606239753</t>
        </is>
      </c>
    </row>
    <row r="286">
      <c r="A286" t="inlineStr">
        <is>
          <t>14363227</t>
        </is>
      </c>
      <c r="B286" t="inlineStr">
        <is>
          <t>70efdbd2-2f5c-466f-a722-bec8d2dbdafc</t>
        </is>
      </c>
      <c r="D286" t="inlineStr">
        <is>
          <t>30001082</t>
        </is>
      </c>
      <c r="E286" t="inlineStr">
        <is>
          <t>ussd_funeral_leads_altitude_20260504</t>
        </is>
      </c>
      <c r="J286" t="inlineStr">
        <is>
          <t>NA</t>
        </is>
      </c>
      <c r="K286" t="inlineStr">
        <is>
          <t>No Answer Autodial</t>
        </is>
      </c>
      <c r="L286" t="n">
        <v>31</v>
      </c>
      <c r="M286" t="inlineStr">
        <is>
          <t>2026-05-28 09:45:36</t>
        </is>
      </c>
      <c r="N286" t="inlineStr">
        <is>
          <t>system</t>
        </is>
      </c>
      <c r="O286" t="inlineStr">
        <is>
          <t>2026-05-15 11:58:32</t>
        </is>
      </c>
      <c r="P286" t="inlineStr">
        <is>
          <t>2026-05-15 11:58:32</t>
        </is>
      </c>
      <c r="Y286" t="inlineStr">
        <is>
          <t>27763073689</t>
        </is>
      </c>
    </row>
    <row r="287">
      <c r="A287" t="inlineStr">
        <is>
          <t>14363327</t>
        </is>
      </c>
      <c r="B287" t="inlineStr">
        <is>
          <t>8ffb6744-2c7c-4da4-bab4-6cef0c6951ab</t>
        </is>
      </c>
      <c r="D287" t="inlineStr">
        <is>
          <t>30001082</t>
        </is>
      </c>
      <c r="E287" t="inlineStr">
        <is>
          <t>ussd_funeral_leads_altitude_20260504</t>
        </is>
      </c>
      <c r="J287" t="inlineStr">
        <is>
          <t>NA</t>
        </is>
      </c>
      <c r="K287" t="inlineStr">
        <is>
          <t>No Answer Autodial</t>
        </is>
      </c>
      <c r="L287" t="n">
        <v>31</v>
      </c>
      <c r="M287" t="inlineStr">
        <is>
          <t>2026-05-28 09:45:29</t>
        </is>
      </c>
      <c r="N287" t="inlineStr">
        <is>
          <t>system</t>
        </is>
      </c>
      <c r="O287" t="inlineStr">
        <is>
          <t>2026-05-15 11:58:32</t>
        </is>
      </c>
      <c r="P287" t="inlineStr">
        <is>
          <t>2026-05-15 11:58:32</t>
        </is>
      </c>
      <c r="Y287" t="inlineStr">
        <is>
          <t>27664588836</t>
        </is>
      </c>
    </row>
    <row r="288">
      <c r="A288" t="inlineStr">
        <is>
          <t>14363374</t>
        </is>
      </c>
      <c r="B288" t="inlineStr">
        <is>
          <t>eef0ddcc-7578-4654-824c-8598ed6d01b4</t>
        </is>
      </c>
      <c r="D288" t="inlineStr">
        <is>
          <t>30001082</t>
        </is>
      </c>
      <c r="E288" t="inlineStr">
        <is>
          <t>ussd_funeral_leads_altitude_20260504</t>
        </is>
      </c>
      <c r="J288" t="inlineStr">
        <is>
          <t>AE</t>
        </is>
      </c>
      <c r="K288" t="inlineStr">
        <is>
          <t>Auto Engaged</t>
        </is>
      </c>
      <c r="L288" t="n">
        <v>31</v>
      </c>
      <c r="M288" t="inlineStr">
        <is>
          <t>2026-05-28 09:45:29</t>
        </is>
      </c>
      <c r="N288" t="inlineStr">
        <is>
          <t>system</t>
        </is>
      </c>
      <c r="O288" t="inlineStr">
        <is>
          <t>2026-05-15 11:58:32</t>
        </is>
      </c>
      <c r="P288" t="inlineStr">
        <is>
          <t>2026-05-15 11:58:32</t>
        </is>
      </c>
      <c r="Y288" t="inlineStr">
        <is>
          <t>27762605901</t>
        </is>
      </c>
    </row>
    <row r="289">
      <c r="A289" t="inlineStr">
        <is>
          <t>14363194</t>
        </is>
      </c>
      <c r="B289" t="inlineStr">
        <is>
          <t>e4bc4744-ffd1-4a57-bc65-4297a80ed393</t>
        </is>
      </c>
      <c r="D289" t="inlineStr">
        <is>
          <t>30001082</t>
        </is>
      </c>
      <c r="E289" t="inlineStr">
        <is>
          <t>ussd_funeral_leads_altitude_20260504</t>
        </is>
      </c>
      <c r="J289" t="inlineStr">
        <is>
          <t>U</t>
        </is>
      </c>
      <c r="K289" t="inlineStr">
        <is>
          <t>Unemployed</t>
        </is>
      </c>
      <c r="L289" t="n">
        <v>28</v>
      </c>
      <c r="M289" t="inlineStr">
        <is>
          <t>2026-05-28 09:39:50</t>
        </is>
      </c>
      <c r="N289" t="inlineStr">
        <is>
          <t>Virginia Letsatsi</t>
        </is>
      </c>
      <c r="O289" t="inlineStr">
        <is>
          <t>2026-05-15 11:58:32</t>
        </is>
      </c>
      <c r="P289" t="inlineStr">
        <is>
          <t>2026-05-15 11:58:32</t>
        </is>
      </c>
      <c r="Y289" t="inlineStr">
        <is>
          <t>27673025417</t>
        </is>
      </c>
    </row>
    <row r="290">
      <c r="A290" t="inlineStr">
        <is>
          <t>14363085</t>
        </is>
      </c>
      <c r="B290" t="inlineStr">
        <is>
          <t>f8c7a2a6-bdde-475b-8915-6a0fd8748a7a</t>
        </is>
      </c>
      <c r="D290" t="inlineStr">
        <is>
          <t>30001082</t>
        </is>
      </c>
      <c r="E290" t="inlineStr">
        <is>
          <t>ussd_funeral_leads_altitude_20260504</t>
        </is>
      </c>
      <c r="J290" t="inlineStr">
        <is>
          <t>AA</t>
        </is>
      </c>
      <c r="K290" t="inlineStr">
        <is>
          <t>Answering Machine Autodial</t>
        </is>
      </c>
      <c r="L290" t="n">
        <v>31</v>
      </c>
      <c r="M290" t="inlineStr">
        <is>
          <t>2026-05-28 08:44:23</t>
        </is>
      </c>
      <c r="N290" t="inlineStr">
        <is>
          <t>system</t>
        </is>
      </c>
      <c r="O290" t="inlineStr">
        <is>
          <t>2026-05-15 11:58:32</t>
        </is>
      </c>
      <c r="P290" t="inlineStr">
        <is>
          <t>2026-05-15 11:58:32</t>
        </is>
      </c>
      <c r="Y290" t="inlineStr">
        <is>
          <t>27795968877</t>
        </is>
      </c>
    </row>
    <row r="291">
      <c r="A291" t="inlineStr">
        <is>
          <t>14363373</t>
        </is>
      </c>
      <c r="B291" t="inlineStr">
        <is>
          <t>d2030e57-45a4-4a69-8989-86d3c6bb2491</t>
        </is>
      </c>
      <c r="D291" t="inlineStr">
        <is>
          <t>30001082</t>
        </is>
      </c>
      <c r="E291" t="inlineStr">
        <is>
          <t>ussd_funeral_leads_altitude_20260504</t>
        </is>
      </c>
      <c r="J291" t="inlineStr">
        <is>
          <t>AE</t>
        </is>
      </c>
      <c r="K291" t="inlineStr">
        <is>
          <t>Auto Engaged</t>
        </is>
      </c>
      <c r="L291" t="n">
        <v>31</v>
      </c>
      <c r="M291" t="inlineStr">
        <is>
          <t>2026-05-28 08:44:23</t>
        </is>
      </c>
      <c r="N291" t="inlineStr">
        <is>
          <t>system</t>
        </is>
      </c>
      <c r="O291" t="inlineStr">
        <is>
          <t>2026-05-15 11:58:32</t>
        </is>
      </c>
      <c r="P291" t="inlineStr">
        <is>
          <t>2026-05-15 11:58:32</t>
        </is>
      </c>
      <c r="Y291" t="inlineStr">
        <is>
          <t>27728659481</t>
        </is>
      </c>
    </row>
    <row r="292">
      <c r="A292" t="inlineStr">
        <is>
          <t>14363446</t>
        </is>
      </c>
      <c r="B292" t="inlineStr">
        <is>
          <t>448543ba-5ac5-4eaf-9380-46eab465525c</t>
        </is>
      </c>
      <c r="D292" t="inlineStr">
        <is>
          <t>30001082</t>
        </is>
      </c>
      <c r="E292" t="inlineStr">
        <is>
          <t>ussd_funeral_leads_altitude_20260504</t>
        </is>
      </c>
      <c r="H292" t="inlineStr">
        <is>
          <t>27769949697</t>
        </is>
      </c>
      <c r="J292" t="inlineStr">
        <is>
          <t>NA</t>
        </is>
      </c>
      <c r="K292" t="inlineStr">
        <is>
          <t>No Answer Autodial</t>
        </is>
      </c>
      <c r="L292" t="n">
        <v>31</v>
      </c>
      <c r="M292" t="inlineStr">
        <is>
          <t>2026-05-28 08:44:23</t>
        </is>
      </c>
      <c r="N292" t="inlineStr">
        <is>
          <t>system</t>
        </is>
      </c>
      <c r="O292" t="inlineStr">
        <is>
          <t>2026-05-15 11:58:32</t>
        </is>
      </c>
      <c r="P292" t="inlineStr">
        <is>
          <t>2026-05-15 11:58:32</t>
        </is>
      </c>
      <c r="Y292" t="inlineStr">
        <is>
          <t>27769949697</t>
        </is>
      </c>
    </row>
    <row r="293">
      <c r="A293" t="inlineStr">
        <is>
          <t>14400000</t>
        </is>
      </c>
      <c r="B293" t="inlineStr">
        <is>
          <t>e2480506-6014-4f2f-81b0-7b9e270b45fc</t>
        </is>
      </c>
      <c r="D293" t="inlineStr">
        <is>
          <t>30001082</t>
        </is>
      </c>
      <c r="E293" t="inlineStr">
        <is>
          <t>ussd_funeral_leads_altitude_20260504</t>
        </is>
      </c>
      <c r="H293" t="inlineStr">
        <is>
          <t>27818154516</t>
        </is>
      </c>
      <c r="J293" t="inlineStr">
        <is>
          <t>ADC</t>
        </is>
      </c>
      <c r="K293" t="inlineStr">
        <is>
          <t>Auto Dial Disconnected</t>
        </is>
      </c>
      <c r="L293" t="n">
        <v>31</v>
      </c>
      <c r="M293" t="inlineStr">
        <is>
          <t>2026-05-28 08:44:23</t>
        </is>
      </c>
      <c r="N293" t="inlineStr">
        <is>
          <t>system</t>
        </is>
      </c>
      <c r="O293" t="inlineStr">
        <is>
          <t>2026-05-15 11:58:32</t>
        </is>
      </c>
      <c r="P293" t="inlineStr">
        <is>
          <t>2026-05-15 11:58:32</t>
        </is>
      </c>
      <c r="Y293" t="inlineStr">
        <is>
          <t>27818154516</t>
        </is>
      </c>
    </row>
    <row r="294">
      <c r="A294" t="inlineStr">
        <is>
          <t>14363221</t>
        </is>
      </c>
      <c r="B294" t="inlineStr">
        <is>
          <t>0e60c938-4ec9-429c-b7d3-90b8c3659cc2</t>
        </is>
      </c>
      <c r="D294" t="inlineStr">
        <is>
          <t>30001082</t>
        </is>
      </c>
      <c r="E294" t="inlineStr">
        <is>
          <t>ussd_funeral_leads_altitude_20260504</t>
        </is>
      </c>
      <c r="J294" t="inlineStr">
        <is>
          <t>AA</t>
        </is>
      </c>
      <c r="K294" t="inlineStr">
        <is>
          <t>Answering Machine Autodial</t>
        </is>
      </c>
      <c r="L294" t="n">
        <v>31</v>
      </c>
      <c r="M294" t="inlineStr">
        <is>
          <t>2026-05-28 08:43:26</t>
        </is>
      </c>
      <c r="N294" t="inlineStr">
        <is>
          <t>system</t>
        </is>
      </c>
      <c r="O294" t="inlineStr">
        <is>
          <t>2026-05-15 11:58:32</t>
        </is>
      </c>
      <c r="P294" t="inlineStr">
        <is>
          <t>2026-05-15 11:58:32</t>
        </is>
      </c>
      <c r="Y294" t="inlineStr">
        <is>
          <t>27647312151</t>
        </is>
      </c>
    </row>
    <row r="295">
      <c r="A295" t="inlineStr">
        <is>
          <t>14400000</t>
        </is>
      </c>
      <c r="B295" t="inlineStr">
        <is>
          <t>e1971c05-cff5-4d31-825d-ca8936aea5c5</t>
        </is>
      </c>
      <c r="D295" t="inlineStr">
        <is>
          <t>30001082</t>
        </is>
      </c>
      <c r="E295" t="inlineStr">
        <is>
          <t>ussd_funeral_leads_altitude_20260504</t>
        </is>
      </c>
      <c r="J295" t="inlineStr">
        <is>
          <t>ADC</t>
        </is>
      </c>
      <c r="K295" t="inlineStr">
        <is>
          <t>Auto Dial Disconnected</t>
        </is>
      </c>
      <c r="L295" t="n">
        <v>31</v>
      </c>
      <c r="M295" t="inlineStr">
        <is>
          <t>2026-05-28 08:43:22</t>
        </is>
      </c>
      <c r="N295" t="inlineStr">
        <is>
          <t>system</t>
        </is>
      </c>
      <c r="O295" t="inlineStr">
        <is>
          <t>2026-05-15 11:58:32</t>
        </is>
      </c>
      <c r="P295" t="inlineStr">
        <is>
          <t>2026-05-15 11:58:32</t>
        </is>
      </c>
      <c r="Y295" t="inlineStr">
        <is>
          <t>27790331505</t>
        </is>
      </c>
    </row>
    <row r="296">
      <c r="A296" t="inlineStr">
        <is>
          <t>14362934</t>
        </is>
      </c>
      <c r="B296" t="inlineStr">
        <is>
          <t>e125da92-c860-46a8-9577-dc8ddb749d2e</t>
        </is>
      </c>
      <c r="D296" t="inlineStr">
        <is>
          <t>30001082</t>
        </is>
      </c>
      <c r="E296" t="inlineStr">
        <is>
          <t>ussd_funeral_leads_altitude_20260504</t>
        </is>
      </c>
      <c r="J296" t="inlineStr">
        <is>
          <t>ADC</t>
        </is>
      </c>
      <c r="K296" t="inlineStr">
        <is>
          <t>Auto Dial Disconnected</t>
        </is>
      </c>
      <c r="L296" t="n">
        <v>31</v>
      </c>
      <c r="M296" t="inlineStr">
        <is>
          <t>2026-05-28 08:43:20</t>
        </is>
      </c>
      <c r="N296" t="inlineStr">
        <is>
          <t>system</t>
        </is>
      </c>
      <c r="O296" t="inlineStr">
        <is>
          <t>2026-05-15 11:58:32</t>
        </is>
      </c>
      <c r="P296" t="inlineStr">
        <is>
          <t>2026-05-15 11:58:32</t>
        </is>
      </c>
      <c r="Y296" t="inlineStr">
        <is>
          <t>27636683759</t>
        </is>
      </c>
    </row>
    <row r="297">
      <c r="A297" t="inlineStr">
        <is>
          <t>14363437</t>
        </is>
      </c>
      <c r="B297" t="inlineStr">
        <is>
          <t>5a1cdee7-821f-46e2-a055-37e18f529c42</t>
        </is>
      </c>
      <c r="D297" t="inlineStr">
        <is>
          <t>30001082</t>
        </is>
      </c>
      <c r="E297" t="inlineStr">
        <is>
          <t>ussd_funeral_leads_altitude_20260504</t>
        </is>
      </c>
      <c r="J297" t="inlineStr">
        <is>
          <t>A</t>
        </is>
      </c>
      <c r="K297" t="inlineStr">
        <is>
          <t>Answering Machine</t>
        </is>
      </c>
      <c r="L297" t="n">
        <v>35</v>
      </c>
      <c r="M297" t="inlineStr">
        <is>
          <t>2026-05-28 07:29:48</t>
        </is>
      </c>
      <c r="N297" t="inlineStr">
        <is>
          <t>Vhutshilo Marcia Ramapundu</t>
        </is>
      </c>
      <c r="O297" t="inlineStr">
        <is>
          <t>2026-05-15 11:58:32</t>
        </is>
      </c>
      <c r="P297" t="inlineStr">
        <is>
          <t>2026-05-15 11:58:32</t>
        </is>
      </c>
      <c r="Y297" t="inlineStr">
        <is>
          <t>27724758555</t>
        </is>
      </c>
    </row>
    <row r="298">
      <c r="A298" t="inlineStr">
        <is>
          <t>14362973</t>
        </is>
      </c>
      <c r="B298" t="inlineStr">
        <is>
          <t>53c79de9-c993-46cf-bd6e-6b598db5c1a7</t>
        </is>
      </c>
      <c r="D298" t="inlineStr">
        <is>
          <t>30001082</t>
        </is>
      </c>
      <c r="E298" t="inlineStr">
        <is>
          <t>ussd_funeral_leads_altitude_20260504</t>
        </is>
      </c>
      <c r="H298" t="inlineStr">
        <is>
          <t>27824201343</t>
        </is>
      </c>
      <c r="J298" t="inlineStr">
        <is>
          <t>QAVER</t>
        </is>
      </c>
      <c r="K298" t="inlineStr">
        <is>
          <t>Sale Made</t>
        </is>
      </c>
      <c r="L298" t="n">
        <v>29</v>
      </c>
      <c r="M298" t="inlineStr">
        <is>
          <t>2026-05-28 07:21:46</t>
        </is>
      </c>
      <c r="N298" t="inlineStr">
        <is>
          <t>Vhutshilo Marcia Ramapundu</t>
        </is>
      </c>
      <c r="O298" t="inlineStr">
        <is>
          <t>2026-05-15 11:58:32</t>
        </is>
      </c>
      <c r="P298" t="inlineStr">
        <is>
          <t>2026-05-15 11:58:32</t>
        </is>
      </c>
      <c r="Y298" t="inlineStr">
        <is>
          <t>27824201343</t>
        </is>
      </c>
    </row>
    <row r="299">
      <c r="A299" t="inlineStr">
        <is>
          <t>14363083</t>
        </is>
      </c>
      <c r="B299" t="inlineStr">
        <is>
          <t>57325535-7f34-43a0-92fb-97fb473038cf</t>
        </is>
      </c>
      <c r="D299" t="inlineStr">
        <is>
          <t>30001082</t>
        </is>
      </c>
      <c r="E299" t="inlineStr">
        <is>
          <t>ussd_funeral_leads_altitude_20260504</t>
        </is>
      </c>
      <c r="J299" t="inlineStr">
        <is>
          <t>QAVER</t>
        </is>
      </c>
      <c r="K299" t="inlineStr">
        <is>
          <t>Sale Made</t>
        </is>
      </c>
      <c r="L299" t="n">
        <v>27</v>
      </c>
      <c r="M299" t="inlineStr">
        <is>
          <t>2026-05-28 07:14:42</t>
        </is>
      </c>
      <c r="N299" t="inlineStr">
        <is>
          <t>Virginia Letsatsi</t>
        </is>
      </c>
      <c r="O299" t="inlineStr">
        <is>
          <t>2026-05-15 11:58:32</t>
        </is>
      </c>
      <c r="P299" t="inlineStr">
        <is>
          <t>2026-05-15 11:58:32</t>
        </is>
      </c>
      <c r="Y299" t="inlineStr">
        <is>
          <t>27675572739</t>
        </is>
      </c>
    </row>
    <row r="300">
      <c r="A300" t="inlineStr">
        <is>
          <t>14363127</t>
        </is>
      </c>
      <c r="B300" t="inlineStr">
        <is>
          <t>1c992dfd-cdb5-43a6-affc-9ab70d0d4e4e</t>
        </is>
      </c>
      <c r="D300" t="inlineStr">
        <is>
          <t>30001082</t>
        </is>
      </c>
      <c r="E300" t="inlineStr">
        <is>
          <t>ussd_funeral_leads_altitude_20260504</t>
        </is>
      </c>
      <c r="H300" t="inlineStr">
        <is>
          <t>27712613250</t>
        </is>
      </c>
      <c r="J300" t="inlineStr">
        <is>
          <t>AE</t>
        </is>
      </c>
      <c r="K300" t="inlineStr">
        <is>
          <t>Auto Engaged</t>
        </is>
      </c>
      <c r="L300" t="n">
        <v>31</v>
      </c>
      <c r="M300" t="inlineStr">
        <is>
          <t>2026-05-28 06:42:53</t>
        </is>
      </c>
      <c r="N300" t="inlineStr">
        <is>
          <t>system</t>
        </is>
      </c>
      <c r="O300" t="inlineStr">
        <is>
          <t>2026-05-15 11:58:32</t>
        </is>
      </c>
      <c r="P300" t="inlineStr">
        <is>
          <t>2026-05-15 11:58:32</t>
        </is>
      </c>
      <c r="Y300" t="inlineStr">
        <is>
          <t>27712613250</t>
        </is>
      </c>
    </row>
    <row r="301">
      <c r="A301" t="inlineStr">
        <is>
          <t>14363309</t>
        </is>
      </c>
      <c r="B301" t="inlineStr">
        <is>
          <t>3e61f954-028e-431f-bbc7-b2b8f002781c</t>
        </is>
      </c>
      <c r="D301" t="inlineStr">
        <is>
          <t>30001082</t>
        </is>
      </c>
      <c r="E301" t="inlineStr">
        <is>
          <t>ussd_funeral_leads_altitude_20260504</t>
        </is>
      </c>
      <c r="J301" t="inlineStr">
        <is>
          <t>NA</t>
        </is>
      </c>
      <c r="K301" t="inlineStr">
        <is>
          <t>No Answer Autodial</t>
        </is>
      </c>
      <c r="L301" t="n">
        <v>31</v>
      </c>
      <c r="M301" t="inlineStr">
        <is>
          <t>2026-05-28 06:42:53</t>
        </is>
      </c>
      <c r="N301" t="inlineStr">
        <is>
          <t>system</t>
        </is>
      </c>
      <c r="O301" t="inlineStr">
        <is>
          <t>2026-05-15 11:58:32</t>
        </is>
      </c>
      <c r="P301" t="inlineStr">
        <is>
          <t>2026-05-15 11:58:32</t>
        </is>
      </c>
      <c r="Y301" t="inlineStr">
        <is>
          <t>27762242727</t>
        </is>
      </c>
    </row>
    <row r="302">
      <c r="A302" t="inlineStr">
        <is>
          <t>14363267</t>
        </is>
      </c>
      <c r="B302" t="inlineStr">
        <is>
          <t>3235d1a8-74bc-4974-b8f0-3c394ae12fd2</t>
        </is>
      </c>
      <c r="D302" t="inlineStr">
        <is>
          <t>30001082</t>
        </is>
      </c>
      <c r="E302" t="inlineStr">
        <is>
          <t>ussd_funeral_leads_altitude_20260504</t>
        </is>
      </c>
      <c r="J302" t="inlineStr">
        <is>
          <t>ADC</t>
        </is>
      </c>
      <c r="K302" t="inlineStr">
        <is>
          <t>Auto Dial Disconnected</t>
        </is>
      </c>
      <c r="L302" t="n">
        <v>31</v>
      </c>
      <c r="M302" t="inlineStr">
        <is>
          <t>2026-05-28 06:42:53</t>
        </is>
      </c>
      <c r="N302" t="inlineStr">
        <is>
          <t>system</t>
        </is>
      </c>
      <c r="O302" t="inlineStr">
        <is>
          <t>2026-05-15 11:58:32</t>
        </is>
      </c>
      <c r="P302" t="inlineStr">
        <is>
          <t>2026-05-15 11:58:32</t>
        </is>
      </c>
      <c r="Y302" t="inlineStr">
        <is>
          <t>27660224479</t>
        </is>
      </c>
    </row>
    <row r="303">
      <c r="A303" t="inlineStr">
        <is>
          <t>14363360</t>
        </is>
      </c>
      <c r="B303" t="inlineStr">
        <is>
          <t>db49d7de-1ff9-45de-8aaf-78d4b88af0b5</t>
        </is>
      </c>
      <c r="D303" t="inlineStr">
        <is>
          <t>30001082</t>
        </is>
      </c>
      <c r="E303" t="inlineStr">
        <is>
          <t>ussd_funeral_leads_altitude_20260504</t>
        </is>
      </c>
      <c r="J303" t="inlineStr">
        <is>
          <t>AA</t>
        </is>
      </c>
      <c r="K303" t="inlineStr">
        <is>
          <t>Answering Machine Autodial</t>
        </is>
      </c>
      <c r="L303" t="n">
        <v>31</v>
      </c>
      <c r="M303" t="inlineStr">
        <is>
          <t>2026-05-28 06:42:53</t>
        </is>
      </c>
      <c r="N303" t="inlineStr">
        <is>
          <t>system</t>
        </is>
      </c>
      <c r="O303" t="inlineStr">
        <is>
          <t>2026-05-15 11:58:32</t>
        </is>
      </c>
      <c r="P303" t="inlineStr">
        <is>
          <t>2026-05-15 11:58:32</t>
        </is>
      </c>
      <c r="Y303" t="inlineStr">
        <is>
          <t>27712320423</t>
        </is>
      </c>
    </row>
    <row r="304">
      <c r="A304" t="inlineStr">
        <is>
          <t>14363430</t>
        </is>
      </c>
      <c r="B304" t="inlineStr">
        <is>
          <t>48087fc6-3f41-469a-b6ba-0091a5d9e568</t>
        </is>
      </c>
      <c r="D304" t="inlineStr">
        <is>
          <t>30001082</t>
        </is>
      </c>
      <c r="E304" t="inlineStr">
        <is>
          <t>ussd_funeral_leads_altitude_20260504</t>
        </is>
      </c>
      <c r="J304" t="inlineStr">
        <is>
          <t>ADC</t>
        </is>
      </c>
      <c r="K304" t="inlineStr">
        <is>
          <t>Auto Dial Disconnected</t>
        </is>
      </c>
      <c r="L304" t="n">
        <v>31</v>
      </c>
      <c r="M304" t="inlineStr">
        <is>
          <t>2026-05-28 06:42:53</t>
        </is>
      </c>
      <c r="N304" t="inlineStr">
        <is>
          <t>system</t>
        </is>
      </c>
      <c r="O304" t="inlineStr">
        <is>
          <t>2026-05-15 11:58:32</t>
        </is>
      </c>
      <c r="P304" t="inlineStr">
        <is>
          <t>2026-05-15 11:58:32</t>
        </is>
      </c>
      <c r="Y304" t="inlineStr">
        <is>
          <t>27722752884</t>
        </is>
      </c>
    </row>
    <row r="305">
      <c r="A305" t="inlineStr">
        <is>
          <t>14363379</t>
        </is>
      </c>
      <c r="B305" t="inlineStr">
        <is>
          <t>5a3f7874-6e67-439e-8ad7-45b9d686365f</t>
        </is>
      </c>
      <c r="D305" t="inlineStr">
        <is>
          <t>30001082</t>
        </is>
      </c>
      <c r="E305" t="inlineStr">
        <is>
          <t>ussd_funeral_leads_altitude_20260504</t>
        </is>
      </c>
      <c r="J305" t="inlineStr">
        <is>
          <t>AE</t>
        </is>
      </c>
      <c r="K305" t="inlineStr">
        <is>
          <t>Auto Engaged</t>
        </is>
      </c>
      <c r="L305" t="n">
        <v>31</v>
      </c>
      <c r="M305" t="inlineStr">
        <is>
          <t>2026-05-28 06:42:53</t>
        </is>
      </c>
      <c r="N305" t="inlineStr">
        <is>
          <t>system</t>
        </is>
      </c>
      <c r="O305" t="inlineStr">
        <is>
          <t>2026-05-15 11:58:32</t>
        </is>
      </c>
      <c r="P305" t="inlineStr">
        <is>
          <t>2026-05-15 11:58:32</t>
        </is>
      </c>
      <c r="Y305" t="inlineStr">
        <is>
          <t>27665074409</t>
        </is>
      </c>
    </row>
    <row r="306">
      <c r="A306" t="inlineStr">
        <is>
          <t>14363295</t>
        </is>
      </c>
      <c r="B306" t="inlineStr">
        <is>
          <t>69705388-c58b-4f1d-bb49-00b50512a3d2</t>
        </is>
      </c>
      <c r="D306" t="inlineStr">
        <is>
          <t>30001082</t>
        </is>
      </c>
      <c r="E306" t="inlineStr">
        <is>
          <t>ussd_funeral_leads_altitude_20260504</t>
        </is>
      </c>
      <c r="J306" t="inlineStr">
        <is>
          <t>ADC</t>
        </is>
      </c>
      <c r="K306" t="inlineStr">
        <is>
          <t>Auto Dial Disconnected</t>
        </is>
      </c>
      <c r="L306" t="n">
        <v>31</v>
      </c>
      <c r="M306" t="inlineStr">
        <is>
          <t>2026-05-28 06:42:53</t>
        </is>
      </c>
      <c r="N306" t="inlineStr">
        <is>
          <t>system</t>
        </is>
      </c>
      <c r="O306" t="inlineStr">
        <is>
          <t>2026-05-15 11:58:32</t>
        </is>
      </c>
      <c r="P306" t="inlineStr">
        <is>
          <t>2026-05-15 11:58:32</t>
        </is>
      </c>
      <c r="Y306" t="inlineStr">
        <is>
          <t>27724047217</t>
        </is>
      </c>
    </row>
    <row r="307">
      <c r="A307" t="inlineStr">
        <is>
          <t>14363015</t>
        </is>
      </c>
      <c r="B307" t="inlineStr">
        <is>
          <t>955d54f5-b576-4037-b2cb-1787b628bd29</t>
        </is>
      </c>
      <c r="D307" t="inlineStr">
        <is>
          <t>30001082</t>
        </is>
      </c>
      <c r="E307" t="inlineStr">
        <is>
          <t>ussd_funeral_leads_altitude_20260504</t>
        </is>
      </c>
      <c r="J307" t="inlineStr">
        <is>
          <t>AE</t>
        </is>
      </c>
      <c r="K307" t="inlineStr">
        <is>
          <t>Auto Engaged</t>
        </is>
      </c>
      <c r="L307" t="n">
        <v>31</v>
      </c>
      <c r="M307" t="inlineStr">
        <is>
          <t>2026-05-28 06:42:52</t>
        </is>
      </c>
      <c r="N307" t="inlineStr">
        <is>
          <t>system</t>
        </is>
      </c>
      <c r="O307" t="inlineStr">
        <is>
          <t>2026-05-15 11:58:32</t>
        </is>
      </c>
      <c r="P307" t="inlineStr">
        <is>
          <t>2026-05-15 11:58:32</t>
        </is>
      </c>
      <c r="Y307" t="inlineStr">
        <is>
          <t>27796045801</t>
        </is>
      </c>
    </row>
    <row r="308">
      <c r="A308" t="inlineStr">
        <is>
          <t>14363033</t>
        </is>
      </c>
      <c r="B308" t="inlineStr">
        <is>
          <t>cb9ebf1c-3a31-4084-98a0-e6c19846ecab</t>
        </is>
      </c>
      <c r="D308" t="inlineStr">
        <is>
          <t>30001082</t>
        </is>
      </c>
      <c r="E308" t="inlineStr">
        <is>
          <t>ussd_funeral_leads_altitude_20260504</t>
        </is>
      </c>
      <c r="J308" t="inlineStr">
        <is>
          <t>AE</t>
        </is>
      </c>
      <c r="K308" t="inlineStr">
        <is>
          <t>Auto Engaged</t>
        </is>
      </c>
      <c r="L308" t="n">
        <v>31</v>
      </c>
      <c r="M308" t="inlineStr">
        <is>
          <t>2026-05-28 06:42:52</t>
        </is>
      </c>
      <c r="N308" t="inlineStr">
        <is>
          <t>system</t>
        </is>
      </c>
      <c r="O308" t="inlineStr">
        <is>
          <t>2026-05-15 11:58:32</t>
        </is>
      </c>
      <c r="P308" t="inlineStr">
        <is>
          <t>2026-05-15 11:58:32</t>
        </is>
      </c>
      <c r="Y308" t="inlineStr">
        <is>
          <t>27792785700</t>
        </is>
      </c>
    </row>
    <row r="309">
      <c r="A309" t="inlineStr">
        <is>
          <t>14363420</t>
        </is>
      </c>
      <c r="B309" t="inlineStr">
        <is>
          <t>8c3c8077-26c7-4ffe-964c-5942355c8cf8</t>
        </is>
      </c>
      <c r="D309" t="inlineStr">
        <is>
          <t>30001082</t>
        </is>
      </c>
      <c r="E309" t="inlineStr">
        <is>
          <t>ussd_funeral_leads_altitude_20260504</t>
        </is>
      </c>
      <c r="J309" t="inlineStr">
        <is>
          <t>TDN</t>
        </is>
      </c>
      <c r="K309" t="inlineStr">
        <is>
          <t>Temporary Disconnected Number</t>
        </is>
      </c>
      <c r="L309" t="n">
        <v>31</v>
      </c>
      <c r="M309" t="inlineStr">
        <is>
          <t>2026-05-28 06:42:52</t>
        </is>
      </c>
      <c r="N309" t="inlineStr">
        <is>
          <t>system</t>
        </is>
      </c>
      <c r="O309" t="inlineStr">
        <is>
          <t>2026-05-15 11:58:32</t>
        </is>
      </c>
      <c r="P309" t="inlineStr">
        <is>
          <t>2026-05-15 11:58:32</t>
        </is>
      </c>
      <c r="Y309" t="inlineStr">
        <is>
          <t>27765981476</t>
        </is>
      </c>
    </row>
    <row r="310">
      <c r="A310" t="inlineStr">
        <is>
          <t>14362983</t>
        </is>
      </c>
      <c r="B310" t="inlineStr">
        <is>
          <t>fe232483-3a57-4ffd-96f4-12c7b1c8d4a1</t>
        </is>
      </c>
      <c r="D310" t="inlineStr">
        <is>
          <t>30001082</t>
        </is>
      </c>
      <c r="E310" t="inlineStr">
        <is>
          <t>ussd_funeral_leads_altitude_20260504</t>
        </is>
      </c>
      <c r="J310" t="inlineStr">
        <is>
          <t>NA</t>
        </is>
      </c>
      <c r="K310" t="inlineStr">
        <is>
          <t>No Answer Autodial</t>
        </is>
      </c>
      <c r="L310" t="n">
        <v>31</v>
      </c>
      <c r="M310" t="inlineStr">
        <is>
          <t>2026-05-28 06:42:51</t>
        </is>
      </c>
      <c r="N310" t="inlineStr">
        <is>
          <t>system</t>
        </is>
      </c>
      <c r="O310" t="inlineStr">
        <is>
          <t>2026-05-15 11:58:32</t>
        </is>
      </c>
      <c r="P310" t="inlineStr">
        <is>
          <t>2026-05-15 11:58:32</t>
        </is>
      </c>
      <c r="Y310" t="inlineStr">
        <is>
          <t>27661639130</t>
        </is>
      </c>
    </row>
    <row r="311">
      <c r="A311" t="inlineStr">
        <is>
          <t>14363013</t>
        </is>
      </c>
      <c r="B311" t="inlineStr">
        <is>
          <t>7a8a9f9b-40d4-41ac-8c30-6c92fe38ed5b</t>
        </is>
      </c>
      <c r="D311" t="inlineStr">
        <is>
          <t>30001082</t>
        </is>
      </c>
      <c r="E311" t="inlineStr">
        <is>
          <t>ussd_funeral_leads_altitude_20260504</t>
        </is>
      </c>
      <c r="H311" t="inlineStr">
        <is>
          <t>27720768202</t>
        </is>
      </c>
      <c r="J311" t="inlineStr">
        <is>
          <t>U</t>
        </is>
      </c>
      <c r="K311" t="inlineStr">
        <is>
          <t>Unemployed</t>
        </is>
      </c>
      <c r="L311" t="n">
        <v>27</v>
      </c>
      <c r="M311" t="inlineStr">
        <is>
          <t>2026-05-28 06:38:54</t>
        </is>
      </c>
      <c r="N311" t="inlineStr">
        <is>
          <t>Dimakatso Nkomo</t>
        </is>
      </c>
      <c r="O311" t="inlineStr">
        <is>
          <t>2026-05-15 11:58:32</t>
        </is>
      </c>
      <c r="P311" t="inlineStr">
        <is>
          <t>2026-05-15 11:58:32</t>
        </is>
      </c>
      <c r="Y311" t="inlineStr">
        <is>
          <t>27720768202</t>
        </is>
      </c>
    </row>
    <row r="312">
      <c r="A312" t="inlineStr">
        <is>
          <t>14363192</t>
        </is>
      </c>
      <c r="B312" t="inlineStr">
        <is>
          <t>239af2e8-f4c4-4dbe-ab84-ee2dc7484877</t>
        </is>
      </c>
      <c r="D312" t="inlineStr">
        <is>
          <t>30001082</t>
        </is>
      </c>
      <c r="E312" t="inlineStr">
        <is>
          <t>ussd_funeral_leads_altitude_20260504</t>
        </is>
      </c>
      <c r="J312" t="inlineStr">
        <is>
          <t>AE</t>
        </is>
      </c>
      <c r="K312" t="inlineStr">
        <is>
          <t>Auto Engaged</t>
        </is>
      </c>
      <c r="L312" t="n">
        <v>31</v>
      </c>
      <c r="M312" t="inlineStr">
        <is>
          <t>2026-05-27 15:06:43</t>
        </is>
      </c>
      <c r="N312" t="inlineStr">
        <is>
          <t>system</t>
        </is>
      </c>
      <c r="O312" t="inlineStr">
        <is>
          <t>2026-05-15 11:58:32</t>
        </is>
      </c>
      <c r="P312" t="inlineStr">
        <is>
          <t>2026-05-15 11:58:32</t>
        </is>
      </c>
      <c r="Y312" t="inlineStr">
        <is>
          <t>27712950315</t>
        </is>
      </c>
    </row>
    <row r="313">
      <c r="A313" t="inlineStr">
        <is>
          <t>14363290</t>
        </is>
      </c>
      <c r="B313" t="inlineStr">
        <is>
          <t>63c378ca-694d-4a5b-8fd2-cdf2c7d0b8aa</t>
        </is>
      </c>
      <c r="D313" t="inlineStr">
        <is>
          <t>30001082</t>
        </is>
      </c>
      <c r="E313" t="inlineStr">
        <is>
          <t>ussd_funeral_leads_altitude_20260504</t>
        </is>
      </c>
      <c r="H313" t="inlineStr">
        <is>
          <t>27714610083</t>
        </is>
      </c>
      <c r="J313" t="inlineStr">
        <is>
          <t>AE</t>
        </is>
      </c>
      <c r="K313" t="inlineStr">
        <is>
          <t>Auto Engaged</t>
        </is>
      </c>
      <c r="L313" t="n">
        <v>31</v>
      </c>
      <c r="M313" t="inlineStr">
        <is>
          <t>2026-05-27 15:06:42</t>
        </is>
      </c>
      <c r="N313" t="inlineStr">
        <is>
          <t>system</t>
        </is>
      </c>
      <c r="O313" t="inlineStr">
        <is>
          <t>2026-05-15 11:58:32</t>
        </is>
      </c>
      <c r="P313" t="inlineStr">
        <is>
          <t>2026-05-15 11:58:32</t>
        </is>
      </c>
      <c r="Y313" t="inlineStr">
        <is>
          <t>27714610083</t>
        </is>
      </c>
    </row>
    <row r="314">
      <c r="A314" t="inlineStr">
        <is>
          <t>14362957</t>
        </is>
      </c>
      <c r="B314" t="inlineStr">
        <is>
          <t>02e8eea4-a0cf-426f-b87d-d27b0e3a2164</t>
        </is>
      </c>
      <c r="D314" t="inlineStr">
        <is>
          <t>30001082</t>
        </is>
      </c>
      <c r="E314" t="inlineStr">
        <is>
          <t>ussd_funeral_leads_altitude_20260504</t>
        </is>
      </c>
      <c r="J314" t="inlineStr">
        <is>
          <t>TDN</t>
        </is>
      </c>
      <c r="K314" t="inlineStr">
        <is>
          <t>Temporary Disconnected Number</t>
        </is>
      </c>
      <c r="L314" t="n">
        <v>31</v>
      </c>
      <c r="M314" t="inlineStr">
        <is>
          <t>2026-05-27 15:06:40</t>
        </is>
      </c>
      <c r="N314" t="inlineStr">
        <is>
          <t>system</t>
        </is>
      </c>
      <c r="O314" t="inlineStr">
        <is>
          <t>2026-05-15 11:58:32</t>
        </is>
      </c>
      <c r="P314" t="inlineStr">
        <is>
          <t>2026-05-15 11:58:32</t>
        </is>
      </c>
      <c r="Y314" t="inlineStr">
        <is>
          <t>27715849426</t>
        </is>
      </c>
    </row>
    <row r="315">
      <c r="A315" t="inlineStr">
        <is>
          <t>14363321</t>
        </is>
      </c>
      <c r="B315" t="inlineStr">
        <is>
          <t>0240f758-424e-42b7-bf5d-200c8ef9ebf8</t>
        </is>
      </c>
      <c r="D315" t="inlineStr">
        <is>
          <t>30001082</t>
        </is>
      </c>
      <c r="E315" t="inlineStr">
        <is>
          <t>ussd_funeral_leads_altitude_20260504</t>
        </is>
      </c>
      <c r="J315" t="inlineStr">
        <is>
          <t>ADC</t>
        </is>
      </c>
      <c r="K315" t="inlineStr">
        <is>
          <t>Auto Dial Disconnected</t>
        </is>
      </c>
      <c r="L315" t="n">
        <v>31</v>
      </c>
      <c r="M315" t="inlineStr">
        <is>
          <t>2026-05-27 14:10:52</t>
        </is>
      </c>
      <c r="N315" t="inlineStr">
        <is>
          <t>system</t>
        </is>
      </c>
      <c r="O315" t="inlineStr">
        <is>
          <t>2026-05-15 11:58:32</t>
        </is>
      </c>
      <c r="P315" t="inlineStr">
        <is>
          <t>2026-05-15 11:58:32</t>
        </is>
      </c>
      <c r="Y315" t="inlineStr">
        <is>
          <t>27767331141</t>
        </is>
      </c>
    </row>
    <row r="316">
      <c r="A316" t="inlineStr">
        <is>
          <t>14363302</t>
        </is>
      </c>
      <c r="B316" t="inlineStr">
        <is>
          <t>11849135-c2a4-47fa-a2e5-f05b9de9123f</t>
        </is>
      </c>
      <c r="D316" t="inlineStr">
        <is>
          <t>30001082</t>
        </is>
      </c>
      <c r="E316" t="inlineStr">
        <is>
          <t>ussd_funeral_leads_altitude_20260504</t>
        </is>
      </c>
      <c r="H316" t="inlineStr">
        <is>
          <t>27764325144</t>
        </is>
      </c>
      <c r="J316" t="inlineStr">
        <is>
          <t>AE</t>
        </is>
      </c>
      <c r="K316" t="inlineStr">
        <is>
          <t>Auto Engaged</t>
        </is>
      </c>
      <c r="L316" t="n">
        <v>31</v>
      </c>
      <c r="M316" t="inlineStr">
        <is>
          <t>2026-05-27 14:10:52</t>
        </is>
      </c>
      <c r="N316" t="inlineStr">
        <is>
          <t>system</t>
        </is>
      </c>
      <c r="O316" t="inlineStr">
        <is>
          <t>2026-05-15 11:58:32</t>
        </is>
      </c>
      <c r="P316" t="inlineStr">
        <is>
          <t>2026-05-15 11:58:32</t>
        </is>
      </c>
      <c r="Y316" t="inlineStr">
        <is>
          <t>27764325144</t>
        </is>
      </c>
    </row>
    <row r="317">
      <c r="A317" t="inlineStr">
        <is>
          <t>14363444</t>
        </is>
      </c>
      <c r="B317" t="inlineStr">
        <is>
          <t>8456009c-e3bf-4006-a695-89de802ed12b</t>
        </is>
      </c>
      <c r="D317" t="inlineStr">
        <is>
          <t>30001082</t>
        </is>
      </c>
      <c r="E317" t="inlineStr">
        <is>
          <t>ussd_funeral_leads_altitude_20260504</t>
        </is>
      </c>
      <c r="J317" t="inlineStr">
        <is>
          <t>ADC</t>
        </is>
      </c>
      <c r="K317" t="inlineStr">
        <is>
          <t>Auto Dial Disconnected</t>
        </is>
      </c>
      <c r="L317" t="n">
        <v>31</v>
      </c>
      <c r="M317" t="inlineStr">
        <is>
          <t>2026-05-27 14:10:50</t>
        </is>
      </c>
      <c r="N317" t="inlineStr">
        <is>
          <t>system</t>
        </is>
      </c>
      <c r="O317" t="inlineStr">
        <is>
          <t>2026-05-15 11:58:32</t>
        </is>
      </c>
      <c r="P317" t="inlineStr">
        <is>
          <t>2026-05-15 11:58:32</t>
        </is>
      </c>
      <c r="Y317" t="inlineStr">
        <is>
          <t>27792486879</t>
        </is>
      </c>
    </row>
    <row r="318">
      <c r="A318" t="inlineStr">
        <is>
          <t>14363490</t>
        </is>
      </c>
      <c r="B318" t="inlineStr">
        <is>
          <t>70b76a64-c5c9-4aec-b5e8-e8cb3d66853e</t>
        </is>
      </c>
      <c r="D318" t="inlineStr">
        <is>
          <t>30001082</t>
        </is>
      </c>
      <c r="E318" t="inlineStr">
        <is>
          <t>ussd_funeral_leads_altitude_20260504</t>
        </is>
      </c>
      <c r="J318" t="inlineStr">
        <is>
          <t>CUA</t>
        </is>
      </c>
      <c r="K318" t="inlineStr">
        <is>
          <t>Client Underage</t>
        </is>
      </c>
      <c r="L318" t="n">
        <v>25</v>
      </c>
      <c r="M318" t="inlineStr">
        <is>
          <t>2026-05-27 13:52:42</t>
        </is>
      </c>
      <c r="N318" t="inlineStr">
        <is>
          <t>Virginia Letsatsi</t>
        </is>
      </c>
      <c r="O318" t="inlineStr">
        <is>
          <t>2026-05-15 11:58:32</t>
        </is>
      </c>
      <c r="P318" t="inlineStr">
        <is>
          <t>2026-05-15 11:58:32</t>
        </is>
      </c>
      <c r="Y318" t="inlineStr">
        <is>
          <t>27798508381</t>
        </is>
      </c>
    </row>
    <row r="319">
      <c r="A319" t="inlineStr">
        <is>
          <t>14363429</t>
        </is>
      </c>
      <c r="B319" t="inlineStr">
        <is>
          <t>a7b619dc-239c-45c8-bd20-f17e02465369</t>
        </is>
      </c>
      <c r="D319" t="inlineStr">
        <is>
          <t>30001082</t>
        </is>
      </c>
      <c r="E319" t="inlineStr">
        <is>
          <t>ussd_funeral_leads_altitude_20260504</t>
        </is>
      </c>
      <c r="J319" t="inlineStr">
        <is>
          <t>NA</t>
        </is>
      </c>
      <c r="K319" t="inlineStr">
        <is>
          <t>No Answer Autodial</t>
        </is>
      </c>
      <c r="L319" t="n">
        <v>31</v>
      </c>
      <c r="M319" t="inlineStr">
        <is>
          <t>2026-05-27 13:42:12</t>
        </is>
      </c>
      <c r="N319" t="inlineStr">
        <is>
          <t>system</t>
        </is>
      </c>
      <c r="O319" t="inlineStr">
        <is>
          <t>2026-05-15 11:58:32</t>
        </is>
      </c>
      <c r="P319" t="inlineStr">
        <is>
          <t>2026-05-15 11:58:32</t>
        </is>
      </c>
      <c r="Y319" t="inlineStr">
        <is>
          <t>27607107049</t>
        </is>
      </c>
    </row>
    <row r="320">
      <c r="A320" t="inlineStr">
        <is>
          <t>14362936</t>
        </is>
      </c>
      <c r="B320" t="inlineStr">
        <is>
          <t>68d91092-049e-4cbb-824f-5be06604bb47</t>
        </is>
      </c>
      <c r="D320" t="inlineStr">
        <is>
          <t>30001082</t>
        </is>
      </c>
      <c r="E320" t="inlineStr">
        <is>
          <t>ussd_funeral_leads_altitude_20260504</t>
        </is>
      </c>
      <c r="H320" t="inlineStr">
        <is>
          <t>27798302470</t>
        </is>
      </c>
      <c r="J320" t="inlineStr">
        <is>
          <t>CUA</t>
        </is>
      </c>
      <c r="K320" t="inlineStr">
        <is>
          <t>Client Underage</t>
        </is>
      </c>
      <c r="L320" t="n">
        <v>29</v>
      </c>
      <c r="M320" t="inlineStr">
        <is>
          <t>2026-05-27 13:41:23</t>
        </is>
      </c>
      <c r="N320" t="inlineStr">
        <is>
          <t>Ayanda Masindane</t>
        </is>
      </c>
      <c r="O320" t="inlineStr">
        <is>
          <t>2026-05-15 11:58:32</t>
        </is>
      </c>
      <c r="P320" t="inlineStr">
        <is>
          <t>2026-05-15 11:58:32</t>
        </is>
      </c>
      <c r="Y320" t="inlineStr">
        <is>
          <t>27798302470</t>
        </is>
      </c>
    </row>
    <row r="321">
      <c r="A321" t="inlineStr">
        <is>
          <t>14363316</t>
        </is>
      </c>
      <c r="B321" t="inlineStr">
        <is>
          <t>c776e59f-046f-4a27-91b4-dfc99014ee56</t>
        </is>
      </c>
      <c r="D321" t="inlineStr">
        <is>
          <t>30001082</t>
        </is>
      </c>
      <c r="E321" t="inlineStr">
        <is>
          <t>ussd_funeral_leads_altitude_20260504</t>
        </is>
      </c>
      <c r="J321" t="inlineStr">
        <is>
          <t>AE</t>
        </is>
      </c>
      <c r="K321" t="inlineStr">
        <is>
          <t>Auto Engaged</t>
        </is>
      </c>
      <c r="L321" t="n">
        <v>31</v>
      </c>
      <c r="M321" t="inlineStr">
        <is>
          <t>2026-05-27 12:05:38</t>
        </is>
      </c>
      <c r="N321" t="inlineStr">
        <is>
          <t>system</t>
        </is>
      </c>
      <c r="O321" t="inlineStr">
        <is>
          <t>2026-05-15 11:58:32</t>
        </is>
      </c>
      <c r="P321" t="inlineStr">
        <is>
          <t>2026-05-15 11:58:32</t>
        </is>
      </c>
      <c r="Y321" t="inlineStr">
        <is>
          <t>27665203745</t>
        </is>
      </c>
    </row>
    <row r="322">
      <c r="A322" t="inlineStr">
        <is>
          <t>14363277</t>
        </is>
      </c>
      <c r="B322" t="inlineStr">
        <is>
          <t>d639d476-2d77-449e-8e90-6a5b005a6e55</t>
        </is>
      </c>
      <c r="D322" t="inlineStr">
        <is>
          <t>30001082</t>
        </is>
      </c>
      <c r="E322" t="inlineStr">
        <is>
          <t>ussd_funeral_leads_altitude_20260504</t>
        </is>
      </c>
      <c r="J322" t="inlineStr">
        <is>
          <t>AE</t>
        </is>
      </c>
      <c r="K322" t="inlineStr">
        <is>
          <t>Auto Engaged</t>
        </is>
      </c>
      <c r="L322" t="n">
        <v>31</v>
      </c>
      <c r="M322" t="inlineStr">
        <is>
          <t>2026-05-27 12:05:38</t>
        </is>
      </c>
      <c r="N322" t="inlineStr">
        <is>
          <t>system</t>
        </is>
      </c>
      <c r="O322" t="inlineStr">
        <is>
          <t>2026-05-15 11:58:32</t>
        </is>
      </c>
      <c r="P322" t="inlineStr">
        <is>
          <t>2026-05-15 11:58:32</t>
        </is>
      </c>
      <c r="Y322" t="inlineStr">
        <is>
          <t>27727053278</t>
        </is>
      </c>
    </row>
    <row r="323">
      <c r="A323" t="inlineStr">
        <is>
          <t>14363451</t>
        </is>
      </c>
      <c r="B323" t="inlineStr">
        <is>
          <t>16d3c09a-d64c-4989-9b4c-aeb11adc9f14</t>
        </is>
      </c>
      <c r="D323" t="inlineStr">
        <is>
          <t>30001082</t>
        </is>
      </c>
      <c r="E323" t="inlineStr">
        <is>
          <t>ussd_funeral_leads_altitude_20260504</t>
        </is>
      </c>
      <c r="J323" t="inlineStr">
        <is>
          <t>AA</t>
        </is>
      </c>
      <c r="K323" t="inlineStr">
        <is>
          <t>Answering Machine Autodial</t>
        </is>
      </c>
      <c r="L323" t="n">
        <v>31</v>
      </c>
      <c r="M323" t="inlineStr">
        <is>
          <t>2026-05-27 12:05:38</t>
        </is>
      </c>
      <c r="N323" t="inlineStr">
        <is>
          <t>system</t>
        </is>
      </c>
      <c r="O323" t="inlineStr">
        <is>
          <t>2026-05-15 11:58:32</t>
        </is>
      </c>
      <c r="P323" t="inlineStr">
        <is>
          <t>2026-05-15 11:58:32</t>
        </is>
      </c>
      <c r="Y323" t="inlineStr">
        <is>
          <t>27794633692</t>
        </is>
      </c>
    </row>
    <row r="324">
      <c r="A324" t="inlineStr">
        <is>
          <t>14363333</t>
        </is>
      </c>
      <c r="B324" t="inlineStr">
        <is>
          <t>f6471897-77d7-48ba-bcb5-2f65a590fe97</t>
        </is>
      </c>
      <c r="D324" t="inlineStr">
        <is>
          <t>30001082</t>
        </is>
      </c>
      <c r="E324" t="inlineStr">
        <is>
          <t>ussd_funeral_leads_altitude_20260504</t>
        </is>
      </c>
      <c r="J324" t="inlineStr">
        <is>
          <t>AA</t>
        </is>
      </c>
      <c r="K324" t="inlineStr">
        <is>
          <t>Answering Machine Autodial</t>
        </is>
      </c>
      <c r="L324" t="n">
        <v>31</v>
      </c>
      <c r="M324" t="inlineStr">
        <is>
          <t>2026-05-27 12:05:33</t>
        </is>
      </c>
      <c r="N324" t="inlineStr">
        <is>
          <t>system</t>
        </is>
      </c>
      <c r="O324" t="inlineStr">
        <is>
          <t>2026-05-15 11:58:32</t>
        </is>
      </c>
      <c r="P324" t="inlineStr">
        <is>
          <t>2026-05-15 11:58:32</t>
        </is>
      </c>
      <c r="Y324" t="inlineStr">
        <is>
          <t>27716182850</t>
        </is>
      </c>
    </row>
    <row r="325">
      <c r="A325" t="inlineStr">
        <is>
          <t>14363032</t>
        </is>
      </c>
      <c r="B325" t="inlineStr">
        <is>
          <t>c3ba4157-a080-493b-8290-d7baf0001360</t>
        </is>
      </c>
      <c r="D325" t="inlineStr">
        <is>
          <t>30001082</t>
        </is>
      </c>
      <c r="E325" t="inlineStr">
        <is>
          <t>ussd_funeral_leads_altitude_20260504</t>
        </is>
      </c>
      <c r="J325" t="inlineStr">
        <is>
          <t>NA</t>
        </is>
      </c>
      <c r="K325" t="inlineStr">
        <is>
          <t>No Answer Autodial</t>
        </is>
      </c>
      <c r="L325" t="n">
        <v>31</v>
      </c>
      <c r="M325" t="inlineStr">
        <is>
          <t>2026-05-27 12:05:31</t>
        </is>
      </c>
      <c r="N325" t="inlineStr">
        <is>
          <t>system</t>
        </is>
      </c>
      <c r="O325" t="inlineStr">
        <is>
          <t>2026-05-15 11:58:32</t>
        </is>
      </c>
      <c r="P325" t="inlineStr">
        <is>
          <t>2026-05-15 11:58:32</t>
        </is>
      </c>
      <c r="Y325" t="inlineStr">
        <is>
          <t>27648087236</t>
        </is>
      </c>
    </row>
    <row r="326">
      <c r="A326" t="inlineStr">
        <is>
          <t>14363146</t>
        </is>
      </c>
      <c r="B326" t="inlineStr">
        <is>
          <t>e014cb50-936f-4adf-945a-98dc6e3b82fb</t>
        </is>
      </c>
      <c r="D326" t="inlineStr">
        <is>
          <t>30001082</t>
        </is>
      </c>
      <c r="E326" t="inlineStr">
        <is>
          <t>ussd_funeral_leads_altitude_20260504</t>
        </is>
      </c>
      <c r="J326" t="inlineStr">
        <is>
          <t>TDN</t>
        </is>
      </c>
      <c r="K326" t="inlineStr">
        <is>
          <t>Temporary Disconnected Number</t>
        </is>
      </c>
      <c r="L326" t="n">
        <v>31</v>
      </c>
      <c r="M326" t="inlineStr">
        <is>
          <t>2026-05-27 12:05:31</t>
        </is>
      </c>
      <c r="N326" t="inlineStr">
        <is>
          <t>system</t>
        </is>
      </c>
      <c r="O326" t="inlineStr">
        <is>
          <t>2026-05-15 11:58:32</t>
        </is>
      </c>
      <c r="P326" t="inlineStr">
        <is>
          <t>2026-05-15 11:58:32</t>
        </is>
      </c>
      <c r="Y326" t="inlineStr">
        <is>
          <t>27714937055</t>
        </is>
      </c>
    </row>
    <row r="327">
      <c r="A327" t="inlineStr">
        <is>
          <t>14363065</t>
        </is>
      </c>
      <c r="B327" t="inlineStr">
        <is>
          <t>1be80575-da5f-472a-bdc3-9adf78ce2bbb</t>
        </is>
      </c>
      <c r="D327" t="inlineStr">
        <is>
          <t>30001082</t>
        </is>
      </c>
      <c r="E327" t="inlineStr">
        <is>
          <t>ussd_funeral_leads_altitude_20260504</t>
        </is>
      </c>
      <c r="H327" t="inlineStr">
        <is>
          <t>27675482249</t>
        </is>
      </c>
      <c r="J327" t="inlineStr">
        <is>
          <t>TDN</t>
        </is>
      </c>
      <c r="K327" t="inlineStr">
        <is>
          <t>Temporary Disconnected Number</t>
        </is>
      </c>
      <c r="L327" t="n">
        <v>31</v>
      </c>
      <c r="M327" t="inlineStr">
        <is>
          <t>2026-05-27 12:05:31</t>
        </is>
      </c>
      <c r="N327" t="inlineStr">
        <is>
          <t>system</t>
        </is>
      </c>
      <c r="O327" t="inlineStr">
        <is>
          <t>2026-05-15 11:58:32</t>
        </is>
      </c>
      <c r="P327" t="inlineStr">
        <is>
          <t>2026-05-15 11:58:32</t>
        </is>
      </c>
      <c r="Y327" t="inlineStr">
        <is>
          <t>27675482249</t>
        </is>
      </c>
    </row>
    <row r="328">
      <c r="A328" t="inlineStr">
        <is>
          <t>14363184</t>
        </is>
      </c>
      <c r="B328" t="inlineStr">
        <is>
          <t>25f79ba6-c286-4425-96c5-52f64ddabcbc</t>
        </is>
      </c>
      <c r="D328" t="inlineStr">
        <is>
          <t>30001082</t>
        </is>
      </c>
      <c r="E328" t="inlineStr">
        <is>
          <t>ussd_funeral_leads_altitude_20260504</t>
        </is>
      </c>
      <c r="J328" t="inlineStr">
        <is>
          <t>AA</t>
        </is>
      </c>
      <c r="K328" t="inlineStr">
        <is>
          <t>Answering Machine Autodial</t>
        </is>
      </c>
      <c r="L328" t="n">
        <v>31</v>
      </c>
      <c r="M328" t="inlineStr">
        <is>
          <t>2026-05-27 12:05:25</t>
        </is>
      </c>
      <c r="N328" t="inlineStr">
        <is>
          <t>system</t>
        </is>
      </c>
      <c r="O328" t="inlineStr">
        <is>
          <t>2026-05-15 11:58:32</t>
        </is>
      </c>
      <c r="P328" t="inlineStr">
        <is>
          <t>2026-05-15 11:58:32</t>
        </is>
      </c>
      <c r="Y328" t="inlineStr">
        <is>
          <t>27799157638</t>
        </is>
      </c>
    </row>
    <row r="329">
      <c r="A329" t="inlineStr">
        <is>
          <t>14363384</t>
        </is>
      </c>
      <c r="B329" t="inlineStr">
        <is>
          <t>4edba4f1-19f4-4b0b-ab80-0d026e7b2858</t>
        </is>
      </c>
      <c r="D329" t="inlineStr">
        <is>
          <t>30001082</t>
        </is>
      </c>
      <c r="E329" t="inlineStr">
        <is>
          <t>ussd_funeral_leads_altitude_20260504</t>
        </is>
      </c>
      <c r="J329" t="inlineStr">
        <is>
          <t>AE</t>
        </is>
      </c>
      <c r="K329" t="inlineStr">
        <is>
          <t>Auto Engaged</t>
        </is>
      </c>
      <c r="L329" t="n">
        <v>31</v>
      </c>
      <c r="M329" t="inlineStr">
        <is>
          <t>2026-05-27 12:05:25</t>
        </is>
      </c>
      <c r="N329" t="inlineStr">
        <is>
          <t>system</t>
        </is>
      </c>
      <c r="O329" t="inlineStr">
        <is>
          <t>2026-05-15 11:58:32</t>
        </is>
      </c>
      <c r="P329" t="inlineStr">
        <is>
          <t>2026-05-15 11:58:32</t>
        </is>
      </c>
      <c r="Y329" t="inlineStr">
        <is>
          <t>27665034542</t>
        </is>
      </c>
    </row>
    <row r="330">
      <c r="A330" t="inlineStr">
        <is>
          <t>14363363</t>
        </is>
      </c>
      <c r="B330" t="inlineStr">
        <is>
          <t>8c1cf4cd-78ac-4bda-9cd3-e6c1686e2ea9</t>
        </is>
      </c>
      <c r="D330" t="inlineStr">
        <is>
          <t>30001082</t>
        </is>
      </c>
      <c r="E330" t="inlineStr">
        <is>
          <t>ussd_funeral_leads_altitude_20260504</t>
        </is>
      </c>
      <c r="J330" t="inlineStr">
        <is>
          <t>AF</t>
        </is>
      </c>
      <c r="K330" t="inlineStr">
        <is>
          <t>Cannot Afford</t>
        </is>
      </c>
      <c r="L330" t="n">
        <v>26</v>
      </c>
      <c r="M330" t="inlineStr">
        <is>
          <t>2026-05-27 11:56:40</t>
        </is>
      </c>
      <c r="N330" t="inlineStr">
        <is>
          <t>Dimakatso Nkomo</t>
        </is>
      </c>
      <c r="O330" t="inlineStr">
        <is>
          <t>2026-05-15 11:58:32</t>
        </is>
      </c>
      <c r="P330" t="inlineStr">
        <is>
          <t>2026-05-15 11:58:32</t>
        </is>
      </c>
      <c r="Y330" t="inlineStr">
        <is>
          <t>27649134982</t>
        </is>
      </c>
    </row>
    <row r="331">
      <c r="A331" t="inlineStr">
        <is>
          <t>14363112</t>
        </is>
      </c>
      <c r="B331" t="inlineStr">
        <is>
          <t>aed81107-ab19-4c69-b32b-00de2f011448</t>
        </is>
      </c>
      <c r="D331" t="inlineStr">
        <is>
          <t>30001082</t>
        </is>
      </c>
      <c r="E331" t="inlineStr">
        <is>
          <t>ussd_funeral_leads_altitude_20260504</t>
        </is>
      </c>
      <c r="J331" t="inlineStr">
        <is>
          <t>SELECTED</t>
        </is>
      </c>
      <c r="K331" t="inlineStr">
        <is>
          <t>Selected</t>
        </is>
      </c>
      <c r="L331" t="n">
        <v>26</v>
      </c>
      <c r="M331" t="inlineStr">
        <is>
          <t>2026-05-27 11:54:18</t>
        </is>
      </c>
      <c r="N331" t="inlineStr">
        <is>
          <t>system</t>
        </is>
      </c>
      <c r="O331" t="inlineStr">
        <is>
          <t>2026-05-15 11:58:32</t>
        </is>
      </c>
      <c r="P331" t="inlineStr">
        <is>
          <t>2026-05-15 11:58:32</t>
        </is>
      </c>
      <c r="Y331" t="inlineStr">
        <is>
          <t>27792986193</t>
        </is>
      </c>
    </row>
    <row r="332">
      <c r="A332" t="inlineStr">
        <is>
          <t>14363410</t>
        </is>
      </c>
      <c r="B332" t="inlineStr">
        <is>
          <t>8360a164-4187-4bb9-86d9-f2fbc4e03c55</t>
        </is>
      </c>
      <c r="D332" t="inlineStr">
        <is>
          <t>30001082</t>
        </is>
      </c>
      <c r="E332" t="inlineStr">
        <is>
          <t>ussd_funeral_leads_altitude_20260504</t>
        </is>
      </c>
      <c r="J332" t="inlineStr">
        <is>
          <t>SELECTED</t>
        </is>
      </c>
      <c r="K332" t="inlineStr">
        <is>
          <t>Selected</t>
        </is>
      </c>
      <c r="L332" t="n">
        <v>26</v>
      </c>
      <c r="M332" t="inlineStr">
        <is>
          <t>2026-05-27 11:53:31</t>
        </is>
      </c>
      <c r="N332" t="inlineStr">
        <is>
          <t>system</t>
        </is>
      </c>
      <c r="O332" t="inlineStr">
        <is>
          <t>2026-05-15 11:58:32</t>
        </is>
      </c>
      <c r="P332" t="inlineStr">
        <is>
          <t>2026-05-15 11:58:32</t>
        </is>
      </c>
      <c r="Y332" t="inlineStr">
        <is>
          <t>27607190896</t>
        </is>
      </c>
    </row>
    <row r="333">
      <c r="A333" t="inlineStr">
        <is>
          <t>14363459</t>
        </is>
      </c>
      <c r="B333" t="inlineStr">
        <is>
          <t>69aa22c5-04b3-4fc5-9191-f99226c99094</t>
        </is>
      </c>
      <c r="D333" t="inlineStr">
        <is>
          <t>30001082</t>
        </is>
      </c>
      <c r="E333" t="inlineStr">
        <is>
          <t>ussd_funeral_leads_altitude_20260504</t>
        </is>
      </c>
      <c r="J333" t="inlineStr">
        <is>
          <t>ADC</t>
        </is>
      </c>
      <c r="K333" t="inlineStr">
        <is>
          <t>Auto Dial Disconnected</t>
        </is>
      </c>
      <c r="L333" t="n">
        <v>31</v>
      </c>
      <c r="M333" t="inlineStr">
        <is>
          <t>2026-05-27 09:36:30</t>
        </is>
      </c>
      <c r="N333" t="inlineStr">
        <is>
          <t>system</t>
        </is>
      </c>
      <c r="O333" t="inlineStr">
        <is>
          <t>2026-05-15 11:58:32</t>
        </is>
      </c>
      <c r="P333" t="inlineStr">
        <is>
          <t>2026-05-15 11:58:32</t>
        </is>
      </c>
      <c r="Y333" t="inlineStr">
        <is>
          <t>27663733672</t>
        </is>
      </c>
    </row>
    <row r="334">
      <c r="A334" t="inlineStr">
        <is>
          <t>14363303</t>
        </is>
      </c>
      <c r="B334" t="inlineStr">
        <is>
          <t>c4a3797f-136e-4b8d-b272-5cf5775eb58b</t>
        </is>
      </c>
      <c r="D334" t="inlineStr">
        <is>
          <t>30001082</t>
        </is>
      </c>
      <c r="E334" t="inlineStr">
        <is>
          <t>ussd_funeral_leads_altitude_20260504</t>
        </is>
      </c>
      <c r="J334" t="inlineStr">
        <is>
          <t>ADC</t>
        </is>
      </c>
      <c r="K334" t="inlineStr">
        <is>
          <t>Auto Dial Disconnected</t>
        </is>
      </c>
      <c r="L334" t="n">
        <v>31</v>
      </c>
      <c r="M334" t="inlineStr">
        <is>
          <t>2026-05-27 09:36:28</t>
        </is>
      </c>
      <c r="N334" t="inlineStr">
        <is>
          <t>system</t>
        </is>
      </c>
      <c r="O334" t="inlineStr">
        <is>
          <t>2026-05-15 11:58:32</t>
        </is>
      </c>
      <c r="P334" t="inlineStr">
        <is>
          <t>2026-05-15 11:58:32</t>
        </is>
      </c>
      <c r="Y334" t="inlineStr">
        <is>
          <t>27664484967</t>
        </is>
      </c>
    </row>
    <row r="335">
      <c r="A335" t="inlineStr">
        <is>
          <t>14363125</t>
        </is>
      </c>
      <c r="B335" t="inlineStr">
        <is>
          <t>383ae4aa-1ff5-4a18-b3f8-5753581b4e75</t>
        </is>
      </c>
      <c r="D335" t="inlineStr">
        <is>
          <t>30001082</t>
        </is>
      </c>
      <c r="E335" t="inlineStr">
        <is>
          <t>ussd_funeral_leads_altitude_20260504</t>
        </is>
      </c>
      <c r="J335" t="inlineStr">
        <is>
          <t>NA</t>
        </is>
      </c>
      <c r="K335" t="inlineStr">
        <is>
          <t>No Answer Autodial</t>
        </is>
      </c>
      <c r="L335" t="n">
        <v>31</v>
      </c>
      <c r="M335" t="inlineStr">
        <is>
          <t>2026-05-27 09:36:22</t>
        </is>
      </c>
      <c r="N335" t="inlineStr">
        <is>
          <t>system</t>
        </is>
      </c>
      <c r="O335" t="inlineStr">
        <is>
          <t>2026-05-15 11:58:32</t>
        </is>
      </c>
      <c r="P335" t="inlineStr">
        <is>
          <t>2026-05-15 11:58:32</t>
        </is>
      </c>
      <c r="Y335" t="inlineStr">
        <is>
          <t>27716495429</t>
        </is>
      </c>
    </row>
    <row r="336">
      <c r="A336" t="inlineStr">
        <is>
          <t>14363064</t>
        </is>
      </c>
      <c r="B336" t="inlineStr">
        <is>
          <t>0f0a9d28-d1f8-4897-bbbf-9860c30fe080</t>
        </is>
      </c>
      <c r="D336" t="inlineStr">
        <is>
          <t>30001082</t>
        </is>
      </c>
      <c r="E336" t="inlineStr">
        <is>
          <t>ussd_funeral_leads_altitude_20260504</t>
        </is>
      </c>
      <c r="J336" t="inlineStr">
        <is>
          <t>ADC</t>
        </is>
      </c>
      <c r="K336" t="inlineStr">
        <is>
          <t>Auto Dial Disconnected</t>
        </is>
      </c>
      <c r="L336" t="n">
        <v>31</v>
      </c>
      <c r="M336" t="inlineStr">
        <is>
          <t>2026-05-27 09:36:19</t>
        </is>
      </c>
      <c r="N336" t="inlineStr">
        <is>
          <t>system</t>
        </is>
      </c>
      <c r="O336" t="inlineStr">
        <is>
          <t>2026-05-15 11:58:32</t>
        </is>
      </c>
      <c r="P336" t="inlineStr">
        <is>
          <t>2026-05-15 11:58:32</t>
        </is>
      </c>
      <c r="Y336" t="inlineStr">
        <is>
          <t>27674667488</t>
        </is>
      </c>
    </row>
    <row r="337">
      <c r="A337" t="inlineStr">
        <is>
          <t>14363048</t>
        </is>
      </c>
      <c r="B337" t="inlineStr">
        <is>
          <t>b5d15db8-a19f-410c-b7fd-7d77b64e9602</t>
        </is>
      </c>
      <c r="D337" t="inlineStr">
        <is>
          <t>30001082</t>
        </is>
      </c>
      <c r="E337" t="inlineStr">
        <is>
          <t>ussd_funeral_leads_altitude_20260504</t>
        </is>
      </c>
      <c r="J337" t="inlineStr">
        <is>
          <t>ADC</t>
        </is>
      </c>
      <c r="K337" t="inlineStr">
        <is>
          <t>Auto Dial Disconnected</t>
        </is>
      </c>
      <c r="L337" t="n">
        <v>31</v>
      </c>
      <c r="M337" t="inlineStr">
        <is>
          <t>2026-05-27 09:36:17</t>
        </is>
      </c>
      <c r="N337" t="inlineStr">
        <is>
          <t>system</t>
        </is>
      </c>
      <c r="O337" t="inlineStr">
        <is>
          <t>2026-05-15 11:58:32</t>
        </is>
      </c>
      <c r="P337" t="inlineStr">
        <is>
          <t>2026-05-15 11:58:32</t>
        </is>
      </c>
      <c r="Y337" t="inlineStr">
        <is>
          <t>27766147907</t>
        </is>
      </c>
    </row>
    <row r="338">
      <c r="A338" t="inlineStr">
        <is>
          <t>14363001</t>
        </is>
      </c>
      <c r="B338" t="inlineStr">
        <is>
          <t>72d1286a-2f76-4dc5-9dea-e3108374c123</t>
        </is>
      </c>
      <c r="D338" t="inlineStr">
        <is>
          <t>30001082</t>
        </is>
      </c>
      <c r="E338" t="inlineStr">
        <is>
          <t>ussd_funeral_leads_altitude_20260504</t>
        </is>
      </c>
      <c r="J338" t="inlineStr">
        <is>
          <t>NI</t>
        </is>
      </c>
      <c r="K338" t="inlineStr">
        <is>
          <t>Not Interested</t>
        </is>
      </c>
      <c r="L338" t="n">
        <v>20</v>
      </c>
      <c r="M338" t="inlineStr">
        <is>
          <t>2026-05-27 09:33:49</t>
        </is>
      </c>
      <c r="N338" t="inlineStr">
        <is>
          <t>Bongiwe Precious Cele</t>
        </is>
      </c>
      <c r="O338" t="inlineStr">
        <is>
          <t>2026-05-15 11:58:32</t>
        </is>
      </c>
      <c r="P338" t="inlineStr">
        <is>
          <t>2026-05-15 11:58:32</t>
        </is>
      </c>
      <c r="Y338" t="inlineStr">
        <is>
          <t>27723955877</t>
        </is>
      </c>
    </row>
    <row r="339">
      <c r="A339" t="inlineStr">
        <is>
          <t>14363401</t>
        </is>
      </c>
      <c r="B339" t="inlineStr">
        <is>
          <t>3ae8fe03-5cd2-4bef-b345-f884a0986e9a</t>
        </is>
      </c>
      <c r="D339" t="inlineStr">
        <is>
          <t>30001082</t>
        </is>
      </c>
      <c r="E339" t="inlineStr">
        <is>
          <t>ussd_funeral_leads_altitude_20260504</t>
        </is>
      </c>
      <c r="J339" t="inlineStr">
        <is>
          <t>ADC</t>
        </is>
      </c>
      <c r="K339" t="inlineStr">
        <is>
          <t>Auto Dial Disconnected</t>
        </is>
      </c>
      <c r="L339" t="n">
        <v>31</v>
      </c>
      <c r="M339" t="inlineStr">
        <is>
          <t>2026-05-27 07:34:28</t>
        </is>
      </c>
      <c r="N339" t="inlineStr">
        <is>
          <t>system</t>
        </is>
      </c>
      <c r="O339" t="inlineStr">
        <is>
          <t>2026-05-15 11:58:32</t>
        </is>
      </c>
      <c r="P339" t="inlineStr">
        <is>
          <t>2026-05-15 11:58:32</t>
        </is>
      </c>
      <c r="Y339" t="inlineStr">
        <is>
          <t>27711957327</t>
        </is>
      </c>
    </row>
    <row r="340">
      <c r="A340" t="inlineStr">
        <is>
          <t>14363338</t>
        </is>
      </c>
      <c r="B340" t="inlineStr">
        <is>
          <t>bafe049b-c63c-4ffc-bf9f-7b6bc32ee7df</t>
        </is>
      </c>
      <c r="D340" t="inlineStr">
        <is>
          <t>30001082</t>
        </is>
      </c>
      <c r="E340" t="inlineStr">
        <is>
          <t>ussd_funeral_leads_altitude_20260504</t>
        </is>
      </c>
      <c r="J340" t="inlineStr">
        <is>
          <t>ADC</t>
        </is>
      </c>
      <c r="K340" t="inlineStr">
        <is>
          <t>Auto Dial Disconnected</t>
        </is>
      </c>
      <c r="L340" t="n">
        <v>31</v>
      </c>
      <c r="M340" t="inlineStr">
        <is>
          <t>2026-05-27 07:34:27</t>
        </is>
      </c>
      <c r="N340" t="inlineStr">
        <is>
          <t>system</t>
        </is>
      </c>
      <c r="O340" t="inlineStr">
        <is>
          <t>2026-05-15 11:58:32</t>
        </is>
      </c>
      <c r="P340" t="inlineStr">
        <is>
          <t>2026-05-15 11:58:32</t>
        </is>
      </c>
      <c r="Y340" t="inlineStr">
        <is>
          <t>27792328443</t>
        </is>
      </c>
    </row>
    <row r="341">
      <c r="A341" t="inlineStr">
        <is>
          <t>14400000</t>
        </is>
      </c>
      <c r="B341" t="inlineStr">
        <is>
          <t>e0524eeb-e7a6-40e9-b78f-9acbdb4d9552</t>
        </is>
      </c>
      <c r="D341" t="inlineStr">
        <is>
          <t>30001082</t>
        </is>
      </c>
      <c r="E341" t="inlineStr">
        <is>
          <t>ussd_funeral_leads_altitude_20260504</t>
        </is>
      </c>
      <c r="J341" t="inlineStr">
        <is>
          <t>ADC</t>
        </is>
      </c>
      <c r="K341" t="inlineStr">
        <is>
          <t>Auto Dial Disconnected</t>
        </is>
      </c>
      <c r="L341" t="n">
        <v>31</v>
      </c>
      <c r="M341" t="inlineStr">
        <is>
          <t>2026-05-27 07:34:26</t>
        </is>
      </c>
      <c r="N341" t="inlineStr">
        <is>
          <t>system</t>
        </is>
      </c>
      <c r="O341" t="inlineStr">
        <is>
          <t>2026-05-15 11:58:32</t>
        </is>
      </c>
      <c r="P341" t="inlineStr">
        <is>
          <t>2026-05-15 11:58:32</t>
        </is>
      </c>
      <c r="Y341" t="inlineStr">
        <is>
          <t>27728309105</t>
        </is>
      </c>
    </row>
    <row r="342">
      <c r="A342" t="inlineStr">
        <is>
          <t>14363298</t>
        </is>
      </c>
      <c r="B342" t="inlineStr">
        <is>
          <t>cf415c7e-ca5d-4105-b05f-97f340f3cfb8</t>
        </is>
      </c>
      <c r="D342" t="inlineStr">
        <is>
          <t>30001082</t>
        </is>
      </c>
      <c r="E342" t="inlineStr">
        <is>
          <t>ussd_funeral_leads_altitude_20260504</t>
        </is>
      </c>
      <c r="J342" t="inlineStr">
        <is>
          <t>NA</t>
        </is>
      </c>
      <c r="K342" t="inlineStr">
        <is>
          <t>No Answer Autodial</t>
        </is>
      </c>
      <c r="L342" t="n">
        <v>31</v>
      </c>
      <c r="M342" t="inlineStr">
        <is>
          <t>2026-05-27 07:34:26</t>
        </is>
      </c>
      <c r="N342" t="inlineStr">
        <is>
          <t>system</t>
        </is>
      </c>
      <c r="O342" t="inlineStr">
        <is>
          <t>2026-05-15 11:58:32</t>
        </is>
      </c>
      <c r="P342" t="inlineStr">
        <is>
          <t>2026-05-15 11:58:32</t>
        </is>
      </c>
      <c r="Y342" t="inlineStr">
        <is>
          <t>27762545476</t>
        </is>
      </c>
    </row>
    <row r="343">
      <c r="A343" t="inlineStr">
        <is>
          <t>14363276</t>
        </is>
      </c>
      <c r="B343" t="inlineStr">
        <is>
          <t>df8cc95e-3500-4a0a-8c8d-5687351ee2a7</t>
        </is>
      </c>
      <c r="D343" t="inlineStr">
        <is>
          <t>30001082</t>
        </is>
      </c>
      <c r="E343" t="inlineStr">
        <is>
          <t>ussd_funeral_leads_altitude_20260504</t>
        </is>
      </c>
      <c r="J343" t="inlineStr">
        <is>
          <t>NA</t>
        </is>
      </c>
      <c r="K343" t="inlineStr">
        <is>
          <t>No Answer Autodial</t>
        </is>
      </c>
      <c r="L343" t="n">
        <v>31</v>
      </c>
      <c r="M343" t="inlineStr">
        <is>
          <t>2026-05-27 07:34:25</t>
        </is>
      </c>
      <c r="N343" t="inlineStr">
        <is>
          <t>system</t>
        </is>
      </c>
      <c r="O343" t="inlineStr">
        <is>
          <t>2026-05-15 11:58:32</t>
        </is>
      </c>
      <c r="P343" t="inlineStr">
        <is>
          <t>2026-05-15 11:58:32</t>
        </is>
      </c>
      <c r="Y343" t="inlineStr">
        <is>
          <t>27772665412</t>
        </is>
      </c>
    </row>
    <row r="344">
      <c r="A344" t="inlineStr">
        <is>
          <t>14363235</t>
        </is>
      </c>
      <c r="B344" t="inlineStr">
        <is>
          <t>57d191ce-1863-4af4-b6b7-57365fcaa73b</t>
        </is>
      </c>
      <c r="D344" t="inlineStr">
        <is>
          <t>30001082</t>
        </is>
      </c>
      <c r="E344" t="inlineStr">
        <is>
          <t>ussd_funeral_leads_altitude_20260504</t>
        </is>
      </c>
      <c r="J344" t="inlineStr">
        <is>
          <t>AA</t>
        </is>
      </c>
      <c r="K344" t="inlineStr">
        <is>
          <t>Answering Machine Autodial</t>
        </is>
      </c>
      <c r="L344" t="n">
        <v>31</v>
      </c>
      <c r="M344" t="inlineStr">
        <is>
          <t>2026-05-27 07:34:22</t>
        </is>
      </c>
      <c r="N344" t="inlineStr">
        <is>
          <t>system</t>
        </is>
      </c>
      <c r="O344" t="inlineStr">
        <is>
          <t>2026-05-15 11:58:32</t>
        </is>
      </c>
      <c r="P344" t="inlineStr">
        <is>
          <t>2026-05-15 11:58:32</t>
        </is>
      </c>
      <c r="Y344" t="inlineStr">
        <is>
          <t>27664218061</t>
        </is>
      </c>
    </row>
    <row r="345">
      <c r="A345" t="inlineStr">
        <is>
          <t>14363166</t>
        </is>
      </c>
      <c r="B345" t="inlineStr">
        <is>
          <t>12281ea2-3656-4f73-89ba-5a92e15437c5</t>
        </is>
      </c>
      <c r="D345" t="inlineStr">
        <is>
          <t>30001082</t>
        </is>
      </c>
      <c r="E345" t="inlineStr">
        <is>
          <t>ussd_funeral_leads_altitude_20260504</t>
        </is>
      </c>
      <c r="J345" t="inlineStr">
        <is>
          <t>ADC</t>
        </is>
      </c>
      <c r="K345" t="inlineStr">
        <is>
          <t>Auto Dial Disconnected</t>
        </is>
      </c>
      <c r="L345" t="n">
        <v>31</v>
      </c>
      <c r="M345" t="inlineStr">
        <is>
          <t>2026-05-27 07:34:16</t>
        </is>
      </c>
      <c r="N345" t="inlineStr">
        <is>
          <t>system</t>
        </is>
      </c>
      <c r="O345" t="inlineStr">
        <is>
          <t>2026-05-15 11:58:32</t>
        </is>
      </c>
      <c r="P345" t="inlineStr">
        <is>
          <t>2026-05-15 11:58:32</t>
        </is>
      </c>
      <c r="Y345" t="inlineStr">
        <is>
          <t>27797644276</t>
        </is>
      </c>
    </row>
    <row r="346">
      <c r="A346" t="inlineStr">
        <is>
          <t>14362961</t>
        </is>
      </c>
      <c r="B346" t="inlineStr">
        <is>
          <t>d1d68822-3e82-41e4-8125-8bc67865e0fd</t>
        </is>
      </c>
      <c r="D346" t="inlineStr">
        <is>
          <t>30001082</t>
        </is>
      </c>
      <c r="E346" t="inlineStr">
        <is>
          <t>ussd_funeral_leads_altitude_20260504</t>
        </is>
      </c>
      <c r="J346" t="inlineStr">
        <is>
          <t>ADC</t>
        </is>
      </c>
      <c r="K346" t="inlineStr">
        <is>
          <t>Auto Dial Disconnected</t>
        </is>
      </c>
      <c r="L346" t="n">
        <v>31</v>
      </c>
      <c r="M346" t="inlineStr">
        <is>
          <t>2026-05-27 07:34:14</t>
        </is>
      </c>
      <c r="N346" t="inlineStr">
        <is>
          <t>system</t>
        </is>
      </c>
      <c r="O346" t="inlineStr">
        <is>
          <t>2026-05-15 11:58:32</t>
        </is>
      </c>
      <c r="P346" t="inlineStr">
        <is>
          <t>2026-05-15 11:58:32</t>
        </is>
      </c>
      <c r="Y346" t="inlineStr">
        <is>
          <t>27608100151</t>
        </is>
      </c>
    </row>
    <row r="347">
      <c r="A347" t="inlineStr">
        <is>
          <t>14362960</t>
        </is>
      </c>
      <c r="B347" t="inlineStr">
        <is>
          <t>68c99b4b-532f-4524-af62-17e91d7a50b8</t>
        </is>
      </c>
      <c r="D347" t="inlineStr">
        <is>
          <t>30001082</t>
        </is>
      </c>
      <c r="E347" t="inlineStr">
        <is>
          <t>ussd_funeral_leads_altitude_20260504</t>
        </is>
      </c>
      <c r="J347" t="inlineStr">
        <is>
          <t>AA</t>
        </is>
      </c>
      <c r="K347" t="inlineStr">
        <is>
          <t>Answering Machine Autodial</t>
        </is>
      </c>
      <c r="L347" t="n">
        <v>31</v>
      </c>
      <c r="M347" t="inlineStr">
        <is>
          <t>2026-05-27 07:34:14</t>
        </is>
      </c>
      <c r="N347" t="inlineStr">
        <is>
          <t>system</t>
        </is>
      </c>
      <c r="O347" t="inlineStr">
        <is>
          <t>2026-05-15 11:58:32</t>
        </is>
      </c>
      <c r="P347" t="inlineStr">
        <is>
          <t>2026-05-15 11:58:32</t>
        </is>
      </c>
      <c r="Y347" t="inlineStr">
        <is>
          <t>27636160161</t>
        </is>
      </c>
    </row>
    <row r="348">
      <c r="A348" t="inlineStr">
        <is>
          <t>14363091</t>
        </is>
      </c>
      <c r="B348" t="inlineStr">
        <is>
          <t>5a666c7d-07e3-47c5-85b4-54bab24dd5ba</t>
        </is>
      </c>
      <c r="D348" t="inlineStr">
        <is>
          <t>30001082</t>
        </is>
      </c>
      <c r="E348" t="inlineStr">
        <is>
          <t>ussd_funeral_leads_altitude_20260504</t>
        </is>
      </c>
      <c r="J348" t="inlineStr">
        <is>
          <t>AA</t>
        </is>
      </c>
      <c r="K348" t="inlineStr">
        <is>
          <t>Answering Machine Autodial</t>
        </is>
      </c>
      <c r="L348" t="n">
        <v>31</v>
      </c>
      <c r="M348" t="inlineStr">
        <is>
          <t>2026-05-27 07:34:10</t>
        </is>
      </c>
      <c r="N348" t="inlineStr">
        <is>
          <t>system</t>
        </is>
      </c>
      <c r="O348" t="inlineStr">
        <is>
          <t>2026-05-15 11:58:32</t>
        </is>
      </c>
      <c r="P348" t="inlineStr">
        <is>
          <t>2026-05-15 11:58:32</t>
        </is>
      </c>
      <c r="Y348" t="inlineStr">
        <is>
          <t>27712436704</t>
        </is>
      </c>
    </row>
    <row r="349">
      <c r="A349" t="inlineStr">
        <is>
          <t>14363105</t>
        </is>
      </c>
      <c r="B349" t="inlineStr">
        <is>
          <t>bf202b94-579a-4ebf-a4f7-1c1c6de01bab</t>
        </is>
      </c>
      <c r="D349" t="inlineStr">
        <is>
          <t>30001082</t>
        </is>
      </c>
      <c r="E349" t="inlineStr">
        <is>
          <t>ussd_funeral_leads_altitude_20260504</t>
        </is>
      </c>
      <c r="J349" t="inlineStr">
        <is>
          <t>ADC</t>
        </is>
      </c>
      <c r="K349" t="inlineStr">
        <is>
          <t>Auto Dial Disconnected</t>
        </is>
      </c>
      <c r="L349" t="n">
        <v>31</v>
      </c>
      <c r="M349" t="inlineStr">
        <is>
          <t>2026-05-27 07:34:09</t>
        </is>
      </c>
      <c r="N349" t="inlineStr">
        <is>
          <t>system</t>
        </is>
      </c>
      <c r="O349" t="inlineStr">
        <is>
          <t>2026-05-15 11:58:32</t>
        </is>
      </c>
      <c r="P349" t="inlineStr">
        <is>
          <t>2026-05-15 11:58:32</t>
        </is>
      </c>
      <c r="Y349" t="inlineStr">
        <is>
          <t>27799297404</t>
        </is>
      </c>
    </row>
    <row r="350">
      <c r="A350" t="inlineStr">
        <is>
          <t>14363077</t>
        </is>
      </c>
      <c r="B350" t="inlineStr">
        <is>
          <t>51df02f8-659d-49cd-ba24-3fa6b3af8802</t>
        </is>
      </c>
      <c r="D350" t="inlineStr">
        <is>
          <t>30001082</t>
        </is>
      </c>
      <c r="E350" t="inlineStr">
        <is>
          <t>ussd_funeral_leads_altitude_20260504</t>
        </is>
      </c>
      <c r="J350" t="inlineStr">
        <is>
          <t>ADC</t>
        </is>
      </c>
      <c r="K350" t="inlineStr">
        <is>
          <t>Auto Dial Disconnected</t>
        </is>
      </c>
      <c r="L350" t="n">
        <v>31</v>
      </c>
      <c r="M350" t="inlineStr">
        <is>
          <t>2026-05-27 07:34:09</t>
        </is>
      </c>
      <c r="N350" t="inlineStr">
        <is>
          <t>system</t>
        </is>
      </c>
      <c r="O350" t="inlineStr">
        <is>
          <t>2026-05-15 11:58:32</t>
        </is>
      </c>
      <c r="P350" t="inlineStr">
        <is>
          <t>2026-05-15 11:58:32</t>
        </is>
      </c>
      <c r="Y350" t="inlineStr">
        <is>
          <t>27648157820</t>
        </is>
      </c>
    </row>
    <row r="351">
      <c r="A351" t="inlineStr">
        <is>
          <t>14363317</t>
        </is>
      </c>
      <c r="B351" t="inlineStr">
        <is>
          <t>f0e9911e-1690-4053-823b-8e729bfcbf3c</t>
        </is>
      </c>
      <c r="D351" t="inlineStr">
        <is>
          <t>30001082</t>
        </is>
      </c>
      <c r="E351" t="inlineStr">
        <is>
          <t>ussd_funeral_leads_altitude_20260504</t>
        </is>
      </c>
      <c r="J351" t="inlineStr">
        <is>
          <t>CU</t>
        </is>
      </c>
      <c r="K351" t="inlineStr">
        <is>
          <t>Client Hung Up</t>
        </is>
      </c>
      <c r="L351" t="n">
        <v>31</v>
      </c>
      <c r="M351" t="inlineStr">
        <is>
          <t>2026-05-27 07:34:09</t>
        </is>
      </c>
      <c r="N351" t="inlineStr">
        <is>
          <t>Dimakatso Nkomo</t>
        </is>
      </c>
      <c r="O351" t="inlineStr">
        <is>
          <t>2026-05-15 11:58:32</t>
        </is>
      </c>
      <c r="P351" t="inlineStr">
        <is>
          <t>2026-05-15 11:58:32</t>
        </is>
      </c>
      <c r="Y351" t="inlineStr">
        <is>
          <t>27764429442</t>
        </is>
      </c>
    </row>
    <row r="352">
      <c r="A352" t="inlineStr">
        <is>
          <t>14363110</t>
        </is>
      </c>
      <c r="B352" t="inlineStr">
        <is>
          <t>dc4121ed-c38c-413a-8b8e-1ea0712dd8a7</t>
        </is>
      </c>
      <c r="D352" t="inlineStr">
        <is>
          <t>30001082</t>
        </is>
      </c>
      <c r="E352" t="inlineStr">
        <is>
          <t>ussd_funeral_leads_altitude_20260504</t>
        </is>
      </c>
      <c r="H352" t="inlineStr">
        <is>
          <t>27673406565</t>
        </is>
      </c>
      <c r="J352" t="inlineStr">
        <is>
          <t>AF</t>
        </is>
      </c>
      <c r="K352" t="inlineStr">
        <is>
          <t>Cannot Afford</t>
        </is>
      </c>
      <c r="L352" t="n">
        <v>27</v>
      </c>
      <c r="M352" t="inlineStr">
        <is>
          <t>2026-05-27 07:32:54</t>
        </is>
      </c>
      <c r="N352" t="inlineStr">
        <is>
          <t>Vuyiswa Nxumalo</t>
        </is>
      </c>
      <c r="O352" t="inlineStr">
        <is>
          <t>2026-05-15 11:58:32</t>
        </is>
      </c>
      <c r="P352" t="inlineStr">
        <is>
          <t>2026-05-15 11:58:32</t>
        </is>
      </c>
      <c r="Y352" t="inlineStr">
        <is>
          <t>27673406565</t>
        </is>
      </c>
    </row>
    <row r="353">
      <c r="A353" t="inlineStr">
        <is>
          <t>14363017</t>
        </is>
      </c>
      <c r="B353" t="inlineStr">
        <is>
          <t>abe590c1-dd71-410d-ae1c-b83290c02e01</t>
        </is>
      </c>
      <c r="D353" t="inlineStr">
        <is>
          <t>30001082</t>
        </is>
      </c>
      <c r="E353" t="inlineStr">
        <is>
          <t>ussd_funeral_leads_altitude_20260504</t>
        </is>
      </c>
      <c r="J353" t="inlineStr">
        <is>
          <t>CBACK</t>
        </is>
      </c>
      <c r="K353" t="inlineStr">
        <is>
          <t>Callback</t>
        </is>
      </c>
      <c r="L353" t="n">
        <v>24</v>
      </c>
      <c r="M353" t="inlineStr">
        <is>
          <t>2026-05-27 07:21:09</t>
        </is>
      </c>
      <c r="N353" t="inlineStr">
        <is>
          <t>Gugulethu Duma</t>
        </is>
      </c>
      <c r="O353" t="inlineStr">
        <is>
          <t>2026-05-15 11:58:32</t>
        </is>
      </c>
      <c r="P353" t="inlineStr">
        <is>
          <t>2026-05-15 11:58:32</t>
        </is>
      </c>
      <c r="Y353" t="inlineStr">
        <is>
          <t>27723794727</t>
        </is>
      </c>
    </row>
    <row r="354">
      <c r="A354" t="inlineStr">
        <is>
          <t>14363216</t>
        </is>
      </c>
      <c r="B354" t="inlineStr">
        <is>
          <t>1e7a9394-1739-46c4-8097-16687464c6b9</t>
        </is>
      </c>
      <c r="D354" t="inlineStr">
        <is>
          <t>30001082</t>
        </is>
      </c>
      <c r="E354" t="inlineStr">
        <is>
          <t>ussd_funeral_leads_altitude_20260504</t>
        </is>
      </c>
      <c r="J354" t="inlineStr">
        <is>
          <t>AA</t>
        </is>
      </c>
      <c r="K354" t="inlineStr">
        <is>
          <t>Answering Machine Autodial</t>
        </is>
      </c>
      <c r="L354" t="n">
        <v>31</v>
      </c>
      <c r="M354" t="inlineStr">
        <is>
          <t>2026-05-26 14:05:23</t>
        </is>
      </c>
      <c r="N354" t="inlineStr">
        <is>
          <t>system</t>
        </is>
      </c>
      <c r="O354" t="inlineStr">
        <is>
          <t>2026-05-15 11:58:32</t>
        </is>
      </c>
      <c r="P354" t="inlineStr">
        <is>
          <t>2026-05-15 11:58:32</t>
        </is>
      </c>
      <c r="Y354" t="inlineStr">
        <is>
          <t>27774799619</t>
        </is>
      </c>
    </row>
    <row r="355">
      <c r="A355" t="inlineStr">
        <is>
          <t>14363187</t>
        </is>
      </c>
      <c r="B355" t="inlineStr">
        <is>
          <t>364ea050-abd8-4040-a3f4-4ec463cde8ee</t>
        </is>
      </c>
      <c r="D355" t="inlineStr">
        <is>
          <t>30001082</t>
        </is>
      </c>
      <c r="E355" t="inlineStr">
        <is>
          <t>ussd_funeral_leads_altitude_20260504</t>
        </is>
      </c>
      <c r="J355" t="inlineStr">
        <is>
          <t>ADC</t>
        </is>
      </c>
      <c r="K355" t="inlineStr">
        <is>
          <t>Auto Dial Disconnected</t>
        </is>
      </c>
      <c r="L355" t="n">
        <v>31</v>
      </c>
      <c r="M355" t="inlineStr">
        <is>
          <t>2026-05-26 14:05:18</t>
        </is>
      </c>
      <c r="N355" t="inlineStr">
        <is>
          <t>system</t>
        </is>
      </c>
      <c r="O355" t="inlineStr">
        <is>
          <t>2026-05-15 11:58:32</t>
        </is>
      </c>
      <c r="P355" t="inlineStr">
        <is>
          <t>2026-05-15 11:58:32</t>
        </is>
      </c>
      <c r="Y355" t="inlineStr">
        <is>
          <t>27721774025</t>
        </is>
      </c>
    </row>
    <row r="356">
      <c r="A356" t="inlineStr">
        <is>
          <t>14363175</t>
        </is>
      </c>
      <c r="B356" t="inlineStr">
        <is>
          <t>f7b427c5-a6f0-4efb-8c47-7b71f7372899</t>
        </is>
      </c>
      <c r="D356" t="inlineStr">
        <is>
          <t>30001082</t>
        </is>
      </c>
      <c r="E356" t="inlineStr">
        <is>
          <t>ussd_funeral_leads_altitude_20260504</t>
        </is>
      </c>
      <c r="J356" t="inlineStr">
        <is>
          <t>ADC</t>
        </is>
      </c>
      <c r="K356" t="inlineStr">
        <is>
          <t>Auto Dial Disconnected</t>
        </is>
      </c>
      <c r="L356" t="n">
        <v>31</v>
      </c>
      <c r="M356" t="inlineStr">
        <is>
          <t>2026-05-26 13:41:14</t>
        </is>
      </c>
      <c r="N356" t="inlineStr">
        <is>
          <t>system</t>
        </is>
      </c>
      <c r="O356" t="inlineStr">
        <is>
          <t>2026-05-15 11:58:32</t>
        </is>
      </c>
      <c r="P356" t="inlineStr">
        <is>
          <t>2026-05-15 11:58:32</t>
        </is>
      </c>
      <c r="Y356" t="inlineStr">
        <is>
          <t>27763517453</t>
        </is>
      </c>
    </row>
    <row r="357">
      <c r="A357" t="inlineStr">
        <is>
          <t>14363043</t>
        </is>
      </c>
      <c r="B357" t="inlineStr">
        <is>
          <t>437427ab-a3e3-45e7-8f83-37a693ab30dd</t>
        </is>
      </c>
      <c r="D357" t="inlineStr">
        <is>
          <t>30001082</t>
        </is>
      </c>
      <c r="E357" t="inlineStr">
        <is>
          <t>ussd_funeral_leads_altitude_20260504</t>
        </is>
      </c>
      <c r="J357" t="inlineStr">
        <is>
          <t>ADC</t>
        </is>
      </c>
      <c r="K357" t="inlineStr">
        <is>
          <t>Auto Dial Disconnected</t>
        </is>
      </c>
      <c r="L357" t="n">
        <v>31</v>
      </c>
      <c r="M357" t="inlineStr">
        <is>
          <t>2026-05-26 13:41:12</t>
        </is>
      </c>
      <c r="N357" t="inlineStr">
        <is>
          <t>system</t>
        </is>
      </c>
      <c r="O357" t="inlineStr">
        <is>
          <t>2026-05-15 11:58:32</t>
        </is>
      </c>
      <c r="P357" t="inlineStr">
        <is>
          <t>2026-05-15 11:58:32</t>
        </is>
      </c>
      <c r="Y357" t="inlineStr">
        <is>
          <t>27774888509</t>
        </is>
      </c>
    </row>
    <row r="358">
      <c r="A358" t="inlineStr">
        <is>
          <t>14363357</t>
        </is>
      </c>
      <c r="B358" t="inlineStr">
        <is>
          <t>75c45a5e-c7a7-4d38-afa4-34bfc62ca4dd</t>
        </is>
      </c>
      <c r="D358" t="inlineStr">
        <is>
          <t>30001082</t>
        </is>
      </c>
      <c r="E358" t="inlineStr">
        <is>
          <t>ussd_funeral_leads_altitude_20260504</t>
        </is>
      </c>
      <c r="J358" t="inlineStr">
        <is>
          <t>ADC</t>
        </is>
      </c>
      <c r="K358" t="inlineStr">
        <is>
          <t>Auto Dial Disconnected</t>
        </is>
      </c>
      <c r="L358" t="n">
        <v>31</v>
      </c>
      <c r="M358" t="inlineStr">
        <is>
          <t>2026-05-26 13:41:12</t>
        </is>
      </c>
      <c r="N358" t="inlineStr">
        <is>
          <t>system</t>
        </is>
      </c>
      <c r="O358" t="inlineStr">
        <is>
          <t>2026-05-15 11:58:32</t>
        </is>
      </c>
      <c r="P358" t="inlineStr">
        <is>
          <t>2026-05-15 11:58:32</t>
        </is>
      </c>
      <c r="Y358" t="inlineStr">
        <is>
          <t>27664632231</t>
        </is>
      </c>
    </row>
    <row r="359">
      <c r="A359" t="inlineStr">
        <is>
          <t>14363369</t>
        </is>
      </c>
      <c r="B359" t="inlineStr">
        <is>
          <t>249ffb4c-42f9-4554-99bf-f8c88ca2c6ba</t>
        </is>
      </c>
      <c r="D359" t="inlineStr">
        <is>
          <t>30001082</t>
        </is>
      </c>
      <c r="E359" t="inlineStr">
        <is>
          <t>ussd_funeral_leads_altitude_20260504</t>
        </is>
      </c>
      <c r="J359" t="inlineStr">
        <is>
          <t>ADC</t>
        </is>
      </c>
      <c r="K359" t="inlineStr">
        <is>
          <t>Auto Dial Disconnected</t>
        </is>
      </c>
      <c r="L359" t="n">
        <v>31</v>
      </c>
      <c r="M359" t="inlineStr">
        <is>
          <t>2026-05-26 13:41:12</t>
        </is>
      </c>
      <c r="N359" t="inlineStr">
        <is>
          <t>system</t>
        </is>
      </c>
      <c r="O359" t="inlineStr">
        <is>
          <t>2026-05-15 11:58:32</t>
        </is>
      </c>
      <c r="P359" t="inlineStr">
        <is>
          <t>2026-05-15 11:58:32</t>
        </is>
      </c>
      <c r="Y359" t="inlineStr">
        <is>
          <t>27823442193</t>
        </is>
      </c>
    </row>
    <row r="360">
      <c r="A360" t="inlineStr">
        <is>
          <t>14363486</t>
        </is>
      </c>
      <c r="B360" t="inlineStr">
        <is>
          <t>af7bed3b-a545-489c-898e-177a04475a21</t>
        </is>
      </c>
      <c r="D360" t="inlineStr">
        <is>
          <t>30001082</t>
        </is>
      </c>
      <c r="E360" t="inlineStr">
        <is>
          <t>ussd_funeral_leads_altitude_20260504</t>
        </is>
      </c>
      <c r="J360" t="inlineStr">
        <is>
          <t>ADC</t>
        </is>
      </c>
      <c r="K360" t="inlineStr">
        <is>
          <t>Auto Dial Disconnected</t>
        </is>
      </c>
      <c r="L360" t="n">
        <v>31</v>
      </c>
      <c r="M360" t="inlineStr">
        <is>
          <t>2026-05-26 13:41:12</t>
        </is>
      </c>
      <c r="N360" t="inlineStr">
        <is>
          <t>system</t>
        </is>
      </c>
      <c r="O360" t="inlineStr">
        <is>
          <t>2026-05-15 11:58:32</t>
        </is>
      </c>
      <c r="P360" t="inlineStr">
        <is>
          <t>2026-05-15 11:58:32</t>
        </is>
      </c>
      <c r="Y360" t="inlineStr">
        <is>
          <t>27673994959</t>
        </is>
      </c>
    </row>
    <row r="361">
      <c r="A361" t="inlineStr">
        <is>
          <t>14363411</t>
        </is>
      </c>
      <c r="B361" t="inlineStr">
        <is>
          <t>43451490-199c-4c3d-9cef-9aa92cc5effd</t>
        </is>
      </c>
      <c r="D361" t="inlineStr">
        <is>
          <t>30001082</t>
        </is>
      </c>
      <c r="E361" t="inlineStr">
        <is>
          <t>ussd_funeral_leads_altitude_20260504</t>
        </is>
      </c>
      <c r="J361" t="inlineStr">
        <is>
          <t>AA</t>
        </is>
      </c>
      <c r="K361" t="inlineStr">
        <is>
          <t>Answering Machine Autodial</t>
        </is>
      </c>
      <c r="L361" t="n">
        <v>31</v>
      </c>
      <c r="M361" t="inlineStr">
        <is>
          <t>2026-05-26 13:41:11</t>
        </is>
      </c>
      <c r="N361" t="inlineStr">
        <is>
          <t>system</t>
        </is>
      </c>
      <c r="O361" t="inlineStr">
        <is>
          <t>2026-05-15 11:58:32</t>
        </is>
      </c>
      <c r="P361" t="inlineStr">
        <is>
          <t>2026-05-15 11:58:32</t>
        </is>
      </c>
      <c r="Y361" t="inlineStr">
        <is>
          <t>27673243472</t>
        </is>
      </c>
    </row>
    <row r="362">
      <c r="A362" t="inlineStr">
        <is>
          <t>14363469</t>
        </is>
      </c>
      <c r="B362" t="inlineStr">
        <is>
          <t>55e0aabe-a8b4-4d52-a393-ec54fde67680</t>
        </is>
      </c>
      <c r="D362" t="inlineStr">
        <is>
          <t>30001082</t>
        </is>
      </c>
      <c r="E362" t="inlineStr">
        <is>
          <t>ussd_funeral_leads_altitude_20260504</t>
        </is>
      </c>
      <c r="J362" t="inlineStr">
        <is>
          <t>NA</t>
        </is>
      </c>
      <c r="K362" t="inlineStr">
        <is>
          <t>No Answer Autodial</t>
        </is>
      </c>
      <c r="L362" t="n">
        <v>31</v>
      </c>
      <c r="M362" t="inlineStr">
        <is>
          <t>2026-05-26 13:41:11</t>
        </is>
      </c>
      <c r="N362" t="inlineStr">
        <is>
          <t>system</t>
        </is>
      </c>
      <c r="O362" t="inlineStr">
        <is>
          <t>2026-05-15 11:58:32</t>
        </is>
      </c>
      <c r="P362" t="inlineStr">
        <is>
          <t>2026-05-15 11:58:32</t>
        </is>
      </c>
      <c r="Y362" t="inlineStr">
        <is>
          <t>27797677226</t>
        </is>
      </c>
    </row>
    <row r="363">
      <c r="A363" t="inlineStr">
        <is>
          <t>14363252</t>
        </is>
      </c>
      <c r="B363" t="inlineStr">
        <is>
          <t>6f3d5e37-29e1-4811-bf02-aae20a6d05fc</t>
        </is>
      </c>
      <c r="D363" t="inlineStr">
        <is>
          <t>30001082</t>
        </is>
      </c>
      <c r="E363" t="inlineStr">
        <is>
          <t>ussd_funeral_leads_altitude_20260504</t>
        </is>
      </c>
      <c r="J363" t="inlineStr">
        <is>
          <t>TDN</t>
        </is>
      </c>
      <c r="K363" t="inlineStr">
        <is>
          <t>Temporary Disconnected Number</t>
        </is>
      </c>
      <c r="L363" t="n">
        <v>31</v>
      </c>
      <c r="M363" t="inlineStr">
        <is>
          <t>2026-05-26 13:04:41</t>
        </is>
      </c>
      <c r="N363" t="inlineStr">
        <is>
          <t>system</t>
        </is>
      </c>
      <c r="O363" t="inlineStr">
        <is>
          <t>2026-05-15 11:58:32</t>
        </is>
      </c>
      <c r="P363" t="inlineStr">
        <is>
          <t>2026-05-15 11:58:32</t>
        </is>
      </c>
      <c r="Y363" t="inlineStr">
        <is>
          <t>27636574527</t>
        </is>
      </c>
    </row>
    <row r="364">
      <c r="A364" t="inlineStr">
        <is>
          <t>14363195</t>
        </is>
      </c>
      <c r="B364" t="inlineStr">
        <is>
          <t>269636d1-615a-4bbc-801b-7115464865e9</t>
        </is>
      </c>
      <c r="D364" t="inlineStr">
        <is>
          <t>30001082</t>
        </is>
      </c>
      <c r="E364" t="inlineStr">
        <is>
          <t>ussd_funeral_leads_altitude_20260504</t>
        </is>
      </c>
      <c r="J364" t="inlineStr">
        <is>
          <t>ADC</t>
        </is>
      </c>
      <c r="K364" t="inlineStr">
        <is>
          <t>Auto Dial Disconnected</t>
        </is>
      </c>
      <c r="L364" t="n">
        <v>31</v>
      </c>
      <c r="M364" t="inlineStr">
        <is>
          <t>2026-05-26 12:03:44</t>
        </is>
      </c>
      <c r="N364" t="inlineStr">
        <is>
          <t>system</t>
        </is>
      </c>
      <c r="O364" t="inlineStr">
        <is>
          <t>2026-05-15 11:58:32</t>
        </is>
      </c>
      <c r="P364" t="inlineStr">
        <is>
          <t>2026-05-15 11:58:32</t>
        </is>
      </c>
      <c r="Y364" t="inlineStr">
        <is>
          <t>27822656437</t>
        </is>
      </c>
    </row>
    <row r="365">
      <c r="A365" t="inlineStr">
        <is>
          <t>14363270</t>
        </is>
      </c>
      <c r="B365" t="inlineStr">
        <is>
          <t>3efc2bd5-3b95-4377-8670-764609c9c102</t>
        </is>
      </c>
      <c r="D365" t="inlineStr">
        <is>
          <t>30001082</t>
        </is>
      </c>
      <c r="E365" t="inlineStr">
        <is>
          <t>ussd_funeral_leads_altitude_20260504</t>
        </is>
      </c>
      <c r="J365" t="inlineStr">
        <is>
          <t>NA</t>
        </is>
      </c>
      <c r="K365" t="inlineStr">
        <is>
          <t>No Answer Autodial</t>
        </is>
      </c>
      <c r="L365" t="n">
        <v>31</v>
      </c>
      <c r="M365" t="inlineStr">
        <is>
          <t>2026-05-26 11:39:01</t>
        </is>
      </c>
      <c r="N365" t="inlineStr">
        <is>
          <t>system</t>
        </is>
      </c>
      <c r="O365" t="inlineStr">
        <is>
          <t>2026-05-15 11:58:32</t>
        </is>
      </c>
      <c r="P365" t="inlineStr">
        <is>
          <t>2026-05-15 11:58:32</t>
        </is>
      </c>
      <c r="Y365" t="inlineStr">
        <is>
          <t>27774773174</t>
        </is>
      </c>
    </row>
    <row r="366">
      <c r="A366" t="inlineStr">
        <is>
          <t>14363287</t>
        </is>
      </c>
      <c r="B366" t="inlineStr">
        <is>
          <t>cb3f9751-ed96-42b8-b4bf-49bc6249221b</t>
        </is>
      </c>
      <c r="D366" t="inlineStr">
        <is>
          <t>30001082</t>
        </is>
      </c>
      <c r="E366" t="inlineStr">
        <is>
          <t>ussd_funeral_leads_altitude_20260504</t>
        </is>
      </c>
      <c r="J366" t="inlineStr">
        <is>
          <t>ADC</t>
        </is>
      </c>
      <c r="K366" t="inlineStr">
        <is>
          <t>Auto Dial Disconnected</t>
        </is>
      </c>
      <c r="L366" t="n">
        <v>31</v>
      </c>
      <c r="M366" t="inlineStr">
        <is>
          <t>2026-05-26 11:39:01</t>
        </is>
      </c>
      <c r="N366" t="inlineStr">
        <is>
          <t>system</t>
        </is>
      </c>
      <c r="O366" t="inlineStr">
        <is>
          <t>2026-05-15 11:58:32</t>
        </is>
      </c>
      <c r="P366" t="inlineStr">
        <is>
          <t>2026-05-15 11:58:32</t>
        </is>
      </c>
      <c r="Y366" t="inlineStr">
        <is>
          <t>27607766797</t>
        </is>
      </c>
    </row>
    <row r="367">
      <c r="A367" t="inlineStr">
        <is>
          <t>14363053</t>
        </is>
      </c>
      <c r="B367" t="inlineStr">
        <is>
          <t>045a20b8-f516-451a-b809-d739d766c246</t>
        </is>
      </c>
      <c r="D367" t="inlineStr">
        <is>
          <t>30001082</t>
        </is>
      </c>
      <c r="E367" t="inlineStr">
        <is>
          <t>ussd_funeral_leads_altitude_20260504</t>
        </is>
      </c>
      <c r="J367" t="inlineStr">
        <is>
          <t>AA</t>
        </is>
      </c>
      <c r="K367" t="inlineStr">
        <is>
          <t>Answering Machine Autodial</t>
        </is>
      </c>
      <c r="L367" t="n">
        <v>31</v>
      </c>
      <c r="M367" t="inlineStr">
        <is>
          <t>2026-05-26 11:39:00</t>
        </is>
      </c>
      <c r="N367" t="inlineStr">
        <is>
          <t>system</t>
        </is>
      </c>
      <c r="O367" t="inlineStr">
        <is>
          <t>2026-05-15 11:58:32</t>
        </is>
      </c>
      <c r="P367" t="inlineStr">
        <is>
          <t>2026-05-15 11:58:32</t>
        </is>
      </c>
      <c r="Y367" t="inlineStr">
        <is>
          <t>27723991368</t>
        </is>
      </c>
    </row>
    <row r="368">
      <c r="A368" t="inlineStr">
        <is>
          <t>14363067</t>
        </is>
      </c>
      <c r="B368" t="inlineStr">
        <is>
          <t>039d5663-b268-45d5-9882-e5055b66f4e6</t>
        </is>
      </c>
      <c r="D368" t="inlineStr">
        <is>
          <t>30001082</t>
        </is>
      </c>
      <c r="E368" t="inlineStr">
        <is>
          <t>ussd_funeral_leads_altitude_20260504</t>
        </is>
      </c>
      <c r="J368" t="inlineStr">
        <is>
          <t>CBACK</t>
        </is>
      </c>
      <c r="K368" t="inlineStr">
        <is>
          <t>Callback</t>
        </is>
      </c>
      <c r="L368" t="n">
        <v>25</v>
      </c>
      <c r="M368" t="inlineStr">
        <is>
          <t>2026-05-26 11:34:36</t>
        </is>
      </c>
      <c r="N368" t="inlineStr">
        <is>
          <t>Gontse Monageng</t>
        </is>
      </c>
      <c r="O368" t="inlineStr">
        <is>
          <t>2026-05-15 11:58:32</t>
        </is>
      </c>
      <c r="P368" t="inlineStr">
        <is>
          <t>2026-05-15 11:58:32</t>
        </is>
      </c>
      <c r="Y368" t="inlineStr">
        <is>
          <t>27793264042</t>
        </is>
      </c>
    </row>
    <row r="369">
      <c r="A369" t="inlineStr">
        <is>
          <t>14363253</t>
        </is>
      </c>
      <c r="B369" t="inlineStr">
        <is>
          <t>9daa251d-560b-4c80-98d4-b21bd1806477</t>
        </is>
      </c>
      <c r="D369" t="inlineStr">
        <is>
          <t>30001082</t>
        </is>
      </c>
      <c r="E369" t="inlineStr">
        <is>
          <t>ussd_funeral_leads_altitude_20260504</t>
        </is>
      </c>
      <c r="J369" t="inlineStr">
        <is>
          <t>SELECTED</t>
        </is>
      </c>
      <c r="K369" t="inlineStr">
        <is>
          <t>Selected</t>
        </is>
      </c>
      <c r="L369" t="n">
        <v>25</v>
      </c>
      <c r="M369" t="inlineStr">
        <is>
          <t>2026-05-26 11:33:34</t>
        </is>
      </c>
      <c r="N369" t="inlineStr">
        <is>
          <t>system</t>
        </is>
      </c>
      <c r="O369" t="inlineStr">
        <is>
          <t>2026-05-15 11:58:32</t>
        </is>
      </c>
      <c r="P369" t="inlineStr">
        <is>
          <t>2026-05-15 11:58:32</t>
        </is>
      </c>
      <c r="Y369" t="inlineStr">
        <is>
          <t>27729441922</t>
        </is>
      </c>
    </row>
    <row r="370">
      <c r="A370" t="inlineStr">
        <is>
          <t>14363266</t>
        </is>
      </c>
      <c r="B370" t="inlineStr">
        <is>
          <t>7326af20-a568-4cc8-912a-a1b16df9c287</t>
        </is>
      </c>
      <c r="D370" t="inlineStr">
        <is>
          <t>30001082</t>
        </is>
      </c>
      <c r="E370" t="inlineStr">
        <is>
          <t>ussd_funeral_leads_altitude_20260504</t>
        </is>
      </c>
      <c r="J370" t="inlineStr">
        <is>
          <t>ADC</t>
        </is>
      </c>
      <c r="K370" t="inlineStr">
        <is>
          <t>Auto Dial Disconnected</t>
        </is>
      </c>
      <c r="L370" t="n">
        <v>31</v>
      </c>
      <c r="M370" t="inlineStr">
        <is>
          <t>2026-05-26 09:34:09</t>
        </is>
      </c>
      <c r="N370" t="inlineStr">
        <is>
          <t>system</t>
        </is>
      </c>
      <c r="O370" t="inlineStr">
        <is>
          <t>2026-05-15 11:58:32</t>
        </is>
      </c>
      <c r="P370" t="inlineStr">
        <is>
          <t>2026-05-15 11:58:32</t>
        </is>
      </c>
      <c r="Y370" t="inlineStr">
        <is>
          <t>27608148779</t>
        </is>
      </c>
    </row>
    <row r="371">
      <c r="A371" t="inlineStr">
        <is>
          <t>14363272</t>
        </is>
      </c>
      <c r="B371" t="inlineStr">
        <is>
          <t>2d9de385-5759-4d5e-a476-669d1f4915df</t>
        </is>
      </c>
      <c r="D371" t="inlineStr">
        <is>
          <t>30001082</t>
        </is>
      </c>
      <c r="E371" t="inlineStr">
        <is>
          <t>ussd_funeral_leads_altitude_20260504</t>
        </is>
      </c>
      <c r="J371" t="inlineStr">
        <is>
          <t>ADC</t>
        </is>
      </c>
      <c r="K371" t="inlineStr">
        <is>
          <t>Auto Dial Disconnected</t>
        </is>
      </c>
      <c r="L371" t="n">
        <v>31</v>
      </c>
      <c r="M371" t="inlineStr">
        <is>
          <t>2026-05-26 09:34:09</t>
        </is>
      </c>
      <c r="N371" t="inlineStr">
        <is>
          <t>system</t>
        </is>
      </c>
      <c r="O371" t="inlineStr">
        <is>
          <t>2026-05-15 11:58:32</t>
        </is>
      </c>
      <c r="P371" t="inlineStr">
        <is>
          <t>2026-05-15 11:58:32</t>
        </is>
      </c>
      <c r="Y371" t="inlineStr">
        <is>
          <t>27664211279</t>
        </is>
      </c>
    </row>
    <row r="372">
      <c r="A372" t="inlineStr">
        <is>
          <t>14363274</t>
        </is>
      </c>
      <c r="B372" t="inlineStr">
        <is>
          <t>c3fb354d-f47b-4909-9b57-0047492c8288</t>
        </is>
      </c>
      <c r="D372" t="inlineStr">
        <is>
          <t>30001082</t>
        </is>
      </c>
      <c r="E372" t="inlineStr">
        <is>
          <t>ussd_funeral_leads_altitude_20260504</t>
        </is>
      </c>
      <c r="J372" t="inlineStr">
        <is>
          <t>ADC</t>
        </is>
      </c>
      <c r="K372" t="inlineStr">
        <is>
          <t>Auto Dial Disconnected</t>
        </is>
      </c>
      <c r="L372" t="n">
        <v>31</v>
      </c>
      <c r="M372" t="inlineStr">
        <is>
          <t>2026-05-26 09:34:09</t>
        </is>
      </c>
      <c r="N372" t="inlineStr">
        <is>
          <t>system</t>
        </is>
      </c>
      <c r="O372" t="inlineStr">
        <is>
          <t>2026-05-15 11:58:32</t>
        </is>
      </c>
      <c r="P372" t="inlineStr">
        <is>
          <t>2026-05-15 11:58:32</t>
        </is>
      </c>
      <c r="Y372" t="inlineStr">
        <is>
          <t>27646451112</t>
        </is>
      </c>
    </row>
    <row r="373">
      <c r="A373" t="inlineStr">
        <is>
          <t>14363283</t>
        </is>
      </c>
      <c r="B373" t="inlineStr">
        <is>
          <t>18906e21-8a33-4627-ae24-cbb83b8719ec</t>
        </is>
      </c>
      <c r="D373" t="inlineStr">
        <is>
          <t>30001082</t>
        </is>
      </c>
      <c r="E373" t="inlineStr">
        <is>
          <t>ussd_funeral_leads_altitude_20260504</t>
        </is>
      </c>
      <c r="J373" t="inlineStr">
        <is>
          <t>ADC</t>
        </is>
      </c>
      <c r="K373" t="inlineStr">
        <is>
          <t>Auto Dial Disconnected</t>
        </is>
      </c>
      <c r="L373" t="n">
        <v>31</v>
      </c>
      <c r="M373" t="inlineStr">
        <is>
          <t>2026-05-26 09:34:09</t>
        </is>
      </c>
      <c r="N373" t="inlineStr">
        <is>
          <t>system</t>
        </is>
      </c>
      <c r="O373" t="inlineStr">
        <is>
          <t>2026-05-15 11:58:32</t>
        </is>
      </c>
      <c r="P373" t="inlineStr">
        <is>
          <t>2026-05-15 11:58:32</t>
        </is>
      </c>
      <c r="Y373" t="inlineStr">
        <is>
          <t>27727630861</t>
        </is>
      </c>
    </row>
    <row r="374">
      <c r="A374" t="inlineStr">
        <is>
          <t>14363237</t>
        </is>
      </c>
      <c r="B374" t="inlineStr">
        <is>
          <t>ff13375f-b1c4-4331-a299-a7c3d3339e7d</t>
        </is>
      </c>
      <c r="D374" t="inlineStr">
        <is>
          <t>30001082</t>
        </is>
      </c>
      <c r="E374" t="inlineStr">
        <is>
          <t>ussd_funeral_leads_altitude_20260504</t>
        </is>
      </c>
      <c r="J374" t="inlineStr">
        <is>
          <t>ADC</t>
        </is>
      </c>
      <c r="K374" t="inlineStr">
        <is>
          <t>Auto Dial Disconnected</t>
        </is>
      </c>
      <c r="L374" t="n">
        <v>31</v>
      </c>
      <c r="M374" t="inlineStr">
        <is>
          <t>2026-05-26 09:34:05</t>
        </is>
      </c>
      <c r="N374" t="inlineStr">
        <is>
          <t>system</t>
        </is>
      </c>
      <c r="O374" t="inlineStr">
        <is>
          <t>2026-05-15 11:58:32</t>
        </is>
      </c>
      <c r="P374" t="inlineStr">
        <is>
          <t>2026-05-15 11:58:32</t>
        </is>
      </c>
      <c r="Y374" t="inlineStr">
        <is>
          <t>27726851731</t>
        </is>
      </c>
    </row>
    <row r="375">
      <c r="A375" t="inlineStr">
        <is>
          <t>14363238</t>
        </is>
      </c>
      <c r="B375" t="inlineStr">
        <is>
          <t>97e8cdcb-91e7-4a27-9442-5c8d525cb6ff</t>
        </is>
      </c>
      <c r="D375" t="inlineStr">
        <is>
          <t>30001082</t>
        </is>
      </c>
      <c r="E375" t="inlineStr">
        <is>
          <t>ussd_funeral_leads_altitude_20260504</t>
        </is>
      </c>
      <c r="J375" t="inlineStr">
        <is>
          <t>ADC</t>
        </is>
      </c>
      <c r="K375" t="inlineStr">
        <is>
          <t>Auto Dial Disconnected</t>
        </is>
      </c>
      <c r="L375" t="n">
        <v>31</v>
      </c>
      <c r="M375" t="inlineStr">
        <is>
          <t>2026-05-26 09:34:05</t>
        </is>
      </c>
      <c r="N375" t="inlineStr">
        <is>
          <t>system</t>
        </is>
      </c>
      <c r="O375" t="inlineStr">
        <is>
          <t>2026-05-15 11:58:32</t>
        </is>
      </c>
      <c r="P375" t="inlineStr">
        <is>
          <t>2026-05-15 11:58:32</t>
        </is>
      </c>
      <c r="Y375" t="inlineStr">
        <is>
          <t>27726615970</t>
        </is>
      </c>
    </row>
    <row r="376">
      <c r="A376" t="inlineStr">
        <is>
          <t>14363241</t>
        </is>
      </c>
      <c r="B376" t="inlineStr">
        <is>
          <t>fde57528-743f-46f1-80ac-8a6015587d39</t>
        </is>
      </c>
      <c r="D376" t="inlineStr">
        <is>
          <t>30001082</t>
        </is>
      </c>
      <c r="E376" t="inlineStr">
        <is>
          <t>ussd_funeral_leads_altitude_20260504</t>
        </is>
      </c>
      <c r="J376" t="inlineStr">
        <is>
          <t>ADC</t>
        </is>
      </c>
      <c r="K376" t="inlineStr">
        <is>
          <t>Auto Dial Disconnected</t>
        </is>
      </c>
      <c r="L376" t="n">
        <v>31</v>
      </c>
      <c r="M376" t="inlineStr">
        <is>
          <t>2026-05-26 09:34:05</t>
        </is>
      </c>
      <c r="N376" t="inlineStr">
        <is>
          <t>system</t>
        </is>
      </c>
      <c r="O376" t="inlineStr">
        <is>
          <t>2026-05-15 11:58:32</t>
        </is>
      </c>
      <c r="P376" t="inlineStr">
        <is>
          <t>2026-05-15 11:58:32</t>
        </is>
      </c>
      <c r="Y376" t="inlineStr">
        <is>
          <t>27728877220</t>
        </is>
      </c>
    </row>
    <row r="377">
      <c r="A377" t="inlineStr">
        <is>
          <t>14363263</t>
        </is>
      </c>
      <c r="B377" t="inlineStr">
        <is>
          <t>54fc8040-7d1f-407c-9bc7-47d37ee0e6b1</t>
        </is>
      </c>
      <c r="D377" t="inlineStr">
        <is>
          <t>30001082</t>
        </is>
      </c>
      <c r="E377" t="inlineStr">
        <is>
          <t>ussd_funeral_leads_altitude_20260504</t>
        </is>
      </c>
      <c r="J377" t="inlineStr">
        <is>
          <t>ADC</t>
        </is>
      </c>
      <c r="K377" t="inlineStr">
        <is>
          <t>Auto Dial Disconnected</t>
        </is>
      </c>
      <c r="L377" t="n">
        <v>31</v>
      </c>
      <c r="M377" t="inlineStr">
        <is>
          <t>2026-05-26 09:34:05</t>
        </is>
      </c>
      <c r="N377" t="inlineStr">
        <is>
          <t>system</t>
        </is>
      </c>
      <c r="O377" t="inlineStr">
        <is>
          <t>2026-05-15 11:58:32</t>
        </is>
      </c>
      <c r="P377" t="inlineStr">
        <is>
          <t>2026-05-15 11:58:32</t>
        </is>
      </c>
      <c r="Y377" t="inlineStr">
        <is>
          <t>27720262740</t>
        </is>
      </c>
    </row>
    <row r="378">
      <c r="A378" t="inlineStr">
        <is>
          <t>14363260</t>
        </is>
      </c>
      <c r="B378" t="inlineStr">
        <is>
          <t>81f7196c-f8a1-4382-b90c-dcfba8a08133</t>
        </is>
      </c>
      <c r="D378" t="inlineStr">
        <is>
          <t>30001082</t>
        </is>
      </c>
      <c r="E378" t="inlineStr">
        <is>
          <t>ussd_funeral_leads_altitude_20260504</t>
        </is>
      </c>
      <c r="J378" t="inlineStr">
        <is>
          <t>ADC</t>
        </is>
      </c>
      <c r="K378" t="inlineStr">
        <is>
          <t>Auto Dial Disconnected</t>
        </is>
      </c>
      <c r="L378" t="n">
        <v>31</v>
      </c>
      <c r="M378" t="inlineStr">
        <is>
          <t>2026-05-26 09:34:04</t>
        </is>
      </c>
      <c r="N378" t="inlineStr">
        <is>
          <t>system</t>
        </is>
      </c>
      <c r="O378" t="inlineStr">
        <is>
          <t>2026-05-15 11:58:32</t>
        </is>
      </c>
      <c r="P378" t="inlineStr">
        <is>
          <t>2026-05-15 11:58:32</t>
        </is>
      </c>
      <c r="Y378" t="inlineStr">
        <is>
          <t>27727085620</t>
        </is>
      </c>
    </row>
    <row r="379">
      <c r="A379" t="inlineStr">
        <is>
          <t>14363250</t>
        </is>
      </c>
      <c r="B379" t="inlineStr">
        <is>
          <t>1be34192-46ef-4b91-a14a-0f136ce95d5e</t>
        </is>
      </c>
      <c r="D379" t="inlineStr">
        <is>
          <t>30001082</t>
        </is>
      </c>
      <c r="E379" t="inlineStr">
        <is>
          <t>ussd_funeral_leads_altitude_20260504</t>
        </is>
      </c>
      <c r="J379" t="inlineStr">
        <is>
          <t>ADC</t>
        </is>
      </c>
      <c r="K379" t="inlineStr">
        <is>
          <t>Auto Dial Disconnected</t>
        </is>
      </c>
      <c r="L379" t="n">
        <v>31</v>
      </c>
      <c r="M379" t="inlineStr">
        <is>
          <t>2026-05-26 09:34:03</t>
        </is>
      </c>
      <c r="N379" t="inlineStr">
        <is>
          <t>system</t>
        </is>
      </c>
      <c r="O379" t="inlineStr">
        <is>
          <t>2026-05-15 11:58:32</t>
        </is>
      </c>
      <c r="P379" t="inlineStr">
        <is>
          <t>2026-05-15 11:58:32</t>
        </is>
      </c>
      <c r="Y379" t="inlineStr">
        <is>
          <t>27828370910</t>
        </is>
      </c>
    </row>
    <row r="380">
      <c r="A380" t="inlineStr">
        <is>
          <t>14363230</t>
        </is>
      </c>
      <c r="B380" t="inlineStr">
        <is>
          <t>8f5956f7-f150-4ff3-970e-42b999eb1cd7</t>
        </is>
      </c>
      <c r="D380" t="inlineStr">
        <is>
          <t>30001082</t>
        </is>
      </c>
      <c r="E380" t="inlineStr">
        <is>
          <t>ussd_funeral_leads_altitude_20260504</t>
        </is>
      </c>
      <c r="J380" t="inlineStr">
        <is>
          <t>ADC</t>
        </is>
      </c>
      <c r="K380" t="inlineStr">
        <is>
          <t>Auto Dial Disconnected</t>
        </is>
      </c>
      <c r="L380" t="n">
        <v>31</v>
      </c>
      <c r="M380" t="inlineStr">
        <is>
          <t>2026-05-26 09:34:02</t>
        </is>
      </c>
      <c r="N380" t="inlineStr">
        <is>
          <t>system</t>
        </is>
      </c>
      <c r="O380" t="inlineStr">
        <is>
          <t>2026-05-15 11:58:32</t>
        </is>
      </c>
      <c r="P380" t="inlineStr">
        <is>
          <t>2026-05-15 11:58:32</t>
        </is>
      </c>
      <c r="Y380" t="inlineStr">
        <is>
          <t>27646104739</t>
        </is>
      </c>
    </row>
    <row r="381">
      <c r="A381" t="inlineStr">
        <is>
          <t>14363222</t>
        </is>
      </c>
      <c r="B381" t="inlineStr">
        <is>
          <t>da2092e8-a217-4e88-8ea2-01bfb7e0e0bf</t>
        </is>
      </c>
      <c r="D381" t="inlineStr">
        <is>
          <t>30001082</t>
        </is>
      </c>
      <c r="E381" t="inlineStr">
        <is>
          <t>ussd_funeral_leads_altitude_20260504</t>
        </is>
      </c>
      <c r="J381" t="inlineStr">
        <is>
          <t>ADC</t>
        </is>
      </c>
      <c r="K381" t="inlineStr">
        <is>
          <t>Auto Dial Disconnected</t>
        </is>
      </c>
      <c r="L381" t="n">
        <v>31</v>
      </c>
      <c r="M381" t="inlineStr">
        <is>
          <t>2026-05-26 09:34:01</t>
        </is>
      </c>
      <c r="N381" t="inlineStr">
        <is>
          <t>system</t>
        </is>
      </c>
      <c r="O381" t="inlineStr">
        <is>
          <t>2026-05-15 11:58:32</t>
        </is>
      </c>
      <c r="P381" t="inlineStr">
        <is>
          <t>2026-05-15 11:58:32</t>
        </is>
      </c>
      <c r="Y381" t="inlineStr">
        <is>
          <t>27794540867</t>
        </is>
      </c>
    </row>
    <row r="382">
      <c r="A382" t="inlineStr">
        <is>
          <t>14363225</t>
        </is>
      </c>
      <c r="B382" t="inlineStr">
        <is>
          <t>50b75bda-9730-4624-b5a7-c9ac7b5c145b</t>
        </is>
      </c>
      <c r="D382" t="inlineStr">
        <is>
          <t>30001082</t>
        </is>
      </c>
      <c r="E382" t="inlineStr">
        <is>
          <t>ussd_funeral_leads_altitude_20260504</t>
        </is>
      </c>
      <c r="J382" t="inlineStr">
        <is>
          <t>ADC</t>
        </is>
      </c>
      <c r="K382" t="inlineStr">
        <is>
          <t>Auto Dial Disconnected</t>
        </is>
      </c>
      <c r="L382" t="n">
        <v>31</v>
      </c>
      <c r="M382" t="inlineStr">
        <is>
          <t>2026-05-26 09:34:01</t>
        </is>
      </c>
      <c r="N382" t="inlineStr">
        <is>
          <t>system</t>
        </is>
      </c>
      <c r="O382" t="inlineStr">
        <is>
          <t>2026-05-15 11:58:32</t>
        </is>
      </c>
      <c r="P382" t="inlineStr">
        <is>
          <t>2026-05-15 11:58:32</t>
        </is>
      </c>
      <c r="Y382" t="inlineStr">
        <is>
          <t>27822198543</t>
        </is>
      </c>
    </row>
    <row r="383">
      <c r="A383" t="inlineStr">
        <is>
          <t>14363150</t>
        </is>
      </c>
      <c r="B383" t="inlineStr">
        <is>
          <t>1d0d5615-380d-4254-a4b9-aa91b1772938</t>
        </is>
      </c>
      <c r="D383" t="inlineStr">
        <is>
          <t>30001082</t>
        </is>
      </c>
      <c r="E383" t="inlineStr">
        <is>
          <t>ussd_funeral_leads_altitude_20260504</t>
        </is>
      </c>
      <c r="J383" t="inlineStr">
        <is>
          <t>ADC</t>
        </is>
      </c>
      <c r="K383" t="inlineStr">
        <is>
          <t>Auto Dial Disconnected</t>
        </is>
      </c>
      <c r="L383" t="n">
        <v>31</v>
      </c>
      <c r="M383" t="inlineStr">
        <is>
          <t>2026-05-26 09:34:00</t>
        </is>
      </c>
      <c r="N383" t="inlineStr">
        <is>
          <t>system</t>
        </is>
      </c>
      <c r="O383" t="inlineStr">
        <is>
          <t>2026-05-15 11:58:32</t>
        </is>
      </c>
      <c r="P383" t="inlineStr">
        <is>
          <t>2026-05-15 11:58:32</t>
        </is>
      </c>
      <c r="Y383" t="inlineStr">
        <is>
          <t>27664185666</t>
        </is>
      </c>
    </row>
    <row r="384">
      <c r="A384" t="inlineStr">
        <is>
          <t>14363481</t>
        </is>
      </c>
      <c r="B384" t="inlineStr">
        <is>
          <t>7d0f3977-1d2e-439a-9440-21583199a2d2</t>
        </is>
      </c>
      <c r="D384" t="inlineStr">
        <is>
          <t>30001082</t>
        </is>
      </c>
      <c r="E384" t="inlineStr">
        <is>
          <t>ussd_funeral_leads_altitude_20260504</t>
        </is>
      </c>
      <c r="J384" t="inlineStr">
        <is>
          <t>ADC</t>
        </is>
      </c>
      <c r="K384" t="inlineStr">
        <is>
          <t>Auto Dial Disconnected</t>
        </is>
      </c>
      <c r="L384" t="n">
        <v>31</v>
      </c>
      <c r="M384" t="inlineStr">
        <is>
          <t>2026-05-26 09:34:00</t>
        </is>
      </c>
      <c r="N384" t="inlineStr">
        <is>
          <t>system</t>
        </is>
      </c>
      <c r="O384" t="inlineStr">
        <is>
          <t>2026-05-15 11:58:32</t>
        </is>
      </c>
      <c r="P384" t="inlineStr">
        <is>
          <t>2026-05-15 11:58:32</t>
        </is>
      </c>
      <c r="Y384" t="inlineStr">
        <is>
          <t>27728350841</t>
        </is>
      </c>
    </row>
    <row r="385">
      <c r="A385" t="inlineStr">
        <is>
          <t>14363059</t>
        </is>
      </c>
      <c r="B385" t="inlineStr">
        <is>
          <t>a5416099-6394-49b5-acc5-3ddf28a7961b</t>
        </is>
      </c>
      <c r="D385" t="inlineStr">
        <is>
          <t>30001082</t>
        </is>
      </c>
      <c r="E385" t="inlineStr">
        <is>
          <t>ussd_funeral_leads_altitude_20260504</t>
        </is>
      </c>
      <c r="J385" t="inlineStr">
        <is>
          <t>ADC</t>
        </is>
      </c>
      <c r="K385" t="inlineStr">
        <is>
          <t>Auto Dial Disconnected</t>
        </is>
      </c>
      <c r="L385" t="n">
        <v>31</v>
      </c>
      <c r="M385" t="inlineStr">
        <is>
          <t>2026-05-26 09:33:59</t>
        </is>
      </c>
      <c r="N385" t="inlineStr">
        <is>
          <t>system</t>
        </is>
      </c>
      <c r="O385" t="inlineStr">
        <is>
          <t>2026-05-15 11:58:32</t>
        </is>
      </c>
      <c r="P385" t="inlineStr">
        <is>
          <t>2026-05-15 11:58:32</t>
        </is>
      </c>
      <c r="Y385" t="inlineStr">
        <is>
          <t>27637638983</t>
        </is>
      </c>
    </row>
    <row r="386">
      <c r="A386" t="inlineStr">
        <is>
          <t>14363480</t>
        </is>
      </c>
      <c r="B386" t="inlineStr">
        <is>
          <t>bbbafbeb-afcf-4542-ae41-76ef76c982f2</t>
        </is>
      </c>
      <c r="D386" t="inlineStr">
        <is>
          <t>30001082</t>
        </is>
      </c>
      <c r="E386" t="inlineStr">
        <is>
          <t>ussd_funeral_leads_altitude_20260504</t>
        </is>
      </c>
      <c r="J386" t="inlineStr">
        <is>
          <t>ADC</t>
        </is>
      </c>
      <c r="K386" t="inlineStr">
        <is>
          <t>Auto Dial Disconnected</t>
        </is>
      </c>
      <c r="L386" t="n">
        <v>31</v>
      </c>
      <c r="M386" t="inlineStr">
        <is>
          <t>2026-05-26 09:33:59</t>
        </is>
      </c>
      <c r="N386" t="inlineStr">
        <is>
          <t>system</t>
        </is>
      </c>
      <c r="O386" t="inlineStr">
        <is>
          <t>2026-05-15 11:58:32</t>
        </is>
      </c>
      <c r="P386" t="inlineStr">
        <is>
          <t>2026-05-15 11:58:32</t>
        </is>
      </c>
      <c r="Y386" t="inlineStr">
        <is>
          <t>27608164468</t>
        </is>
      </c>
    </row>
    <row r="387">
      <c r="A387" t="inlineStr">
        <is>
          <t>14363418</t>
        </is>
      </c>
      <c r="B387" t="inlineStr">
        <is>
          <t>76cbcf39-674d-479f-a5ea-0c4a144be65b</t>
        </is>
      </c>
      <c r="D387" t="inlineStr">
        <is>
          <t>30001082</t>
        </is>
      </c>
      <c r="E387" t="inlineStr">
        <is>
          <t>ussd_funeral_leads_altitude_20260504</t>
        </is>
      </c>
      <c r="J387" t="inlineStr">
        <is>
          <t>ADC</t>
        </is>
      </c>
      <c r="K387" t="inlineStr">
        <is>
          <t>Auto Dial Disconnected</t>
        </is>
      </c>
      <c r="L387" t="n">
        <v>31</v>
      </c>
      <c r="M387" t="inlineStr">
        <is>
          <t>2026-05-26 09:33:58</t>
        </is>
      </c>
      <c r="N387" t="inlineStr">
        <is>
          <t>system</t>
        </is>
      </c>
      <c r="O387" t="inlineStr">
        <is>
          <t>2026-05-15 11:58:32</t>
        </is>
      </c>
      <c r="P387" t="inlineStr">
        <is>
          <t>2026-05-15 11:58:32</t>
        </is>
      </c>
      <c r="Y387" t="inlineStr">
        <is>
          <t>27723204391</t>
        </is>
      </c>
    </row>
    <row r="388">
      <c r="A388" t="inlineStr">
        <is>
          <t>14363424</t>
        </is>
      </c>
      <c r="B388" t="inlineStr">
        <is>
          <t>be7fa306-39a7-40d9-992f-5c8a32311a0d</t>
        </is>
      </c>
      <c r="D388" t="inlineStr">
        <is>
          <t>30001082</t>
        </is>
      </c>
      <c r="E388" t="inlineStr">
        <is>
          <t>ussd_funeral_leads_altitude_20260504</t>
        </is>
      </c>
      <c r="J388" t="inlineStr">
        <is>
          <t>ADC</t>
        </is>
      </c>
      <c r="K388" t="inlineStr">
        <is>
          <t>Auto Dial Disconnected</t>
        </is>
      </c>
      <c r="L388" t="n">
        <v>31</v>
      </c>
      <c r="M388" t="inlineStr">
        <is>
          <t>2026-05-26 09:33:58</t>
        </is>
      </c>
      <c r="N388" t="inlineStr">
        <is>
          <t>system</t>
        </is>
      </c>
      <c r="O388" t="inlineStr">
        <is>
          <t>2026-05-15 11:58:32</t>
        </is>
      </c>
      <c r="P388" t="inlineStr">
        <is>
          <t>2026-05-15 11:58:32</t>
        </is>
      </c>
      <c r="Y388" t="inlineStr">
        <is>
          <t>27791105422</t>
        </is>
      </c>
    </row>
    <row r="389">
      <c r="A389" t="inlineStr">
        <is>
          <t>14363427</t>
        </is>
      </c>
      <c r="B389" t="inlineStr">
        <is>
          <t>37e4f8b3-7da9-421e-9561-2e0b2b195e36</t>
        </is>
      </c>
      <c r="D389" t="inlineStr">
        <is>
          <t>30001082</t>
        </is>
      </c>
      <c r="E389" t="inlineStr">
        <is>
          <t>ussd_funeral_leads_altitude_20260504</t>
        </is>
      </c>
      <c r="J389" t="inlineStr">
        <is>
          <t>ADC</t>
        </is>
      </c>
      <c r="K389" t="inlineStr">
        <is>
          <t>Auto Dial Disconnected</t>
        </is>
      </c>
      <c r="L389" t="n">
        <v>31</v>
      </c>
      <c r="M389" t="inlineStr">
        <is>
          <t>2026-05-26 09:33:58</t>
        </is>
      </c>
      <c r="N389" t="inlineStr">
        <is>
          <t>system</t>
        </is>
      </c>
      <c r="O389" t="inlineStr">
        <is>
          <t>2026-05-15 11:58:32</t>
        </is>
      </c>
      <c r="P389" t="inlineStr">
        <is>
          <t>2026-05-15 11:58:32</t>
        </is>
      </c>
      <c r="Y389" t="inlineStr">
        <is>
          <t>27824784944</t>
        </is>
      </c>
    </row>
    <row r="390">
      <c r="A390" t="inlineStr">
        <is>
          <t>14363020</t>
        </is>
      </c>
      <c r="B390" t="inlineStr">
        <is>
          <t>a8387608-c26d-4f4c-965b-d9f3862e0639</t>
        </is>
      </c>
      <c r="D390" t="inlineStr">
        <is>
          <t>30001082</t>
        </is>
      </c>
      <c r="E390" t="inlineStr">
        <is>
          <t>ussd_funeral_leads_altitude_20260504</t>
        </is>
      </c>
      <c r="J390" t="inlineStr">
        <is>
          <t>ADC</t>
        </is>
      </c>
      <c r="K390" t="inlineStr">
        <is>
          <t>Auto Dial Disconnected</t>
        </is>
      </c>
      <c r="L390" t="n">
        <v>31</v>
      </c>
      <c r="M390" t="inlineStr">
        <is>
          <t>2026-05-26 09:33:57</t>
        </is>
      </c>
      <c r="N390" t="inlineStr">
        <is>
          <t>system</t>
        </is>
      </c>
      <c r="O390" t="inlineStr">
        <is>
          <t>2026-05-15 11:58:32</t>
        </is>
      </c>
      <c r="P390" t="inlineStr">
        <is>
          <t>2026-05-15 11:58:32</t>
        </is>
      </c>
      <c r="Y390" t="inlineStr">
        <is>
          <t>27772998852</t>
        </is>
      </c>
    </row>
    <row r="391">
      <c r="A391" t="inlineStr">
        <is>
          <t>14363443</t>
        </is>
      </c>
      <c r="B391" t="inlineStr">
        <is>
          <t>c8b66cf2-ba8b-4171-b2cf-02ad38483103</t>
        </is>
      </c>
      <c r="D391" t="inlineStr">
        <is>
          <t>30001082</t>
        </is>
      </c>
      <c r="E391" t="inlineStr">
        <is>
          <t>ussd_funeral_leads_altitude_20260504</t>
        </is>
      </c>
      <c r="J391" t="inlineStr">
        <is>
          <t>ADC</t>
        </is>
      </c>
      <c r="K391" t="inlineStr">
        <is>
          <t>Auto Dial Disconnected</t>
        </is>
      </c>
      <c r="L391" t="n">
        <v>31</v>
      </c>
      <c r="M391" t="inlineStr">
        <is>
          <t>2026-05-26 09:33:57</t>
        </is>
      </c>
      <c r="N391" t="inlineStr">
        <is>
          <t>system</t>
        </is>
      </c>
      <c r="O391" t="inlineStr">
        <is>
          <t>2026-05-15 11:58:32</t>
        </is>
      </c>
      <c r="P391" t="inlineStr">
        <is>
          <t>2026-05-15 11:58:32</t>
        </is>
      </c>
      <c r="Y391" t="inlineStr">
        <is>
          <t>27767629230</t>
        </is>
      </c>
    </row>
    <row r="392">
      <c r="A392" t="inlineStr">
        <is>
          <t>14363417</t>
        </is>
      </c>
      <c r="B392" t="inlineStr">
        <is>
          <t>92fe70f0-7dc9-47cb-9bfb-2d3d4e456236</t>
        </is>
      </c>
      <c r="D392" t="inlineStr">
        <is>
          <t>30001082</t>
        </is>
      </c>
      <c r="E392" t="inlineStr">
        <is>
          <t>ussd_funeral_leads_altitude_20260504</t>
        </is>
      </c>
      <c r="J392" t="inlineStr">
        <is>
          <t>ADC</t>
        </is>
      </c>
      <c r="K392" t="inlineStr">
        <is>
          <t>Auto Dial Disconnected</t>
        </is>
      </c>
      <c r="L392" t="n">
        <v>31</v>
      </c>
      <c r="M392" t="inlineStr">
        <is>
          <t>2026-05-26 09:33:55</t>
        </is>
      </c>
      <c r="N392" t="inlineStr">
        <is>
          <t>system</t>
        </is>
      </c>
      <c r="O392" t="inlineStr">
        <is>
          <t>2026-05-15 11:58:32</t>
        </is>
      </c>
      <c r="P392" t="inlineStr">
        <is>
          <t>2026-05-15 11:58:32</t>
        </is>
      </c>
      <c r="Y392" t="inlineStr">
        <is>
          <t>27716608423</t>
        </is>
      </c>
    </row>
    <row r="393">
      <c r="A393" t="inlineStr">
        <is>
          <t>14363407</t>
        </is>
      </c>
      <c r="B393" t="inlineStr">
        <is>
          <t>6f639849-8e44-47a1-a66c-c1c518e3573b</t>
        </is>
      </c>
      <c r="D393" t="inlineStr">
        <is>
          <t>30001082</t>
        </is>
      </c>
      <c r="E393" t="inlineStr">
        <is>
          <t>ussd_funeral_leads_altitude_20260504</t>
        </is>
      </c>
      <c r="J393" t="inlineStr">
        <is>
          <t>ADC</t>
        </is>
      </c>
      <c r="K393" t="inlineStr">
        <is>
          <t>Auto Dial Disconnected</t>
        </is>
      </c>
      <c r="L393" t="n">
        <v>31</v>
      </c>
      <c r="M393" t="inlineStr">
        <is>
          <t>2026-05-26 09:33:54</t>
        </is>
      </c>
      <c r="N393" t="inlineStr">
        <is>
          <t>system</t>
        </is>
      </c>
      <c r="O393" t="inlineStr">
        <is>
          <t>2026-05-15 11:58:32</t>
        </is>
      </c>
      <c r="P393" t="inlineStr">
        <is>
          <t>2026-05-15 11:58:32</t>
        </is>
      </c>
      <c r="Y393" t="inlineStr">
        <is>
          <t>27766515108</t>
        </is>
      </c>
    </row>
    <row r="394">
      <c r="A394" t="inlineStr">
        <is>
          <t>14363406</t>
        </is>
      </c>
      <c r="B394" t="inlineStr">
        <is>
          <t>4ea5aeef-914a-4fed-a400-b5bbe8d383ae</t>
        </is>
      </c>
      <c r="D394" t="inlineStr">
        <is>
          <t>30001082</t>
        </is>
      </c>
      <c r="E394" t="inlineStr">
        <is>
          <t>ussd_funeral_leads_altitude_20260504</t>
        </is>
      </c>
      <c r="J394" t="inlineStr">
        <is>
          <t>ADC</t>
        </is>
      </c>
      <c r="K394" t="inlineStr">
        <is>
          <t>Auto Dial Disconnected</t>
        </is>
      </c>
      <c r="L394" t="n">
        <v>31</v>
      </c>
      <c r="M394" t="inlineStr">
        <is>
          <t>2026-05-26 09:33:53</t>
        </is>
      </c>
      <c r="N394" t="inlineStr">
        <is>
          <t>system</t>
        </is>
      </c>
      <c r="O394" t="inlineStr">
        <is>
          <t>2026-05-15 11:58:32</t>
        </is>
      </c>
      <c r="P394" t="inlineStr">
        <is>
          <t>2026-05-15 11:58:32</t>
        </is>
      </c>
      <c r="Y394" t="inlineStr">
        <is>
          <t>27824157931</t>
        </is>
      </c>
    </row>
    <row r="395">
      <c r="A395" t="inlineStr">
        <is>
          <t>14363385</t>
        </is>
      </c>
      <c r="B395" t="inlineStr">
        <is>
          <t>9248b1bb-9acd-4012-962e-3ba2b30e1ffc</t>
        </is>
      </c>
      <c r="D395" t="inlineStr">
        <is>
          <t>30001082</t>
        </is>
      </c>
      <c r="E395" t="inlineStr">
        <is>
          <t>ussd_funeral_leads_altitude_20260504</t>
        </is>
      </c>
      <c r="J395" t="inlineStr">
        <is>
          <t>ADC</t>
        </is>
      </c>
      <c r="K395" t="inlineStr">
        <is>
          <t>Auto Dial Disconnected</t>
        </is>
      </c>
      <c r="L395" t="n">
        <v>31</v>
      </c>
      <c r="M395" t="inlineStr">
        <is>
          <t>2026-05-26 09:33:53</t>
        </is>
      </c>
      <c r="N395" t="inlineStr">
        <is>
          <t>system</t>
        </is>
      </c>
      <c r="O395" t="inlineStr">
        <is>
          <t>2026-05-15 11:58:32</t>
        </is>
      </c>
      <c r="P395" t="inlineStr">
        <is>
          <t>2026-05-15 11:58:32</t>
        </is>
      </c>
      <c r="Y395" t="inlineStr">
        <is>
          <t>27763710302</t>
        </is>
      </c>
    </row>
    <row r="396">
      <c r="A396" t="inlineStr">
        <is>
          <t>14363362</t>
        </is>
      </c>
      <c r="B396" t="inlineStr">
        <is>
          <t>a8f1e3b8-bf55-4675-b44d-ce2e0bfa2a9f</t>
        </is>
      </c>
      <c r="D396" t="inlineStr">
        <is>
          <t>30001082</t>
        </is>
      </c>
      <c r="E396" t="inlineStr">
        <is>
          <t>ussd_funeral_leads_altitude_20260504</t>
        </is>
      </c>
      <c r="J396" t="inlineStr">
        <is>
          <t>ADC</t>
        </is>
      </c>
      <c r="K396" t="inlineStr">
        <is>
          <t>Auto Dial Disconnected</t>
        </is>
      </c>
      <c r="L396" t="n">
        <v>31</v>
      </c>
      <c r="M396" t="inlineStr">
        <is>
          <t>2026-05-26 09:33:52</t>
        </is>
      </c>
      <c r="N396" t="inlineStr">
        <is>
          <t>system</t>
        </is>
      </c>
      <c r="O396" t="inlineStr">
        <is>
          <t>2026-05-15 11:58:32</t>
        </is>
      </c>
      <c r="P396" t="inlineStr">
        <is>
          <t>2026-05-15 11:58:32</t>
        </is>
      </c>
      <c r="Y396" t="inlineStr">
        <is>
          <t>27820954819</t>
        </is>
      </c>
    </row>
    <row r="397">
      <c r="A397" t="inlineStr">
        <is>
          <t>14363364</t>
        </is>
      </c>
      <c r="B397" t="inlineStr">
        <is>
          <t>94fa8cb5-4d30-4166-b3a2-215029a451f3</t>
        </is>
      </c>
      <c r="D397" t="inlineStr">
        <is>
          <t>30001082</t>
        </is>
      </c>
      <c r="E397" t="inlineStr">
        <is>
          <t>ussd_funeral_leads_altitude_20260504</t>
        </is>
      </c>
      <c r="J397" t="inlineStr">
        <is>
          <t>ADC</t>
        </is>
      </c>
      <c r="K397" t="inlineStr">
        <is>
          <t>Auto Dial Disconnected</t>
        </is>
      </c>
      <c r="L397" t="n">
        <v>31</v>
      </c>
      <c r="M397" t="inlineStr">
        <is>
          <t>2026-05-26 09:33:52</t>
        </is>
      </c>
      <c r="N397" t="inlineStr">
        <is>
          <t>system</t>
        </is>
      </c>
      <c r="O397" t="inlineStr">
        <is>
          <t>2026-05-15 11:58:32</t>
        </is>
      </c>
      <c r="P397" t="inlineStr">
        <is>
          <t>2026-05-15 11:58:32</t>
        </is>
      </c>
      <c r="Y397" t="inlineStr">
        <is>
          <t>27727915492</t>
        </is>
      </c>
    </row>
    <row r="398">
      <c r="A398" t="inlineStr">
        <is>
          <t>14363367</t>
        </is>
      </c>
      <c r="B398" t="inlineStr">
        <is>
          <t>e6e66b5e-426e-44f3-aaa1-281e24fe2b80</t>
        </is>
      </c>
      <c r="D398" t="inlineStr">
        <is>
          <t>30001082</t>
        </is>
      </c>
      <c r="E398" t="inlineStr">
        <is>
          <t>ussd_funeral_leads_altitude_20260504</t>
        </is>
      </c>
      <c r="J398" t="inlineStr">
        <is>
          <t>ADC</t>
        </is>
      </c>
      <c r="K398" t="inlineStr">
        <is>
          <t>Auto Dial Disconnected</t>
        </is>
      </c>
      <c r="L398" t="n">
        <v>31</v>
      </c>
      <c r="M398" t="inlineStr">
        <is>
          <t>2026-05-26 09:33:52</t>
        </is>
      </c>
      <c r="N398" t="inlineStr">
        <is>
          <t>system</t>
        </is>
      </c>
      <c r="O398" t="inlineStr">
        <is>
          <t>2026-05-15 11:58:32</t>
        </is>
      </c>
      <c r="P398" t="inlineStr">
        <is>
          <t>2026-05-15 11:58:32</t>
        </is>
      </c>
      <c r="Y398" t="inlineStr">
        <is>
          <t>27646425533</t>
        </is>
      </c>
    </row>
    <row r="399">
      <c r="A399" t="inlineStr">
        <is>
          <t>14363320</t>
        </is>
      </c>
      <c r="B399" t="inlineStr">
        <is>
          <t>b8ebfcfd-772d-481e-b308-870a5958859a</t>
        </is>
      </c>
      <c r="D399" t="inlineStr">
        <is>
          <t>30001082</t>
        </is>
      </c>
      <c r="E399" t="inlineStr">
        <is>
          <t>ussd_funeral_leads_altitude_20260504</t>
        </is>
      </c>
      <c r="J399" t="inlineStr">
        <is>
          <t>ADC</t>
        </is>
      </c>
      <c r="K399" t="inlineStr">
        <is>
          <t>Auto Dial Disconnected</t>
        </is>
      </c>
      <c r="L399" t="n">
        <v>31</v>
      </c>
      <c r="M399" t="inlineStr">
        <is>
          <t>2026-05-26 09:33:51</t>
        </is>
      </c>
      <c r="N399" t="inlineStr">
        <is>
          <t>system</t>
        </is>
      </c>
      <c r="O399" t="inlineStr">
        <is>
          <t>2026-05-15 11:58:32</t>
        </is>
      </c>
      <c r="P399" t="inlineStr">
        <is>
          <t>2026-05-15 11:58:32</t>
        </is>
      </c>
      <c r="Y399" t="inlineStr">
        <is>
          <t>27729210702</t>
        </is>
      </c>
    </row>
    <row r="400">
      <c r="A400" t="inlineStr">
        <is>
          <t>14363323</t>
        </is>
      </c>
      <c r="B400" t="inlineStr">
        <is>
          <t>9ae16f91-6e5f-4bb7-99ba-00a78a946cd2</t>
        </is>
      </c>
      <c r="D400" t="inlineStr">
        <is>
          <t>30001082</t>
        </is>
      </c>
      <c r="E400" t="inlineStr">
        <is>
          <t>ussd_funeral_leads_altitude_20260504</t>
        </is>
      </c>
      <c r="J400" t="inlineStr">
        <is>
          <t>ADC</t>
        </is>
      </c>
      <c r="K400" t="inlineStr">
        <is>
          <t>Auto Dial Disconnected</t>
        </is>
      </c>
      <c r="L400" t="n">
        <v>31</v>
      </c>
      <c r="M400" t="inlineStr">
        <is>
          <t>2026-05-26 09:33:51</t>
        </is>
      </c>
      <c r="N400" t="inlineStr">
        <is>
          <t>system</t>
        </is>
      </c>
      <c r="O400" t="inlineStr">
        <is>
          <t>2026-05-15 11:58:32</t>
        </is>
      </c>
      <c r="P400" t="inlineStr">
        <is>
          <t>2026-05-15 11:58:32</t>
        </is>
      </c>
      <c r="Y400" t="inlineStr">
        <is>
          <t>27663412368</t>
        </is>
      </c>
    </row>
    <row r="401">
      <c r="A401" t="inlineStr">
        <is>
          <t>14363345</t>
        </is>
      </c>
      <c r="B401" t="inlineStr">
        <is>
          <t>ab78a8bc-f9d9-49d1-9d7a-4900ff1f5258</t>
        </is>
      </c>
      <c r="D401" t="inlineStr">
        <is>
          <t>30001082</t>
        </is>
      </c>
      <c r="E401" t="inlineStr">
        <is>
          <t>ussd_funeral_leads_altitude_20260504</t>
        </is>
      </c>
      <c r="J401" t="inlineStr">
        <is>
          <t>ADC</t>
        </is>
      </c>
      <c r="K401" t="inlineStr">
        <is>
          <t>Auto Dial Disconnected</t>
        </is>
      </c>
      <c r="L401" t="n">
        <v>31</v>
      </c>
      <c r="M401" t="inlineStr">
        <is>
          <t>2026-05-26 09:33:51</t>
        </is>
      </c>
      <c r="N401" t="inlineStr">
        <is>
          <t>system</t>
        </is>
      </c>
      <c r="O401" t="inlineStr">
        <is>
          <t>2026-05-15 11:58:32</t>
        </is>
      </c>
      <c r="P401" t="inlineStr">
        <is>
          <t>2026-05-15 11:58:32</t>
        </is>
      </c>
      <c r="Y401" t="inlineStr">
        <is>
          <t>27774179828</t>
        </is>
      </c>
    </row>
    <row r="402">
      <c r="A402" t="inlineStr">
        <is>
          <t>14363355</t>
        </is>
      </c>
      <c r="B402" t="inlineStr">
        <is>
          <t>41232e8f-28dd-4b51-b4c7-37bf16770c58</t>
        </is>
      </c>
      <c r="D402" t="inlineStr">
        <is>
          <t>30001082</t>
        </is>
      </c>
      <c r="E402" t="inlineStr">
        <is>
          <t>ussd_funeral_leads_altitude_20260504</t>
        </is>
      </c>
      <c r="J402" t="inlineStr">
        <is>
          <t>ADC</t>
        </is>
      </c>
      <c r="K402" t="inlineStr">
        <is>
          <t>Auto Dial Disconnected</t>
        </is>
      </c>
      <c r="L402" t="n">
        <v>31</v>
      </c>
      <c r="M402" t="inlineStr">
        <is>
          <t>2026-05-26 09:33:51</t>
        </is>
      </c>
      <c r="N402" t="inlineStr">
        <is>
          <t>system</t>
        </is>
      </c>
      <c r="O402" t="inlineStr">
        <is>
          <t>2026-05-15 11:58:32</t>
        </is>
      </c>
      <c r="P402" t="inlineStr">
        <is>
          <t>2026-05-15 11:58:32</t>
        </is>
      </c>
      <c r="Y402" t="inlineStr">
        <is>
          <t>27646907133</t>
        </is>
      </c>
    </row>
    <row r="403">
      <c r="A403" t="inlineStr">
        <is>
          <t>14363292</t>
        </is>
      </c>
      <c r="B403" t="inlineStr">
        <is>
          <t>d01c2f58-5323-4ca2-bd4e-021eab7376e1</t>
        </is>
      </c>
      <c r="D403" t="inlineStr">
        <is>
          <t>30001082</t>
        </is>
      </c>
      <c r="E403" t="inlineStr">
        <is>
          <t>ussd_funeral_leads_altitude_20260504</t>
        </is>
      </c>
      <c r="J403" t="inlineStr">
        <is>
          <t>ADC</t>
        </is>
      </c>
      <c r="K403" t="inlineStr">
        <is>
          <t>Auto Dial Disconnected</t>
        </is>
      </c>
      <c r="L403" t="n">
        <v>31</v>
      </c>
      <c r="M403" t="inlineStr">
        <is>
          <t>2026-05-26 09:33:49</t>
        </is>
      </c>
      <c r="N403" t="inlineStr">
        <is>
          <t>system</t>
        </is>
      </c>
      <c r="O403" t="inlineStr">
        <is>
          <t>2026-05-15 11:58:32</t>
        </is>
      </c>
      <c r="P403" t="inlineStr">
        <is>
          <t>2026-05-15 11:58:32</t>
        </is>
      </c>
      <c r="Y403" t="inlineStr">
        <is>
          <t>27774738276</t>
        </is>
      </c>
    </row>
    <row r="404">
      <c r="A404" t="inlineStr">
        <is>
          <t>14363294</t>
        </is>
      </c>
      <c r="B404" t="inlineStr">
        <is>
          <t>d727d05f-6711-4791-bdc0-5e249d73afb3</t>
        </is>
      </c>
      <c r="D404" t="inlineStr">
        <is>
          <t>30001082</t>
        </is>
      </c>
      <c r="E404" t="inlineStr">
        <is>
          <t>ussd_funeral_leads_altitude_20260504</t>
        </is>
      </c>
      <c r="J404" t="inlineStr">
        <is>
          <t>ADC</t>
        </is>
      </c>
      <c r="K404" t="inlineStr">
        <is>
          <t>Auto Dial Disconnected</t>
        </is>
      </c>
      <c r="L404" t="n">
        <v>31</v>
      </c>
      <c r="M404" t="inlineStr">
        <is>
          <t>2026-05-26 09:33:49</t>
        </is>
      </c>
      <c r="N404" t="inlineStr">
        <is>
          <t>system</t>
        </is>
      </c>
      <c r="O404" t="inlineStr">
        <is>
          <t>2026-05-15 11:58:32</t>
        </is>
      </c>
      <c r="P404" t="inlineStr">
        <is>
          <t>2026-05-15 11:58:32</t>
        </is>
      </c>
      <c r="Y404" t="inlineStr">
        <is>
          <t>27818229954</t>
        </is>
      </c>
    </row>
    <row r="405">
      <c r="A405" t="inlineStr">
        <is>
          <t>14363296</t>
        </is>
      </c>
      <c r="B405" t="inlineStr">
        <is>
          <t>960ab6a3-435f-4319-91d7-dab8e81ba78f</t>
        </is>
      </c>
      <c r="D405" t="inlineStr">
        <is>
          <t>30001082</t>
        </is>
      </c>
      <c r="E405" t="inlineStr">
        <is>
          <t>ussd_funeral_leads_altitude_20260504</t>
        </is>
      </c>
      <c r="J405" t="inlineStr">
        <is>
          <t>ADC</t>
        </is>
      </c>
      <c r="K405" t="inlineStr">
        <is>
          <t>Auto Dial Disconnected</t>
        </is>
      </c>
      <c r="L405" t="n">
        <v>31</v>
      </c>
      <c r="M405" t="inlineStr">
        <is>
          <t>2026-05-26 09:33:49</t>
        </is>
      </c>
      <c r="N405" t="inlineStr">
        <is>
          <t>system</t>
        </is>
      </c>
      <c r="O405" t="inlineStr">
        <is>
          <t>2026-05-15 11:58:32</t>
        </is>
      </c>
      <c r="P405" t="inlineStr">
        <is>
          <t>2026-05-15 11:58:32</t>
        </is>
      </c>
      <c r="Y405" t="inlineStr">
        <is>
          <t>27724765154</t>
        </is>
      </c>
    </row>
    <row r="406">
      <c r="A406" t="inlineStr">
        <is>
          <t>14363312</t>
        </is>
      </c>
      <c r="B406" t="inlineStr">
        <is>
          <t>7996eb96-ccb7-45e4-8ebb-58497dc21727</t>
        </is>
      </c>
      <c r="D406" t="inlineStr">
        <is>
          <t>30001082</t>
        </is>
      </c>
      <c r="E406" t="inlineStr">
        <is>
          <t>ussd_funeral_leads_altitude_20260504</t>
        </is>
      </c>
      <c r="J406" t="inlineStr">
        <is>
          <t>ADC</t>
        </is>
      </c>
      <c r="K406" t="inlineStr">
        <is>
          <t>Auto Dial Disconnected</t>
        </is>
      </c>
      <c r="L406" t="n">
        <v>31</v>
      </c>
      <c r="M406" t="inlineStr">
        <is>
          <t>2026-05-26 09:33:48</t>
        </is>
      </c>
      <c r="N406" t="inlineStr">
        <is>
          <t>system</t>
        </is>
      </c>
      <c r="O406" t="inlineStr">
        <is>
          <t>2026-05-15 11:58:32</t>
        </is>
      </c>
      <c r="P406" t="inlineStr">
        <is>
          <t>2026-05-15 11:58:32</t>
        </is>
      </c>
      <c r="Y406" t="inlineStr">
        <is>
          <t>27795165885</t>
        </is>
      </c>
    </row>
    <row r="407">
      <c r="A407" t="inlineStr">
        <is>
          <t>14363301</t>
        </is>
      </c>
      <c r="B407" t="inlineStr">
        <is>
          <t>3871d32e-6130-4838-acd6-3f0e2bd43c37</t>
        </is>
      </c>
      <c r="D407" t="inlineStr">
        <is>
          <t>30001082</t>
        </is>
      </c>
      <c r="E407" t="inlineStr">
        <is>
          <t>ussd_funeral_leads_altitude_20260504</t>
        </is>
      </c>
      <c r="J407" t="inlineStr">
        <is>
          <t>ADC</t>
        </is>
      </c>
      <c r="K407" t="inlineStr">
        <is>
          <t>Auto Dial Disconnected</t>
        </is>
      </c>
      <c r="L407" t="n">
        <v>31</v>
      </c>
      <c r="M407" t="inlineStr">
        <is>
          <t>2026-05-26 09:33:48</t>
        </is>
      </c>
      <c r="N407" t="inlineStr">
        <is>
          <t>system</t>
        </is>
      </c>
      <c r="O407" t="inlineStr">
        <is>
          <t>2026-05-15 11:58:32</t>
        </is>
      </c>
      <c r="P407" t="inlineStr">
        <is>
          <t>2026-05-15 11:58:32</t>
        </is>
      </c>
      <c r="Y407" t="inlineStr">
        <is>
          <t>27607113290</t>
        </is>
      </c>
    </row>
    <row r="408">
      <c r="A408" t="inlineStr">
        <is>
          <t>14363188</t>
        </is>
      </c>
      <c r="B408" t="inlineStr">
        <is>
          <t>a56bf794-549f-4c69-a7be-39ee11dd734a</t>
        </is>
      </c>
      <c r="D408" t="inlineStr">
        <is>
          <t>30001082</t>
        </is>
      </c>
      <c r="E408" t="inlineStr">
        <is>
          <t>ussd_funeral_leads_altitude_20260504</t>
        </is>
      </c>
      <c r="J408" t="inlineStr">
        <is>
          <t>SELECTED</t>
        </is>
      </c>
      <c r="K408" t="inlineStr">
        <is>
          <t>Selected</t>
        </is>
      </c>
      <c r="L408" t="n">
        <v>24</v>
      </c>
      <c r="M408" t="inlineStr">
        <is>
          <t>2026-05-26 08:52:47</t>
        </is>
      </c>
      <c r="N408" t="inlineStr">
        <is>
          <t>system</t>
        </is>
      </c>
      <c r="O408" t="inlineStr">
        <is>
          <t>2026-05-15 11:58:32</t>
        </is>
      </c>
      <c r="P408" t="inlineStr">
        <is>
          <t>2026-05-15 11:58:32</t>
        </is>
      </c>
      <c r="Y408" t="inlineStr">
        <is>
          <t>27606866102</t>
        </is>
      </c>
    </row>
    <row r="409">
      <c r="A409" t="inlineStr">
        <is>
          <t>14363121</t>
        </is>
      </c>
      <c r="B409" t="inlineStr">
        <is>
          <t>c81a8374-2c25-4dae-95ac-57040ff91d95</t>
        </is>
      </c>
      <c r="D409" t="inlineStr">
        <is>
          <t>30001082</t>
        </is>
      </c>
      <c r="E409" t="inlineStr">
        <is>
          <t>ussd_funeral_leads_altitude_20260504</t>
        </is>
      </c>
      <c r="J409" t="inlineStr">
        <is>
          <t>ADC</t>
        </is>
      </c>
      <c r="K409" t="inlineStr">
        <is>
          <t>Auto Dial Disconnected</t>
        </is>
      </c>
      <c r="L409" t="n">
        <v>31</v>
      </c>
      <c r="M409" t="inlineStr">
        <is>
          <t>2026-05-26 07:33:39</t>
        </is>
      </c>
      <c r="N409" t="inlineStr">
        <is>
          <t>system</t>
        </is>
      </c>
      <c r="O409" t="inlineStr">
        <is>
          <t>2026-05-15 11:58:32</t>
        </is>
      </c>
      <c r="P409" t="inlineStr">
        <is>
          <t>2026-05-15 11:58:32</t>
        </is>
      </c>
      <c r="Y409" t="inlineStr">
        <is>
          <t>27712185497</t>
        </is>
      </c>
    </row>
    <row r="410">
      <c r="A410" t="inlineStr">
        <is>
          <t>14363097</t>
        </is>
      </c>
      <c r="B410" t="inlineStr">
        <is>
          <t>69625efa-70df-40a5-8d2f-31ce5354c318</t>
        </is>
      </c>
      <c r="D410" t="inlineStr">
        <is>
          <t>30001082</t>
        </is>
      </c>
      <c r="E410" t="inlineStr">
        <is>
          <t>ussd_funeral_leads_altitude_20260504</t>
        </is>
      </c>
      <c r="J410" t="inlineStr">
        <is>
          <t>ADC</t>
        </is>
      </c>
      <c r="K410" t="inlineStr">
        <is>
          <t>Auto Dial Disconnected</t>
        </is>
      </c>
      <c r="L410" t="n">
        <v>31</v>
      </c>
      <c r="M410" t="inlineStr">
        <is>
          <t>2026-05-26 07:33:39</t>
        </is>
      </c>
      <c r="N410" t="inlineStr">
        <is>
          <t>system</t>
        </is>
      </c>
      <c r="O410" t="inlineStr">
        <is>
          <t>2026-05-15 11:58:32</t>
        </is>
      </c>
      <c r="P410" t="inlineStr">
        <is>
          <t>2026-05-15 11:58:32</t>
        </is>
      </c>
      <c r="Y410" t="inlineStr">
        <is>
          <t>27674519140</t>
        </is>
      </c>
    </row>
    <row r="411">
      <c r="A411" t="inlineStr">
        <is>
          <t>14363062</t>
        </is>
      </c>
      <c r="B411" t="inlineStr">
        <is>
          <t>f6ebac55-cef4-4ac1-8fcd-e6fb2d654820</t>
        </is>
      </c>
      <c r="D411" t="inlineStr">
        <is>
          <t>30001082</t>
        </is>
      </c>
      <c r="E411" t="inlineStr">
        <is>
          <t>ussd_funeral_leads_altitude_20260504</t>
        </is>
      </c>
      <c r="J411" t="inlineStr">
        <is>
          <t>ADC</t>
        </is>
      </c>
      <c r="K411" t="inlineStr">
        <is>
          <t>Auto Dial Disconnected</t>
        </is>
      </c>
      <c r="L411" t="n">
        <v>31</v>
      </c>
      <c r="M411" t="inlineStr">
        <is>
          <t>2026-05-26 07:33:37</t>
        </is>
      </c>
      <c r="N411" t="inlineStr">
        <is>
          <t>system</t>
        </is>
      </c>
      <c r="O411" t="inlineStr">
        <is>
          <t>2026-05-15 11:58:32</t>
        </is>
      </c>
      <c r="P411" t="inlineStr">
        <is>
          <t>2026-05-15 11:58:32</t>
        </is>
      </c>
      <c r="Y411" t="inlineStr">
        <is>
          <t>27648153440</t>
        </is>
      </c>
    </row>
    <row r="412">
      <c r="A412" t="inlineStr">
        <is>
          <t>14363056</t>
        </is>
      </c>
      <c r="B412" t="inlineStr">
        <is>
          <t>f66cf7aa-3c00-495a-9c3f-a888f13d881c</t>
        </is>
      </c>
      <c r="D412" t="inlineStr">
        <is>
          <t>30001082</t>
        </is>
      </c>
      <c r="E412" t="inlineStr">
        <is>
          <t>ussd_funeral_leads_altitude_20260504</t>
        </is>
      </c>
      <c r="J412" t="inlineStr">
        <is>
          <t>ADC</t>
        </is>
      </c>
      <c r="K412" t="inlineStr">
        <is>
          <t>Auto Dial Disconnected</t>
        </is>
      </c>
      <c r="L412" t="n">
        <v>31</v>
      </c>
      <c r="M412" t="inlineStr">
        <is>
          <t>2026-05-26 07:33:36</t>
        </is>
      </c>
      <c r="N412" t="inlineStr">
        <is>
          <t>system</t>
        </is>
      </c>
      <c r="O412" t="inlineStr">
        <is>
          <t>2026-05-15 11:58:32</t>
        </is>
      </c>
      <c r="P412" t="inlineStr">
        <is>
          <t>2026-05-15 11:58:32</t>
        </is>
      </c>
      <c r="Y412" t="inlineStr">
        <is>
          <t>27797893600</t>
        </is>
      </c>
    </row>
    <row r="413">
      <c r="A413" t="inlineStr">
        <is>
          <t>14363021</t>
        </is>
      </c>
      <c r="B413" t="inlineStr">
        <is>
          <t>4a23ccc7-b91a-4d0b-9909-e03233153dfa</t>
        </is>
      </c>
      <c r="D413" t="inlineStr">
        <is>
          <t>30001082</t>
        </is>
      </c>
      <c r="E413" t="inlineStr">
        <is>
          <t>ussd_funeral_leads_altitude_20260504</t>
        </is>
      </c>
      <c r="J413" t="inlineStr">
        <is>
          <t>ADC</t>
        </is>
      </c>
      <c r="K413" t="inlineStr">
        <is>
          <t>Auto Dial Disconnected</t>
        </is>
      </c>
      <c r="L413" t="n">
        <v>31</v>
      </c>
      <c r="M413" t="inlineStr">
        <is>
          <t>2026-05-26 07:33:35</t>
        </is>
      </c>
      <c r="N413" t="inlineStr">
        <is>
          <t>system</t>
        </is>
      </c>
      <c r="O413" t="inlineStr">
        <is>
          <t>2026-05-15 11:58:32</t>
        </is>
      </c>
      <c r="P413" t="inlineStr">
        <is>
          <t>2026-05-15 11:58:32</t>
        </is>
      </c>
      <c r="Y413" t="inlineStr">
        <is>
          <t>27774468764</t>
        </is>
      </c>
    </row>
    <row r="414">
      <c r="A414" t="inlineStr">
        <is>
          <t>14363189</t>
        </is>
      </c>
      <c r="B414" t="inlineStr">
        <is>
          <t>66de8eaf-7e03-44d1-8f8a-fd59fa9648b0</t>
        </is>
      </c>
      <c r="D414" t="inlineStr">
        <is>
          <t>30001082</t>
        </is>
      </c>
      <c r="E414" t="inlineStr">
        <is>
          <t>ussd_funeral_leads_altitude_20260504</t>
        </is>
      </c>
      <c r="J414" t="inlineStr">
        <is>
          <t>ADC</t>
        </is>
      </c>
      <c r="K414" t="inlineStr">
        <is>
          <t>Auto Dial Disconnected</t>
        </is>
      </c>
      <c r="L414" t="n">
        <v>31</v>
      </c>
      <c r="M414" t="inlineStr">
        <is>
          <t>2026-05-26 07:33:35</t>
        </is>
      </c>
      <c r="N414" t="inlineStr">
        <is>
          <t>system</t>
        </is>
      </c>
      <c r="O414" t="inlineStr">
        <is>
          <t>2026-05-15 11:58:32</t>
        </is>
      </c>
      <c r="P414" t="inlineStr">
        <is>
          <t>2026-05-15 11:58:32</t>
        </is>
      </c>
      <c r="Y414" t="inlineStr">
        <is>
          <t>27797515656</t>
        </is>
      </c>
    </row>
    <row r="415">
      <c r="A415" t="inlineStr">
        <is>
          <t>14363209</t>
        </is>
      </c>
      <c r="B415" t="inlineStr">
        <is>
          <t>38c92e31-6f7e-4485-aacd-7729d4c8c27a</t>
        </is>
      </c>
      <c r="D415" t="inlineStr">
        <is>
          <t>30001082</t>
        </is>
      </c>
      <c r="E415" t="inlineStr">
        <is>
          <t>ussd_funeral_leads_altitude_20260504</t>
        </is>
      </c>
      <c r="J415" t="inlineStr">
        <is>
          <t>ADC</t>
        </is>
      </c>
      <c r="K415" t="inlineStr">
        <is>
          <t>Auto Dial Disconnected</t>
        </is>
      </c>
      <c r="L415" t="n">
        <v>31</v>
      </c>
      <c r="M415" t="inlineStr">
        <is>
          <t>2026-05-26 07:33:35</t>
        </is>
      </c>
      <c r="N415" t="inlineStr">
        <is>
          <t>system</t>
        </is>
      </c>
      <c r="O415" t="inlineStr">
        <is>
          <t>2026-05-15 11:58:32</t>
        </is>
      </c>
      <c r="P415" t="inlineStr">
        <is>
          <t>2026-05-15 11:58:32</t>
        </is>
      </c>
      <c r="Y415" t="inlineStr">
        <is>
          <t>27818518073</t>
        </is>
      </c>
    </row>
    <row r="416">
      <c r="A416" t="inlineStr">
        <is>
          <t>14363138</t>
        </is>
      </c>
      <c r="B416" t="inlineStr">
        <is>
          <t>cdaa465c-5ff2-47aa-8d02-d58c10959c7e</t>
        </is>
      </c>
      <c r="D416" t="inlineStr">
        <is>
          <t>30001082</t>
        </is>
      </c>
      <c r="E416" t="inlineStr">
        <is>
          <t>ussd_funeral_leads_altitude_20260504</t>
        </is>
      </c>
      <c r="J416" t="inlineStr">
        <is>
          <t>ADC</t>
        </is>
      </c>
      <c r="K416" t="inlineStr">
        <is>
          <t>Auto Dial Disconnected</t>
        </is>
      </c>
      <c r="L416" t="n">
        <v>31</v>
      </c>
      <c r="M416" t="inlineStr">
        <is>
          <t>2026-05-26 07:33:34</t>
        </is>
      </c>
      <c r="N416" t="inlineStr">
        <is>
          <t>system</t>
        </is>
      </c>
      <c r="O416" t="inlineStr">
        <is>
          <t>2026-05-15 11:58:32</t>
        </is>
      </c>
      <c r="P416" t="inlineStr">
        <is>
          <t>2026-05-15 11:58:32</t>
        </is>
      </c>
      <c r="Y416" t="inlineStr">
        <is>
          <t>27825719792</t>
        </is>
      </c>
    </row>
    <row r="417">
      <c r="A417" t="inlineStr">
        <is>
          <t>14363151</t>
        </is>
      </c>
      <c r="B417" t="inlineStr">
        <is>
          <t>6197ed75-2673-4924-b663-29e05dc414a1</t>
        </is>
      </c>
      <c r="D417" t="inlineStr">
        <is>
          <t>30001082</t>
        </is>
      </c>
      <c r="E417" t="inlineStr">
        <is>
          <t>ussd_funeral_leads_altitude_20260504</t>
        </is>
      </c>
      <c r="J417" t="inlineStr">
        <is>
          <t>ADC</t>
        </is>
      </c>
      <c r="K417" t="inlineStr">
        <is>
          <t>Auto Dial Disconnected</t>
        </is>
      </c>
      <c r="L417" t="n">
        <v>31</v>
      </c>
      <c r="M417" t="inlineStr">
        <is>
          <t>2026-05-26 07:33:34</t>
        </is>
      </c>
      <c r="N417" t="inlineStr">
        <is>
          <t>system</t>
        </is>
      </c>
      <c r="O417" t="inlineStr">
        <is>
          <t>2026-05-15 11:58:32</t>
        </is>
      </c>
      <c r="P417" t="inlineStr">
        <is>
          <t>2026-05-15 11:58:32</t>
        </is>
      </c>
      <c r="Y417" t="inlineStr">
        <is>
          <t>27712030768</t>
        </is>
      </c>
    </row>
    <row r="418">
      <c r="A418" t="inlineStr">
        <is>
          <t>14363156</t>
        </is>
      </c>
      <c r="B418" t="inlineStr">
        <is>
          <t>176dae98-d594-443d-b656-4eaebeb2ecb7</t>
        </is>
      </c>
      <c r="D418" t="inlineStr">
        <is>
          <t>30001082</t>
        </is>
      </c>
      <c r="E418" t="inlineStr">
        <is>
          <t>ussd_funeral_leads_altitude_20260504</t>
        </is>
      </c>
      <c r="J418" t="inlineStr">
        <is>
          <t>ADC</t>
        </is>
      </c>
      <c r="K418" t="inlineStr">
        <is>
          <t>Auto Dial Disconnected</t>
        </is>
      </c>
      <c r="L418" t="n">
        <v>31</v>
      </c>
      <c r="M418" t="inlineStr">
        <is>
          <t>2026-05-26 07:33:34</t>
        </is>
      </c>
      <c r="N418" t="inlineStr">
        <is>
          <t>system</t>
        </is>
      </c>
      <c r="O418" t="inlineStr">
        <is>
          <t>2026-05-15 11:58:32</t>
        </is>
      </c>
      <c r="P418" t="inlineStr">
        <is>
          <t>2026-05-15 11:58:32</t>
        </is>
      </c>
      <c r="Y418" t="inlineStr">
        <is>
          <t>27796550022</t>
        </is>
      </c>
    </row>
    <row r="419">
      <c r="A419" t="inlineStr">
        <is>
          <t>14363159</t>
        </is>
      </c>
      <c r="B419" t="inlineStr">
        <is>
          <t>34826cda-f98f-4569-b0e7-30aca640134b</t>
        </is>
      </c>
      <c r="D419" t="inlineStr">
        <is>
          <t>30001082</t>
        </is>
      </c>
      <c r="E419" t="inlineStr">
        <is>
          <t>ussd_funeral_leads_altitude_20260504</t>
        </is>
      </c>
      <c r="J419" t="inlineStr">
        <is>
          <t>ADC</t>
        </is>
      </c>
      <c r="K419" t="inlineStr">
        <is>
          <t>Auto Dial Disconnected</t>
        </is>
      </c>
      <c r="L419" t="n">
        <v>31</v>
      </c>
      <c r="M419" t="inlineStr">
        <is>
          <t>2026-05-26 07:33:34</t>
        </is>
      </c>
      <c r="N419" t="inlineStr">
        <is>
          <t>system</t>
        </is>
      </c>
      <c r="O419" t="inlineStr">
        <is>
          <t>2026-05-15 11:58:32</t>
        </is>
      </c>
      <c r="P419" t="inlineStr">
        <is>
          <t>2026-05-15 11:58:32</t>
        </is>
      </c>
      <c r="Y419" t="inlineStr">
        <is>
          <t>27792734462</t>
        </is>
      </c>
    </row>
    <row r="420">
      <c r="A420" t="inlineStr">
        <is>
          <t>14363185</t>
        </is>
      </c>
      <c r="B420" t="inlineStr">
        <is>
          <t>21e3e646-edbc-48c8-9ddc-cce85752f0df</t>
        </is>
      </c>
      <c r="D420" t="inlineStr">
        <is>
          <t>30001082</t>
        </is>
      </c>
      <c r="E420" t="inlineStr">
        <is>
          <t>ussd_funeral_leads_altitude_20260504</t>
        </is>
      </c>
      <c r="H420" t="inlineStr">
        <is>
          <t>27725200432</t>
        </is>
      </c>
      <c r="J420" t="inlineStr">
        <is>
          <t>ADC</t>
        </is>
      </c>
      <c r="K420" t="inlineStr">
        <is>
          <t>Auto Dial Disconnected</t>
        </is>
      </c>
      <c r="L420" t="n">
        <v>31</v>
      </c>
      <c r="M420" t="inlineStr">
        <is>
          <t>2026-05-26 07:33:34</t>
        </is>
      </c>
      <c r="N420" t="inlineStr">
        <is>
          <t>system</t>
        </is>
      </c>
      <c r="O420" t="inlineStr">
        <is>
          <t>2026-05-15 11:58:32</t>
        </is>
      </c>
      <c r="P420" t="inlineStr">
        <is>
          <t>2026-05-15 11:58:32</t>
        </is>
      </c>
      <c r="Y420" t="inlineStr">
        <is>
          <t>27725200432</t>
        </is>
      </c>
    </row>
    <row r="421">
      <c r="A421" t="inlineStr">
        <is>
          <t>14362963</t>
        </is>
      </c>
      <c r="B421" t="inlineStr">
        <is>
          <t>ca15fe00-d566-4cb4-9e06-621b33ca9d12</t>
        </is>
      </c>
      <c r="D421" t="inlineStr">
        <is>
          <t>30001082</t>
        </is>
      </c>
      <c r="E421" t="inlineStr">
        <is>
          <t>ussd_funeral_leads_altitude_20260504</t>
        </is>
      </c>
      <c r="J421" t="inlineStr">
        <is>
          <t>ADC</t>
        </is>
      </c>
      <c r="K421" t="inlineStr">
        <is>
          <t>Auto Dial Disconnected</t>
        </is>
      </c>
      <c r="L421" t="n">
        <v>31</v>
      </c>
      <c r="M421" t="inlineStr">
        <is>
          <t>2026-05-26 07:33:33</t>
        </is>
      </c>
      <c r="N421" t="inlineStr">
        <is>
          <t>system</t>
        </is>
      </c>
      <c r="O421" t="inlineStr">
        <is>
          <t>2026-05-15 11:58:32</t>
        </is>
      </c>
      <c r="P421" t="inlineStr">
        <is>
          <t>2026-05-15 11:58:32</t>
        </is>
      </c>
      <c r="Y421" t="inlineStr">
        <is>
          <t>27820523534</t>
        </is>
      </c>
    </row>
    <row r="422">
      <c r="A422" t="inlineStr">
        <is>
          <t>14363123</t>
        </is>
      </c>
      <c r="B422" t="inlineStr">
        <is>
          <t>34d7e2b3-c44e-42b3-904d-9be2127ec28c</t>
        </is>
      </c>
      <c r="D422" t="inlineStr">
        <is>
          <t>30001082</t>
        </is>
      </c>
      <c r="E422" t="inlineStr">
        <is>
          <t>ussd_funeral_leads_altitude_20260504</t>
        </is>
      </c>
      <c r="J422" t="inlineStr">
        <is>
          <t>ADC</t>
        </is>
      </c>
      <c r="K422" t="inlineStr">
        <is>
          <t>Auto Dial Disconnected</t>
        </is>
      </c>
      <c r="L422" t="n">
        <v>31</v>
      </c>
      <c r="M422" t="inlineStr">
        <is>
          <t>2026-05-26 07:33:33</t>
        </is>
      </c>
      <c r="N422" t="inlineStr">
        <is>
          <t>system</t>
        </is>
      </c>
      <c r="O422" t="inlineStr">
        <is>
          <t>2026-05-15 11:58:32</t>
        </is>
      </c>
      <c r="P422" t="inlineStr">
        <is>
          <t>2026-05-15 11:58:32</t>
        </is>
      </c>
      <c r="Y422" t="inlineStr">
        <is>
          <t>27763414285</t>
        </is>
      </c>
    </row>
    <row r="423">
      <c r="A423" t="inlineStr">
        <is>
          <t>14362955</t>
        </is>
      </c>
      <c r="B423" t="inlineStr">
        <is>
          <t>3d8b0b9d-aeee-4d79-8ef2-4b4ba8713a7d</t>
        </is>
      </c>
      <c r="D423" t="inlineStr">
        <is>
          <t>30001082</t>
        </is>
      </c>
      <c r="E423" t="inlineStr">
        <is>
          <t>ussd_funeral_leads_altitude_20260504</t>
        </is>
      </c>
      <c r="J423" t="inlineStr">
        <is>
          <t>ADC</t>
        </is>
      </c>
      <c r="K423" t="inlineStr">
        <is>
          <t>Auto Dial Disconnected</t>
        </is>
      </c>
      <c r="L423" t="n">
        <v>31</v>
      </c>
      <c r="M423" t="inlineStr">
        <is>
          <t>2026-05-26 07:33:32</t>
        </is>
      </c>
      <c r="N423" t="inlineStr">
        <is>
          <t>system</t>
        </is>
      </c>
      <c r="O423" t="inlineStr">
        <is>
          <t>2026-05-15 11:58:32</t>
        </is>
      </c>
      <c r="P423" t="inlineStr">
        <is>
          <t>2026-05-15 11:58:32</t>
        </is>
      </c>
      <c r="Y423" t="inlineStr">
        <is>
          <t>27769391601</t>
        </is>
      </c>
    </row>
    <row r="424">
      <c r="A424" t="inlineStr">
        <is>
          <t>14362948</t>
        </is>
      </c>
      <c r="B424" t="inlineStr">
        <is>
          <t>69ead44e-304f-496a-9578-dcbbf91fdd1a</t>
        </is>
      </c>
      <c r="D424" t="inlineStr">
        <is>
          <t>30001082</t>
        </is>
      </c>
      <c r="E424" t="inlineStr">
        <is>
          <t>ussd_funeral_leads_altitude_20260504</t>
        </is>
      </c>
      <c r="J424" t="inlineStr">
        <is>
          <t>ADC</t>
        </is>
      </c>
      <c r="K424" t="inlineStr">
        <is>
          <t>Auto Dial Disconnected</t>
        </is>
      </c>
      <c r="L424" t="n">
        <v>31</v>
      </c>
      <c r="M424" t="inlineStr">
        <is>
          <t>2026-05-26 07:33:31</t>
        </is>
      </c>
      <c r="N424" t="inlineStr">
        <is>
          <t>system</t>
        </is>
      </c>
      <c r="O424" t="inlineStr">
        <is>
          <t>2026-05-15 11:58:32</t>
        </is>
      </c>
      <c r="P424" t="inlineStr">
        <is>
          <t>2026-05-15 11:58:32</t>
        </is>
      </c>
      <c r="Y424" t="inlineStr">
        <is>
          <t>27764212320</t>
        </is>
      </c>
    </row>
    <row r="425">
      <c r="A425" t="inlineStr">
        <is>
          <t>14363106</t>
        </is>
      </c>
      <c r="B425" t="inlineStr">
        <is>
          <t>8ad8a665-a3b7-493c-886d-72efaf494355</t>
        </is>
      </c>
      <c r="D425" t="inlineStr">
        <is>
          <t>30001082</t>
        </is>
      </c>
      <c r="E425" t="inlineStr">
        <is>
          <t>ussd_funeral_leads_altitude_20260504</t>
        </is>
      </c>
      <c r="J425" t="inlineStr">
        <is>
          <t>ADC</t>
        </is>
      </c>
      <c r="K425" t="inlineStr">
        <is>
          <t>Auto Dial Disconnected</t>
        </is>
      </c>
      <c r="L425" t="n">
        <v>31</v>
      </c>
      <c r="M425" t="inlineStr">
        <is>
          <t>2026-05-26 07:33:30</t>
        </is>
      </c>
      <c r="N425" t="inlineStr">
        <is>
          <t>system</t>
        </is>
      </c>
      <c r="O425" t="inlineStr">
        <is>
          <t>2026-05-15 11:58:32</t>
        </is>
      </c>
      <c r="P425" t="inlineStr">
        <is>
          <t>2026-05-15 11:58:32</t>
        </is>
      </c>
      <c r="Y425" t="inlineStr">
        <is>
          <t>27828198156</t>
        </is>
      </c>
    </row>
    <row r="426">
      <c r="A426" t="inlineStr">
        <is>
          <t>14362985</t>
        </is>
      </c>
      <c r="B426" t="inlineStr">
        <is>
          <t>662532c3-e4c8-4587-adb5-e8573429e83b</t>
        </is>
      </c>
      <c r="D426" t="inlineStr">
        <is>
          <t>30001082</t>
        </is>
      </c>
      <c r="E426" t="inlineStr">
        <is>
          <t>ussd_funeral_leads_altitude_20260504</t>
        </is>
      </c>
      <c r="J426" t="inlineStr">
        <is>
          <t>ADC</t>
        </is>
      </c>
      <c r="K426" t="inlineStr">
        <is>
          <t>Auto Dial Disconnected</t>
        </is>
      </c>
      <c r="L426" t="n">
        <v>31</v>
      </c>
      <c r="M426" t="inlineStr">
        <is>
          <t>2026-05-26 07:33:30</t>
        </is>
      </c>
      <c r="N426" t="inlineStr">
        <is>
          <t>system</t>
        </is>
      </c>
      <c r="O426" t="inlineStr">
        <is>
          <t>2026-05-15 11:58:32</t>
        </is>
      </c>
      <c r="P426" t="inlineStr">
        <is>
          <t>2026-05-15 11:58:32</t>
        </is>
      </c>
      <c r="Y426" t="inlineStr">
        <is>
          <t>27606184917</t>
        </is>
      </c>
    </row>
    <row r="427">
      <c r="A427" t="inlineStr">
        <is>
          <t>14362995</t>
        </is>
      </c>
      <c r="B427" t="inlineStr">
        <is>
          <t>3eac5065-d04a-4081-b27f-fb5ee03d0602</t>
        </is>
      </c>
      <c r="D427" t="inlineStr">
        <is>
          <t>30001082</t>
        </is>
      </c>
      <c r="E427" t="inlineStr">
        <is>
          <t>ussd_funeral_leads_altitude_20260504</t>
        </is>
      </c>
      <c r="J427" t="inlineStr">
        <is>
          <t>ADC</t>
        </is>
      </c>
      <c r="K427" t="inlineStr">
        <is>
          <t>Auto Dial Disconnected</t>
        </is>
      </c>
      <c r="L427" t="n">
        <v>31</v>
      </c>
      <c r="M427" t="inlineStr">
        <is>
          <t>2026-05-26 07:33:30</t>
        </is>
      </c>
      <c r="N427" t="inlineStr">
        <is>
          <t>system</t>
        </is>
      </c>
      <c r="O427" t="inlineStr">
        <is>
          <t>2026-05-15 11:58:32</t>
        </is>
      </c>
      <c r="P427" t="inlineStr">
        <is>
          <t>2026-05-15 11:58:32</t>
        </is>
      </c>
      <c r="Y427" t="inlineStr">
        <is>
          <t>27715377202</t>
        </is>
      </c>
    </row>
    <row r="428">
      <c r="A428" t="inlineStr">
        <is>
          <t>14363008</t>
        </is>
      </c>
      <c r="B428" t="inlineStr">
        <is>
          <t>b6216bbe-7e1e-4c4a-b23a-e26e60c174f7</t>
        </is>
      </c>
      <c r="D428" t="inlineStr">
        <is>
          <t>30001082</t>
        </is>
      </c>
      <c r="E428" t="inlineStr">
        <is>
          <t>ussd_funeral_leads_altitude_20260504</t>
        </is>
      </c>
      <c r="J428" t="inlineStr">
        <is>
          <t>ADC</t>
        </is>
      </c>
      <c r="K428" t="inlineStr">
        <is>
          <t>Auto Dial Disconnected</t>
        </is>
      </c>
      <c r="L428" t="n">
        <v>31</v>
      </c>
      <c r="M428" t="inlineStr">
        <is>
          <t>2026-05-26 07:33:30</t>
        </is>
      </c>
      <c r="N428" t="inlineStr">
        <is>
          <t>system</t>
        </is>
      </c>
      <c r="O428" t="inlineStr">
        <is>
          <t>2026-05-15 11:58:32</t>
        </is>
      </c>
      <c r="P428" t="inlineStr">
        <is>
          <t>2026-05-15 11:58:32</t>
        </is>
      </c>
      <c r="Y428" t="inlineStr">
        <is>
          <t>27767959326</t>
        </is>
      </c>
    </row>
    <row r="429">
      <c r="A429" t="inlineStr">
        <is>
          <t>14362932</t>
        </is>
      </c>
      <c r="B429" t="inlineStr">
        <is>
          <t>91ae0736-9898-4669-b546-0e670b6721a7</t>
        </is>
      </c>
      <c r="D429" t="inlineStr">
        <is>
          <t>30001082</t>
        </is>
      </c>
      <c r="E429" t="inlineStr">
        <is>
          <t>ussd_funeral_leads_altitude_20260504</t>
        </is>
      </c>
      <c r="J429" t="inlineStr">
        <is>
          <t>ADC</t>
        </is>
      </c>
      <c r="K429" t="inlineStr">
        <is>
          <t>Auto Dial Disconnected</t>
        </is>
      </c>
      <c r="L429" t="n">
        <v>31</v>
      </c>
      <c r="M429" t="inlineStr">
        <is>
          <t>2026-05-26 07:33:30</t>
        </is>
      </c>
      <c r="N429" t="inlineStr">
        <is>
          <t>system</t>
        </is>
      </c>
      <c r="O429" t="inlineStr">
        <is>
          <t>2026-05-15 11:58:32</t>
        </is>
      </c>
      <c r="P429" t="inlineStr">
        <is>
          <t>2026-05-15 11:58:32</t>
        </is>
      </c>
      <c r="Y429" t="inlineStr">
        <is>
          <t>27607611543</t>
        </is>
      </c>
    </row>
    <row r="430">
      <c r="A430" t="inlineStr">
        <is>
          <t>14362969</t>
        </is>
      </c>
      <c r="B430" t="inlineStr">
        <is>
          <t>aeea070e-18d0-4b91-aa50-1e0d2b295ff9</t>
        </is>
      </c>
      <c r="D430" t="inlineStr">
        <is>
          <t>30001082</t>
        </is>
      </c>
      <c r="E430" t="inlineStr">
        <is>
          <t>ussd_funeral_leads_altitude_20260504</t>
        </is>
      </c>
      <c r="J430" t="inlineStr">
        <is>
          <t>ADC</t>
        </is>
      </c>
      <c r="K430" t="inlineStr">
        <is>
          <t>Auto Dial Disconnected</t>
        </is>
      </c>
      <c r="L430" t="n">
        <v>31</v>
      </c>
      <c r="M430" t="inlineStr">
        <is>
          <t>2026-05-26 07:32:55</t>
        </is>
      </c>
      <c r="N430" t="inlineStr">
        <is>
          <t>system</t>
        </is>
      </c>
      <c r="O430" t="inlineStr">
        <is>
          <t>2026-05-15 11:58:32</t>
        </is>
      </c>
      <c r="P430" t="inlineStr">
        <is>
          <t>2026-05-15 11:58:32</t>
        </is>
      </c>
      <c r="Y430" t="inlineStr">
        <is>
          <t>27763596622</t>
        </is>
      </c>
    </row>
    <row r="431">
      <c r="A431" t="inlineStr">
        <is>
          <t>14363143</t>
        </is>
      </c>
      <c r="B431" t="inlineStr">
        <is>
          <t>d4bfc035-b365-40ac-897e-de8aaecc2781</t>
        </is>
      </c>
      <c r="D431" t="inlineStr">
        <is>
          <t>30001082</t>
        </is>
      </c>
      <c r="E431" t="inlineStr">
        <is>
          <t>ussd_funeral_leads_altitude_20260504</t>
        </is>
      </c>
      <c r="J431" t="inlineStr">
        <is>
          <t>CUA</t>
        </is>
      </c>
      <c r="K431" t="inlineStr">
        <is>
          <t>Client Underage</t>
        </is>
      </c>
      <c r="L431" t="n">
        <v>24</v>
      </c>
      <c r="M431" t="inlineStr">
        <is>
          <t>2026-05-25 14:56:46</t>
        </is>
      </c>
      <c r="N431" t="inlineStr">
        <is>
          <t>Gontse Monageng</t>
        </is>
      </c>
      <c r="O431" t="inlineStr">
        <is>
          <t>2026-05-15 11:58:32</t>
        </is>
      </c>
      <c r="P431" t="inlineStr">
        <is>
          <t>2026-05-15 11:58:32</t>
        </is>
      </c>
      <c r="Y431" t="inlineStr">
        <is>
          <t>27608598868</t>
        </is>
      </c>
    </row>
    <row r="432">
      <c r="A432" t="inlineStr">
        <is>
          <t>14363436</t>
        </is>
      </c>
      <c r="B432" t="inlineStr">
        <is>
          <t>5ae2a7b4-9443-4ebc-aabc-34fb86029146</t>
        </is>
      </c>
      <c r="D432" t="inlineStr">
        <is>
          <t>30001082</t>
        </is>
      </c>
      <c r="E432" t="inlineStr">
        <is>
          <t>ussd_funeral_leads_altitude_20260504</t>
        </is>
      </c>
      <c r="J432" t="inlineStr">
        <is>
          <t>AF</t>
        </is>
      </c>
      <c r="K432" t="inlineStr">
        <is>
          <t>Cannot Afford</t>
        </is>
      </c>
      <c r="L432" t="n">
        <v>22</v>
      </c>
      <c r="M432" t="inlineStr">
        <is>
          <t>2026-05-25 14:55:27</t>
        </is>
      </c>
      <c r="N432" t="inlineStr">
        <is>
          <t>Virginia Letsatsi</t>
        </is>
      </c>
      <c r="O432" t="inlineStr">
        <is>
          <t>2026-05-15 11:58:32</t>
        </is>
      </c>
      <c r="P432" t="inlineStr">
        <is>
          <t>2026-05-15 11:58:32</t>
        </is>
      </c>
      <c r="Y432" t="inlineStr">
        <is>
          <t>27723595984</t>
        </is>
      </c>
    </row>
    <row r="433">
      <c r="A433" t="inlineStr">
        <is>
          <t>14363223</t>
        </is>
      </c>
      <c r="B433" t="inlineStr">
        <is>
          <t>5be77439-8a89-42a3-9600-d27804f834c3</t>
        </is>
      </c>
      <c r="D433" t="inlineStr">
        <is>
          <t>30001082</t>
        </is>
      </c>
      <c r="E433" t="inlineStr">
        <is>
          <t>ussd_funeral_leads_altitude_20260504</t>
        </is>
      </c>
      <c r="J433" t="inlineStr">
        <is>
          <t>AF</t>
        </is>
      </c>
      <c r="K433" t="inlineStr">
        <is>
          <t>Cannot Afford</t>
        </is>
      </c>
      <c r="L433" t="n">
        <v>21</v>
      </c>
      <c r="M433" t="inlineStr">
        <is>
          <t>2026-05-25 14:52:19</t>
        </is>
      </c>
      <c r="N433" t="inlineStr">
        <is>
          <t>Vuyiswa Nxumalo</t>
        </is>
      </c>
      <c r="O433" t="inlineStr">
        <is>
          <t>2026-05-15 11:58:32</t>
        </is>
      </c>
      <c r="P433" t="inlineStr">
        <is>
          <t>2026-05-15 11:58:32</t>
        </is>
      </c>
      <c r="Y433" t="inlineStr">
        <is>
          <t>27608109154</t>
        </is>
      </c>
    </row>
    <row r="434">
      <c r="A434" t="inlineStr">
        <is>
          <t>14362992</t>
        </is>
      </c>
      <c r="B434" t="inlineStr">
        <is>
          <t>c3d50c29-dc98-4692-bfdf-e091d6d47a11</t>
        </is>
      </c>
      <c r="D434" t="inlineStr">
        <is>
          <t>30001082</t>
        </is>
      </c>
      <c r="E434" t="inlineStr">
        <is>
          <t>ussd_funeral_leads_altitude_20260504</t>
        </is>
      </c>
      <c r="H434" t="inlineStr">
        <is>
          <t>27795596114</t>
        </is>
      </c>
      <c r="J434" t="inlineStr">
        <is>
          <t>NI</t>
        </is>
      </c>
      <c r="K434" t="inlineStr">
        <is>
          <t>Not Interested</t>
        </is>
      </c>
      <c r="L434" t="n">
        <v>28</v>
      </c>
      <c r="M434" t="inlineStr">
        <is>
          <t>2026-05-25 13:52:29</t>
        </is>
      </c>
      <c r="N434" t="inlineStr">
        <is>
          <t>Virginia Letsatsi</t>
        </is>
      </c>
      <c r="O434" t="inlineStr">
        <is>
          <t>2026-05-15 11:58:32</t>
        </is>
      </c>
      <c r="P434" t="inlineStr">
        <is>
          <t>2026-05-15 11:58:32</t>
        </is>
      </c>
      <c r="Y434" t="inlineStr">
        <is>
          <t>27795596114</t>
        </is>
      </c>
    </row>
    <row r="435">
      <c r="A435" t="inlineStr">
        <is>
          <t>14363488</t>
        </is>
      </c>
      <c r="B435" t="inlineStr">
        <is>
          <t>892c5e00-f066-40bb-9f82-ad5bd3ee4219</t>
        </is>
      </c>
      <c r="D435" t="inlineStr">
        <is>
          <t>30001082</t>
        </is>
      </c>
      <c r="E435" t="inlineStr">
        <is>
          <t>ussd_funeral_leads_altitude_20260504</t>
        </is>
      </c>
      <c r="J435" t="inlineStr">
        <is>
          <t>CBACK</t>
        </is>
      </c>
      <c r="K435" t="inlineStr">
        <is>
          <t>Callback</t>
        </is>
      </c>
      <c r="L435" t="n">
        <v>20</v>
      </c>
      <c r="M435" t="inlineStr">
        <is>
          <t>2026-05-25 10:50:43</t>
        </is>
      </c>
      <c r="N435" t="inlineStr">
        <is>
          <t>Gugulethu Duma</t>
        </is>
      </c>
      <c r="O435" t="inlineStr">
        <is>
          <t>2026-05-15 11:58:32</t>
        </is>
      </c>
      <c r="P435" t="inlineStr">
        <is>
          <t>2026-05-15 11:58:32</t>
        </is>
      </c>
      <c r="Y435" t="inlineStr">
        <is>
          <t>27636133637</t>
        </is>
      </c>
    </row>
    <row r="436">
      <c r="A436" t="inlineStr">
        <is>
          <t>14363095</t>
        </is>
      </c>
      <c r="B436" t="inlineStr">
        <is>
          <t>99aea698-4dbb-4c7e-9993-e57ca5629351</t>
        </is>
      </c>
      <c r="D436" t="inlineStr">
        <is>
          <t>30001082</t>
        </is>
      </c>
      <c r="E436" t="inlineStr">
        <is>
          <t>ussd_funeral_leads_altitude_20260504</t>
        </is>
      </c>
      <c r="J436" t="inlineStr">
        <is>
          <t>AF</t>
        </is>
      </c>
      <c r="K436" t="inlineStr">
        <is>
          <t>Cannot Afford</t>
        </is>
      </c>
      <c r="L436" t="n">
        <v>19</v>
      </c>
      <c r="M436" t="inlineStr">
        <is>
          <t>2026-05-25 10:47:03</t>
        </is>
      </c>
      <c r="N436" t="inlineStr">
        <is>
          <t>Gontse Monageng</t>
        </is>
      </c>
      <c r="O436" t="inlineStr">
        <is>
          <t>2026-05-15 11:58:32</t>
        </is>
      </c>
      <c r="P436" t="inlineStr">
        <is>
          <t>2026-05-15 11:58:32</t>
        </is>
      </c>
      <c r="Y436" t="inlineStr">
        <is>
          <t>27714172916</t>
        </is>
      </c>
    </row>
    <row r="437">
      <c r="A437" t="inlineStr">
        <is>
          <t>14362966</t>
        </is>
      </c>
      <c r="B437" t="inlineStr">
        <is>
          <t>b45f6650-e842-4bbd-bf1d-331eab1ff3d3</t>
        </is>
      </c>
      <c r="D437" t="inlineStr">
        <is>
          <t>30001082</t>
        </is>
      </c>
      <c r="E437" t="inlineStr">
        <is>
          <t>ussd_funeral_leads_altitude_20260504</t>
        </is>
      </c>
      <c r="J437" t="inlineStr">
        <is>
          <t>U</t>
        </is>
      </c>
      <c r="K437" t="inlineStr">
        <is>
          <t>Unemployed</t>
        </is>
      </c>
      <c r="L437" t="n">
        <v>20</v>
      </c>
      <c r="M437" t="inlineStr">
        <is>
          <t>2026-05-25 09:49:12</t>
        </is>
      </c>
      <c r="N437" t="inlineStr">
        <is>
          <t>Ayanda Masindane</t>
        </is>
      </c>
      <c r="O437" t="inlineStr">
        <is>
          <t>2026-05-15 11:58:32</t>
        </is>
      </c>
      <c r="P437" t="inlineStr">
        <is>
          <t>2026-05-15 11:58:32</t>
        </is>
      </c>
      <c r="Y437" t="inlineStr">
        <is>
          <t>27607183875</t>
        </is>
      </c>
    </row>
    <row r="438">
      <c r="A438" t="inlineStr">
        <is>
          <t>14363339</t>
        </is>
      </c>
      <c r="B438" t="inlineStr">
        <is>
          <t>77915d59-5842-4ef9-b076-304fa7ba7dce</t>
        </is>
      </c>
      <c r="D438" t="inlineStr">
        <is>
          <t>30001082</t>
        </is>
      </c>
      <c r="E438" t="inlineStr">
        <is>
          <t>ussd_funeral_leads_altitude_20260504</t>
        </is>
      </c>
      <c r="J438" t="inlineStr">
        <is>
          <t>CBACK</t>
        </is>
      </c>
      <c r="K438" t="inlineStr">
        <is>
          <t>Callback</t>
        </is>
      </c>
      <c r="L438" t="n">
        <v>26</v>
      </c>
      <c r="M438" t="inlineStr">
        <is>
          <t>2026-05-25 06:55:26</t>
        </is>
      </c>
      <c r="N438" t="inlineStr">
        <is>
          <t>Gontse Monageng</t>
        </is>
      </c>
      <c r="O438" t="inlineStr">
        <is>
          <t>2026-05-15 11:58:32</t>
        </is>
      </c>
      <c r="P438" t="inlineStr">
        <is>
          <t>2026-05-15 11:58:32</t>
        </is>
      </c>
      <c r="Y438" t="inlineStr">
        <is>
          <t>27663152444</t>
        </is>
      </c>
    </row>
    <row r="439">
      <c r="A439" t="inlineStr">
        <is>
          <t>14363387</t>
        </is>
      </c>
      <c r="B439" t="inlineStr">
        <is>
          <t>9612938a-203b-4019-b0c1-4908a2805c75</t>
        </is>
      </c>
      <c r="D439" t="inlineStr">
        <is>
          <t>30001082</t>
        </is>
      </c>
      <c r="E439" t="inlineStr">
        <is>
          <t>ussd_funeral_leads_altitude_20260504</t>
        </is>
      </c>
      <c r="J439" t="inlineStr">
        <is>
          <t>AF</t>
        </is>
      </c>
      <c r="K439" t="inlineStr">
        <is>
          <t>Cannot Afford</t>
        </is>
      </c>
      <c r="L439" t="n">
        <v>19</v>
      </c>
      <c r="M439" t="inlineStr">
        <is>
          <t>2026-05-25 06:46:11</t>
        </is>
      </c>
      <c r="N439" t="inlineStr">
        <is>
          <t>Fortunate Ndubane</t>
        </is>
      </c>
      <c r="O439" t="inlineStr">
        <is>
          <t>2026-05-15 11:58:32</t>
        </is>
      </c>
      <c r="P439" t="inlineStr">
        <is>
          <t>2026-05-15 11:58:32</t>
        </is>
      </c>
      <c r="Y439" t="inlineStr">
        <is>
          <t>27649924294</t>
        </is>
      </c>
    </row>
    <row r="440">
      <c r="A440" t="inlineStr">
        <is>
          <t>14363390</t>
        </is>
      </c>
      <c r="B440" t="inlineStr">
        <is>
          <t>2a72c8a8-c057-4bf6-aa8b-dde20414066d</t>
        </is>
      </c>
      <c r="D440" t="inlineStr">
        <is>
          <t>30001082</t>
        </is>
      </c>
      <c r="E440" t="inlineStr">
        <is>
          <t>ussd_funeral_leads_altitude_20260504</t>
        </is>
      </c>
      <c r="H440" t="inlineStr">
        <is>
          <t>27647716773</t>
        </is>
      </c>
      <c r="J440" t="inlineStr">
        <is>
          <t>LANG</t>
        </is>
      </c>
      <c r="K440" t="inlineStr">
        <is>
          <t>Language Barrier</t>
        </is>
      </c>
      <c r="L440" t="n">
        <v>19</v>
      </c>
      <c r="M440" t="inlineStr">
        <is>
          <t>2026-05-25 06:46:11</t>
        </is>
      </c>
      <c r="N440" t="inlineStr">
        <is>
          <t>Gugulethu Duma</t>
        </is>
      </c>
      <c r="O440" t="inlineStr">
        <is>
          <t>2026-05-15 11:58:32</t>
        </is>
      </c>
      <c r="P440" t="inlineStr">
        <is>
          <t>2026-05-15 11:58:32</t>
        </is>
      </c>
      <c r="Y440" t="inlineStr">
        <is>
          <t>27647716773</t>
        </is>
      </c>
    </row>
    <row r="441">
      <c r="A441" t="inlineStr">
        <is>
          <t>14363178</t>
        </is>
      </c>
      <c r="B441" t="inlineStr">
        <is>
          <t>384a9bec-1e5b-4b5f-9021-409f338e57ab</t>
        </is>
      </c>
      <c r="D441" t="inlineStr">
        <is>
          <t>30001082</t>
        </is>
      </c>
      <c r="E441" t="inlineStr">
        <is>
          <t>ussd_funeral_leads_altitude_20260504</t>
        </is>
      </c>
      <c r="J441" t="inlineStr">
        <is>
          <t>U</t>
        </is>
      </c>
      <c r="K441" t="inlineStr">
        <is>
          <t>Unemployed</t>
        </is>
      </c>
      <c r="L441" t="n">
        <v>7</v>
      </c>
      <c r="M441" t="inlineStr">
        <is>
          <t>2026-05-22 11:38:58</t>
        </is>
      </c>
      <c r="N441" t="inlineStr">
        <is>
          <t>Tebogo Chauke</t>
        </is>
      </c>
      <c r="O441" t="inlineStr">
        <is>
          <t>2026-05-15 11:58:32</t>
        </is>
      </c>
      <c r="P441" t="inlineStr">
        <is>
          <t>2026-05-15 11:58:32</t>
        </is>
      </c>
      <c r="Y441" t="inlineStr">
        <is>
          <t>27712668033</t>
        </is>
      </c>
    </row>
    <row r="442">
      <c r="A442" t="inlineStr">
        <is>
          <t>14363054</t>
        </is>
      </c>
      <c r="B442" t="inlineStr">
        <is>
          <t>2f4bc3ff-9f08-4f5d-bf4e-153d9b7c9afb</t>
        </is>
      </c>
      <c r="D442" t="inlineStr">
        <is>
          <t>30001082</t>
        </is>
      </c>
      <c r="E442" t="inlineStr">
        <is>
          <t>ussd_funeral_leads_altitude_20260504</t>
        </is>
      </c>
      <c r="J442" t="inlineStr">
        <is>
          <t>CBACK</t>
        </is>
      </c>
      <c r="K442" t="inlineStr">
        <is>
          <t>Callback</t>
        </is>
      </c>
      <c r="L442" t="n">
        <v>3</v>
      </c>
      <c r="M442" t="inlineStr">
        <is>
          <t>2026-05-22 11:34:43</t>
        </is>
      </c>
      <c r="N442" t="inlineStr">
        <is>
          <t>Tebogo Chauke</t>
        </is>
      </c>
      <c r="O442" t="inlineStr">
        <is>
          <t>2026-05-15 11:58:32</t>
        </is>
      </c>
      <c r="P442" t="inlineStr">
        <is>
          <t>2026-05-15 11:58:32</t>
        </is>
      </c>
      <c r="Y442" t="inlineStr">
        <is>
          <t>27829394141</t>
        </is>
      </c>
    </row>
    <row r="443">
      <c r="A443" t="inlineStr">
        <is>
          <t>14363148</t>
        </is>
      </c>
      <c r="B443" t="inlineStr">
        <is>
          <t>0dc7cac6-c79b-4945-ab52-83ba998fdd44</t>
        </is>
      </c>
      <c r="D443" t="inlineStr">
        <is>
          <t>30001082</t>
        </is>
      </c>
      <c r="E443" t="inlineStr">
        <is>
          <t>ussd_funeral_leads_altitude_20260504</t>
        </is>
      </c>
      <c r="H443" t="inlineStr">
        <is>
          <t>27729813410</t>
        </is>
      </c>
      <c r="J443" t="inlineStr">
        <is>
          <t>NI</t>
        </is>
      </c>
      <c r="K443" t="inlineStr">
        <is>
          <t>Not Interested</t>
        </is>
      </c>
      <c r="L443" t="n">
        <v>17</v>
      </c>
      <c r="M443" t="inlineStr">
        <is>
          <t>2026-05-22 10:37:30</t>
        </is>
      </c>
      <c r="N443" t="inlineStr">
        <is>
          <t>Fortunate Ndubane</t>
        </is>
      </c>
      <c r="O443" t="inlineStr">
        <is>
          <t>2026-05-15 11:58:32</t>
        </is>
      </c>
      <c r="P443" t="inlineStr">
        <is>
          <t>2026-05-15 11:58:32</t>
        </is>
      </c>
      <c r="Y443" t="inlineStr">
        <is>
          <t>27729813410</t>
        </is>
      </c>
    </row>
    <row r="444">
      <c r="A444" t="inlineStr">
        <is>
          <t>14363419</t>
        </is>
      </c>
      <c r="B444" t="inlineStr">
        <is>
          <t>9fddda1f-a736-4a66-a7f6-71ac2030db4c</t>
        </is>
      </c>
      <c r="D444" t="inlineStr">
        <is>
          <t>30001082</t>
        </is>
      </c>
      <c r="E444" t="inlineStr">
        <is>
          <t>ussd_funeral_leads_altitude_20260504</t>
        </is>
      </c>
      <c r="J444" t="inlineStr">
        <is>
          <t>QAVER</t>
        </is>
      </c>
      <c r="K444" t="inlineStr">
        <is>
          <t>Sale Made</t>
        </is>
      </c>
      <c r="L444" t="n">
        <v>19</v>
      </c>
      <c r="M444" t="inlineStr">
        <is>
          <t>2026-05-22 10:07:58</t>
        </is>
      </c>
      <c r="N444" t="inlineStr">
        <is>
          <t>Vuyiswa Nxumalo</t>
        </is>
      </c>
      <c r="O444" t="inlineStr">
        <is>
          <t>2026-05-15 11:58:32</t>
        </is>
      </c>
      <c r="P444" t="inlineStr">
        <is>
          <t>2026-05-15 11:58:32</t>
        </is>
      </c>
      <c r="Y444" t="inlineStr">
        <is>
          <t>27767582818</t>
        </is>
      </c>
    </row>
    <row r="445">
      <c r="A445" t="inlineStr">
        <is>
          <t>14400000</t>
        </is>
      </c>
      <c r="B445" t="inlineStr">
        <is>
          <t>5e2626f2-4c21-4bb3-8d28-53cabcd91bd3</t>
        </is>
      </c>
      <c r="D445" t="inlineStr">
        <is>
          <t>30001082</t>
        </is>
      </c>
      <c r="E445" t="inlineStr">
        <is>
          <t>ussd_funeral_leads_altitude_20260504</t>
        </is>
      </c>
      <c r="J445" t="inlineStr">
        <is>
          <t>EC</t>
        </is>
      </c>
      <c r="K445" t="inlineStr">
        <is>
          <t>Existing Client</t>
        </is>
      </c>
      <c r="L445" t="n">
        <v>14</v>
      </c>
      <c r="M445" t="inlineStr">
        <is>
          <t>2026-05-22 09:59:17</t>
        </is>
      </c>
      <c r="N445" t="inlineStr">
        <is>
          <t>Tebogo Chauke</t>
        </is>
      </c>
      <c r="O445" t="inlineStr">
        <is>
          <t>2026-05-15 11:58:32</t>
        </is>
      </c>
      <c r="P445" t="inlineStr">
        <is>
          <t>2026-05-15 11:58:32</t>
        </is>
      </c>
      <c r="Y445" t="inlineStr">
        <is>
          <t>27763449593</t>
        </is>
      </c>
    </row>
    <row r="446">
      <c r="A446" t="inlineStr">
        <is>
          <t>14363285</t>
        </is>
      </c>
      <c r="B446" t="inlineStr">
        <is>
          <t>17935f8c-ef1b-485a-add2-3762d3621fc8</t>
        </is>
      </c>
      <c r="D446" t="inlineStr">
        <is>
          <t>30001082</t>
        </is>
      </c>
      <c r="E446" t="inlineStr">
        <is>
          <t>ussd_funeral_leads_altitude_20260504</t>
        </is>
      </c>
      <c r="J446" t="inlineStr">
        <is>
          <t>LANG</t>
        </is>
      </c>
      <c r="K446" t="inlineStr">
        <is>
          <t>Language Barrier</t>
        </is>
      </c>
      <c r="L446" t="n">
        <v>17</v>
      </c>
      <c r="M446" t="inlineStr">
        <is>
          <t>2026-05-22 09:34:29</t>
        </is>
      </c>
      <c r="N446" t="inlineStr">
        <is>
          <t>Virginia Letsatsi</t>
        </is>
      </c>
      <c r="O446" t="inlineStr">
        <is>
          <t>2026-05-15 11:58:32</t>
        </is>
      </c>
      <c r="P446" t="inlineStr">
        <is>
          <t>2026-05-15 11:58:32</t>
        </is>
      </c>
      <c r="Y446" t="inlineStr">
        <is>
          <t>27796725190</t>
        </is>
      </c>
    </row>
    <row r="447">
      <c r="A447" t="inlineStr">
        <is>
          <t>14363392</t>
        </is>
      </c>
      <c r="B447" t="inlineStr">
        <is>
          <t>5aded6d6-273c-4502-958b-8a8d32b504fb</t>
        </is>
      </c>
      <c r="D447" t="inlineStr">
        <is>
          <t>30001082</t>
        </is>
      </c>
      <c r="E447" t="inlineStr">
        <is>
          <t>ussd_funeral_leads_altitude_20260504</t>
        </is>
      </c>
      <c r="J447" t="inlineStr">
        <is>
          <t>NI</t>
        </is>
      </c>
      <c r="K447" t="inlineStr">
        <is>
          <t>Not Interested</t>
        </is>
      </c>
      <c r="L447" t="n">
        <v>18</v>
      </c>
      <c r="M447" t="inlineStr">
        <is>
          <t>2026-05-22 08:39:30</t>
        </is>
      </c>
      <c r="N447" t="inlineStr">
        <is>
          <t>Goitsimang Mogwasa</t>
        </is>
      </c>
      <c r="O447" t="inlineStr">
        <is>
          <t>2026-05-15 11:58:32</t>
        </is>
      </c>
      <c r="P447" t="inlineStr">
        <is>
          <t>2026-05-15 11:58:32</t>
        </is>
      </c>
      <c r="Y447" t="inlineStr">
        <is>
          <t>27794402334</t>
        </is>
      </c>
    </row>
    <row r="448">
      <c r="A448" t="inlineStr">
        <is>
          <t>14363372</t>
        </is>
      </c>
      <c r="B448" t="inlineStr">
        <is>
          <t>81c8cc5a-979c-44c2-a28e-e385225fd880</t>
        </is>
      </c>
      <c r="D448" t="inlineStr">
        <is>
          <t>30001082</t>
        </is>
      </c>
      <c r="E448" t="inlineStr">
        <is>
          <t>ussd_funeral_leads_altitude_20260504</t>
        </is>
      </c>
      <c r="J448" t="inlineStr">
        <is>
          <t>U</t>
        </is>
      </c>
      <c r="K448" t="inlineStr">
        <is>
          <t>Unemployed</t>
        </is>
      </c>
      <c r="L448" t="n">
        <v>19</v>
      </c>
      <c r="M448" t="inlineStr">
        <is>
          <t>2026-05-22 07:41:21</t>
        </is>
      </c>
      <c r="N448" t="inlineStr">
        <is>
          <t>Virginia Letsatsi</t>
        </is>
      </c>
      <c r="O448" t="inlineStr">
        <is>
          <t>2026-05-15 11:58:32</t>
        </is>
      </c>
      <c r="P448" t="inlineStr">
        <is>
          <t>2026-05-15 11:58:32</t>
        </is>
      </c>
      <c r="Y448" t="inlineStr">
        <is>
          <t>27799865345</t>
        </is>
      </c>
    </row>
    <row r="449">
      <c r="A449" t="inlineStr">
        <is>
          <t>14362956</t>
        </is>
      </c>
      <c r="B449" t="inlineStr">
        <is>
          <t>3a31417d-4b89-4cee-be30-216d0c3a45ed</t>
        </is>
      </c>
      <c r="D449" t="inlineStr">
        <is>
          <t>30001082</t>
        </is>
      </c>
      <c r="E449" t="inlineStr">
        <is>
          <t>ussd_funeral_leads_altitude_20260504</t>
        </is>
      </c>
      <c r="H449" t="inlineStr">
        <is>
          <t>27673280721</t>
        </is>
      </c>
      <c r="J449" t="inlineStr">
        <is>
          <t>CBACK</t>
        </is>
      </c>
      <c r="K449" t="inlineStr">
        <is>
          <t>Callback</t>
        </is>
      </c>
      <c r="L449" t="n">
        <v>19</v>
      </c>
      <c r="M449" t="inlineStr">
        <is>
          <t>2026-05-22 06:44:15</t>
        </is>
      </c>
      <c r="N449" t="inlineStr">
        <is>
          <t>Gontse Monageng</t>
        </is>
      </c>
      <c r="O449" t="inlineStr">
        <is>
          <t>2026-05-15 11:58:32</t>
        </is>
      </c>
      <c r="P449" t="inlineStr">
        <is>
          <t>2026-05-15 11:58:32</t>
        </is>
      </c>
      <c r="Y449" t="inlineStr">
        <is>
          <t>27673280721</t>
        </is>
      </c>
    </row>
    <row r="450">
      <c r="A450" t="inlineStr">
        <is>
          <t>14363014</t>
        </is>
      </c>
      <c r="B450" t="inlineStr">
        <is>
          <t>088454bb-169b-4324-8b58-14aafae4428d</t>
        </is>
      </c>
      <c r="D450" t="inlineStr">
        <is>
          <t>30001082</t>
        </is>
      </c>
      <c r="E450" t="inlineStr">
        <is>
          <t>ussd_funeral_leads_altitude_20260504</t>
        </is>
      </c>
      <c r="J450" t="inlineStr">
        <is>
          <t>CUA</t>
        </is>
      </c>
      <c r="K450" t="inlineStr">
        <is>
          <t>Client Underage</t>
        </is>
      </c>
      <c r="L450" t="n">
        <v>20</v>
      </c>
      <c r="M450" t="inlineStr">
        <is>
          <t>2026-05-22 06:41:23</t>
        </is>
      </c>
      <c r="N450" t="inlineStr">
        <is>
          <t>Vuyiswa Nxumalo</t>
        </is>
      </c>
      <c r="O450" t="inlineStr">
        <is>
          <t>2026-05-15 11:58:32</t>
        </is>
      </c>
      <c r="P450" t="inlineStr">
        <is>
          <t>2026-05-15 11:58:32</t>
        </is>
      </c>
      <c r="Y450" t="inlineStr">
        <is>
          <t>27761166455</t>
        </is>
      </c>
    </row>
    <row r="451">
      <c r="A451" t="inlineStr">
        <is>
          <t>14363314</t>
        </is>
      </c>
      <c r="B451" t="inlineStr">
        <is>
          <t>fc106f9b-7364-40df-95ce-6a5673a99830</t>
        </is>
      </c>
      <c r="D451" t="inlineStr">
        <is>
          <t>30001082</t>
        </is>
      </c>
      <c r="E451" t="inlineStr">
        <is>
          <t>ussd_funeral_leads_altitude_20260504</t>
        </is>
      </c>
      <c r="J451" t="inlineStr">
        <is>
          <t>CBACK</t>
        </is>
      </c>
      <c r="K451" t="inlineStr">
        <is>
          <t>Callback</t>
        </is>
      </c>
      <c r="L451" t="n">
        <v>18</v>
      </c>
      <c r="M451" t="inlineStr">
        <is>
          <t>2026-05-22 06:39:51</t>
        </is>
      </c>
      <c r="N451" t="inlineStr">
        <is>
          <t>Gugulethu Duma</t>
        </is>
      </c>
      <c r="O451" t="inlineStr">
        <is>
          <t>2026-05-15 11:58:32</t>
        </is>
      </c>
      <c r="P451" t="inlineStr">
        <is>
          <t>2026-05-15 11:58:32</t>
        </is>
      </c>
      <c r="Y451" t="inlineStr">
        <is>
          <t>27649578722</t>
        </is>
      </c>
    </row>
    <row r="452">
      <c r="A452" t="inlineStr">
        <is>
          <t>14363089</t>
        </is>
      </c>
      <c r="B452" t="inlineStr">
        <is>
          <t>50f34bc6-1d96-4726-8dbe-32cd800e2263</t>
        </is>
      </c>
      <c r="D452" t="inlineStr">
        <is>
          <t>30001082</t>
        </is>
      </c>
      <c r="E452" t="inlineStr">
        <is>
          <t>ussd_funeral_leads_altitude_20260504</t>
        </is>
      </c>
      <c r="J452" t="inlineStr">
        <is>
          <t>CBACK</t>
        </is>
      </c>
      <c r="K452" t="inlineStr">
        <is>
          <t>Callback</t>
        </is>
      </c>
      <c r="L452" t="n">
        <v>17</v>
      </c>
      <c r="M452" t="inlineStr">
        <is>
          <t>2026-05-22 06:34:45</t>
        </is>
      </c>
      <c r="N452" t="inlineStr">
        <is>
          <t>Tebogo Chauke</t>
        </is>
      </c>
      <c r="O452" t="inlineStr">
        <is>
          <t>2026-05-15 11:58:32</t>
        </is>
      </c>
      <c r="P452" t="inlineStr">
        <is>
          <t>2026-05-15 11:58:32</t>
        </is>
      </c>
      <c r="Y452" t="inlineStr">
        <is>
          <t>27760188505</t>
        </is>
      </c>
    </row>
    <row r="453">
      <c r="A453" t="inlineStr">
        <is>
          <t>14362997</t>
        </is>
      </c>
      <c r="B453" t="inlineStr">
        <is>
          <t>8201d06a-d523-4b34-a387-01a31b75af9b</t>
        </is>
      </c>
      <c r="D453" t="inlineStr">
        <is>
          <t>30001082</t>
        </is>
      </c>
      <c r="E453" t="inlineStr">
        <is>
          <t>ussd_funeral_leads_altitude_20260504</t>
        </is>
      </c>
      <c r="J453" t="inlineStr">
        <is>
          <t>QA FIX</t>
        </is>
      </c>
      <c r="K453" t="inlineStr">
        <is>
          <t>QA Rework</t>
        </is>
      </c>
      <c r="L453" t="n">
        <v>11</v>
      </c>
      <c r="M453" t="inlineStr">
        <is>
          <t>2026-05-21 14:17:31</t>
        </is>
      </c>
      <c r="N453" t="inlineStr">
        <is>
          <t>Virginia Letsatsi</t>
        </is>
      </c>
      <c r="O453" t="inlineStr">
        <is>
          <t>2026-05-15 11:58:32</t>
        </is>
      </c>
      <c r="P453" t="inlineStr">
        <is>
          <t>2026-05-15 11:58:32</t>
        </is>
      </c>
      <c r="Y453" t="inlineStr">
        <is>
          <t>27721019361</t>
        </is>
      </c>
    </row>
    <row r="454">
      <c r="A454" t="inlineStr">
        <is>
          <t>14363239</t>
        </is>
      </c>
      <c r="B454" t="inlineStr">
        <is>
          <t>18452dc5-469a-41b6-8635-eb74d73bca4a</t>
        </is>
      </c>
      <c r="D454" t="inlineStr">
        <is>
          <t>30001082</t>
        </is>
      </c>
      <c r="E454" t="inlineStr">
        <is>
          <t>ussd_funeral_leads_altitude_20260504</t>
        </is>
      </c>
      <c r="J454" t="inlineStr">
        <is>
          <t>CBACK</t>
        </is>
      </c>
      <c r="K454" t="inlineStr">
        <is>
          <t>Callback</t>
        </is>
      </c>
      <c r="L454" t="n">
        <v>19</v>
      </c>
      <c r="M454" t="inlineStr">
        <is>
          <t>2026-05-21 14:09:08</t>
        </is>
      </c>
      <c r="N454" t="inlineStr">
        <is>
          <t>Gontse Monageng</t>
        </is>
      </c>
      <c r="O454" t="inlineStr">
        <is>
          <t>2026-05-15 11:58:32</t>
        </is>
      </c>
      <c r="P454" t="inlineStr">
        <is>
          <t>2026-05-15 11:58:32</t>
        </is>
      </c>
      <c r="Y454" t="inlineStr">
        <is>
          <t>27609694761</t>
        </is>
      </c>
    </row>
    <row r="455">
      <c r="A455" t="inlineStr">
        <is>
          <t>14362996</t>
        </is>
      </c>
      <c r="B455" t="inlineStr">
        <is>
          <t>ebd82598-7f61-4e83-a2e1-81431cd017b2</t>
        </is>
      </c>
      <c r="D455" t="inlineStr">
        <is>
          <t>30001082</t>
        </is>
      </c>
      <c r="E455" t="inlineStr">
        <is>
          <t>ussd_funeral_leads_altitude_20260504</t>
        </is>
      </c>
      <c r="J455" t="inlineStr">
        <is>
          <t>NI</t>
        </is>
      </c>
      <c r="K455" t="inlineStr">
        <is>
          <t>Not Interested</t>
        </is>
      </c>
      <c r="L455" t="n">
        <v>17</v>
      </c>
      <c r="M455" t="inlineStr">
        <is>
          <t>2026-05-21 13:46:41</t>
        </is>
      </c>
      <c r="N455" t="inlineStr">
        <is>
          <t>Goitsimang Mogwasa</t>
        </is>
      </c>
      <c r="O455" t="inlineStr">
        <is>
          <t>2026-05-15 11:58:32</t>
        </is>
      </c>
      <c r="P455" t="inlineStr">
        <is>
          <t>2026-05-15 11:58:32</t>
        </is>
      </c>
      <c r="Y455" t="inlineStr">
        <is>
          <t>27793814943</t>
        </is>
      </c>
    </row>
    <row r="456">
      <c r="A456" t="inlineStr">
        <is>
          <t>14363450</t>
        </is>
      </c>
      <c r="B456" t="inlineStr">
        <is>
          <t>0bd81505-dbcf-4c96-a65c-3fe416decfcc</t>
        </is>
      </c>
      <c r="D456" t="inlineStr">
        <is>
          <t>30001082</t>
        </is>
      </c>
      <c r="E456" t="inlineStr">
        <is>
          <t>ussd_funeral_leads_altitude_20260504</t>
        </is>
      </c>
      <c r="J456" t="inlineStr">
        <is>
          <t>QA FIX</t>
        </is>
      </c>
      <c r="K456" t="inlineStr">
        <is>
          <t>QA Rework</t>
        </is>
      </c>
      <c r="L456" t="n">
        <v>6</v>
      </c>
      <c r="M456" t="inlineStr">
        <is>
          <t>2026-05-21 13:46:25</t>
        </is>
      </c>
      <c r="N456" t="inlineStr">
        <is>
          <t>Tebogo Chauke</t>
        </is>
      </c>
      <c r="O456" t="inlineStr">
        <is>
          <t>2026-05-15 11:58:32</t>
        </is>
      </c>
      <c r="P456" t="inlineStr">
        <is>
          <t>2026-05-15 11:58:32</t>
        </is>
      </c>
      <c r="Y456" t="inlineStr">
        <is>
          <t>27724049835</t>
        </is>
      </c>
    </row>
    <row r="457">
      <c r="A457" t="inlineStr">
        <is>
          <t>14363425</t>
        </is>
      </c>
      <c r="B457" t="inlineStr">
        <is>
          <t>1f380ea1-caa2-475a-8821-2401c4f8d87a</t>
        </is>
      </c>
      <c r="D457" t="inlineStr">
        <is>
          <t>30001082</t>
        </is>
      </c>
      <c r="E457" t="inlineStr">
        <is>
          <t>ussd_funeral_leads_altitude_20260504</t>
        </is>
      </c>
      <c r="J457" t="inlineStr">
        <is>
          <t>NI</t>
        </is>
      </c>
      <c r="K457" t="inlineStr">
        <is>
          <t>Not Interested</t>
        </is>
      </c>
      <c r="L457" t="n">
        <v>16</v>
      </c>
      <c r="M457" t="inlineStr">
        <is>
          <t>2026-05-21 13:42:24</t>
        </is>
      </c>
      <c r="N457" t="inlineStr">
        <is>
          <t>Dimakatso Nkomo</t>
        </is>
      </c>
      <c r="O457" t="inlineStr">
        <is>
          <t>2026-05-15 11:58:32</t>
        </is>
      </c>
      <c r="P457" t="inlineStr">
        <is>
          <t>2026-05-15 11:58:32</t>
        </is>
      </c>
      <c r="Y457" t="inlineStr">
        <is>
          <t>27769339627</t>
        </is>
      </c>
    </row>
    <row r="458">
      <c r="A458" t="inlineStr">
        <is>
          <t>14362988</t>
        </is>
      </c>
      <c r="B458" t="inlineStr">
        <is>
          <t>86d24ac5-0d02-4a6a-bc86-e5152d8dec1d</t>
        </is>
      </c>
      <c r="D458" t="inlineStr">
        <is>
          <t>30001082</t>
        </is>
      </c>
      <c r="E458" t="inlineStr">
        <is>
          <t>ussd_funeral_leads_altitude_20260504</t>
        </is>
      </c>
      <c r="J458" t="inlineStr">
        <is>
          <t>NA</t>
        </is>
      </c>
      <c r="K458" t="inlineStr">
        <is>
          <t>No Answer Autodial</t>
        </is>
      </c>
      <c r="L458" t="n">
        <v>31</v>
      </c>
      <c r="M458" t="inlineStr">
        <is>
          <t>2026-05-21 13:32:49</t>
        </is>
      </c>
      <c r="N458" t="inlineStr">
        <is>
          <t>system</t>
        </is>
      </c>
      <c r="O458" t="inlineStr">
        <is>
          <t>2026-05-15 11:58:32</t>
        </is>
      </c>
      <c r="P458" t="inlineStr">
        <is>
          <t>2026-05-15 11:58:32</t>
        </is>
      </c>
      <c r="Y458" t="inlineStr">
        <is>
          <t>27824793648</t>
        </is>
      </c>
    </row>
    <row r="459">
      <c r="A459" t="inlineStr">
        <is>
          <t>14363307</t>
        </is>
      </c>
      <c r="B459" t="inlineStr">
        <is>
          <t>0260a3bb-58ec-45ed-a26b-b75d282cea2f</t>
        </is>
      </c>
      <c r="D459" t="inlineStr">
        <is>
          <t>30001082</t>
        </is>
      </c>
      <c r="E459" t="inlineStr">
        <is>
          <t>ussd_funeral_leads_altitude_20260504</t>
        </is>
      </c>
      <c r="J459" t="inlineStr">
        <is>
          <t>DNQS</t>
        </is>
      </c>
      <c r="K459" t="inlineStr">
        <is>
          <t>Does Not Qualify</t>
        </is>
      </c>
      <c r="L459" t="n">
        <v>16</v>
      </c>
      <c r="M459" t="inlineStr">
        <is>
          <t>2026-05-21 12:47:23</t>
        </is>
      </c>
      <c r="N459" t="inlineStr">
        <is>
          <t>Tebogo Chauke</t>
        </is>
      </c>
      <c r="O459" t="inlineStr">
        <is>
          <t>2026-05-15 11:58:32</t>
        </is>
      </c>
      <c r="P459" t="inlineStr">
        <is>
          <t>2026-05-15 11:58:32</t>
        </is>
      </c>
      <c r="Y459" t="inlineStr">
        <is>
          <t>27606106083</t>
        </is>
      </c>
    </row>
    <row r="460">
      <c r="A460" t="inlineStr">
        <is>
          <t>14363228</t>
        </is>
      </c>
      <c r="B460" t="inlineStr">
        <is>
          <t>9c82a63f-70c4-4c01-bebb-5b0aaaabe586</t>
        </is>
      </c>
      <c r="D460" t="inlineStr">
        <is>
          <t>30001082</t>
        </is>
      </c>
      <c r="E460" t="inlineStr">
        <is>
          <t>ussd_funeral_leads_altitude_20260504</t>
        </is>
      </c>
      <c r="J460" t="inlineStr">
        <is>
          <t>LANG</t>
        </is>
      </c>
      <c r="K460" t="inlineStr">
        <is>
          <t>Language Barrier</t>
        </is>
      </c>
      <c r="L460" t="n">
        <v>15</v>
      </c>
      <c r="M460" t="inlineStr">
        <is>
          <t>2026-05-21 10:40:23</t>
        </is>
      </c>
      <c r="N460" t="inlineStr">
        <is>
          <t>Gontse Monageng</t>
        </is>
      </c>
      <c r="O460" t="inlineStr">
        <is>
          <t>2026-05-15 11:58:32</t>
        </is>
      </c>
      <c r="P460" t="inlineStr">
        <is>
          <t>2026-05-15 11:58:32</t>
        </is>
      </c>
      <c r="Y460" t="inlineStr">
        <is>
          <t>27727479803</t>
        </is>
      </c>
    </row>
    <row r="461">
      <c r="A461" t="inlineStr">
        <is>
          <t>14363034</t>
        </is>
      </c>
      <c r="B461" t="inlineStr">
        <is>
          <t>f78a59b4-3b34-4053-86a3-892acb814ca7</t>
        </is>
      </c>
      <c r="D461" t="inlineStr">
        <is>
          <t>30001082</t>
        </is>
      </c>
      <c r="E461" t="inlineStr">
        <is>
          <t>ussd_funeral_leads_altitude_20260504</t>
        </is>
      </c>
      <c r="J461" t="inlineStr">
        <is>
          <t>NI</t>
        </is>
      </c>
      <c r="K461" t="inlineStr">
        <is>
          <t>Not Interested</t>
        </is>
      </c>
      <c r="L461" t="n">
        <v>13</v>
      </c>
      <c r="M461" t="inlineStr">
        <is>
          <t>2026-05-21 08:36:24</t>
        </is>
      </c>
      <c r="N461" t="inlineStr">
        <is>
          <t>Vhutshilo Marcia Ramapundu</t>
        </is>
      </c>
      <c r="O461" t="inlineStr">
        <is>
          <t>2026-05-15 11:58:32</t>
        </is>
      </c>
      <c r="P461" t="inlineStr">
        <is>
          <t>2026-05-15 11:58:32</t>
        </is>
      </c>
      <c r="Y461" t="inlineStr">
        <is>
          <t>27763567605</t>
        </is>
      </c>
    </row>
    <row r="462">
      <c r="A462" t="inlineStr">
        <is>
          <t>14363025</t>
        </is>
      </c>
      <c r="B462" t="inlineStr">
        <is>
          <t>0d7ea114-58ff-4d35-8e94-a0758ce2bc6c</t>
        </is>
      </c>
      <c r="D462" t="inlineStr">
        <is>
          <t>30001082</t>
        </is>
      </c>
      <c r="E462" t="inlineStr">
        <is>
          <t>ussd_funeral_leads_altitude_20260504</t>
        </is>
      </c>
      <c r="J462" t="inlineStr">
        <is>
          <t>AF</t>
        </is>
      </c>
      <c r="K462" t="inlineStr">
        <is>
          <t>Cannot Afford</t>
        </is>
      </c>
      <c r="L462" t="n">
        <v>16</v>
      </c>
      <c r="M462" t="inlineStr">
        <is>
          <t>2026-05-21 06:45:58</t>
        </is>
      </c>
      <c r="N462" t="inlineStr">
        <is>
          <t>Virginia Letsatsi</t>
        </is>
      </c>
      <c r="O462" t="inlineStr">
        <is>
          <t>2026-05-15 11:58:32</t>
        </is>
      </c>
      <c r="P462" t="inlineStr">
        <is>
          <t>2026-05-15 11:58:32</t>
        </is>
      </c>
      <c r="Y462" t="inlineStr">
        <is>
          <t>27793462188</t>
        </is>
      </c>
    </row>
    <row r="463">
      <c r="A463" t="inlineStr">
        <is>
          <t>14363010</t>
        </is>
      </c>
      <c r="B463" t="inlineStr">
        <is>
          <t>8d3ea4c2-c548-4ba3-bb10-733e24aaf568</t>
        </is>
      </c>
      <c r="D463" t="inlineStr">
        <is>
          <t>30001082</t>
        </is>
      </c>
      <c r="E463" t="inlineStr">
        <is>
          <t>ussd_funeral_leads_altitude_20260504</t>
        </is>
      </c>
      <c r="J463" t="inlineStr">
        <is>
          <t>CUA</t>
        </is>
      </c>
      <c r="K463" t="inlineStr">
        <is>
          <t>Client Underage</t>
        </is>
      </c>
      <c r="L463" t="n">
        <v>18</v>
      </c>
      <c r="M463" t="inlineStr">
        <is>
          <t>2026-05-20 14:54:16</t>
        </is>
      </c>
      <c r="N463" t="inlineStr">
        <is>
          <t>Goitsimang Mogwasa</t>
        </is>
      </c>
      <c r="O463" t="inlineStr">
        <is>
          <t>2026-05-15 11:58:32</t>
        </is>
      </c>
      <c r="P463" t="inlineStr">
        <is>
          <t>2026-05-15 11:58:32</t>
        </is>
      </c>
      <c r="Y463" t="inlineStr">
        <is>
          <t>27793137220</t>
        </is>
      </c>
    </row>
    <row r="464">
      <c r="A464" t="inlineStr">
        <is>
          <t>14363494</t>
        </is>
      </c>
      <c r="B464" t="inlineStr">
        <is>
          <t>f9490a41-5f6e-4851-b619-e70c4ad199d4</t>
        </is>
      </c>
      <c r="D464" t="inlineStr">
        <is>
          <t>30001082</t>
        </is>
      </c>
      <c r="E464" t="inlineStr">
        <is>
          <t>ussd_funeral_leads_altitude_20260504</t>
        </is>
      </c>
      <c r="J464" t="inlineStr">
        <is>
          <t>AF</t>
        </is>
      </c>
      <c r="K464" t="inlineStr">
        <is>
          <t>Cannot Afford</t>
        </is>
      </c>
      <c r="L464" t="n">
        <v>14</v>
      </c>
      <c r="M464" t="inlineStr">
        <is>
          <t>2026-05-20 14:46:30</t>
        </is>
      </c>
      <c r="N464" t="inlineStr">
        <is>
          <t>Ayanda Masindane</t>
        </is>
      </c>
      <c r="O464" t="inlineStr">
        <is>
          <t>2026-05-15 11:58:32</t>
        </is>
      </c>
      <c r="P464" t="inlineStr">
        <is>
          <t>2026-05-15 11:58:32</t>
        </is>
      </c>
      <c r="Y464" t="inlineStr">
        <is>
          <t>27761021505</t>
        </is>
      </c>
    </row>
    <row r="465">
      <c r="A465" t="inlineStr">
        <is>
          <t>14363233</t>
        </is>
      </c>
      <c r="B465" t="inlineStr">
        <is>
          <t>1cff7843-b535-405b-a5e3-dd1f12d307e0</t>
        </is>
      </c>
      <c r="D465" t="inlineStr">
        <is>
          <t>30001082</t>
        </is>
      </c>
      <c r="E465" t="inlineStr">
        <is>
          <t>ussd_funeral_leads_altitude_20260504</t>
        </is>
      </c>
      <c r="J465" t="inlineStr">
        <is>
          <t>EC</t>
        </is>
      </c>
      <c r="K465" t="inlineStr">
        <is>
          <t>Existing Client</t>
        </is>
      </c>
      <c r="L465" t="n">
        <v>13</v>
      </c>
      <c r="M465" t="inlineStr">
        <is>
          <t>2026-05-20 14:41:32</t>
        </is>
      </c>
      <c r="N465" t="inlineStr">
        <is>
          <t>Ayanda Masindane</t>
        </is>
      </c>
      <c r="O465" t="inlineStr">
        <is>
          <t>2026-05-15 11:58:32</t>
        </is>
      </c>
      <c r="P465" t="inlineStr">
        <is>
          <t>2026-05-15 11:58:32</t>
        </is>
      </c>
      <c r="Y465" t="inlineStr">
        <is>
          <t>27774738906</t>
        </is>
      </c>
    </row>
    <row r="466">
      <c r="A466" t="inlineStr">
        <is>
          <t>14363022</t>
        </is>
      </c>
      <c r="B466" t="inlineStr">
        <is>
          <t>2892c548-7c83-4c8a-b524-ef4885a1ebc6</t>
        </is>
      </c>
      <c r="D466" t="inlineStr">
        <is>
          <t>30001082</t>
        </is>
      </c>
      <c r="E466" t="inlineStr">
        <is>
          <t>ussd_funeral_leads_altitude_20260504</t>
        </is>
      </c>
      <c r="J466" t="inlineStr">
        <is>
          <t>AF</t>
        </is>
      </c>
      <c r="K466" t="inlineStr">
        <is>
          <t>Cannot Afford</t>
        </is>
      </c>
      <c r="L466" t="n">
        <v>12</v>
      </c>
      <c r="M466" t="inlineStr">
        <is>
          <t>2026-05-20 12:37:24</t>
        </is>
      </c>
      <c r="N466" t="inlineStr">
        <is>
          <t>Bongiwe Precious Cele</t>
        </is>
      </c>
      <c r="O466" t="inlineStr">
        <is>
          <t>2026-05-15 11:58:32</t>
        </is>
      </c>
      <c r="P466" t="inlineStr">
        <is>
          <t>2026-05-15 11:58:32</t>
        </is>
      </c>
      <c r="Y466" t="inlineStr">
        <is>
          <t>27825121757</t>
        </is>
      </c>
    </row>
    <row r="467">
      <c r="A467" t="inlineStr">
        <is>
          <t>14363118</t>
        </is>
      </c>
      <c r="B467" t="inlineStr">
        <is>
          <t>ecb55519-7fcf-4a5c-84d5-e0f5338112ee</t>
        </is>
      </c>
      <c r="D467" t="inlineStr">
        <is>
          <t>30001082</t>
        </is>
      </c>
      <c r="E467" t="inlineStr">
        <is>
          <t>ussd_funeral_leads_altitude_20260504</t>
        </is>
      </c>
      <c r="J467" t="inlineStr">
        <is>
          <t>QAVER</t>
        </is>
      </c>
      <c r="K467" t="inlineStr">
        <is>
          <t>Sale Made</t>
        </is>
      </c>
      <c r="L467" t="n">
        <v>15</v>
      </c>
      <c r="M467" t="inlineStr">
        <is>
          <t>2026-05-20 12:08:29</t>
        </is>
      </c>
      <c r="N467" t="inlineStr">
        <is>
          <t>Virginia Letsatsi</t>
        </is>
      </c>
      <c r="O467" t="inlineStr">
        <is>
          <t>2026-05-15 11:58:32</t>
        </is>
      </c>
      <c r="P467" t="inlineStr">
        <is>
          <t>2026-05-15 11:58:32</t>
        </is>
      </c>
      <c r="Y467" t="inlineStr">
        <is>
          <t>27674463912</t>
        </is>
      </c>
    </row>
    <row r="468">
      <c r="A468" t="inlineStr">
        <is>
          <t>14363366</t>
        </is>
      </c>
      <c r="B468" t="inlineStr">
        <is>
          <t>461e50ab-b4f4-4f2f-9740-da9de6ff5d4c</t>
        </is>
      </c>
      <c r="D468" t="inlineStr">
        <is>
          <t>30001082</t>
        </is>
      </c>
      <c r="E468" t="inlineStr">
        <is>
          <t>ussd_funeral_leads_altitude_20260504</t>
        </is>
      </c>
      <c r="J468" t="inlineStr">
        <is>
          <t>U</t>
        </is>
      </c>
      <c r="K468" t="inlineStr">
        <is>
          <t>Unemployed</t>
        </is>
      </c>
      <c r="L468" t="n">
        <v>15</v>
      </c>
      <c r="M468" t="inlineStr">
        <is>
          <t>2026-05-20 10:47:43</t>
        </is>
      </c>
      <c r="N468" t="inlineStr">
        <is>
          <t>Lebohang Mabotja</t>
        </is>
      </c>
      <c r="O468" t="inlineStr">
        <is>
          <t>2026-05-15 11:58:32</t>
        </is>
      </c>
      <c r="P468" t="inlineStr">
        <is>
          <t>2026-05-15 11:58:32</t>
        </is>
      </c>
      <c r="Y468" t="inlineStr">
        <is>
          <t>27724514832</t>
        </is>
      </c>
    </row>
    <row r="469">
      <c r="A469" t="inlineStr">
        <is>
          <t>14363042</t>
        </is>
      </c>
      <c r="B469" t="inlineStr">
        <is>
          <t>62c3d4f0-94ea-48f2-9c7b-497c852d875c</t>
        </is>
      </c>
      <c r="D469" t="inlineStr">
        <is>
          <t>30001082</t>
        </is>
      </c>
      <c r="E469" t="inlineStr">
        <is>
          <t>ussd_funeral_leads_altitude_20260504</t>
        </is>
      </c>
      <c r="J469" t="inlineStr">
        <is>
          <t>NI</t>
        </is>
      </c>
      <c r="K469" t="inlineStr">
        <is>
          <t>Not Interested</t>
        </is>
      </c>
      <c r="L469" t="n">
        <v>12</v>
      </c>
      <c r="M469" t="inlineStr">
        <is>
          <t>2026-05-20 10:36:35</t>
        </is>
      </c>
      <c r="N469" t="inlineStr">
        <is>
          <t>Jennifer Ngobeni</t>
        </is>
      </c>
      <c r="O469" t="inlineStr">
        <is>
          <t>2026-05-15 11:58:32</t>
        </is>
      </c>
      <c r="P469" t="inlineStr">
        <is>
          <t>2026-05-15 11:58:32</t>
        </is>
      </c>
      <c r="Y469" t="inlineStr">
        <is>
          <t>27663379329</t>
        </is>
      </c>
    </row>
    <row r="470">
      <c r="A470" t="inlineStr">
        <is>
          <t>14363082</t>
        </is>
      </c>
      <c r="B470" t="inlineStr">
        <is>
          <t>8cb8a8a2-7245-4ffc-b59f-fa7bf9e78118</t>
        </is>
      </c>
      <c r="D470" t="inlineStr">
        <is>
          <t>30001082</t>
        </is>
      </c>
      <c r="E470" t="inlineStr">
        <is>
          <t>ussd_funeral_leads_altitude_20260504</t>
        </is>
      </c>
      <c r="J470" t="inlineStr">
        <is>
          <t>U</t>
        </is>
      </c>
      <c r="K470" t="inlineStr">
        <is>
          <t>Unemployed</t>
        </is>
      </c>
      <c r="L470" t="n">
        <v>10</v>
      </c>
      <c r="M470" t="inlineStr">
        <is>
          <t>2026-05-20 08:58:01</t>
        </is>
      </c>
      <c r="N470" t="inlineStr">
        <is>
          <t>Virginia Letsatsi</t>
        </is>
      </c>
      <c r="O470" t="inlineStr">
        <is>
          <t>2026-05-15 11:58:32</t>
        </is>
      </c>
      <c r="P470" t="inlineStr">
        <is>
          <t>2026-05-15 11:58:32</t>
        </is>
      </c>
      <c r="Y470" t="inlineStr">
        <is>
          <t>27723376303</t>
        </is>
      </c>
    </row>
    <row r="471">
      <c r="A471" t="inlineStr">
        <is>
          <t>14363485</t>
        </is>
      </c>
      <c r="B471" t="inlineStr">
        <is>
          <t>a369ead6-db01-481f-8b13-96a59f492be2</t>
        </is>
      </c>
      <c r="D471" t="inlineStr">
        <is>
          <t>30001082</t>
        </is>
      </c>
      <c r="E471" t="inlineStr">
        <is>
          <t>ussd_funeral_leads_altitude_20260504</t>
        </is>
      </c>
      <c r="J471" t="inlineStr">
        <is>
          <t>AF</t>
        </is>
      </c>
      <c r="K471" t="inlineStr">
        <is>
          <t>Cannot Afford</t>
        </is>
      </c>
      <c r="L471" t="n">
        <v>12</v>
      </c>
      <c r="M471" t="inlineStr">
        <is>
          <t>2026-05-20 06:42:10</t>
        </is>
      </c>
      <c r="N471" t="inlineStr">
        <is>
          <t>Dimakatso Nkomo</t>
        </is>
      </c>
      <c r="O471" t="inlineStr">
        <is>
          <t>2026-05-15 11:58:32</t>
        </is>
      </c>
      <c r="P471" t="inlineStr">
        <is>
          <t>2026-05-15 11:58:32</t>
        </is>
      </c>
      <c r="Y471" t="inlineStr">
        <is>
          <t>27828619839</t>
        </is>
      </c>
    </row>
    <row r="472">
      <c r="A472" t="inlineStr">
        <is>
          <t>14363027</t>
        </is>
      </c>
      <c r="B472" t="inlineStr">
        <is>
          <t>9b53a206-e319-4bff-abd7-1f8af3d05467</t>
        </is>
      </c>
      <c r="D472" t="inlineStr">
        <is>
          <t>30001082</t>
        </is>
      </c>
      <c r="E472" t="inlineStr">
        <is>
          <t>ussd_funeral_leads_altitude_20260504</t>
        </is>
      </c>
      <c r="J472" t="inlineStr">
        <is>
          <t>CBACK</t>
        </is>
      </c>
      <c r="K472" t="inlineStr">
        <is>
          <t>Callback</t>
        </is>
      </c>
      <c r="L472" t="n">
        <v>11</v>
      </c>
      <c r="M472" t="inlineStr">
        <is>
          <t>2026-05-20 06:38:39</t>
        </is>
      </c>
      <c r="N472" t="inlineStr">
        <is>
          <t>Gugulethu Duma</t>
        </is>
      </c>
      <c r="O472" t="inlineStr">
        <is>
          <t>2026-05-15 11:58:32</t>
        </is>
      </c>
      <c r="P472" t="inlineStr">
        <is>
          <t>2026-05-15 11:58:32</t>
        </is>
      </c>
      <c r="Y472" t="inlineStr">
        <is>
          <t>27766298244</t>
        </is>
      </c>
    </row>
    <row r="473">
      <c r="A473" t="inlineStr">
        <is>
          <t>14362990</t>
        </is>
      </c>
      <c r="B473" t="inlineStr">
        <is>
          <t>a496f2a3-7ab9-457d-8cc7-060d08bbb921</t>
        </is>
      </c>
      <c r="D473" t="inlineStr">
        <is>
          <t>30001082</t>
        </is>
      </c>
      <c r="E473" t="inlineStr">
        <is>
          <t>ussd_funeral_leads_altitude_20260504</t>
        </is>
      </c>
      <c r="J473" t="inlineStr">
        <is>
          <t>NI</t>
        </is>
      </c>
      <c r="K473" t="inlineStr">
        <is>
          <t>Not Interested</t>
        </is>
      </c>
      <c r="L473" t="n">
        <v>10</v>
      </c>
      <c r="M473" t="inlineStr">
        <is>
          <t>2026-05-19 13:00:06</t>
        </is>
      </c>
      <c r="N473" t="inlineStr">
        <is>
          <t>Virginia Letsatsi</t>
        </is>
      </c>
      <c r="O473" t="inlineStr">
        <is>
          <t>2026-05-15 11:58:32</t>
        </is>
      </c>
      <c r="P473" t="inlineStr">
        <is>
          <t>2026-05-15 11:58:32</t>
        </is>
      </c>
      <c r="Y473" t="inlineStr">
        <is>
          <t>27764155829</t>
        </is>
      </c>
    </row>
    <row r="474">
      <c r="A474" t="inlineStr">
        <is>
          <t>14362978</t>
        </is>
      </c>
      <c r="B474" t="inlineStr">
        <is>
          <t>9530a2cd-9faa-4602-9340-238f2a57045a</t>
        </is>
      </c>
      <c r="D474" t="inlineStr">
        <is>
          <t>30001082</t>
        </is>
      </c>
      <c r="E474" t="inlineStr">
        <is>
          <t>ussd_funeral_leads_altitude_20260504</t>
        </is>
      </c>
      <c r="J474" t="inlineStr">
        <is>
          <t>DNQS</t>
        </is>
      </c>
      <c r="K474" t="inlineStr">
        <is>
          <t>Does Not Qualify</t>
        </is>
      </c>
      <c r="L474" t="n">
        <v>10</v>
      </c>
      <c r="M474" t="inlineStr">
        <is>
          <t>2026-05-19 13:00:03</t>
        </is>
      </c>
      <c r="N474" t="inlineStr">
        <is>
          <t>Sibongile Manyaka</t>
        </is>
      </c>
      <c r="O474" t="inlineStr">
        <is>
          <t>2026-05-15 11:58:32</t>
        </is>
      </c>
      <c r="P474" t="inlineStr">
        <is>
          <t>2026-05-15 11:58:32</t>
        </is>
      </c>
      <c r="Y474" t="inlineStr">
        <is>
          <t>27649155109</t>
        </is>
      </c>
    </row>
    <row r="475">
      <c r="A475" t="inlineStr">
        <is>
          <t>14363040</t>
        </is>
      </c>
      <c r="B475" t="inlineStr">
        <is>
          <t>e8a7466d-41ea-43d3-8cc2-743ac46ea978</t>
        </is>
      </c>
      <c r="D475" t="inlineStr">
        <is>
          <t>30001082</t>
        </is>
      </c>
      <c r="E475" t="inlineStr">
        <is>
          <t>ussd_funeral_leads_altitude_20260504</t>
        </is>
      </c>
      <c r="J475" t="inlineStr">
        <is>
          <t>CBACK</t>
        </is>
      </c>
      <c r="K475" t="inlineStr">
        <is>
          <t>Callback</t>
        </is>
      </c>
      <c r="L475" t="n">
        <v>10</v>
      </c>
      <c r="M475" t="inlineStr">
        <is>
          <t>2026-05-19 12:58:51</t>
        </is>
      </c>
      <c r="N475" t="inlineStr">
        <is>
          <t>Gugulethu Duma</t>
        </is>
      </c>
      <c r="O475" t="inlineStr">
        <is>
          <t>2026-05-15 11:58:32</t>
        </is>
      </c>
      <c r="P475" t="inlineStr">
        <is>
          <t>2026-05-15 11:58:32</t>
        </is>
      </c>
      <c r="Y475" t="inlineStr">
        <is>
          <t>27798642485</t>
        </is>
      </c>
    </row>
    <row r="476">
      <c r="A476" t="inlineStr">
        <is>
          <t>14363388</t>
        </is>
      </c>
      <c r="B476" t="inlineStr">
        <is>
          <t>e5fe4aa0-43be-4dfd-8197-7334728764cc</t>
        </is>
      </c>
      <c r="D476" t="inlineStr">
        <is>
          <t>30001082</t>
        </is>
      </c>
      <c r="E476" t="inlineStr">
        <is>
          <t>ussd_funeral_leads_altitude_20260504</t>
        </is>
      </c>
      <c r="J476" t="inlineStr">
        <is>
          <t>NI</t>
        </is>
      </c>
      <c r="K476" t="inlineStr">
        <is>
          <t>Not Interested</t>
        </is>
      </c>
      <c r="L476" t="n">
        <v>10</v>
      </c>
      <c r="M476" t="inlineStr">
        <is>
          <t>2026-05-19 12:58:40</t>
        </is>
      </c>
      <c r="N476" t="inlineStr">
        <is>
          <t>Bongiwe Precious Cele</t>
        </is>
      </c>
      <c r="O476" t="inlineStr">
        <is>
          <t>2026-05-15 11:58:32</t>
        </is>
      </c>
      <c r="P476" t="inlineStr">
        <is>
          <t>2026-05-15 11:58:32</t>
        </is>
      </c>
      <c r="Y476" t="inlineStr">
        <is>
          <t>27726509509</t>
        </is>
      </c>
    </row>
    <row r="477">
      <c r="A477" t="inlineStr">
        <is>
          <t>14363284</t>
        </is>
      </c>
      <c r="B477" t="inlineStr">
        <is>
          <t>ab08919b-878b-4442-9677-df867aed6b6d</t>
        </is>
      </c>
      <c r="D477" t="inlineStr">
        <is>
          <t>30001082</t>
        </is>
      </c>
      <c r="E477" t="inlineStr">
        <is>
          <t>ussd_funeral_leads_altitude_20260504</t>
        </is>
      </c>
      <c r="J477" t="inlineStr">
        <is>
          <t>LANG</t>
        </is>
      </c>
      <c r="K477" t="inlineStr">
        <is>
          <t>Language Barrier</t>
        </is>
      </c>
      <c r="L477" t="n">
        <v>7</v>
      </c>
      <c r="M477" t="inlineStr">
        <is>
          <t>2026-05-19 12:55:25</t>
        </is>
      </c>
      <c r="N477" t="inlineStr">
        <is>
          <t>Lebohang Mabotja</t>
        </is>
      </c>
      <c r="O477" t="inlineStr">
        <is>
          <t>2026-05-15 11:58:32</t>
        </is>
      </c>
      <c r="P477" t="inlineStr">
        <is>
          <t>2026-05-15 11:58:32</t>
        </is>
      </c>
      <c r="Y477" t="inlineStr">
        <is>
          <t>27765552568</t>
        </is>
      </c>
    </row>
    <row r="478">
      <c r="A478" t="inlineStr">
        <is>
          <t>14362979</t>
        </is>
      </c>
      <c r="B478" t="inlineStr">
        <is>
          <t>94554535-2f23-4c8c-a336-d248837ee56c</t>
        </is>
      </c>
      <c r="D478" t="inlineStr">
        <is>
          <t>30001082</t>
        </is>
      </c>
      <c r="E478" t="inlineStr">
        <is>
          <t>ussd_funeral_leads_altitude_20260504</t>
        </is>
      </c>
      <c r="J478" t="inlineStr">
        <is>
          <t>CBACK</t>
        </is>
      </c>
      <c r="K478" t="inlineStr">
        <is>
          <t>Callback</t>
        </is>
      </c>
      <c r="L478" t="n">
        <v>9</v>
      </c>
      <c r="M478" t="inlineStr">
        <is>
          <t>2026-05-19 12:33:21</t>
        </is>
      </c>
      <c r="N478" t="inlineStr">
        <is>
          <t>Tebogo Chauke</t>
        </is>
      </c>
      <c r="O478" t="inlineStr">
        <is>
          <t>2026-05-15 11:58:32</t>
        </is>
      </c>
      <c r="P478" t="inlineStr">
        <is>
          <t>2026-05-15 11:58:32</t>
        </is>
      </c>
      <c r="Y478" t="inlineStr">
        <is>
          <t>27822376720</t>
        </is>
      </c>
    </row>
    <row r="479">
      <c r="A479" t="inlineStr">
        <is>
          <t>14363018</t>
        </is>
      </c>
      <c r="B479" t="inlineStr">
        <is>
          <t>3a380b1e-11e1-4aed-a8c9-942f2c978a79</t>
        </is>
      </c>
      <c r="D479" t="inlineStr">
        <is>
          <t>30001082</t>
        </is>
      </c>
      <c r="E479" t="inlineStr">
        <is>
          <t>ussd_funeral_leads_altitude_20260504</t>
        </is>
      </c>
      <c r="H479" t="inlineStr">
        <is>
          <t>27793346331</t>
        </is>
      </c>
      <c r="J479" t="inlineStr">
        <is>
          <t>CBACK</t>
        </is>
      </c>
      <c r="K479" t="inlineStr">
        <is>
          <t>Callback</t>
        </is>
      </c>
      <c r="L479" t="n">
        <v>9</v>
      </c>
      <c r="M479" t="inlineStr">
        <is>
          <t>2026-05-19 12:32:59</t>
        </is>
      </c>
      <c r="N479" t="inlineStr">
        <is>
          <t>Gontse Monageng</t>
        </is>
      </c>
      <c r="O479" t="inlineStr">
        <is>
          <t>2026-05-15 11:58:32</t>
        </is>
      </c>
      <c r="P479" t="inlineStr">
        <is>
          <t>2026-05-15 11:58:32</t>
        </is>
      </c>
      <c r="Y479" t="inlineStr">
        <is>
          <t>27793346331</t>
        </is>
      </c>
    </row>
    <row r="480">
      <c r="A480" t="inlineStr">
        <is>
          <t>14363352</t>
        </is>
      </c>
      <c r="B480" t="inlineStr">
        <is>
          <t>617be34f-b97b-4034-a3eb-0eacd759b4a2</t>
        </is>
      </c>
      <c r="D480" t="inlineStr">
        <is>
          <t>30001082</t>
        </is>
      </c>
      <c r="E480" t="inlineStr">
        <is>
          <t>ussd_funeral_leads_altitude_20260504</t>
        </is>
      </c>
      <c r="J480" t="inlineStr">
        <is>
          <t>DNCMEDIA</t>
        </is>
      </c>
      <c r="K480" t="inlineStr">
        <is>
          <t>DNCMEDIA</t>
        </is>
      </c>
      <c r="L480" t="n">
        <v>9</v>
      </c>
      <c r="M480" t="inlineStr">
        <is>
          <t>2026-05-19 12:31:52</t>
        </is>
      </c>
      <c r="N480" t="inlineStr">
        <is>
          <t>Ayanda Masindane</t>
        </is>
      </c>
      <c r="O480" t="inlineStr">
        <is>
          <t>2026-05-15 11:58:32</t>
        </is>
      </c>
      <c r="P480" t="inlineStr">
        <is>
          <t>2026-05-15 11:58:32</t>
        </is>
      </c>
      <c r="Y480" t="inlineStr">
        <is>
          <t>27764261194</t>
        </is>
      </c>
    </row>
    <row r="481">
      <c r="A481" t="inlineStr">
        <is>
          <t>14363249</t>
        </is>
      </c>
      <c r="B481" t="inlineStr">
        <is>
          <t>6306bae2-3d41-415a-8771-11e92401ce3f</t>
        </is>
      </c>
      <c r="D481" t="inlineStr">
        <is>
          <t>30001082</t>
        </is>
      </c>
      <c r="E481" t="inlineStr">
        <is>
          <t>ussd_funeral_leads_altitude_20260504</t>
        </is>
      </c>
      <c r="J481" t="inlineStr">
        <is>
          <t>CBACK</t>
        </is>
      </c>
      <c r="K481" t="inlineStr">
        <is>
          <t>Callback</t>
        </is>
      </c>
      <c r="L481" t="n">
        <v>9</v>
      </c>
      <c r="M481" t="inlineStr">
        <is>
          <t>2026-05-19 12:31:27</t>
        </is>
      </c>
      <c r="N481" t="inlineStr">
        <is>
          <t>Gugulethu Duma</t>
        </is>
      </c>
      <c r="O481" t="inlineStr">
        <is>
          <t>2026-05-15 11:58:32</t>
        </is>
      </c>
      <c r="P481" t="inlineStr">
        <is>
          <t>2026-05-15 11:58:32</t>
        </is>
      </c>
      <c r="Y481" t="inlineStr">
        <is>
          <t>27608136868</t>
        </is>
      </c>
    </row>
    <row r="482">
      <c r="A482" t="inlineStr">
        <is>
          <t>14363332</t>
        </is>
      </c>
      <c r="B482" t="inlineStr">
        <is>
          <t>546b84bb-1a9f-4ba3-8da3-8fc962d45c12</t>
        </is>
      </c>
      <c r="D482" t="inlineStr">
        <is>
          <t>30001082</t>
        </is>
      </c>
      <c r="E482" t="inlineStr">
        <is>
          <t>ussd_funeral_leads_altitude_20260504</t>
        </is>
      </c>
      <c r="J482" t="inlineStr">
        <is>
          <t>NI</t>
        </is>
      </c>
      <c r="K482" t="inlineStr">
        <is>
          <t>Not Interested</t>
        </is>
      </c>
      <c r="L482" t="n">
        <v>9</v>
      </c>
      <c r="M482" t="inlineStr">
        <is>
          <t>2026-05-19 12:19:48</t>
        </is>
      </c>
      <c r="N482" t="inlineStr">
        <is>
          <t>Fortunate Ndubane</t>
        </is>
      </c>
      <c r="O482" t="inlineStr">
        <is>
          <t>2026-05-15 11:58:32</t>
        </is>
      </c>
      <c r="P482" t="inlineStr">
        <is>
          <t>2026-05-15 11:58:32</t>
        </is>
      </c>
      <c r="Y482" t="inlineStr">
        <is>
          <t>27764805756</t>
        </is>
      </c>
    </row>
    <row r="483">
      <c r="A483" t="inlineStr">
        <is>
          <t>14363440</t>
        </is>
      </c>
      <c r="B483" t="inlineStr">
        <is>
          <t>67f2d5b6-79ae-46a7-a181-3fc5fcc18f5f</t>
        </is>
      </c>
      <c r="D483" t="inlineStr">
        <is>
          <t>30001082</t>
        </is>
      </c>
      <c r="E483" t="inlineStr">
        <is>
          <t>ussd_funeral_leads_altitude_20260504</t>
        </is>
      </c>
      <c r="H483" t="inlineStr">
        <is>
          <t>27791199825</t>
        </is>
      </c>
      <c r="J483" t="inlineStr">
        <is>
          <t>DNQS</t>
        </is>
      </c>
      <c r="K483" t="inlineStr">
        <is>
          <t>Does Not Qualify</t>
        </is>
      </c>
      <c r="L483" t="n">
        <v>10</v>
      </c>
      <c r="M483" t="inlineStr">
        <is>
          <t>2026-05-19 11:33:57</t>
        </is>
      </c>
      <c r="N483" t="inlineStr">
        <is>
          <t>Bongiwe Precious Cele</t>
        </is>
      </c>
      <c r="O483" t="inlineStr">
        <is>
          <t>2026-05-15 11:58:32</t>
        </is>
      </c>
      <c r="P483" t="inlineStr">
        <is>
          <t>2026-05-15 11:58:32</t>
        </is>
      </c>
      <c r="Y483" t="inlineStr">
        <is>
          <t>27791199825</t>
        </is>
      </c>
    </row>
    <row r="484">
      <c r="A484" t="inlineStr">
        <is>
          <t>14362977</t>
        </is>
      </c>
      <c r="B484" t="inlineStr">
        <is>
          <t>0636034e-9ece-4d14-903e-51c53d727abd</t>
        </is>
      </c>
      <c r="D484" t="inlineStr">
        <is>
          <t>30001082</t>
        </is>
      </c>
      <c r="E484" t="inlineStr">
        <is>
          <t>ussd_funeral_leads_altitude_20260504</t>
        </is>
      </c>
      <c r="J484" t="inlineStr">
        <is>
          <t>QAVER</t>
        </is>
      </c>
      <c r="K484" t="inlineStr">
        <is>
          <t>Sale Made</t>
        </is>
      </c>
      <c r="L484" t="n">
        <v>10</v>
      </c>
      <c r="M484" t="inlineStr">
        <is>
          <t>2026-05-19 11:33:25</t>
        </is>
      </c>
      <c r="N484" t="inlineStr">
        <is>
          <t>Goitsimang Mogwasa</t>
        </is>
      </c>
      <c r="O484" t="inlineStr">
        <is>
          <t>2026-05-15 11:58:32</t>
        </is>
      </c>
      <c r="P484" t="inlineStr">
        <is>
          <t>2026-05-15 11:58:32</t>
        </is>
      </c>
      <c r="Y484" t="inlineStr">
        <is>
          <t>27766615595</t>
        </is>
      </c>
    </row>
    <row r="485">
      <c r="A485" t="inlineStr">
        <is>
          <t>14362964</t>
        </is>
      </c>
      <c r="B485" t="inlineStr">
        <is>
          <t>208702b9-1a59-4ba3-bda4-6d66c103ab72</t>
        </is>
      </c>
      <c r="D485" t="inlineStr">
        <is>
          <t>30001082</t>
        </is>
      </c>
      <c r="E485" t="inlineStr">
        <is>
          <t>ussd_funeral_leads_altitude_20260504</t>
        </is>
      </c>
      <c r="J485" t="inlineStr">
        <is>
          <t>U</t>
        </is>
      </c>
      <c r="K485" t="inlineStr">
        <is>
          <t>Unemployed</t>
        </is>
      </c>
      <c r="L485" t="n">
        <v>8</v>
      </c>
      <c r="M485" t="inlineStr">
        <is>
          <t>2026-05-19 11:29:54</t>
        </is>
      </c>
      <c r="N485" t="inlineStr">
        <is>
          <t>Lebohang Mabotja</t>
        </is>
      </c>
      <c r="O485" t="inlineStr">
        <is>
          <t>2026-05-15 11:58:32</t>
        </is>
      </c>
      <c r="P485" t="inlineStr">
        <is>
          <t>2026-05-15 11:58:32</t>
        </is>
      </c>
      <c r="Y485" t="inlineStr">
        <is>
          <t>27825809118</t>
        </is>
      </c>
    </row>
    <row r="486">
      <c r="A486" t="inlineStr">
        <is>
          <t>14363219</t>
        </is>
      </c>
      <c r="B486" t="inlineStr">
        <is>
          <t>1968d552-408d-4dce-a4b4-fc84dcf210b4</t>
        </is>
      </c>
      <c r="D486" t="inlineStr">
        <is>
          <t>30001082</t>
        </is>
      </c>
      <c r="E486" t="inlineStr">
        <is>
          <t>ussd_funeral_leads_altitude_20260504</t>
        </is>
      </c>
      <c r="J486" t="inlineStr">
        <is>
          <t>CUA</t>
        </is>
      </c>
      <c r="K486" t="inlineStr">
        <is>
          <t>Client Underage</t>
        </is>
      </c>
      <c r="L486" t="n">
        <v>8</v>
      </c>
      <c r="M486" t="inlineStr">
        <is>
          <t>2026-05-19 11:28:09</t>
        </is>
      </c>
      <c r="N486" t="inlineStr">
        <is>
          <t>Goitsimang Mogwasa</t>
        </is>
      </c>
      <c r="O486" t="inlineStr">
        <is>
          <t>2026-05-15 11:58:32</t>
        </is>
      </c>
      <c r="P486" t="inlineStr">
        <is>
          <t>2026-05-15 11:58:32</t>
        </is>
      </c>
      <c r="Y486" t="inlineStr">
        <is>
          <t>27714456609</t>
        </is>
      </c>
    </row>
    <row r="487">
      <c r="A487" t="inlineStr">
        <is>
          <t>14363484</t>
        </is>
      </c>
      <c r="B487" t="inlineStr">
        <is>
          <t>fcc4f58a-b9b1-4b3d-9217-d480095cba2b</t>
        </is>
      </c>
      <c r="D487" t="inlineStr">
        <is>
          <t>30001082</t>
        </is>
      </c>
      <c r="E487" t="inlineStr">
        <is>
          <t>ussd_funeral_leads_altitude_20260504</t>
        </is>
      </c>
      <c r="J487" t="inlineStr">
        <is>
          <t>CBACK</t>
        </is>
      </c>
      <c r="K487" t="inlineStr">
        <is>
          <t>Callback</t>
        </is>
      </c>
      <c r="L487" t="n">
        <v>8</v>
      </c>
      <c r="M487" t="inlineStr">
        <is>
          <t>2026-05-19 11:18:36</t>
        </is>
      </c>
      <c r="N487" t="inlineStr">
        <is>
          <t>Tebogo Chauke</t>
        </is>
      </c>
      <c r="O487" t="inlineStr">
        <is>
          <t>2026-05-15 11:58:32</t>
        </is>
      </c>
      <c r="P487" t="inlineStr">
        <is>
          <t>2026-05-15 11:58:32</t>
        </is>
      </c>
      <c r="Y487" t="inlineStr">
        <is>
          <t>27797130763</t>
        </is>
      </c>
    </row>
    <row r="488">
      <c r="A488" t="inlineStr">
        <is>
          <t>14363305</t>
        </is>
      </c>
      <c r="B488" t="inlineStr">
        <is>
          <t>0f5834e4-423d-46b6-bd7a-ed3ff15138a2</t>
        </is>
      </c>
      <c r="D488" t="inlineStr">
        <is>
          <t>30001082</t>
        </is>
      </c>
      <c r="E488" t="inlineStr">
        <is>
          <t>ussd_funeral_leads_altitude_20260504</t>
        </is>
      </c>
      <c r="J488" t="inlineStr">
        <is>
          <t>SELECTED</t>
        </is>
      </c>
      <c r="K488" t="inlineStr">
        <is>
          <t>Selected</t>
        </is>
      </c>
      <c r="L488" t="n">
        <v>9</v>
      </c>
      <c r="M488" t="inlineStr">
        <is>
          <t>2026-05-19 11:07:21</t>
        </is>
      </c>
      <c r="N488" t="inlineStr">
        <is>
          <t>system</t>
        </is>
      </c>
      <c r="O488" t="inlineStr">
        <is>
          <t>2026-05-15 11:58:32</t>
        </is>
      </c>
      <c r="P488" t="inlineStr">
        <is>
          <t>2026-05-15 11:58:32</t>
        </is>
      </c>
      <c r="Y488" t="inlineStr">
        <is>
          <t>27720289223</t>
        </is>
      </c>
    </row>
    <row r="489">
      <c r="A489" t="inlineStr">
        <is>
          <t>14363391</t>
        </is>
      </c>
      <c r="B489" t="inlineStr">
        <is>
          <t>21b2028b-815a-49f1-8517-89a1a2a0e18c</t>
        </is>
      </c>
      <c r="D489" t="inlineStr">
        <is>
          <t>30001082</t>
        </is>
      </c>
      <c r="E489" t="inlineStr">
        <is>
          <t>ussd_funeral_leads_altitude_20260504</t>
        </is>
      </c>
      <c r="J489" t="inlineStr">
        <is>
          <t>NI</t>
        </is>
      </c>
      <c r="K489" t="inlineStr">
        <is>
          <t>Not Interested</t>
        </is>
      </c>
      <c r="L489" t="n">
        <v>8</v>
      </c>
      <c r="M489" t="inlineStr">
        <is>
          <t>2026-05-19 09:06:33</t>
        </is>
      </c>
      <c r="N489" t="inlineStr">
        <is>
          <t>Goitsimang Mogwasa</t>
        </is>
      </c>
      <c r="O489" t="inlineStr">
        <is>
          <t>2026-05-15 11:58:32</t>
        </is>
      </c>
      <c r="P489" t="inlineStr">
        <is>
          <t>2026-05-15 11:58:32</t>
        </is>
      </c>
      <c r="Y489" t="inlineStr">
        <is>
          <t>27767951648</t>
        </is>
      </c>
    </row>
    <row r="490">
      <c r="A490" t="inlineStr">
        <is>
          <t>14362972</t>
        </is>
      </c>
      <c r="B490" t="inlineStr">
        <is>
          <t>ee3c493a-2369-4f6e-b06a-cc70291a1e48</t>
        </is>
      </c>
      <c r="D490" t="inlineStr">
        <is>
          <t>30001082</t>
        </is>
      </c>
      <c r="E490" t="inlineStr">
        <is>
          <t>ussd_funeral_leads_altitude_20260504</t>
        </is>
      </c>
      <c r="J490" t="inlineStr">
        <is>
          <t>QAVER</t>
        </is>
      </c>
      <c r="K490" t="inlineStr">
        <is>
          <t>Sale Made</t>
        </is>
      </c>
      <c r="L490" t="n">
        <v>9</v>
      </c>
      <c r="M490" t="inlineStr">
        <is>
          <t>2026-05-19 07:10:14</t>
        </is>
      </c>
      <c r="N490" t="inlineStr">
        <is>
          <t>Vuyiswa Nxumalo</t>
        </is>
      </c>
      <c r="O490" t="inlineStr">
        <is>
          <t>2026-05-15 11:58:32</t>
        </is>
      </c>
      <c r="P490" t="inlineStr">
        <is>
          <t>2026-05-15 11:58:32</t>
        </is>
      </c>
      <c r="Y490" t="inlineStr">
        <is>
          <t>27790149916</t>
        </is>
      </c>
    </row>
    <row r="491">
      <c r="A491" t="inlineStr">
        <is>
          <t>14362970</t>
        </is>
      </c>
      <c r="B491" t="inlineStr">
        <is>
          <t>2071e5a5-4fe7-4770-b1f8-de31f1296787</t>
        </is>
      </c>
      <c r="D491" t="inlineStr">
        <is>
          <t>30001082</t>
        </is>
      </c>
      <c r="E491" t="inlineStr">
        <is>
          <t>ussd_funeral_leads_altitude_20260504</t>
        </is>
      </c>
      <c r="J491" t="inlineStr">
        <is>
          <t>CBACK</t>
        </is>
      </c>
      <c r="K491" t="inlineStr">
        <is>
          <t>Callback</t>
        </is>
      </c>
      <c r="L491" t="n">
        <v>7</v>
      </c>
      <c r="M491" t="inlineStr">
        <is>
          <t>2026-05-19 07:03:03</t>
        </is>
      </c>
      <c r="N491" t="inlineStr">
        <is>
          <t>Ayanda Masindane</t>
        </is>
      </c>
      <c r="O491" t="inlineStr">
        <is>
          <t>2026-05-15 11:58:32</t>
        </is>
      </c>
      <c r="P491" t="inlineStr">
        <is>
          <t>2026-05-15 11:58:32</t>
        </is>
      </c>
      <c r="Y491" t="inlineStr">
        <is>
          <t>27724339759</t>
        </is>
      </c>
    </row>
    <row r="492">
      <c r="A492" t="inlineStr">
        <is>
          <t>14363044</t>
        </is>
      </c>
      <c r="B492" t="inlineStr">
        <is>
          <t>8b0bd2bd-c0d3-4b90-8e0a-455df375edd8</t>
        </is>
      </c>
      <c r="D492" t="inlineStr">
        <is>
          <t>30001082</t>
        </is>
      </c>
      <c r="E492" t="inlineStr">
        <is>
          <t>ussd_funeral_leads_altitude_20260504</t>
        </is>
      </c>
      <c r="J492" t="inlineStr">
        <is>
          <t>CBACK</t>
        </is>
      </c>
      <c r="K492" t="inlineStr">
        <is>
          <t>Callback</t>
        </is>
      </c>
      <c r="L492" t="n">
        <v>7</v>
      </c>
      <c r="M492" t="inlineStr">
        <is>
          <t>2026-05-19 07:01:10</t>
        </is>
      </c>
      <c r="N492" t="inlineStr">
        <is>
          <t>Tebogo Chauke</t>
        </is>
      </c>
      <c r="O492" t="inlineStr">
        <is>
          <t>2026-05-15 11:58:32</t>
        </is>
      </c>
      <c r="P492" t="inlineStr">
        <is>
          <t>2026-05-15 11:58:32</t>
        </is>
      </c>
      <c r="Y492" t="inlineStr">
        <is>
          <t>27764757082</t>
        </is>
      </c>
    </row>
    <row r="493">
      <c r="A493" t="inlineStr">
        <is>
          <t>14363072</t>
        </is>
      </c>
      <c r="B493" t="inlineStr">
        <is>
          <t>3a805cd4-80ac-4e44-a3ec-271f6795d6d1</t>
        </is>
      </c>
      <c r="D493" t="inlineStr">
        <is>
          <t>30001082</t>
        </is>
      </c>
      <c r="E493" t="inlineStr">
        <is>
          <t>ussd_funeral_leads_altitude_20260504</t>
        </is>
      </c>
      <c r="J493" t="inlineStr">
        <is>
          <t>CUA</t>
        </is>
      </c>
      <c r="K493" t="inlineStr">
        <is>
          <t>Client Underage</t>
        </is>
      </c>
      <c r="L493" t="n">
        <v>7</v>
      </c>
      <c r="M493" t="inlineStr">
        <is>
          <t>2026-05-19 06:58:35</t>
        </is>
      </c>
      <c r="N493" t="inlineStr">
        <is>
          <t>Jennifer Ngobeni</t>
        </is>
      </c>
      <c r="O493" t="inlineStr">
        <is>
          <t>2026-05-15 11:58:32</t>
        </is>
      </c>
      <c r="P493" t="inlineStr">
        <is>
          <t>2026-05-15 11:58:32</t>
        </is>
      </c>
      <c r="Y493" t="inlineStr">
        <is>
          <t>27818263662</t>
        </is>
      </c>
    </row>
    <row r="494">
      <c r="A494" t="inlineStr">
        <is>
          <t>14363162</t>
        </is>
      </c>
      <c r="B494" t="inlineStr">
        <is>
          <t>46ea9bf7-3710-4b42-bf3a-56ba9dfbd374</t>
        </is>
      </c>
      <c r="D494" t="inlineStr">
        <is>
          <t>30001082</t>
        </is>
      </c>
      <c r="E494" t="inlineStr">
        <is>
          <t>ussd_funeral_leads_altitude_20260504</t>
        </is>
      </c>
      <c r="J494" t="inlineStr">
        <is>
          <t>NI</t>
        </is>
      </c>
      <c r="K494" t="inlineStr">
        <is>
          <t>Not Interested</t>
        </is>
      </c>
      <c r="L494" t="n">
        <v>7</v>
      </c>
      <c r="M494" t="inlineStr">
        <is>
          <t>2026-05-19 06:57:23</t>
        </is>
      </c>
      <c r="N494" t="inlineStr">
        <is>
          <t>Jennifer Ngobeni</t>
        </is>
      </c>
      <c r="O494" t="inlineStr">
        <is>
          <t>2026-05-15 11:58:32</t>
        </is>
      </c>
      <c r="P494" t="inlineStr">
        <is>
          <t>2026-05-15 11:58:32</t>
        </is>
      </c>
      <c r="Y494" t="inlineStr">
        <is>
          <t>27792834680</t>
        </is>
      </c>
    </row>
    <row r="495">
      <c r="A495" t="inlineStr">
        <is>
          <t>14363240</t>
        </is>
      </c>
      <c r="B495" t="inlineStr">
        <is>
          <t>17a8fc6d-11fe-4995-b692-c7129d3c7349</t>
        </is>
      </c>
      <c r="D495" t="inlineStr">
        <is>
          <t>30001082</t>
        </is>
      </c>
      <c r="E495" t="inlineStr">
        <is>
          <t>ussd_funeral_leads_altitude_20260504</t>
        </is>
      </c>
      <c r="J495" t="inlineStr">
        <is>
          <t>DNQS</t>
        </is>
      </c>
      <c r="K495" t="inlineStr">
        <is>
          <t>Does Not Qualify</t>
        </is>
      </c>
      <c r="L495" t="n">
        <v>7</v>
      </c>
      <c r="M495" t="inlineStr">
        <is>
          <t>2026-05-19 06:56:38</t>
        </is>
      </c>
      <c r="N495" t="inlineStr">
        <is>
          <t>Lebohang Mabotja</t>
        </is>
      </c>
      <c r="O495" t="inlineStr">
        <is>
          <t>2026-05-15 11:58:32</t>
        </is>
      </c>
      <c r="P495" t="inlineStr">
        <is>
          <t>2026-05-15 11:58:32</t>
        </is>
      </c>
      <c r="Y495" t="inlineStr">
        <is>
          <t>27791799341</t>
        </is>
      </c>
    </row>
    <row r="496">
      <c r="A496" t="inlineStr">
        <is>
          <t>14363050</t>
        </is>
      </c>
      <c r="B496" t="inlineStr">
        <is>
          <t>8984bfeb-14a0-470b-a86b-129b71ff1511</t>
        </is>
      </c>
      <c r="D496" t="inlineStr">
        <is>
          <t>30001082</t>
        </is>
      </c>
      <c r="E496" t="inlineStr">
        <is>
          <t>ussd_funeral_leads_altitude_20260504</t>
        </is>
      </c>
      <c r="J496" t="inlineStr">
        <is>
          <t>CBACK</t>
        </is>
      </c>
      <c r="K496" t="inlineStr">
        <is>
          <t>Callback</t>
        </is>
      </c>
      <c r="L496" t="n">
        <v>7</v>
      </c>
      <c r="M496" t="inlineStr">
        <is>
          <t>2026-05-19 06:55:26</t>
        </is>
      </c>
      <c r="N496" t="inlineStr">
        <is>
          <t>Ayanda Masindane</t>
        </is>
      </c>
      <c r="O496" t="inlineStr">
        <is>
          <t>2026-05-15 11:58:32</t>
        </is>
      </c>
      <c r="P496" t="inlineStr">
        <is>
          <t>2026-05-15 11:58:32</t>
        </is>
      </c>
      <c r="Y496" t="inlineStr">
        <is>
          <t>27660932974</t>
        </is>
      </c>
    </row>
    <row r="497">
      <c r="A497" t="inlineStr">
        <is>
          <t>14363120</t>
        </is>
      </c>
      <c r="B497" t="inlineStr">
        <is>
          <t>576b46ed-a2b8-4898-80dd-8bece1d354f2</t>
        </is>
      </c>
      <c r="D497" t="inlineStr">
        <is>
          <t>30001082</t>
        </is>
      </c>
      <c r="E497" t="inlineStr">
        <is>
          <t>ussd_funeral_leads_altitude_20260504</t>
        </is>
      </c>
      <c r="J497" t="inlineStr">
        <is>
          <t>AC</t>
        </is>
      </c>
      <c r="K497" t="inlineStr">
        <is>
          <t>Already Contacted</t>
        </is>
      </c>
      <c r="L497" t="n">
        <v>6</v>
      </c>
      <c r="M497" t="inlineStr">
        <is>
          <t>2026-05-19 06:51:35</t>
        </is>
      </c>
      <c r="N497" t="inlineStr">
        <is>
          <t>Lebohang Mabotja</t>
        </is>
      </c>
      <c r="O497" t="inlineStr">
        <is>
          <t>2026-05-15 11:58:32</t>
        </is>
      </c>
      <c r="P497" t="inlineStr">
        <is>
          <t>2026-05-15 11:58:32</t>
        </is>
      </c>
      <c r="Y497" t="inlineStr">
        <is>
          <t>27661052780</t>
        </is>
      </c>
    </row>
    <row r="498">
      <c r="A498" t="inlineStr">
        <is>
          <t>14363081</t>
        </is>
      </c>
      <c r="B498" t="inlineStr">
        <is>
          <t>dcd62773-2e0c-4677-b46a-af035f21a4e1</t>
        </is>
      </c>
      <c r="D498" t="inlineStr">
        <is>
          <t>30001082</t>
        </is>
      </c>
      <c r="E498" t="inlineStr">
        <is>
          <t>ussd_funeral_leads_altitude_20260504</t>
        </is>
      </c>
      <c r="H498" t="inlineStr">
        <is>
          <t>27728568976</t>
        </is>
      </c>
      <c r="J498" t="inlineStr">
        <is>
          <t>CUA</t>
        </is>
      </c>
      <c r="K498" t="inlineStr">
        <is>
          <t>Client Underage</t>
        </is>
      </c>
      <c r="L498" t="n">
        <v>7</v>
      </c>
      <c r="M498" t="inlineStr">
        <is>
          <t>2026-05-18 14:54:41</t>
        </is>
      </c>
      <c r="N498" t="inlineStr">
        <is>
          <t>Lebohang Mabotja</t>
        </is>
      </c>
      <c r="O498" t="inlineStr">
        <is>
          <t>2026-05-15 11:58:32</t>
        </is>
      </c>
      <c r="P498" t="inlineStr">
        <is>
          <t>2026-05-15 11:58:32</t>
        </is>
      </c>
      <c r="Y498" t="inlineStr">
        <is>
          <t>27728568976</t>
        </is>
      </c>
    </row>
    <row r="499">
      <c r="A499" t="inlineStr">
        <is>
          <t>14363375</t>
        </is>
      </c>
      <c r="B499" t="inlineStr">
        <is>
          <t>57e9ca8d-81bb-4e48-94a5-dfe069a74336</t>
        </is>
      </c>
      <c r="D499" t="inlineStr">
        <is>
          <t>30001082</t>
        </is>
      </c>
      <c r="E499" t="inlineStr">
        <is>
          <t>ussd_funeral_leads_altitude_20260504</t>
        </is>
      </c>
      <c r="J499" t="inlineStr">
        <is>
          <t>NI</t>
        </is>
      </c>
      <c r="K499" t="inlineStr">
        <is>
          <t>Not Interested</t>
        </is>
      </c>
      <c r="L499" t="n">
        <v>7</v>
      </c>
      <c r="M499" t="inlineStr">
        <is>
          <t>2026-05-18 14:51:34</t>
        </is>
      </c>
      <c r="N499" t="inlineStr">
        <is>
          <t>Fortunate Ndubane</t>
        </is>
      </c>
      <c r="O499" t="inlineStr">
        <is>
          <t>2026-05-15 11:58:32</t>
        </is>
      </c>
      <c r="P499" t="inlineStr">
        <is>
          <t>2026-05-15 11:58:32</t>
        </is>
      </c>
      <c r="Y499" t="inlineStr">
        <is>
          <t>27649418959</t>
        </is>
      </c>
    </row>
    <row r="500">
      <c r="A500" t="inlineStr">
        <is>
          <t>14400000</t>
        </is>
      </c>
      <c r="B500" t="inlineStr">
        <is>
          <t>e939ace4-0542-4ad8-8b9b-e01c841ee23e</t>
        </is>
      </c>
      <c r="D500" t="inlineStr">
        <is>
          <t>30001082</t>
        </is>
      </c>
      <c r="E500" t="inlineStr">
        <is>
          <t>ussd_funeral_leads_altitude_20260504</t>
        </is>
      </c>
      <c r="J500" t="inlineStr">
        <is>
          <t>QAVER</t>
        </is>
      </c>
      <c r="K500" t="inlineStr">
        <is>
          <t>Sale Made</t>
        </is>
      </c>
      <c r="L500" t="n">
        <v>9</v>
      </c>
      <c r="M500" t="inlineStr">
        <is>
          <t>2026-05-18 14:46:05</t>
        </is>
      </c>
      <c r="N500" t="inlineStr">
        <is>
          <t>Tebogo Chauke</t>
        </is>
      </c>
      <c r="O500" t="inlineStr">
        <is>
          <t>2026-05-15 11:58:32</t>
        </is>
      </c>
      <c r="P500" t="inlineStr">
        <is>
          <t>2026-05-15 11:58:32</t>
        </is>
      </c>
      <c r="Y500" t="inlineStr">
        <is>
          <t>27649920865</t>
        </is>
      </c>
    </row>
    <row r="501">
      <c r="A501" t="inlineStr">
        <is>
          <t>14362987</t>
        </is>
      </c>
      <c r="B501" t="inlineStr">
        <is>
          <t>237f5180-a634-4f4d-b274-e359ecd09109</t>
        </is>
      </c>
      <c r="D501" t="inlineStr">
        <is>
          <t>30001082</t>
        </is>
      </c>
      <c r="E501" t="inlineStr">
        <is>
          <t>ussd_funeral_leads_altitude_20260504</t>
        </is>
      </c>
      <c r="J501" t="inlineStr">
        <is>
          <t>CUA</t>
        </is>
      </c>
      <c r="K501" t="inlineStr">
        <is>
          <t>Client Underage</t>
        </is>
      </c>
      <c r="L501" t="n">
        <v>6</v>
      </c>
      <c r="M501" t="inlineStr">
        <is>
          <t>2026-05-18 14:42:36</t>
        </is>
      </c>
      <c r="N501" t="inlineStr">
        <is>
          <t>Goitsimang Mogwasa</t>
        </is>
      </c>
      <c r="O501" t="inlineStr">
        <is>
          <t>2026-05-15 11:58:32</t>
        </is>
      </c>
      <c r="P501" t="inlineStr">
        <is>
          <t>2026-05-15 11:58:32</t>
        </is>
      </c>
      <c r="Y501" t="inlineStr">
        <is>
          <t>27820438636</t>
        </is>
      </c>
    </row>
    <row r="502">
      <c r="A502" t="inlineStr">
        <is>
          <t>14362952</t>
        </is>
      </c>
      <c r="B502" t="inlineStr">
        <is>
          <t>ea614b4b-62e4-4a24-92d2-50a63f9fd892</t>
        </is>
      </c>
      <c r="D502" t="inlineStr">
        <is>
          <t>30001082</t>
        </is>
      </c>
      <c r="E502" t="inlineStr">
        <is>
          <t>ussd_funeral_leads_altitude_20260504</t>
        </is>
      </c>
      <c r="J502" t="inlineStr">
        <is>
          <t>CBACK</t>
        </is>
      </c>
      <c r="K502" t="inlineStr">
        <is>
          <t>Callback</t>
        </is>
      </c>
      <c r="L502" t="n">
        <v>6</v>
      </c>
      <c r="M502" t="inlineStr">
        <is>
          <t>2026-05-18 14:41:09</t>
        </is>
      </c>
      <c r="N502" t="inlineStr">
        <is>
          <t>Tebogo Chauke</t>
        </is>
      </c>
      <c r="O502" t="inlineStr">
        <is>
          <t>2026-05-15 11:58:32</t>
        </is>
      </c>
      <c r="P502" t="inlineStr">
        <is>
          <t>2026-05-15 11:58:32</t>
        </is>
      </c>
      <c r="Y502" t="inlineStr">
        <is>
          <t>27728265813</t>
        </is>
      </c>
    </row>
    <row r="503">
      <c r="A503" t="inlineStr">
        <is>
          <t>14363128</t>
        </is>
      </c>
      <c r="B503" t="inlineStr">
        <is>
          <t>771348d4-2064-4ce5-aad6-a0e71c04cb81</t>
        </is>
      </c>
      <c r="D503" t="inlineStr">
        <is>
          <t>30001082</t>
        </is>
      </c>
      <c r="E503" t="inlineStr">
        <is>
          <t>ussd_funeral_leads_altitude_20260504</t>
        </is>
      </c>
      <c r="J503" t="inlineStr">
        <is>
          <t>U</t>
        </is>
      </c>
      <c r="K503" t="inlineStr">
        <is>
          <t>Unemployed</t>
        </is>
      </c>
      <c r="L503" t="n">
        <v>6</v>
      </c>
      <c r="M503" t="inlineStr">
        <is>
          <t>2026-05-18 14:40:17</t>
        </is>
      </c>
      <c r="N503" t="inlineStr">
        <is>
          <t>Lebohang Mabotja</t>
        </is>
      </c>
      <c r="O503" t="inlineStr">
        <is>
          <t>2026-05-15 11:58:32</t>
        </is>
      </c>
      <c r="P503" t="inlineStr">
        <is>
          <t>2026-05-15 11:58:32</t>
        </is>
      </c>
      <c r="Y503" t="inlineStr">
        <is>
          <t>27763679094</t>
        </is>
      </c>
    </row>
    <row r="504">
      <c r="A504" t="inlineStr">
        <is>
          <t>14363265</t>
        </is>
      </c>
      <c r="B504" t="inlineStr">
        <is>
          <t>6e15cddc-d918-42b2-acf5-8c5cfc3e2b89</t>
        </is>
      </c>
      <c r="D504" t="inlineStr">
        <is>
          <t>30001082</t>
        </is>
      </c>
      <c r="E504" t="inlineStr">
        <is>
          <t>ussd_funeral_leads_altitude_20260504</t>
        </is>
      </c>
      <c r="J504" t="inlineStr">
        <is>
          <t>CBACK</t>
        </is>
      </c>
      <c r="K504" t="inlineStr">
        <is>
          <t>Callback</t>
        </is>
      </c>
      <c r="L504" t="n">
        <v>6</v>
      </c>
      <c r="M504" t="inlineStr">
        <is>
          <t>2026-05-18 14:38:58</t>
        </is>
      </c>
      <c r="N504" t="inlineStr">
        <is>
          <t>Gugulethu Duma</t>
        </is>
      </c>
      <c r="O504" t="inlineStr">
        <is>
          <t>2026-05-15 11:58:32</t>
        </is>
      </c>
      <c r="P504" t="inlineStr">
        <is>
          <t>2026-05-15 11:58:32</t>
        </is>
      </c>
      <c r="Y504" t="inlineStr">
        <is>
          <t>27796106017</t>
        </is>
      </c>
    </row>
    <row r="505">
      <c r="A505" t="inlineStr">
        <is>
          <t>14363203</t>
        </is>
      </c>
      <c r="B505" t="inlineStr">
        <is>
          <t>a8edb928-56fe-458f-8837-a79c01f7a191</t>
        </is>
      </c>
      <c r="D505" t="inlineStr">
        <is>
          <t>30001082</t>
        </is>
      </c>
      <c r="E505" t="inlineStr">
        <is>
          <t>ussd_funeral_leads_altitude_20260504</t>
        </is>
      </c>
      <c r="J505" t="inlineStr">
        <is>
          <t>CBACK</t>
        </is>
      </c>
      <c r="K505" t="inlineStr">
        <is>
          <t>Callback</t>
        </is>
      </c>
      <c r="L505" t="n">
        <v>6</v>
      </c>
      <c r="M505" t="inlineStr">
        <is>
          <t>2026-05-18 14:37:28</t>
        </is>
      </c>
      <c r="N505" t="inlineStr">
        <is>
          <t>Tebogo Chauke</t>
        </is>
      </c>
      <c r="O505" t="inlineStr">
        <is>
          <t>2026-05-15 11:58:32</t>
        </is>
      </c>
      <c r="P505" t="inlineStr">
        <is>
          <t>2026-05-15 11:58:32</t>
        </is>
      </c>
      <c r="Y505" t="inlineStr">
        <is>
          <t>27715082569</t>
        </is>
      </c>
    </row>
    <row r="506">
      <c r="A506" t="inlineStr">
        <is>
          <t>14363291</t>
        </is>
      </c>
      <c r="B506" t="inlineStr">
        <is>
          <t>d4508eb2-d9a7-4bc8-80b6-7fdffad6694f</t>
        </is>
      </c>
      <c r="D506" t="inlineStr">
        <is>
          <t>30001082</t>
        </is>
      </c>
      <c r="E506" t="inlineStr">
        <is>
          <t>ussd_funeral_leads_altitude_20260504</t>
        </is>
      </c>
      <c r="J506" t="inlineStr">
        <is>
          <t>CBACK</t>
        </is>
      </c>
      <c r="K506" t="inlineStr">
        <is>
          <t>Callback</t>
        </is>
      </c>
      <c r="L506" t="n">
        <v>8</v>
      </c>
      <c r="M506" t="inlineStr">
        <is>
          <t>2026-05-18 14:22:39</t>
        </is>
      </c>
      <c r="N506" t="inlineStr">
        <is>
          <t>Gontse Monageng</t>
        </is>
      </c>
      <c r="O506" t="inlineStr">
        <is>
          <t>2026-05-15 11:58:32</t>
        </is>
      </c>
      <c r="P506" t="inlineStr">
        <is>
          <t>2026-05-15 11:58:32</t>
        </is>
      </c>
      <c r="Y506" t="inlineStr">
        <is>
          <t>27799177024</t>
        </is>
      </c>
    </row>
    <row r="507">
      <c r="A507" t="inlineStr">
        <is>
          <t>14363047</t>
        </is>
      </c>
      <c r="B507" t="inlineStr">
        <is>
          <t>61f0b49e-9a3e-4376-a14c-c4f50953f32a</t>
        </is>
      </c>
      <c r="D507" t="inlineStr">
        <is>
          <t>30001082</t>
        </is>
      </c>
      <c r="E507" t="inlineStr">
        <is>
          <t>ussd_funeral_leads_altitude_20260504</t>
        </is>
      </c>
      <c r="J507" t="inlineStr">
        <is>
          <t>SELECTED</t>
        </is>
      </c>
      <c r="K507" t="inlineStr">
        <is>
          <t>Selected</t>
        </is>
      </c>
      <c r="L507" t="n">
        <v>8</v>
      </c>
      <c r="M507" t="inlineStr">
        <is>
          <t>2026-05-18 13:47:42</t>
        </is>
      </c>
      <c r="N507" t="inlineStr">
        <is>
          <t>system</t>
        </is>
      </c>
      <c r="O507" t="inlineStr">
        <is>
          <t>2026-05-15 11:58:32</t>
        </is>
      </c>
      <c r="P507" t="inlineStr">
        <is>
          <t>2026-05-15 11:58:32</t>
        </is>
      </c>
      <c r="Y507" t="inlineStr">
        <is>
          <t>27767150674</t>
        </is>
      </c>
    </row>
    <row r="508">
      <c r="A508" t="inlineStr">
        <is>
          <t>14363232</t>
        </is>
      </c>
      <c r="B508" t="inlineStr">
        <is>
          <t>bdf06c6a-0c7c-42bc-923b-a8044589ce6c</t>
        </is>
      </c>
      <c r="D508" t="inlineStr">
        <is>
          <t>30001082</t>
        </is>
      </c>
      <c r="E508" t="inlineStr">
        <is>
          <t>ussd_funeral_leads_altitude_20260504</t>
        </is>
      </c>
      <c r="J508" t="inlineStr">
        <is>
          <t>AF</t>
        </is>
      </c>
      <c r="K508" t="inlineStr">
        <is>
          <t>Cannot Afford</t>
        </is>
      </c>
      <c r="L508" t="n">
        <v>7</v>
      </c>
      <c r="M508" t="inlineStr">
        <is>
          <t>2026-05-18 12:48:43</t>
        </is>
      </c>
      <c r="N508" t="inlineStr">
        <is>
          <t>Gontse Monageng</t>
        </is>
      </c>
      <c r="O508" t="inlineStr">
        <is>
          <t>2026-05-15 11:58:32</t>
        </is>
      </c>
      <c r="P508" t="inlineStr">
        <is>
          <t>2026-05-15 11:58:32</t>
        </is>
      </c>
      <c r="Y508" t="inlineStr">
        <is>
          <t>27826603360</t>
        </is>
      </c>
    </row>
    <row r="509">
      <c r="A509" t="inlineStr">
        <is>
          <t>14362984</t>
        </is>
      </c>
      <c r="B509" t="inlineStr">
        <is>
          <t>cd0b6994-f88c-497d-864a-63e6bf294910</t>
        </is>
      </c>
      <c r="D509" t="inlineStr">
        <is>
          <t>30001082</t>
        </is>
      </c>
      <c r="E509" t="inlineStr">
        <is>
          <t>ussd_funeral_leads_altitude_20260504</t>
        </is>
      </c>
      <c r="J509" t="inlineStr">
        <is>
          <t>NI</t>
        </is>
      </c>
      <c r="K509" t="inlineStr">
        <is>
          <t>Not Interested</t>
        </is>
      </c>
      <c r="L509" t="n">
        <v>7</v>
      </c>
      <c r="M509" t="inlineStr">
        <is>
          <t>2026-05-18 12:47:31</t>
        </is>
      </c>
      <c r="N509" t="inlineStr">
        <is>
          <t>Ayanda Masindane</t>
        </is>
      </c>
      <c r="O509" t="inlineStr">
        <is>
          <t>2026-05-15 11:58:32</t>
        </is>
      </c>
      <c r="P509" t="inlineStr">
        <is>
          <t>2026-05-15 11:58:32</t>
        </is>
      </c>
      <c r="Y509" t="inlineStr">
        <is>
          <t>27664271262</t>
        </is>
      </c>
    </row>
    <row r="510">
      <c r="A510" t="inlineStr">
        <is>
          <t>14363052</t>
        </is>
      </c>
      <c r="B510" t="inlineStr">
        <is>
          <t>360f6061-237a-4141-9862-caa96fe600d2</t>
        </is>
      </c>
      <c r="D510" t="inlineStr">
        <is>
          <t>30001082</t>
        </is>
      </c>
      <c r="E510" t="inlineStr">
        <is>
          <t>ussd_funeral_leads_altitude_20260504</t>
        </is>
      </c>
      <c r="J510" t="inlineStr">
        <is>
          <t>NI</t>
        </is>
      </c>
      <c r="K510" t="inlineStr">
        <is>
          <t>Not Interested</t>
        </is>
      </c>
      <c r="L510" t="n">
        <v>6</v>
      </c>
      <c r="M510" t="inlineStr">
        <is>
          <t>2026-05-18 11:42:17</t>
        </is>
      </c>
      <c r="N510" t="inlineStr">
        <is>
          <t>Fortunate Ndubane</t>
        </is>
      </c>
      <c r="O510" t="inlineStr">
        <is>
          <t>2026-05-15 11:58:32</t>
        </is>
      </c>
      <c r="P510" t="inlineStr">
        <is>
          <t>2026-05-15 11:58:32</t>
        </is>
      </c>
      <c r="Y510" t="inlineStr">
        <is>
          <t>27791967521</t>
        </is>
      </c>
    </row>
    <row r="511">
      <c r="A511" t="inlineStr">
        <is>
          <t>14363254</t>
        </is>
      </c>
      <c r="B511" t="inlineStr">
        <is>
          <t>089849eb-0a4d-4f56-952b-51b046878ccd</t>
        </is>
      </c>
      <c r="D511" t="inlineStr">
        <is>
          <t>30001082</t>
        </is>
      </c>
      <c r="E511" t="inlineStr">
        <is>
          <t>ussd_funeral_leads_altitude_20260504</t>
        </is>
      </c>
      <c r="J511" t="inlineStr">
        <is>
          <t>SELECTED</t>
        </is>
      </c>
      <c r="K511" t="inlineStr">
        <is>
          <t>Selected</t>
        </is>
      </c>
      <c r="L511" t="n">
        <v>7</v>
      </c>
      <c r="M511" t="inlineStr">
        <is>
          <t>2026-05-18 10:56:32</t>
        </is>
      </c>
      <c r="N511" t="inlineStr">
        <is>
          <t>system</t>
        </is>
      </c>
      <c r="O511" t="inlineStr">
        <is>
          <t>2026-05-15 11:58:32</t>
        </is>
      </c>
      <c r="P511" t="inlineStr">
        <is>
          <t>2026-05-15 11:58:32</t>
        </is>
      </c>
      <c r="Y511" t="inlineStr">
        <is>
          <t>27716788445</t>
        </is>
      </c>
    </row>
    <row r="512">
      <c r="A512" t="inlineStr">
        <is>
          <t>14363473</t>
        </is>
      </c>
      <c r="B512" t="inlineStr">
        <is>
          <t>bc141acb-352f-4bcb-9671-21d899911366</t>
        </is>
      </c>
      <c r="D512" t="inlineStr">
        <is>
          <t>30001082</t>
        </is>
      </c>
      <c r="E512" t="inlineStr">
        <is>
          <t>ussd_funeral_leads_altitude_20260504</t>
        </is>
      </c>
      <c r="J512" t="inlineStr">
        <is>
          <t>U</t>
        </is>
      </c>
      <c r="K512" t="inlineStr">
        <is>
          <t>Unemployed</t>
        </is>
      </c>
      <c r="L512" t="n">
        <v>6</v>
      </c>
      <c r="M512" t="inlineStr">
        <is>
          <t>2026-05-18 10:54:13</t>
        </is>
      </c>
      <c r="N512" t="inlineStr">
        <is>
          <t>Bongiwe Precious Cele</t>
        </is>
      </c>
      <c r="O512" t="inlineStr">
        <is>
          <t>2026-05-15 11:58:32</t>
        </is>
      </c>
      <c r="P512" t="inlineStr">
        <is>
          <t>2026-05-15 11:58:32</t>
        </is>
      </c>
      <c r="Y512" t="inlineStr">
        <is>
          <t>27649930399</t>
        </is>
      </c>
    </row>
    <row r="513">
      <c r="A513" t="inlineStr">
        <is>
          <t>14363445</t>
        </is>
      </c>
      <c r="B513" t="inlineStr">
        <is>
          <t>040a8290-124c-4c10-b05f-12c164693a3f</t>
        </is>
      </c>
      <c r="D513" t="inlineStr">
        <is>
          <t>30001082</t>
        </is>
      </c>
      <c r="E513" t="inlineStr">
        <is>
          <t>ussd_funeral_leads_altitude_20260504</t>
        </is>
      </c>
      <c r="J513" t="inlineStr">
        <is>
          <t>QAVER</t>
        </is>
      </c>
      <c r="K513" t="inlineStr">
        <is>
          <t>Sale Made</t>
        </is>
      </c>
      <c r="L513" t="n">
        <v>5</v>
      </c>
      <c r="M513" t="inlineStr">
        <is>
          <t>2026-05-18 10:46:06</t>
        </is>
      </c>
      <c r="N513" t="inlineStr">
        <is>
          <t>Gontse Monageng</t>
        </is>
      </c>
      <c r="O513" t="inlineStr">
        <is>
          <t>2026-05-15 11:58:32</t>
        </is>
      </c>
      <c r="P513" t="inlineStr">
        <is>
          <t>2026-05-15 11:58:32</t>
        </is>
      </c>
      <c r="Y513" t="inlineStr">
        <is>
          <t>27663742793</t>
        </is>
      </c>
    </row>
    <row r="514">
      <c r="A514" t="inlineStr">
        <is>
          <t>14363165</t>
        </is>
      </c>
      <c r="B514" t="inlineStr">
        <is>
          <t>8c29c6a6-9b92-4bcf-9b57-59f0ecd38ca1</t>
        </is>
      </c>
      <c r="D514" t="inlineStr">
        <is>
          <t>30001082</t>
        </is>
      </c>
      <c r="E514" t="inlineStr">
        <is>
          <t>ussd_funeral_leads_altitude_20260504</t>
        </is>
      </c>
      <c r="H514" t="inlineStr">
        <is>
          <t>27663471864</t>
        </is>
      </c>
      <c r="J514" t="inlineStr">
        <is>
          <t>CBACK</t>
        </is>
      </c>
      <c r="K514" t="inlineStr">
        <is>
          <t>Callback</t>
        </is>
      </c>
      <c r="L514" t="n">
        <v>5</v>
      </c>
      <c r="M514" t="inlineStr">
        <is>
          <t>2026-05-18 10:44:32</t>
        </is>
      </c>
      <c r="N514" t="inlineStr">
        <is>
          <t>Gugulethu Duma</t>
        </is>
      </c>
      <c r="O514" t="inlineStr">
        <is>
          <t>2026-05-15 11:58:32</t>
        </is>
      </c>
      <c r="P514" t="inlineStr">
        <is>
          <t>2026-05-15 11:58:32</t>
        </is>
      </c>
      <c r="Y514" t="inlineStr">
        <is>
          <t>27663471864</t>
        </is>
      </c>
    </row>
    <row r="515">
      <c r="A515" t="inlineStr">
        <is>
          <t>14363402</t>
        </is>
      </c>
      <c r="B515" t="inlineStr">
        <is>
          <t>33ffa2c4-643f-449b-a1d1-3cde76d69324</t>
        </is>
      </c>
      <c r="D515" t="inlineStr">
        <is>
          <t>30001082</t>
        </is>
      </c>
      <c r="E515" t="inlineStr">
        <is>
          <t>ussd_funeral_leads_altitude_20260504</t>
        </is>
      </c>
      <c r="J515" t="inlineStr">
        <is>
          <t>GTTB</t>
        </is>
      </c>
      <c r="K515" t="inlineStr">
        <is>
          <t>Go to the Branch</t>
        </is>
      </c>
      <c r="L515" t="n">
        <v>5</v>
      </c>
      <c r="M515" t="inlineStr">
        <is>
          <t>2026-05-18 10:36:29</t>
        </is>
      </c>
      <c r="N515" t="inlineStr">
        <is>
          <t>Sibongile Manyaka</t>
        </is>
      </c>
      <c r="O515" t="inlineStr">
        <is>
          <t>2026-05-15 11:58:32</t>
        </is>
      </c>
      <c r="P515" t="inlineStr">
        <is>
          <t>2026-05-15 11:58:32</t>
        </is>
      </c>
      <c r="Y515" t="inlineStr">
        <is>
          <t>27711625315</t>
        </is>
      </c>
    </row>
    <row r="516">
      <c r="A516" t="inlineStr">
        <is>
          <t>14363335</t>
        </is>
      </c>
      <c r="B516" t="inlineStr">
        <is>
          <t>b154b2a3-c360-4819-8243-c86bd09cab42</t>
        </is>
      </c>
      <c r="D516" t="inlineStr">
        <is>
          <t>30001082</t>
        </is>
      </c>
      <c r="E516" t="inlineStr">
        <is>
          <t>ussd_funeral_leads_altitude_20260504</t>
        </is>
      </c>
      <c r="J516" t="inlineStr">
        <is>
          <t>OAL</t>
        </is>
      </c>
      <c r="K516" t="inlineStr">
        <is>
          <t>Over Age Limit</t>
        </is>
      </c>
      <c r="L516" t="n">
        <v>5</v>
      </c>
      <c r="M516" t="inlineStr">
        <is>
          <t>2026-05-18 10:34:36</t>
        </is>
      </c>
      <c r="N516" t="inlineStr">
        <is>
          <t>Jennifer Ngobeni</t>
        </is>
      </c>
      <c r="O516" t="inlineStr">
        <is>
          <t>2026-05-15 11:58:32</t>
        </is>
      </c>
      <c r="P516" t="inlineStr">
        <is>
          <t>2026-05-15 11:58:32</t>
        </is>
      </c>
      <c r="Y516" t="inlineStr">
        <is>
          <t>27649152618</t>
        </is>
      </c>
    </row>
    <row r="517">
      <c r="A517" t="inlineStr">
        <is>
          <t>14363158</t>
        </is>
      </c>
      <c r="B517" t="inlineStr">
        <is>
          <t>018f5daf-47a3-44e9-924b-eb6f32d8214e</t>
        </is>
      </c>
      <c r="D517" t="inlineStr">
        <is>
          <t>30001082</t>
        </is>
      </c>
      <c r="E517" t="inlineStr">
        <is>
          <t>ussd_funeral_leads_altitude_20260504</t>
        </is>
      </c>
      <c r="J517" t="inlineStr">
        <is>
          <t>AF</t>
        </is>
      </c>
      <c r="K517" t="inlineStr">
        <is>
          <t>Cannot Afford</t>
        </is>
      </c>
      <c r="L517" t="n">
        <v>5</v>
      </c>
      <c r="M517" t="inlineStr">
        <is>
          <t>2026-05-18 09:43:50</t>
        </is>
      </c>
      <c r="N517" t="inlineStr">
        <is>
          <t>Ayanda Masindane</t>
        </is>
      </c>
      <c r="O517" t="inlineStr">
        <is>
          <t>2026-05-15 11:58:32</t>
        </is>
      </c>
      <c r="P517" t="inlineStr">
        <is>
          <t>2026-05-15 11:58:32</t>
        </is>
      </c>
      <c r="Y517" t="inlineStr">
        <is>
          <t>27723545349</t>
        </is>
      </c>
    </row>
    <row r="518">
      <c r="A518" t="inlineStr">
        <is>
          <t>14400000</t>
        </is>
      </c>
      <c r="B518" t="inlineStr">
        <is>
          <t>e504121f-fab8-4226-a756-f8a2a4c5de4f</t>
        </is>
      </c>
      <c r="D518" t="inlineStr">
        <is>
          <t>30001082</t>
        </is>
      </c>
      <c r="E518" t="inlineStr">
        <is>
          <t>ussd_funeral_leads_altitude_20260504</t>
        </is>
      </c>
      <c r="J518" t="inlineStr">
        <is>
          <t>CBACK</t>
        </is>
      </c>
      <c r="K518" t="inlineStr">
        <is>
          <t>Callback</t>
        </is>
      </c>
      <c r="L518" t="n">
        <v>5</v>
      </c>
      <c r="M518" t="inlineStr">
        <is>
          <t>2026-05-18 09:31:49</t>
        </is>
      </c>
      <c r="N518" t="inlineStr">
        <is>
          <t>Tebogo Chauke</t>
        </is>
      </c>
      <c r="O518" t="inlineStr">
        <is>
          <t>2026-05-15 11:58:32</t>
        </is>
      </c>
      <c r="P518" t="inlineStr">
        <is>
          <t>2026-05-15 11:58:32</t>
        </is>
      </c>
      <c r="Y518" t="inlineStr">
        <is>
          <t>27764579140</t>
        </is>
      </c>
    </row>
    <row r="519">
      <c r="A519" t="inlineStr">
        <is>
          <t>14363212</t>
        </is>
      </c>
      <c r="B519" t="inlineStr">
        <is>
          <t>8b77b1e5-8196-4a8d-839f-f10091c84833</t>
        </is>
      </c>
      <c r="D519" t="inlineStr">
        <is>
          <t>30001082</t>
        </is>
      </c>
      <c r="E519" t="inlineStr">
        <is>
          <t>ussd_funeral_leads_altitude_20260504</t>
        </is>
      </c>
      <c r="J519" t="inlineStr">
        <is>
          <t>U</t>
        </is>
      </c>
      <c r="K519" t="inlineStr">
        <is>
          <t>Unemployed</t>
        </is>
      </c>
      <c r="L519" t="n">
        <v>6</v>
      </c>
      <c r="M519" t="inlineStr">
        <is>
          <t>2026-05-18 07:09:22</t>
        </is>
      </c>
      <c r="N519" t="inlineStr">
        <is>
          <t>Lebohang Mabotja</t>
        </is>
      </c>
      <c r="O519" t="inlineStr">
        <is>
          <t>2026-05-15 11:58:32</t>
        </is>
      </c>
      <c r="P519" t="inlineStr">
        <is>
          <t>2026-05-15 11:58:32</t>
        </is>
      </c>
      <c r="Y519" t="inlineStr">
        <is>
          <t>27724865558</t>
        </is>
      </c>
    </row>
    <row r="520">
      <c r="A520" t="inlineStr">
        <is>
          <t>14363149</t>
        </is>
      </c>
      <c r="B520" t="inlineStr">
        <is>
          <t>e9e6be23-651a-427b-8f9f-2ae29feebc32</t>
        </is>
      </c>
      <c r="D520" t="inlineStr">
        <is>
          <t>30001082</t>
        </is>
      </c>
      <c r="E520" t="inlineStr">
        <is>
          <t>ussd_funeral_leads_altitude_20260504</t>
        </is>
      </c>
      <c r="J520" t="inlineStr">
        <is>
          <t>NI</t>
        </is>
      </c>
      <c r="K520" t="inlineStr">
        <is>
          <t>Not Interested</t>
        </is>
      </c>
      <c r="L520" t="n">
        <v>5</v>
      </c>
      <c r="M520" t="inlineStr">
        <is>
          <t>2026-05-18 06:48:06</t>
        </is>
      </c>
      <c r="N520" t="inlineStr">
        <is>
          <t>Vuyiswa Nxumalo</t>
        </is>
      </c>
      <c r="O520" t="inlineStr">
        <is>
          <t>2026-05-15 11:58:32</t>
        </is>
      </c>
      <c r="P520" t="inlineStr">
        <is>
          <t>2026-05-15 11:58:32</t>
        </is>
      </c>
      <c r="Y520" t="inlineStr">
        <is>
          <t>27824787751</t>
        </is>
      </c>
    </row>
    <row r="521">
      <c r="A521" t="inlineStr">
        <is>
          <t>14363135</t>
        </is>
      </c>
      <c r="B521" t="inlineStr">
        <is>
          <t>22bde0ea-6f42-463a-9487-1c11d29ee52d</t>
        </is>
      </c>
      <c r="D521" t="inlineStr">
        <is>
          <t>30001082</t>
        </is>
      </c>
      <c r="E521" t="inlineStr">
        <is>
          <t>ussd_funeral_leads_altitude_20260504</t>
        </is>
      </c>
      <c r="J521" t="inlineStr">
        <is>
          <t>AF</t>
        </is>
      </c>
      <c r="K521" t="inlineStr">
        <is>
          <t>Cannot Afford</t>
        </is>
      </c>
      <c r="L521" t="n">
        <v>4</v>
      </c>
      <c r="M521" t="inlineStr">
        <is>
          <t>2026-05-18 06:40:49</t>
        </is>
      </c>
      <c r="N521" t="inlineStr">
        <is>
          <t>Sibongile Manyaka</t>
        </is>
      </c>
      <c r="O521" t="inlineStr">
        <is>
          <t>2026-05-15 11:58:32</t>
        </is>
      </c>
      <c r="P521" t="inlineStr">
        <is>
          <t>2026-05-15 11:58:32</t>
        </is>
      </c>
      <c r="Y521" t="inlineStr">
        <is>
          <t>27663470103</t>
        </is>
      </c>
    </row>
    <row r="522">
      <c r="A522" t="inlineStr">
        <is>
          <t>14363210</t>
        </is>
      </c>
      <c r="B522" t="inlineStr">
        <is>
          <t>9a102959-cac6-4cc6-b22b-98fc3c7667e0</t>
        </is>
      </c>
      <c r="D522" t="inlineStr">
        <is>
          <t>30001082</t>
        </is>
      </c>
      <c r="E522" t="inlineStr">
        <is>
          <t>ussd_funeral_leads_altitude_20260504</t>
        </is>
      </c>
      <c r="J522" t="inlineStr">
        <is>
          <t>USA</t>
        </is>
      </c>
      <c r="K522" t="inlineStr">
        <is>
          <t>Unsuccessful Application</t>
        </is>
      </c>
      <c r="L522" t="n">
        <v>4</v>
      </c>
      <c r="M522" t="inlineStr">
        <is>
          <t>2026-05-18 06:34:54</t>
        </is>
      </c>
      <c r="N522" t="inlineStr">
        <is>
          <t>Sibongile Manyaka</t>
        </is>
      </c>
      <c r="O522" t="inlineStr">
        <is>
          <t>2026-05-15 11:58:32</t>
        </is>
      </c>
      <c r="P522" t="inlineStr">
        <is>
          <t>2026-05-15 11:58:32</t>
        </is>
      </c>
      <c r="Y522" t="inlineStr">
        <is>
          <t>27792985883</t>
        </is>
      </c>
    </row>
    <row r="523">
      <c r="A523" t="inlineStr">
        <is>
          <t>14363386</t>
        </is>
      </c>
      <c r="B523" t="inlineStr">
        <is>
          <t>79fcea09-c745-41a5-8cd7-87e294fba93f</t>
        </is>
      </c>
      <c r="D523" t="inlineStr">
        <is>
          <t>30001082</t>
        </is>
      </c>
      <c r="E523" t="inlineStr">
        <is>
          <t>ussd_funeral_leads_altitude_20260504</t>
        </is>
      </c>
      <c r="J523" t="inlineStr">
        <is>
          <t>NI</t>
        </is>
      </c>
      <c r="K523" t="inlineStr">
        <is>
          <t>Not Interested</t>
        </is>
      </c>
      <c r="L523" t="n">
        <v>3</v>
      </c>
      <c r="M523" t="inlineStr">
        <is>
          <t>2026-05-18 06:08:23</t>
        </is>
      </c>
      <c r="N523" t="inlineStr">
        <is>
          <t>Lebohang Mabotja</t>
        </is>
      </c>
      <c r="O523" t="inlineStr">
        <is>
          <t>2026-05-15 11:58:32</t>
        </is>
      </c>
      <c r="P523" t="inlineStr">
        <is>
          <t>2026-05-15 11:58:32</t>
        </is>
      </c>
      <c r="Y523" t="inlineStr">
        <is>
          <t>27663209475</t>
        </is>
      </c>
    </row>
    <row r="524">
      <c r="A524" t="inlineStr">
        <is>
          <t>14362930</t>
        </is>
      </c>
      <c r="B524" t="inlineStr">
        <is>
          <t>bb758410-c015-4751-8270-8089582119ac</t>
        </is>
      </c>
      <c r="D524" t="inlineStr">
        <is>
          <t>30001082</t>
        </is>
      </c>
      <c r="E524" t="inlineStr">
        <is>
          <t>ussd_funeral_leads_altitude_20260504</t>
        </is>
      </c>
      <c r="J524" t="inlineStr">
        <is>
          <t>NI</t>
        </is>
      </c>
      <c r="K524" t="inlineStr">
        <is>
          <t>Not Interested</t>
        </is>
      </c>
      <c r="L524" t="n">
        <v>4</v>
      </c>
      <c r="M524" t="inlineStr">
        <is>
          <t>2026-05-16 10:46:15</t>
        </is>
      </c>
      <c r="N524" t="inlineStr">
        <is>
          <t>Vuyiswa Nxumalo</t>
        </is>
      </c>
      <c r="O524" t="inlineStr">
        <is>
          <t>2026-05-15 11:58:32</t>
        </is>
      </c>
      <c r="P524" t="inlineStr">
        <is>
          <t>2026-05-15 11:58:32</t>
        </is>
      </c>
      <c r="Y524" t="inlineStr">
        <is>
          <t>27799527713</t>
        </is>
      </c>
    </row>
    <row r="525">
      <c r="A525" t="inlineStr">
        <is>
          <t>14363482</t>
        </is>
      </c>
      <c r="B525" t="inlineStr">
        <is>
          <t>0d0520c4-7e0a-4202-ace9-a7d55a3490f4</t>
        </is>
      </c>
      <c r="D525" t="inlineStr">
        <is>
          <t>30001082</t>
        </is>
      </c>
      <c r="E525" t="inlineStr">
        <is>
          <t>ussd_funeral_leads_altitude_20260504</t>
        </is>
      </c>
      <c r="H525" t="inlineStr">
        <is>
          <t>27825396372</t>
        </is>
      </c>
      <c r="J525" t="inlineStr">
        <is>
          <t>GTTB</t>
        </is>
      </c>
      <c r="K525" t="inlineStr">
        <is>
          <t>Go to the Branch</t>
        </is>
      </c>
      <c r="L525" t="n">
        <v>3</v>
      </c>
      <c r="M525" t="inlineStr">
        <is>
          <t>2026-05-16 10:42:14</t>
        </is>
      </c>
      <c r="N525" t="inlineStr">
        <is>
          <t>Lebohang Mabotja</t>
        </is>
      </c>
      <c r="O525" t="inlineStr">
        <is>
          <t>2026-05-15 11:58:32</t>
        </is>
      </c>
      <c r="P525" t="inlineStr">
        <is>
          <t>2026-05-15 11:58:32</t>
        </is>
      </c>
      <c r="Y525" t="inlineStr">
        <is>
          <t>27825396372</t>
        </is>
      </c>
    </row>
    <row r="526">
      <c r="A526" t="inlineStr">
        <is>
          <t>14363477</t>
        </is>
      </c>
      <c r="B526" t="inlineStr">
        <is>
          <t>25b2a764-aff1-4a0e-81c9-24d315b1d2f2</t>
        </is>
      </c>
      <c r="D526" t="inlineStr">
        <is>
          <t>30001082</t>
        </is>
      </c>
      <c r="E526" t="inlineStr">
        <is>
          <t>ussd_funeral_leads_altitude_20260504</t>
        </is>
      </c>
      <c r="J526" t="inlineStr">
        <is>
          <t>SELECTED</t>
        </is>
      </c>
      <c r="K526" t="inlineStr">
        <is>
          <t>Selected</t>
        </is>
      </c>
      <c r="L526" t="n">
        <v>4</v>
      </c>
      <c r="M526" t="inlineStr">
        <is>
          <t>2026-05-16 10:42:13</t>
        </is>
      </c>
      <c r="N526" t="inlineStr">
        <is>
          <t>system</t>
        </is>
      </c>
      <c r="O526" t="inlineStr">
        <is>
          <t>2026-05-15 11:58:32</t>
        </is>
      </c>
      <c r="P526" t="inlineStr">
        <is>
          <t>2026-05-15 11:58:32</t>
        </is>
      </c>
      <c r="Y526" t="inlineStr">
        <is>
          <t>27764078336</t>
        </is>
      </c>
    </row>
    <row r="527">
      <c r="A527" t="inlineStr">
        <is>
          <t>14363461</t>
        </is>
      </c>
      <c r="B527" t="inlineStr">
        <is>
          <t>ecc5c7ba-9179-450a-985a-6d759a384fc4</t>
        </is>
      </c>
      <c r="D527" t="inlineStr">
        <is>
          <t>30001082</t>
        </is>
      </c>
      <c r="E527" t="inlineStr">
        <is>
          <t>ussd_funeral_leads_altitude_20260504</t>
        </is>
      </c>
      <c r="J527" t="inlineStr">
        <is>
          <t>AF</t>
        </is>
      </c>
      <c r="K527" t="inlineStr">
        <is>
          <t>Cannot Afford</t>
        </is>
      </c>
      <c r="L527" t="n">
        <v>3</v>
      </c>
      <c r="M527" t="inlineStr">
        <is>
          <t>2026-05-16 10:38:46</t>
        </is>
      </c>
      <c r="N527" t="inlineStr">
        <is>
          <t>Sibongile Manyaka</t>
        </is>
      </c>
      <c r="O527" t="inlineStr">
        <is>
          <t>2026-05-15 11:58:32</t>
        </is>
      </c>
      <c r="P527" t="inlineStr">
        <is>
          <t>2026-05-15 11:58:32</t>
        </is>
      </c>
      <c r="Y527" t="inlineStr">
        <is>
          <t>27636738755</t>
        </is>
      </c>
    </row>
    <row r="528">
      <c r="A528" t="inlineStr">
        <is>
          <t>14363078</t>
        </is>
      </c>
      <c r="B528" t="inlineStr">
        <is>
          <t>03dea73b-3342-481f-8b2b-3a3078085998</t>
        </is>
      </c>
      <c r="D528" t="inlineStr">
        <is>
          <t>30001082</t>
        </is>
      </c>
      <c r="E528" t="inlineStr">
        <is>
          <t>ussd_funeral_leads_altitude_20260504</t>
        </is>
      </c>
      <c r="J528" t="inlineStr">
        <is>
          <t>DNQS</t>
        </is>
      </c>
      <c r="K528" t="inlineStr">
        <is>
          <t>Does Not Qualify</t>
        </is>
      </c>
      <c r="L528" t="n">
        <v>3</v>
      </c>
      <c r="M528" t="inlineStr">
        <is>
          <t>2026-05-16 10:36:19</t>
        </is>
      </c>
      <c r="N528" t="inlineStr">
        <is>
          <t>Lebohang Mabotja</t>
        </is>
      </c>
      <c r="O528" t="inlineStr">
        <is>
          <t>2026-05-15 11:58:32</t>
        </is>
      </c>
      <c r="P528" t="inlineStr">
        <is>
          <t>2026-05-15 11:58:32</t>
        </is>
      </c>
      <c r="Y528" t="inlineStr">
        <is>
          <t>27725182811</t>
        </is>
      </c>
    </row>
    <row r="529">
      <c r="A529" t="inlineStr">
        <is>
          <t>14362980</t>
        </is>
      </c>
      <c r="B529" t="inlineStr">
        <is>
          <t>aa8126f2-e393-4fa2-b8ff-9532bfa6cb26</t>
        </is>
      </c>
      <c r="D529" t="inlineStr">
        <is>
          <t>30001082</t>
        </is>
      </c>
      <c r="E529" t="inlineStr">
        <is>
          <t>ussd_funeral_leads_altitude_20260504</t>
        </is>
      </c>
      <c r="J529" t="inlineStr">
        <is>
          <t>AF</t>
        </is>
      </c>
      <c r="K529" t="inlineStr">
        <is>
          <t>Cannot Afford</t>
        </is>
      </c>
      <c r="L529" t="n">
        <v>3</v>
      </c>
      <c r="M529" t="inlineStr">
        <is>
          <t>2026-05-16 10:28:37</t>
        </is>
      </c>
      <c r="N529" t="inlineStr">
        <is>
          <t>Sibongile Manyaka</t>
        </is>
      </c>
      <c r="O529" t="inlineStr">
        <is>
          <t>2026-05-15 11:58:32</t>
        </is>
      </c>
      <c r="P529" t="inlineStr">
        <is>
          <t>2026-05-15 11:58:32</t>
        </is>
      </c>
      <c r="Y529" t="inlineStr">
        <is>
          <t>27792470958</t>
        </is>
      </c>
    </row>
    <row r="530">
      <c r="A530" t="inlineStr">
        <is>
          <t>14363347</t>
        </is>
      </c>
      <c r="B530" t="inlineStr">
        <is>
          <t>ec3c819c-0127-4d06-b8b2-ad9a40a432f2</t>
        </is>
      </c>
      <c r="D530" t="inlineStr">
        <is>
          <t>30001082</t>
        </is>
      </c>
      <c r="E530" t="inlineStr">
        <is>
          <t>ussd_funeral_leads_altitude_20260504</t>
        </is>
      </c>
      <c r="J530" t="inlineStr">
        <is>
          <t>CBACK</t>
        </is>
      </c>
      <c r="K530" t="inlineStr">
        <is>
          <t>Callback</t>
        </is>
      </c>
      <c r="L530" t="n">
        <v>3</v>
      </c>
      <c r="M530" t="inlineStr">
        <is>
          <t>2026-05-16 10:28:00</t>
        </is>
      </c>
      <c r="N530" t="inlineStr">
        <is>
          <t>Tebogo Chauke</t>
        </is>
      </c>
      <c r="O530" t="inlineStr">
        <is>
          <t>2026-05-15 11:58:32</t>
        </is>
      </c>
      <c r="P530" t="inlineStr">
        <is>
          <t>2026-05-15 11:58:32</t>
        </is>
      </c>
      <c r="Y530" t="inlineStr">
        <is>
          <t>27608541734</t>
        </is>
      </c>
    </row>
    <row r="531">
      <c r="A531" t="inlineStr">
        <is>
          <t>14363116</t>
        </is>
      </c>
      <c r="B531" t="inlineStr">
        <is>
          <t>1d28ef7b-d35c-4640-a97d-17746782e40b</t>
        </is>
      </c>
      <c r="D531" t="inlineStr">
        <is>
          <t>30001082</t>
        </is>
      </c>
      <c r="E531" t="inlineStr">
        <is>
          <t>ussd_funeral_leads_altitude_20260504</t>
        </is>
      </c>
      <c r="J531" t="inlineStr">
        <is>
          <t>EC</t>
        </is>
      </c>
      <c r="K531" t="inlineStr">
        <is>
          <t>Existing Client</t>
        </is>
      </c>
      <c r="L531" t="n">
        <v>3</v>
      </c>
      <c r="M531" t="inlineStr">
        <is>
          <t>2026-05-16 10:26:58</t>
        </is>
      </c>
      <c r="N531" t="inlineStr">
        <is>
          <t>Goitsimang Mogwasa</t>
        </is>
      </c>
      <c r="O531" t="inlineStr">
        <is>
          <t>2026-05-15 11:58:32</t>
        </is>
      </c>
      <c r="P531" t="inlineStr">
        <is>
          <t>2026-05-15 11:58:32</t>
        </is>
      </c>
      <c r="Y531" t="inlineStr">
        <is>
          <t>27607295977</t>
        </is>
      </c>
    </row>
    <row r="532">
      <c r="A532" t="inlineStr">
        <is>
          <t>14363370</t>
        </is>
      </c>
      <c r="B532" t="inlineStr">
        <is>
          <t>8ebc5378-6973-4d04-8c94-3b13efc18bac</t>
        </is>
      </c>
      <c r="D532" t="inlineStr">
        <is>
          <t>30001082</t>
        </is>
      </c>
      <c r="E532" t="inlineStr">
        <is>
          <t>ussd_funeral_leads_altitude_20260504</t>
        </is>
      </c>
      <c r="J532" t="inlineStr">
        <is>
          <t>CUA</t>
        </is>
      </c>
      <c r="K532" t="inlineStr">
        <is>
          <t>Client Underage</t>
        </is>
      </c>
      <c r="L532" t="n">
        <v>3</v>
      </c>
      <c r="M532" t="inlineStr">
        <is>
          <t>2026-05-16 10:26:13</t>
        </is>
      </c>
      <c r="N532" t="inlineStr">
        <is>
          <t>Vuyiswa Nxumalo</t>
        </is>
      </c>
      <c r="O532" t="inlineStr">
        <is>
          <t>2026-05-15 11:58:32</t>
        </is>
      </c>
      <c r="P532" t="inlineStr">
        <is>
          <t>2026-05-15 11:58:32</t>
        </is>
      </c>
      <c r="Y532" t="inlineStr">
        <is>
          <t>27660113607</t>
        </is>
      </c>
    </row>
    <row r="533">
      <c r="A533" t="inlineStr">
        <is>
          <t>14363211</t>
        </is>
      </c>
      <c r="B533" t="inlineStr">
        <is>
          <t>638831cf-1c70-4a41-b12b-81becc75f29c</t>
        </is>
      </c>
      <c r="D533" t="inlineStr">
        <is>
          <t>30001082</t>
        </is>
      </c>
      <c r="E533" t="inlineStr">
        <is>
          <t>ussd_funeral_leads_altitude_20260504</t>
        </is>
      </c>
      <c r="J533" t="inlineStr">
        <is>
          <t>NI</t>
        </is>
      </c>
      <c r="K533" t="inlineStr">
        <is>
          <t>Not Interested</t>
        </is>
      </c>
      <c r="L533" t="n">
        <v>3</v>
      </c>
      <c r="M533" t="inlineStr">
        <is>
          <t>2026-05-16 10:19:20</t>
        </is>
      </c>
      <c r="N533" t="inlineStr">
        <is>
          <t>Goitsimang Mogwasa</t>
        </is>
      </c>
      <c r="O533" t="inlineStr">
        <is>
          <t>2026-05-15 11:58:32</t>
        </is>
      </c>
      <c r="P533" t="inlineStr">
        <is>
          <t>2026-05-15 11:58:32</t>
        </is>
      </c>
      <c r="Y533" t="inlineStr">
        <is>
          <t>27649703442</t>
        </is>
      </c>
    </row>
    <row r="534">
      <c r="A534" t="inlineStr">
        <is>
          <t>14363248</t>
        </is>
      </c>
      <c r="B534" t="inlineStr">
        <is>
          <t>7c75126c-2a58-4321-b375-676dccea3969</t>
        </is>
      </c>
      <c r="D534" t="inlineStr">
        <is>
          <t>30001082</t>
        </is>
      </c>
      <c r="E534" t="inlineStr">
        <is>
          <t>ussd_funeral_leads_altitude_20260504</t>
        </is>
      </c>
      <c r="J534" t="inlineStr">
        <is>
          <t>CBACK</t>
        </is>
      </c>
      <c r="K534" t="inlineStr">
        <is>
          <t>Callback</t>
        </is>
      </c>
      <c r="L534" t="n">
        <v>3</v>
      </c>
      <c r="M534" t="inlineStr">
        <is>
          <t>2026-05-16 10:17:59</t>
        </is>
      </c>
      <c r="N534" t="inlineStr">
        <is>
          <t>Tebogo Chauke</t>
        </is>
      </c>
      <c r="O534" t="inlineStr">
        <is>
          <t>2026-05-15 11:58:32</t>
        </is>
      </c>
      <c r="P534" t="inlineStr">
        <is>
          <t>2026-05-15 11:58:32</t>
        </is>
      </c>
      <c r="Y534" t="inlineStr">
        <is>
          <t>27798400671</t>
        </is>
      </c>
    </row>
    <row r="535">
      <c r="A535" t="inlineStr">
        <is>
          <t>14363279</t>
        </is>
      </c>
      <c r="B535" t="inlineStr">
        <is>
          <t>cc0b00d4-ecfd-4fbb-bef0-33867e0ca149</t>
        </is>
      </c>
      <c r="D535" t="inlineStr">
        <is>
          <t>30001082</t>
        </is>
      </c>
      <c r="E535" t="inlineStr">
        <is>
          <t>ussd_funeral_leads_altitude_20260504</t>
        </is>
      </c>
      <c r="J535" t="inlineStr">
        <is>
          <t>U</t>
        </is>
      </c>
      <c r="K535" t="inlineStr">
        <is>
          <t>Unemployed</t>
        </is>
      </c>
      <c r="L535" t="n">
        <v>3</v>
      </c>
      <c r="M535" t="inlineStr">
        <is>
          <t>2026-05-16 10:16:22</t>
        </is>
      </c>
      <c r="N535" t="inlineStr">
        <is>
          <t>Goitsimang Mogwasa</t>
        </is>
      </c>
      <c r="O535" t="inlineStr">
        <is>
          <t>2026-05-15 11:58:32</t>
        </is>
      </c>
      <c r="P535" t="inlineStr">
        <is>
          <t>2026-05-15 11:58:32</t>
        </is>
      </c>
      <c r="Y535" t="inlineStr">
        <is>
          <t>27661749410</t>
        </is>
      </c>
    </row>
    <row r="536">
      <c r="A536" t="inlineStr">
        <is>
          <t>14362947</t>
        </is>
      </c>
      <c r="B536" t="inlineStr">
        <is>
          <t>e7cc1349-dafc-4c89-a050-89b137f5eced</t>
        </is>
      </c>
      <c r="D536" t="inlineStr">
        <is>
          <t>30001082</t>
        </is>
      </c>
      <c r="E536" t="inlineStr">
        <is>
          <t>ussd_funeral_leads_altitude_20260504</t>
        </is>
      </c>
      <c r="J536" t="inlineStr">
        <is>
          <t>NI</t>
        </is>
      </c>
      <c r="K536" t="inlineStr">
        <is>
          <t>Not Interested</t>
        </is>
      </c>
      <c r="L536" t="n">
        <v>3</v>
      </c>
      <c r="M536" t="inlineStr">
        <is>
          <t>2026-05-16 09:48:32</t>
        </is>
      </c>
      <c r="N536" t="inlineStr">
        <is>
          <t>Ayanda Masindane</t>
        </is>
      </c>
      <c r="O536" t="inlineStr">
        <is>
          <t>2026-05-15 11:58:32</t>
        </is>
      </c>
      <c r="P536" t="inlineStr">
        <is>
          <t>2026-05-15 11:58:32</t>
        </is>
      </c>
      <c r="Y536" t="inlineStr">
        <is>
          <t>27791753218</t>
        </is>
      </c>
    </row>
    <row r="537">
      <c r="A537" t="inlineStr">
        <is>
          <t>14363068</t>
        </is>
      </c>
      <c r="B537" t="inlineStr">
        <is>
          <t>603dadf6-4ed3-4884-8c2f-14b7d6ef2993</t>
        </is>
      </c>
      <c r="D537" t="inlineStr">
        <is>
          <t>30001082</t>
        </is>
      </c>
      <c r="E537" t="inlineStr">
        <is>
          <t>ussd_funeral_leads_altitude_20260504</t>
        </is>
      </c>
      <c r="J537" t="inlineStr">
        <is>
          <t>CUA</t>
        </is>
      </c>
      <c r="K537" t="inlineStr">
        <is>
          <t>Client Underage</t>
        </is>
      </c>
      <c r="L537" t="n">
        <v>2</v>
      </c>
      <c r="M537" t="inlineStr">
        <is>
          <t>2026-05-16 08:15:56</t>
        </is>
      </c>
      <c r="N537" t="inlineStr">
        <is>
          <t>Fortunate Ndubane</t>
        </is>
      </c>
      <c r="O537" t="inlineStr">
        <is>
          <t>2026-05-15 11:58:32</t>
        </is>
      </c>
      <c r="P537" t="inlineStr">
        <is>
          <t>2026-05-15 11:58:32</t>
        </is>
      </c>
      <c r="Y537" t="inlineStr">
        <is>
          <t>27606794817</t>
        </is>
      </c>
    </row>
    <row r="538">
      <c r="A538" t="inlineStr">
        <is>
          <t>14363449</t>
        </is>
      </c>
      <c r="B538" t="inlineStr">
        <is>
          <t>02954742-dfb6-43a4-aa36-8a023cd9ae21</t>
        </is>
      </c>
      <c r="D538" t="inlineStr">
        <is>
          <t>30001082</t>
        </is>
      </c>
      <c r="E538" t="inlineStr">
        <is>
          <t>ussd_funeral_leads_altitude_20260504</t>
        </is>
      </c>
      <c r="J538" t="inlineStr">
        <is>
          <t>DNQS</t>
        </is>
      </c>
      <c r="K538" t="inlineStr">
        <is>
          <t>Does Not Qualify</t>
        </is>
      </c>
      <c r="L538" t="n">
        <v>2</v>
      </c>
      <c r="M538" t="inlineStr">
        <is>
          <t>2026-05-16 08:11:12</t>
        </is>
      </c>
      <c r="N538" t="inlineStr">
        <is>
          <t>Ayanda Masindane</t>
        </is>
      </c>
      <c r="O538" t="inlineStr">
        <is>
          <t>2026-05-15 11:58:32</t>
        </is>
      </c>
      <c r="P538" t="inlineStr">
        <is>
          <t>2026-05-15 11:58:32</t>
        </is>
      </c>
      <c r="Y538" t="inlineStr">
        <is>
          <t>27714733683</t>
        </is>
      </c>
    </row>
    <row r="539">
      <c r="A539" t="inlineStr">
        <is>
          <t>14363244</t>
        </is>
      </c>
      <c r="B539" t="inlineStr">
        <is>
          <t>cb2786b9-5987-4fc0-8ef6-068f89a41245</t>
        </is>
      </c>
      <c r="D539" t="inlineStr">
        <is>
          <t>30001082</t>
        </is>
      </c>
      <c r="E539" t="inlineStr">
        <is>
          <t>ussd_funeral_leads_altitude_20260504</t>
        </is>
      </c>
      <c r="J539" t="inlineStr">
        <is>
          <t>CBACK</t>
        </is>
      </c>
      <c r="K539" t="inlineStr">
        <is>
          <t>Callback</t>
        </is>
      </c>
      <c r="L539" t="n">
        <v>2</v>
      </c>
      <c r="M539" t="inlineStr">
        <is>
          <t>2026-05-16 07:59:08</t>
        </is>
      </c>
      <c r="N539" t="inlineStr">
        <is>
          <t>Tebogo Chauke</t>
        </is>
      </c>
      <c r="O539" t="inlineStr">
        <is>
          <t>2026-05-15 11:58:32</t>
        </is>
      </c>
      <c r="P539" t="inlineStr">
        <is>
          <t>2026-05-15 11:58:32</t>
        </is>
      </c>
      <c r="Y539" t="inlineStr">
        <is>
          <t>27723938603</t>
        </is>
      </c>
    </row>
    <row r="540">
      <c r="A540" t="inlineStr">
        <is>
          <t>14362975</t>
        </is>
      </c>
      <c r="B540" t="inlineStr">
        <is>
          <t>01fe2971-1e38-4ee1-8e89-b5a5f428215b</t>
        </is>
      </c>
      <c r="D540" t="inlineStr">
        <is>
          <t>30001082</t>
        </is>
      </c>
      <c r="E540" t="inlineStr">
        <is>
          <t>ussd_funeral_leads_altitude_20260504</t>
        </is>
      </c>
      <c r="J540" t="inlineStr">
        <is>
          <t>NI</t>
        </is>
      </c>
      <c r="K540" t="inlineStr">
        <is>
          <t>Not Interested</t>
        </is>
      </c>
      <c r="L540" t="n">
        <v>2</v>
      </c>
      <c r="M540" t="inlineStr">
        <is>
          <t>2026-05-16 07:54:08</t>
        </is>
      </c>
      <c r="N540" t="inlineStr">
        <is>
          <t>Virginia Letsatsi</t>
        </is>
      </c>
      <c r="O540" t="inlineStr">
        <is>
          <t>2026-05-15 11:58:32</t>
        </is>
      </c>
      <c r="P540" t="inlineStr">
        <is>
          <t>2026-05-15 11:58:32</t>
        </is>
      </c>
      <c r="Y540" t="inlineStr">
        <is>
          <t>27843706920</t>
        </is>
      </c>
    </row>
    <row r="541">
      <c r="A541" t="inlineStr">
        <is>
          <t>14363096</t>
        </is>
      </c>
      <c r="B541" t="inlineStr">
        <is>
          <t>c6374908-2ea0-46ab-bf17-8028e2166229</t>
        </is>
      </c>
      <c r="D541" t="inlineStr">
        <is>
          <t>30001082</t>
        </is>
      </c>
      <c r="E541" t="inlineStr">
        <is>
          <t>ussd_funeral_leads_altitude_20260504</t>
        </is>
      </c>
      <c r="J541" t="inlineStr">
        <is>
          <t>CBACK</t>
        </is>
      </c>
      <c r="K541" t="inlineStr">
        <is>
          <t>Callback</t>
        </is>
      </c>
      <c r="L541" t="n">
        <v>2</v>
      </c>
      <c r="M541" t="inlineStr">
        <is>
          <t>2026-05-16 07:53:51</t>
        </is>
      </c>
      <c r="N541" t="inlineStr">
        <is>
          <t>Tebogo Chauke</t>
        </is>
      </c>
      <c r="O541" t="inlineStr">
        <is>
          <t>2026-05-15 11:58:32</t>
        </is>
      </c>
      <c r="P541" t="inlineStr">
        <is>
          <t>2026-05-15 11:58:32</t>
        </is>
      </c>
      <c r="Y541" t="inlineStr">
        <is>
          <t>27661034591</t>
        </is>
      </c>
    </row>
    <row r="542">
      <c r="A542" t="inlineStr">
        <is>
          <t>14363344</t>
        </is>
      </c>
      <c r="B542" t="inlineStr">
        <is>
          <t>70a3b5f5-54c6-4586-9395-06144b40ceb1</t>
        </is>
      </c>
      <c r="D542" t="inlineStr">
        <is>
          <t>30001082</t>
        </is>
      </c>
      <c r="E542" t="inlineStr">
        <is>
          <t>ussd_funeral_leads_altitude_20260504</t>
        </is>
      </c>
      <c r="J542" t="inlineStr">
        <is>
          <t>CUA</t>
        </is>
      </c>
      <c r="K542" t="inlineStr">
        <is>
          <t>Client Underage</t>
        </is>
      </c>
      <c r="L542" t="n">
        <v>2</v>
      </c>
      <c r="M542" t="inlineStr">
        <is>
          <t>2026-05-16 07:52:19</t>
        </is>
      </c>
      <c r="N542" t="inlineStr">
        <is>
          <t>Lebohang Mabotja</t>
        </is>
      </c>
      <c r="O542" t="inlineStr">
        <is>
          <t>2026-05-15 11:58:32</t>
        </is>
      </c>
      <c r="P542" t="inlineStr">
        <is>
          <t>2026-05-15 11:58:32</t>
        </is>
      </c>
      <c r="Y542" t="inlineStr">
        <is>
          <t>27762655967</t>
        </is>
      </c>
    </row>
    <row r="543">
      <c r="A543" t="inlineStr">
        <is>
          <t>14363101</t>
        </is>
      </c>
      <c r="B543" t="inlineStr">
        <is>
          <t>42c77da4-8eaa-4326-8db9-1a9770adf0c7</t>
        </is>
      </c>
      <c r="D543" t="inlineStr">
        <is>
          <t>30001082</t>
        </is>
      </c>
      <c r="E543" t="inlineStr">
        <is>
          <t>ussd_funeral_leads_altitude_20260504</t>
        </is>
      </c>
      <c r="J543" t="inlineStr">
        <is>
          <t>CBACK</t>
        </is>
      </c>
      <c r="K543" t="inlineStr">
        <is>
          <t>Callback</t>
        </is>
      </c>
      <c r="L543" t="n">
        <v>2</v>
      </c>
      <c r="M543" t="inlineStr">
        <is>
          <t>2026-05-16 07:49:40</t>
        </is>
      </c>
      <c r="N543" t="inlineStr">
        <is>
          <t>Tebogo Chauke</t>
        </is>
      </c>
      <c r="O543" t="inlineStr">
        <is>
          <t>2026-05-15 11:58:32</t>
        </is>
      </c>
      <c r="P543" t="inlineStr">
        <is>
          <t>2026-05-15 11:58:32</t>
        </is>
      </c>
      <c r="Y543" t="inlineStr">
        <is>
          <t>27660234297</t>
        </is>
      </c>
    </row>
    <row r="544">
      <c r="A544" t="inlineStr">
        <is>
          <t>14363182</t>
        </is>
      </c>
      <c r="B544" t="inlineStr">
        <is>
          <t>de150e9e-88c4-4665-918c-9176ff73fbc1</t>
        </is>
      </c>
      <c r="D544" t="inlineStr">
        <is>
          <t>30001082</t>
        </is>
      </c>
      <c r="E544" t="inlineStr">
        <is>
          <t>ussd_funeral_leads_altitude_20260504</t>
        </is>
      </c>
      <c r="J544" t="inlineStr">
        <is>
          <t>AF</t>
        </is>
      </c>
      <c r="K544" t="inlineStr">
        <is>
          <t>Cannot Afford</t>
        </is>
      </c>
      <c r="L544" t="n">
        <v>2</v>
      </c>
      <c r="M544" t="inlineStr">
        <is>
          <t>2026-05-16 07:44:18</t>
        </is>
      </c>
      <c r="N544" t="inlineStr">
        <is>
          <t>Tebogo Chauke</t>
        </is>
      </c>
      <c r="O544" t="inlineStr">
        <is>
          <t>2026-05-15 11:58:32</t>
        </is>
      </c>
      <c r="P544" t="inlineStr">
        <is>
          <t>2026-05-15 11:58:32</t>
        </is>
      </c>
      <c r="Y544" t="inlineStr">
        <is>
          <t>27767730114</t>
        </is>
      </c>
    </row>
    <row r="545">
      <c r="A545" t="inlineStr">
        <is>
          <t>14400000</t>
        </is>
      </c>
      <c r="B545" t="inlineStr">
        <is>
          <t>e520a952-ccb6-4738-b51d-bba7507b34b6</t>
        </is>
      </c>
      <c r="D545" t="inlineStr">
        <is>
          <t>30001082</t>
        </is>
      </c>
      <c r="E545" t="inlineStr">
        <is>
          <t>ussd_funeral_leads_altitude_20260504</t>
        </is>
      </c>
      <c r="J545" t="inlineStr">
        <is>
          <t>CBACK</t>
        </is>
      </c>
      <c r="K545" t="inlineStr">
        <is>
          <t>Callback</t>
        </is>
      </c>
      <c r="L545" t="n">
        <v>2</v>
      </c>
      <c r="M545" t="inlineStr">
        <is>
          <t>2026-05-16 07:42:41</t>
        </is>
      </c>
      <c r="N545" t="inlineStr">
        <is>
          <t>Tebogo Chauke</t>
        </is>
      </c>
      <c r="O545" t="inlineStr">
        <is>
          <t>2026-05-15 11:58:32</t>
        </is>
      </c>
      <c r="P545" t="inlineStr">
        <is>
          <t>2026-05-15 11:58:32</t>
        </is>
      </c>
      <c r="Y545" t="inlineStr">
        <is>
          <t>27646056683</t>
        </is>
      </c>
    </row>
    <row r="546">
      <c r="A546" t="inlineStr">
        <is>
          <t>14363136</t>
        </is>
      </c>
      <c r="B546" t="inlineStr">
        <is>
          <t>4ae29a70-eb87-4185-8c1d-216fd019767e</t>
        </is>
      </c>
      <c r="D546" t="inlineStr">
        <is>
          <t>30001082</t>
        </is>
      </c>
      <c r="E546" t="inlineStr">
        <is>
          <t>ussd_funeral_leads_altitude_20260504</t>
        </is>
      </c>
      <c r="J546" t="inlineStr">
        <is>
          <t>NI</t>
        </is>
      </c>
      <c r="K546" t="inlineStr">
        <is>
          <t>Not Interested</t>
        </is>
      </c>
      <c r="L546" t="n">
        <v>2</v>
      </c>
      <c r="M546" t="inlineStr">
        <is>
          <t>2026-05-16 07:39:38</t>
        </is>
      </c>
      <c r="N546" t="inlineStr">
        <is>
          <t>Goitsimang Mogwasa</t>
        </is>
      </c>
      <c r="O546" t="inlineStr">
        <is>
          <t>2026-05-15 11:58:32</t>
        </is>
      </c>
      <c r="P546" t="inlineStr">
        <is>
          <t>2026-05-15 11:58:32</t>
        </is>
      </c>
      <c r="Y546" t="inlineStr">
        <is>
          <t>27824055452</t>
        </is>
      </c>
    </row>
    <row r="547">
      <c r="A547" t="inlineStr">
        <is>
          <t>14363087</t>
        </is>
      </c>
      <c r="B547" t="inlineStr">
        <is>
          <t>feb6fd33-e181-4419-b921-344f12e98d63</t>
        </is>
      </c>
      <c r="D547" t="inlineStr">
        <is>
          <t>30001082</t>
        </is>
      </c>
      <c r="E547" t="inlineStr">
        <is>
          <t>ussd_funeral_leads_altitude_20260504</t>
        </is>
      </c>
      <c r="J547" t="inlineStr">
        <is>
          <t>CBACK</t>
        </is>
      </c>
      <c r="K547" t="inlineStr">
        <is>
          <t>Callback</t>
        </is>
      </c>
      <c r="L547" t="n">
        <v>2</v>
      </c>
      <c r="M547" t="inlineStr">
        <is>
          <t>2026-05-16 07:38:31</t>
        </is>
      </c>
      <c r="N547" t="inlineStr">
        <is>
          <t>Gontse Monageng</t>
        </is>
      </c>
      <c r="O547" t="inlineStr">
        <is>
          <t>2026-05-15 11:58:32</t>
        </is>
      </c>
      <c r="P547" t="inlineStr">
        <is>
          <t>2026-05-15 11:58:32</t>
        </is>
      </c>
      <c r="Y547" t="inlineStr">
        <is>
          <t>27720423050</t>
        </is>
      </c>
    </row>
    <row r="548">
      <c r="A548" t="inlineStr">
        <is>
          <t>14363099</t>
        </is>
      </c>
      <c r="B548" t="inlineStr">
        <is>
          <t>ac752696-ea40-4dd9-baae-763c3d074267</t>
        </is>
      </c>
      <c r="D548" t="inlineStr">
        <is>
          <t>30001082</t>
        </is>
      </c>
      <c r="E548" t="inlineStr">
        <is>
          <t>ussd_funeral_leads_altitude_20260504</t>
        </is>
      </c>
      <c r="J548" t="inlineStr">
        <is>
          <t>NI</t>
        </is>
      </c>
      <c r="K548" t="inlineStr">
        <is>
          <t>Not Interested</t>
        </is>
      </c>
      <c r="L548" t="n">
        <v>2</v>
      </c>
      <c r="M548" t="inlineStr">
        <is>
          <t>2026-05-16 07:29:17</t>
        </is>
      </c>
      <c r="N548" t="inlineStr">
        <is>
          <t>Vuyiswa Nxumalo</t>
        </is>
      </c>
      <c r="O548" t="inlineStr">
        <is>
          <t>2026-05-15 11:58:32</t>
        </is>
      </c>
      <c r="P548" t="inlineStr">
        <is>
          <t>2026-05-15 11:58:32</t>
        </is>
      </c>
      <c r="Y548" t="inlineStr">
        <is>
          <t>27712890274</t>
        </is>
      </c>
    </row>
    <row r="549">
      <c r="A549" t="inlineStr">
        <is>
          <t>14363329</t>
        </is>
      </c>
      <c r="B549" t="inlineStr">
        <is>
          <t>6fa4c9db-d6fd-49e4-b57d-0a2979017ff2</t>
        </is>
      </c>
      <c r="D549" t="inlineStr">
        <is>
          <t>30001082</t>
        </is>
      </c>
      <c r="E549" t="inlineStr">
        <is>
          <t>ussd_funeral_leads_altitude_20260504</t>
        </is>
      </c>
      <c r="J549" t="inlineStr">
        <is>
          <t>CBACK</t>
        </is>
      </c>
      <c r="K549" t="inlineStr">
        <is>
          <t>Callback</t>
        </is>
      </c>
      <c r="L549" t="n">
        <v>2</v>
      </c>
      <c r="M549" t="inlineStr">
        <is>
          <t>2026-05-16 07:26:06</t>
        </is>
      </c>
      <c r="N549" t="inlineStr">
        <is>
          <t>Tebogo Chauke</t>
        </is>
      </c>
      <c r="O549" t="inlineStr">
        <is>
          <t>2026-05-15 11:58:32</t>
        </is>
      </c>
      <c r="P549" t="inlineStr">
        <is>
          <t>2026-05-15 11:58:32</t>
        </is>
      </c>
      <c r="Y549" t="inlineStr">
        <is>
          <t>27726128623</t>
        </is>
      </c>
    </row>
    <row r="550">
      <c r="A550" t="inlineStr">
        <is>
          <t>14363318</t>
        </is>
      </c>
      <c r="B550" t="inlineStr">
        <is>
          <t>bb7369ff-5bee-4ec0-9cba-eb9179f4907a</t>
        </is>
      </c>
      <c r="D550" t="inlineStr">
        <is>
          <t>30001082</t>
        </is>
      </c>
      <c r="E550" t="inlineStr">
        <is>
          <t>ussd_funeral_leads_altitude_20260504</t>
        </is>
      </c>
      <c r="J550" t="inlineStr">
        <is>
          <t>U</t>
        </is>
      </c>
      <c r="K550" t="inlineStr">
        <is>
          <t>Unemployed</t>
        </is>
      </c>
      <c r="L550" t="n">
        <v>2</v>
      </c>
      <c r="M550" t="inlineStr">
        <is>
          <t>2026-05-16 07:24:53</t>
        </is>
      </c>
      <c r="N550" t="inlineStr">
        <is>
          <t>Lebohang Mabotja</t>
        </is>
      </c>
      <c r="O550" t="inlineStr">
        <is>
          <t>2026-05-15 11:58:32</t>
        </is>
      </c>
      <c r="P550" t="inlineStr">
        <is>
          <t>2026-05-15 11:58:32</t>
        </is>
      </c>
      <c r="Y550" t="inlineStr">
        <is>
          <t>27663559541</t>
        </is>
      </c>
    </row>
    <row r="551">
      <c r="A551" t="inlineStr">
        <is>
          <t>14363037</t>
        </is>
      </c>
      <c r="B551" t="inlineStr">
        <is>
          <t>6d17b271-70f5-4906-9d2e-add0a77ffcbe</t>
        </is>
      </c>
      <c r="D551" t="inlineStr">
        <is>
          <t>30001082</t>
        </is>
      </c>
      <c r="E551" t="inlineStr">
        <is>
          <t>ussd_funeral_leads_altitude_20260504</t>
        </is>
      </c>
      <c r="J551" t="inlineStr">
        <is>
          <t>NI</t>
        </is>
      </c>
      <c r="K551" t="inlineStr">
        <is>
          <t>Not Interested</t>
        </is>
      </c>
      <c r="L551" t="n">
        <v>2</v>
      </c>
      <c r="M551" t="inlineStr">
        <is>
          <t>2026-05-16 07:21:11</t>
        </is>
      </c>
      <c r="N551" t="inlineStr">
        <is>
          <t>Vuyiswa Nxumalo</t>
        </is>
      </c>
      <c r="O551" t="inlineStr">
        <is>
          <t>2026-05-15 11:58:32</t>
        </is>
      </c>
      <c r="P551" t="inlineStr">
        <is>
          <t>2026-05-15 11:58:32</t>
        </is>
      </c>
      <c r="Y551" t="inlineStr">
        <is>
          <t>27818178158</t>
        </is>
      </c>
    </row>
    <row r="552">
      <c r="A552" t="inlineStr">
        <is>
          <t>14363376</t>
        </is>
      </c>
      <c r="B552" t="inlineStr">
        <is>
          <t>4c20efe7-963a-44a9-a420-6926fa5eefdd</t>
        </is>
      </c>
      <c r="D552" t="inlineStr">
        <is>
          <t>30001082</t>
        </is>
      </c>
      <c r="E552" t="inlineStr">
        <is>
          <t>ussd_funeral_leads_altitude_20260504</t>
        </is>
      </c>
      <c r="J552" t="inlineStr">
        <is>
          <t>DNQS</t>
        </is>
      </c>
      <c r="K552" t="inlineStr">
        <is>
          <t>Does Not Qualify</t>
        </is>
      </c>
      <c r="L552" t="n">
        <v>2</v>
      </c>
      <c r="M552" t="inlineStr">
        <is>
          <t>2026-05-15 12:44:35</t>
        </is>
      </c>
      <c r="N552" t="inlineStr">
        <is>
          <t>Lebohang Mabotja</t>
        </is>
      </c>
      <c r="O552" t="inlineStr">
        <is>
          <t>2026-05-15 11:58:32</t>
        </is>
      </c>
      <c r="P552" t="inlineStr">
        <is>
          <t>2026-05-15 11:58:32</t>
        </is>
      </c>
      <c r="Y552" t="inlineStr">
        <is>
          <t>27663465347</t>
        </is>
      </c>
    </row>
    <row r="553">
      <c r="A553" t="inlineStr">
        <is>
          <t>14363098</t>
        </is>
      </c>
      <c r="B553" t="inlineStr">
        <is>
          <t>ffe4a028-7254-474e-b56b-27e76f02fb8f</t>
        </is>
      </c>
      <c r="D553" t="inlineStr">
        <is>
          <t>30001082</t>
        </is>
      </c>
      <c r="E553" t="inlineStr">
        <is>
          <t>ussd_funeral_leads_altitude_20260504</t>
        </is>
      </c>
      <c r="H553" t="inlineStr">
        <is>
          <t>27682939697</t>
        </is>
      </c>
      <c r="J553" t="inlineStr">
        <is>
          <t>EC</t>
        </is>
      </c>
      <c r="K553" t="inlineStr">
        <is>
          <t>Existing Client</t>
        </is>
      </c>
      <c r="L553" t="n">
        <v>2</v>
      </c>
      <c r="M553" t="inlineStr">
        <is>
          <t>2026-05-15 12:27:50</t>
        </is>
      </c>
      <c r="N553" t="inlineStr">
        <is>
          <t>Lebohang Mabotja</t>
        </is>
      </c>
      <c r="O553" t="inlineStr">
        <is>
          <t>2026-05-15 11:58:32</t>
        </is>
      </c>
      <c r="P553" t="inlineStr">
        <is>
          <t>2026-05-15 11:58:32</t>
        </is>
      </c>
      <c r="Y553" t="inlineStr">
        <is>
          <t>27682939697</t>
        </is>
      </c>
    </row>
    <row r="554">
      <c r="A554" t="inlineStr">
        <is>
          <t>14363396</t>
        </is>
      </c>
      <c r="B554" t="inlineStr">
        <is>
          <t>bea2a336-0a0d-4f95-a860-5816915a93fb</t>
        </is>
      </c>
      <c r="D554" t="inlineStr">
        <is>
          <t>30001082</t>
        </is>
      </c>
      <c r="E554" t="inlineStr">
        <is>
          <t>ussd_funeral_leads_altitude_20260504</t>
        </is>
      </c>
      <c r="J554" t="inlineStr">
        <is>
          <t>CUA</t>
        </is>
      </c>
      <c r="K554" t="inlineStr">
        <is>
          <t>Client Underage</t>
        </is>
      </c>
      <c r="L554" t="n">
        <v>1</v>
      </c>
      <c r="M554" t="inlineStr">
        <is>
          <t>2026-05-15 12:17:29</t>
        </is>
      </c>
      <c r="N554" t="inlineStr">
        <is>
          <t>Virginia Letsatsi</t>
        </is>
      </c>
      <c r="O554" t="inlineStr">
        <is>
          <t>2026-05-15 11:58:32</t>
        </is>
      </c>
      <c r="P554" t="inlineStr">
        <is>
          <t>2026-05-15 11:58:32</t>
        </is>
      </c>
      <c r="Y554" t="inlineStr">
        <is>
          <t>27793506611</t>
        </is>
      </c>
    </row>
    <row r="555">
      <c r="A555" t="inlineStr">
        <is>
          <t>14363398</t>
        </is>
      </c>
      <c r="B555" t="inlineStr">
        <is>
          <t>668770bb-801b-4856-96d2-56174391aa8e</t>
        </is>
      </c>
      <c r="D555" t="inlineStr">
        <is>
          <t>30001082</t>
        </is>
      </c>
      <c r="E555" t="inlineStr">
        <is>
          <t>ussd_funeral_leads_altitude_20260504</t>
        </is>
      </c>
      <c r="J555" t="inlineStr">
        <is>
          <t>U</t>
        </is>
      </c>
      <c r="K555" t="inlineStr">
        <is>
          <t>Unemployed</t>
        </is>
      </c>
      <c r="L555" t="n">
        <v>1</v>
      </c>
      <c r="M555" t="inlineStr">
        <is>
          <t>2026-05-15 12:17:29</t>
        </is>
      </c>
      <c r="N555" t="inlineStr">
        <is>
          <t>Vuyiswa Nxumalo</t>
        </is>
      </c>
      <c r="O555" t="inlineStr">
        <is>
          <t>2026-05-15 11:58:32</t>
        </is>
      </c>
      <c r="P555" t="inlineStr">
        <is>
          <t>2026-05-15 11:58:32</t>
        </is>
      </c>
      <c r="Y555" t="inlineStr">
        <is>
          <t>27648042435</t>
        </is>
      </c>
    </row>
    <row r="556">
      <c r="A556" t="inlineStr">
        <is>
          <t>14363414</t>
        </is>
      </c>
      <c r="B556" t="inlineStr">
        <is>
          <t>0907d4ac-ac9b-44fd-95e3-502e3063bf26</t>
        </is>
      </c>
      <c r="D556" t="inlineStr">
        <is>
          <t>30001082</t>
        </is>
      </c>
      <c r="E556" t="inlineStr">
        <is>
          <t>ussd_funeral_leads_altitude_20260504</t>
        </is>
      </c>
      <c r="J556" t="inlineStr">
        <is>
          <t>NI</t>
        </is>
      </c>
      <c r="K556" t="inlineStr">
        <is>
          <t>Not Interested</t>
        </is>
      </c>
      <c r="L556" t="n">
        <v>2</v>
      </c>
      <c r="M556" t="inlineStr">
        <is>
          <t>2026-05-15 12:17:13</t>
        </is>
      </c>
      <c r="N556" t="inlineStr">
        <is>
          <t>Gontse Monageng</t>
        </is>
      </c>
      <c r="O556" t="inlineStr">
        <is>
          <t>2026-05-15 11:58:32</t>
        </is>
      </c>
      <c r="P556" t="inlineStr">
        <is>
          <t>2026-05-15 11:58:32</t>
        </is>
      </c>
      <c r="Y556" t="inlineStr">
        <is>
          <t>27673131860</t>
        </is>
      </c>
    </row>
    <row r="557">
      <c r="A557" t="inlineStr">
        <is>
          <t>14363341</t>
        </is>
      </c>
      <c r="B557" t="inlineStr">
        <is>
          <t>22ad3713-e822-4b4d-a3cd-4bc8b26dc973</t>
        </is>
      </c>
      <c r="D557" t="inlineStr">
        <is>
          <t>30001082</t>
        </is>
      </c>
      <c r="E557" t="inlineStr">
        <is>
          <t>ussd_funeral_leads_altitude_20260504</t>
        </is>
      </c>
      <c r="J557" t="inlineStr">
        <is>
          <t>AF</t>
        </is>
      </c>
      <c r="K557" t="inlineStr">
        <is>
          <t>Cannot Afford</t>
        </is>
      </c>
      <c r="L557" t="n">
        <v>1</v>
      </c>
      <c r="M557" t="inlineStr">
        <is>
          <t>2026-05-15 12:15:39</t>
        </is>
      </c>
      <c r="N557" t="inlineStr">
        <is>
          <t>Sibongile Manyaka</t>
        </is>
      </c>
      <c r="O557" t="inlineStr">
        <is>
          <t>2026-05-15 11:58:32</t>
        </is>
      </c>
      <c r="P557" t="inlineStr">
        <is>
          <t>2026-05-15 11:58:32</t>
        </is>
      </c>
      <c r="Y557" t="inlineStr">
        <is>
          <t>27823413300</t>
        </is>
      </c>
    </row>
    <row r="558">
      <c r="A558" t="inlineStr">
        <is>
          <t>14363206</t>
        </is>
      </c>
      <c r="B558" t="inlineStr">
        <is>
          <t>348d5cc7-e8ab-4132-97cc-c95b957772d2</t>
        </is>
      </c>
      <c r="D558" t="inlineStr">
        <is>
          <t>30001082</t>
        </is>
      </c>
      <c r="E558" t="inlineStr">
        <is>
          <t>ussd_funeral_leads_altitude_20260504</t>
        </is>
      </c>
      <c r="J558" t="inlineStr">
        <is>
          <t>CBACK</t>
        </is>
      </c>
      <c r="K558" t="inlineStr">
        <is>
          <t>Callback</t>
        </is>
      </c>
      <c r="L558" t="n">
        <v>1</v>
      </c>
      <c r="M558" t="inlineStr">
        <is>
          <t>2026-05-15 12:11:49</t>
        </is>
      </c>
      <c r="N558" t="inlineStr">
        <is>
          <t>Tebogo Chauke</t>
        </is>
      </c>
      <c r="O558" t="inlineStr">
        <is>
          <t>2026-05-15 11:58:32</t>
        </is>
      </c>
      <c r="P558" t="inlineStr">
        <is>
          <t>2026-05-15 11:58:32</t>
        </is>
      </c>
      <c r="Y558" t="inlineStr">
        <is>
          <t>27798915969</t>
        </is>
      </c>
    </row>
    <row r="559">
      <c r="A559" t="inlineStr">
        <is>
          <t>14363204</t>
        </is>
      </c>
      <c r="B559" t="inlineStr">
        <is>
          <t>a322b5f3-bea0-4b91-a2da-34dc066decb0</t>
        </is>
      </c>
      <c r="D559" t="inlineStr">
        <is>
          <t>30001082</t>
        </is>
      </c>
      <c r="E559" t="inlineStr">
        <is>
          <t>ussd_funeral_leads_altitude_20260504</t>
        </is>
      </c>
      <c r="J559" t="inlineStr">
        <is>
          <t>OAL</t>
        </is>
      </c>
      <c r="K559" t="inlineStr">
        <is>
          <t>Over Age Limit</t>
        </is>
      </c>
      <c r="L559" t="n">
        <v>1</v>
      </c>
      <c r="M559" t="inlineStr">
        <is>
          <t>2026-05-15 12:11:48</t>
        </is>
      </c>
      <c r="N559" t="inlineStr">
        <is>
          <t>Vuyiswa Nxumalo</t>
        </is>
      </c>
      <c r="O559" t="inlineStr">
        <is>
          <t>2026-05-15 11:58:32</t>
        </is>
      </c>
      <c r="P559" t="inlineStr">
        <is>
          <t>2026-05-15 11:58:32</t>
        </is>
      </c>
      <c r="Y559" t="inlineStr">
        <is>
          <t>27608699593</t>
        </is>
      </c>
    </row>
    <row r="560">
      <c r="A560" t="inlineStr">
        <is>
          <t>14363160</t>
        </is>
      </c>
      <c r="B560" t="inlineStr">
        <is>
          <t>dfd95651-bb62-4d63-b108-1f594e4bc886</t>
        </is>
      </c>
      <c r="D560" t="inlineStr">
        <is>
          <t>30001082</t>
        </is>
      </c>
      <c r="E560" t="inlineStr">
        <is>
          <t>ussd_funeral_leads_altitude_20260504</t>
        </is>
      </c>
      <c r="J560" t="inlineStr">
        <is>
          <t>OAL</t>
        </is>
      </c>
      <c r="K560" t="inlineStr">
        <is>
          <t>Over Age Limit</t>
        </is>
      </c>
      <c r="L560" t="n">
        <v>1</v>
      </c>
      <c r="M560" t="inlineStr">
        <is>
          <t>2026-05-15 12:09:08</t>
        </is>
      </c>
      <c r="N560" t="inlineStr">
        <is>
          <t>Vuyiswa Nxumalo</t>
        </is>
      </c>
      <c r="O560" t="inlineStr">
        <is>
          <t>2026-05-15 11:58:32</t>
        </is>
      </c>
      <c r="P560" t="inlineStr">
        <is>
          <t>2026-05-15 11:58:32</t>
        </is>
      </c>
      <c r="Y560" t="inlineStr">
        <is>
          <t>27820855629</t>
        </is>
      </c>
    </row>
    <row r="561">
      <c r="A561" t="inlineStr">
        <is>
          <t>14362981</t>
        </is>
      </c>
      <c r="B561" t="inlineStr">
        <is>
          <t>303d9246-3e7f-4561-82d4-177e03794c04</t>
        </is>
      </c>
      <c r="D561" t="inlineStr">
        <is>
          <t>30001082</t>
        </is>
      </c>
      <c r="E561" t="inlineStr">
        <is>
          <t>ussd_funeral_leads_altitude_20260504</t>
        </is>
      </c>
      <c r="J561" t="inlineStr">
        <is>
          <t>AF</t>
        </is>
      </c>
      <c r="K561" t="inlineStr">
        <is>
          <t>Cannot Afford</t>
        </is>
      </c>
      <c r="L561" t="n">
        <v>1</v>
      </c>
      <c r="M561" t="inlineStr">
        <is>
          <t>2026-05-15 12:04:42</t>
        </is>
      </c>
      <c r="N561" t="inlineStr">
        <is>
          <t>Lebohang Mabotja</t>
        </is>
      </c>
      <c r="O561" t="inlineStr">
        <is>
          <t>2026-05-15 11:58:32</t>
        </is>
      </c>
      <c r="P561" t="inlineStr">
        <is>
          <t>2026-05-15 11:58:32</t>
        </is>
      </c>
      <c r="Y561" t="inlineStr">
        <is>
          <t>27826739124</t>
        </is>
      </c>
    </row>
    <row r="562">
      <c r="A562" t="inlineStr">
        <is>
          <t>14363122</t>
        </is>
      </c>
      <c r="B562" t="inlineStr">
        <is>
          <t>19ccb004-54d9-4383-8d2e-0f46a3ca3476</t>
        </is>
      </c>
      <c r="D562" t="inlineStr">
        <is>
          <t>30001082</t>
        </is>
      </c>
      <c r="E562" t="inlineStr">
        <is>
          <t>ussd_funeral_leads_altitude_20260504</t>
        </is>
      </c>
      <c r="J562" t="inlineStr">
        <is>
          <t>OAL</t>
        </is>
      </c>
      <c r="K562" t="inlineStr">
        <is>
          <t>Over Age Limit</t>
        </is>
      </c>
      <c r="L562" t="n">
        <v>1</v>
      </c>
      <c r="M562" t="inlineStr">
        <is>
          <t>2026-05-15 12:03:26</t>
        </is>
      </c>
      <c r="N562" t="inlineStr">
        <is>
          <t>Tebogo Chauke</t>
        </is>
      </c>
      <c r="O562" t="inlineStr">
        <is>
          <t>2026-05-15 11:58:32</t>
        </is>
      </c>
      <c r="P562" t="inlineStr">
        <is>
          <t>2026-05-15 11:58:32</t>
        </is>
      </c>
      <c r="Y562" t="inlineStr">
        <is>
          <t>27712292561</t>
        </is>
      </c>
    </row>
    <row r="563">
      <c r="A563" t="inlineStr">
        <is>
          <t>14363113</t>
        </is>
      </c>
      <c r="B563" t="inlineStr">
        <is>
          <t>047d514d-a137-4d80-9a88-a55be89835e2</t>
        </is>
      </c>
      <c r="D563" t="inlineStr">
        <is>
          <t>30001082</t>
        </is>
      </c>
      <c r="E563" t="inlineStr">
        <is>
          <t>ussd_funeral_leads_altitude_20260504</t>
        </is>
      </c>
      <c r="J563" t="inlineStr">
        <is>
          <t>NI</t>
        </is>
      </c>
      <c r="K563" t="inlineStr">
        <is>
          <t>Not Interested</t>
        </is>
      </c>
      <c r="L563" t="n">
        <v>1</v>
      </c>
      <c r="M563" t="inlineStr">
        <is>
          <t>2026-05-15 12:03:18</t>
        </is>
      </c>
      <c r="N563" t="inlineStr">
        <is>
          <t>Gontse Monageng</t>
        </is>
      </c>
      <c r="O563" t="inlineStr">
        <is>
          <t>2026-05-15 11:58:32</t>
        </is>
      </c>
      <c r="P563" t="inlineStr">
        <is>
          <t>2026-05-15 11:58:32</t>
        </is>
      </c>
      <c r="Y563" t="inlineStr">
        <is>
          <t>27791409055</t>
        </is>
      </c>
    </row>
    <row r="564">
      <c r="A564" t="inlineStr">
        <is>
          <t>14363092</t>
        </is>
      </c>
      <c r="B564" t="inlineStr">
        <is>
          <t>8485e7e7-7268-4c4f-aafe-d1c1a3673eef</t>
        </is>
      </c>
      <c r="D564" t="inlineStr">
        <is>
          <t>30001082</t>
        </is>
      </c>
      <c r="E564" t="inlineStr">
        <is>
          <t>ussd_funeral_leads_altitude_20260504</t>
        </is>
      </c>
      <c r="J564" t="inlineStr">
        <is>
          <t>AF</t>
        </is>
      </c>
      <c r="K564" t="inlineStr">
        <is>
          <t>Cannot Afford</t>
        </is>
      </c>
      <c r="L564" t="n">
        <v>1</v>
      </c>
      <c r="M564" t="inlineStr">
        <is>
          <t>2026-05-15 12:02:28</t>
        </is>
      </c>
      <c r="N564" t="inlineStr">
        <is>
          <t>Goitsimang Mogwasa</t>
        </is>
      </c>
      <c r="O564" t="inlineStr">
        <is>
          <t>2026-05-15 11:58:32</t>
        </is>
      </c>
      <c r="P564" t="inlineStr">
        <is>
          <t>2026-05-15 11:58:32</t>
        </is>
      </c>
      <c r="Y564" t="inlineStr">
        <is>
          <t>27765572280</t>
        </is>
      </c>
    </row>
    <row r="565">
      <c r="A565" t="inlineStr">
        <is>
          <t>14363045</t>
        </is>
      </c>
      <c r="D565" t="inlineStr">
        <is>
          <t>30001082</t>
        </is>
      </c>
      <c r="E565" t="inlineStr">
        <is>
          <t>ussd_funeral_leads_altitude_20260504</t>
        </is>
      </c>
      <c r="J565" t="inlineStr">
        <is>
          <t>None</t>
        </is>
      </c>
      <c r="K565" t="inlineStr">
        <is>
          <t>New</t>
        </is>
      </c>
      <c r="L565" t="n">
        <v>0</v>
      </c>
      <c r="O565" t="inlineStr">
        <is>
          <t>2026-05-15 11:58:32</t>
        </is>
      </c>
      <c r="P565" t="inlineStr">
        <is>
          <t>2026-05-15 11:58:32</t>
        </is>
      </c>
      <c r="Y565" t="inlineStr">
        <is>
          <t>27713082136</t>
        </is>
      </c>
    </row>
    <row r="566">
      <c r="A566" t="inlineStr">
        <is>
          <t>14363304</t>
        </is>
      </c>
      <c r="D566" t="inlineStr">
        <is>
          <t>30001082</t>
        </is>
      </c>
      <c r="E566" t="inlineStr">
        <is>
          <t>ussd_funeral_leads_altitude_20260504</t>
        </is>
      </c>
      <c r="J566" t="inlineStr">
        <is>
          <t>None</t>
        </is>
      </c>
      <c r="K566" t="inlineStr">
        <is>
          <t>New</t>
        </is>
      </c>
      <c r="L566" t="n">
        <v>0</v>
      </c>
      <c r="O566" t="inlineStr">
        <is>
          <t>2026-05-15 11:58:32</t>
        </is>
      </c>
      <c r="P566" t="inlineStr">
        <is>
          <t>2026-05-15 11:58:32</t>
        </is>
      </c>
      <c r="Y566" t="inlineStr">
        <is>
          <t>27720722635</t>
        </is>
      </c>
    </row>
    <row r="567">
      <c r="A567" t="inlineStr">
        <is>
          <t>14363489</t>
        </is>
      </c>
      <c r="D567" t="inlineStr">
        <is>
          <t>30001082</t>
        </is>
      </c>
      <c r="E567" t="inlineStr">
        <is>
          <t>ussd_funeral_leads_altitude_20260504</t>
        </is>
      </c>
      <c r="J567" t="inlineStr">
        <is>
          <t>None</t>
        </is>
      </c>
      <c r="K567" t="inlineStr">
        <is>
          <t>New</t>
        </is>
      </c>
      <c r="L567" t="n">
        <v>0</v>
      </c>
      <c r="O567" t="inlineStr">
        <is>
          <t>2026-05-15 11:58:32</t>
        </is>
      </c>
      <c r="P567" t="inlineStr">
        <is>
          <t>2026-05-15 11:58:32</t>
        </is>
      </c>
      <c r="Y567" t="inlineStr">
        <is>
          <t>27727922153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35.7109375" customWidth="1" min="1" max="1"/>
    <col width="20.7109375" customWidth="1" min="2" max="2"/>
    <col width="35.7109375" customWidth="1" min="3" max="3"/>
    <col width="20.7109375" customWidth="1" min="4" max="4"/>
    <col width="35.7109375" customWidth="1" min="5" max="5"/>
    <col width="20.7109375" customWidth="1" min="6" max="6"/>
    <col width="35.7109375" customWidth="1" min="7" max="7"/>
    <col width="20.7109375" customWidth="1" min="8" max="8"/>
    <col width="35.7109375" customWidth="1" min="9" max="9"/>
    <col width="20.7109375" customWidth="1" min="10" max="10"/>
  </cols>
  <sheetData>
    <row r="1">
      <c r="A1" s="15" t="inlineStr">
        <is>
          <t>Campaign Analysis – USSD Funeral Leads</t>
        </is>
      </c>
    </row>
    <row r="2"/>
    <row r="3"/>
    <row r="4">
      <c r="A4" s="16" t="inlineStr">
        <is>
          <t>Total Leads</t>
        </is>
      </c>
      <c r="B4" s="17" t="n">
        <v>566</v>
      </c>
    </row>
    <row r="5">
      <c r="A5" s="16" t="inlineStr">
        <is>
          <t>Unworked Leads (New Leads)</t>
        </is>
      </c>
      <c r="B5" s="17" t="n">
        <v>3</v>
      </c>
    </row>
    <row r="6">
      <c r="A6" s="16" t="inlineStr">
        <is>
          <t>Successful Contacts</t>
        </is>
      </c>
      <c r="B6" s="17" t="n">
        <v>123</v>
      </c>
    </row>
    <row r="7">
      <c r="A7" s="16" t="inlineStr">
        <is>
          <t>True Contacts</t>
        </is>
      </c>
      <c r="B7" s="17" t="n">
        <v>114</v>
      </c>
    </row>
    <row r="8">
      <c r="A8" s="16" t="inlineStr">
        <is>
          <t>Conversion</t>
        </is>
      </c>
      <c r="B8" s="18" t="n">
        <v>0.01590106007067138</v>
      </c>
    </row>
    <row r="9">
      <c r="A9" s="16" t="inlineStr">
        <is>
          <t>True Sales (post QA)</t>
        </is>
      </c>
      <c r="B9" s="17" t="n">
        <v>9</v>
      </c>
    </row>
    <row r="10">
      <c r="A10" s="16" t="inlineStr">
        <is>
          <t>Collections</t>
        </is>
      </c>
      <c r="B10" s="17" t="n"/>
    </row>
    <row r="11">
      <c r="A11" s="16" t="inlineStr">
        <is>
          <t>Number of missed 1st Collections</t>
        </is>
      </c>
      <c r="B11" s="17" t="n"/>
    </row>
    <row r="12">
      <c r="A12" s="16" t="inlineStr">
        <is>
          <t>NTU</t>
        </is>
      </c>
      <c r="B12" s="17" t="n"/>
    </row>
    <row r="13">
      <c r="A13" s="16" t="inlineStr">
        <is>
          <t>Cancellations/Lapse</t>
        </is>
      </c>
      <c r="B13" s="17" t="n"/>
    </row>
    <row r="14"/>
    <row r="15"/>
    <row r="16">
      <c r="B16" s="11" t="inlineStr">
        <is>
          <t>Unsuccessful Contacts</t>
        </is>
      </c>
      <c r="C16" s="11" t="inlineStr">
        <is>
          <t>Lead Count</t>
        </is>
      </c>
      <c r="D16" s="11" t="inlineStr">
        <is>
          <t>Interested in Deal?</t>
        </is>
      </c>
      <c r="E16" s="11" t="inlineStr">
        <is>
          <t>Lead Count</t>
        </is>
      </c>
      <c r="F16" s="11" t="inlineStr">
        <is>
          <t>Successful Contacts</t>
        </is>
      </c>
      <c r="G16" s="11" t="inlineStr">
        <is>
          <t>Lead Count</t>
        </is>
      </c>
      <c r="H16" s="11" t="inlineStr">
        <is>
          <t>True Contacts</t>
        </is>
      </c>
      <c r="I16" s="11" t="inlineStr">
        <is>
          <t>Lead Count</t>
        </is>
      </c>
    </row>
    <row r="17">
      <c r="B17" s="12" t="inlineStr">
        <is>
          <t>Answering Machine Autodial</t>
        </is>
      </c>
      <c r="C17" s="19">
        <f>IFERROR(VLOOKUP("Answering Machine Autodial",Pivot!$A$2:$B$29,2,FALSE),0)</f>
        <v/>
      </c>
      <c r="D17" s="12" t="inlineStr">
        <is>
          <t>Sale Made - Completed Mandate</t>
        </is>
      </c>
      <c r="E17" s="19">
        <f>IFERROR(VLOOKUP("Sale Made - Completed Mandate",Pivot!$A$2:$B$29,2,FALSE),0)</f>
        <v/>
      </c>
      <c r="F17" s="12" t="inlineStr">
        <is>
          <t>Already Contacted</t>
        </is>
      </c>
      <c r="G17" s="19">
        <f>IFERROR(VLOOKUP("Already Contacted",Pivot!$A$2:$B$29,2,FALSE),0)</f>
        <v/>
      </c>
      <c r="H17" s="12" t="inlineStr">
        <is>
          <t>Client Hung Up</t>
        </is>
      </c>
      <c r="I17" s="19">
        <f>IFERROR(VLOOKUP("Client Hung Up",Pivot!$A$2:$B$29,2,FALSE),0)</f>
        <v/>
      </c>
    </row>
    <row r="18">
      <c r="B18" s="12" t="inlineStr">
        <is>
          <t>No Answer Autodial</t>
        </is>
      </c>
      <c r="C18" s="19">
        <f>IFERROR(VLOOKUP("No Answer Autodial",Pivot!$A$2:$B$29,2,FALSE),0)</f>
        <v/>
      </c>
      <c r="D18" s="12" t="inlineStr">
        <is>
          <t>Sale Made - Pending Mandate</t>
        </is>
      </c>
      <c r="E18" s="19">
        <f>IFERROR(VLOOKUP("Sale Made - Pending Mandate",Pivot!$A$2:$B$29,2,FALSE),0)</f>
        <v/>
      </c>
      <c r="F18" s="12" t="inlineStr">
        <is>
          <t>Existing Client</t>
        </is>
      </c>
      <c r="G18" s="19">
        <f>IFERROR(VLOOKUP("Existing Client",Pivot!$A$2:$B$29,2,FALSE),0)</f>
        <v/>
      </c>
      <c r="H18" s="12" t="inlineStr">
        <is>
          <t>CallBack</t>
        </is>
      </c>
      <c r="I18" s="19">
        <f>IFERROR(VLOOKUP("CallBack",Pivot!$A$2:$B$29,2,FALSE),0)</f>
        <v/>
      </c>
    </row>
    <row r="19">
      <c r="B19" s="12" t="inlineStr">
        <is>
          <t>Auto Engaged</t>
        </is>
      </c>
      <c r="C19" s="19">
        <f>IFERROR(VLOOKUP("Auto Engaged",Pivot!$A$2:$B$29,2,FALSE),0)</f>
        <v/>
      </c>
      <c r="D19" s="12" t="inlineStr">
        <is>
          <t>Sale Made</t>
        </is>
      </c>
      <c r="E19" s="19">
        <f>IFERROR(VLOOKUP("Sale Made",Pivot!$A$2:$B$29,2,FALSE),0)</f>
        <v/>
      </c>
      <c r="F19" s="12" t="inlineStr">
        <is>
          <t>Unemployed</t>
        </is>
      </c>
      <c r="G19" s="19">
        <f>IFERROR(VLOOKUP("Unemployed",Pivot!$A$2:$B$29,2,FALSE),0)</f>
        <v/>
      </c>
      <c r="H19" s="12" t="inlineStr">
        <is>
          <t>Not Interested</t>
        </is>
      </c>
      <c r="I19" s="19">
        <f>IFERROR(VLOOKUP("Not Interested",Pivot!$A$2:$B$29,2,FALSE),0)</f>
        <v/>
      </c>
    </row>
    <row r="20">
      <c r="B20" s="12" t="inlineStr">
        <is>
          <t>Disconnected Number Auto</t>
        </is>
      </c>
      <c r="C20" s="19">
        <f>IFERROR(VLOOKUP("Disconnected Number Auto",Pivot!$A$2:$B$29,2,FALSE),0)</f>
        <v/>
      </c>
      <c r="D20" s="12" t="inlineStr">
        <is>
          <t>Tyme Bank Account Sale</t>
        </is>
      </c>
      <c r="E20" s="19">
        <f>IFERROR(VLOOKUP("Tyme Bank Account Sale",Pivot!$A$2:$B$29,2,FALSE),0)</f>
        <v/>
      </c>
      <c r="F20" s="12" t="inlineStr">
        <is>
          <t>Wrong Number</t>
        </is>
      </c>
      <c r="G20" s="19">
        <f>IFERROR(VLOOKUP("Wrong Number",Pivot!$A$2:$B$29,2,FALSE),0)</f>
        <v/>
      </c>
      <c r="H20" s="12" t="inlineStr">
        <is>
          <t>Not Interested Upfront</t>
        </is>
      </c>
      <c r="I20" s="19">
        <f>IFERROR(VLOOKUP("Not Interested Upfront",Pivot!$A$2:$B$29,2,FALSE),0)</f>
        <v/>
      </c>
    </row>
    <row r="21">
      <c r="B21" s="12" t="inlineStr">
        <is>
          <t>Answering Machine</t>
        </is>
      </c>
      <c r="C21" s="19">
        <f>IFERROR(VLOOKUP("Answering Machine",Pivot!$A$2:$B$29,2,FALSE),0)</f>
        <v/>
      </c>
      <c r="D21" s="12" t="inlineStr">
        <is>
          <t>QA Rework</t>
        </is>
      </c>
      <c r="E21" s="19">
        <f>IFERROR(VLOOKUP("QA Rework",Pivot!$A$2:$B$29,2,FALSE),0)</f>
        <v/>
      </c>
      <c r="F21" s="12" t="inlineStr">
        <is>
          <t>Do Not Call</t>
        </is>
      </c>
      <c r="G21" s="19">
        <f>IFERROR(VLOOKUP("Do Not Call",Pivot!$A$2:$B$29,2,FALSE),0)</f>
        <v/>
      </c>
      <c r="H21" s="12" t="inlineStr">
        <is>
          <t>Cannot Afford Premium</t>
        </is>
      </c>
      <c r="I21" s="19">
        <f>IFERROR(VLOOKUP("Cannot Afford Premium",Pivot!$A$2:$B$29,2,FALSE),0)</f>
        <v/>
      </c>
    </row>
    <row r="22">
      <c r="B22" s="12" t="inlineStr">
        <is>
          <t>Selected</t>
        </is>
      </c>
      <c r="C22" s="19">
        <f>IFERROR(VLOOKUP("Selected",Pivot!$A$2:$B$29,2,FALSE),0)</f>
        <v/>
      </c>
      <c r="F22" s="12" t="inlineStr">
        <is>
          <t>No Smartphones</t>
        </is>
      </c>
      <c r="G22" s="19">
        <f>IFERROR(VLOOKUP("No Smartphones",Pivot!$A$2:$B$29,2,FALSE),0)</f>
        <v/>
      </c>
      <c r="H22" s="12" t="inlineStr">
        <is>
          <t>Not interested - Pitched</t>
        </is>
      </c>
      <c r="I22" s="19">
        <f>IFERROR(VLOOKUP("Not interested - Pitched",Pivot!$A$2:$B$29,2,FALSE),0)</f>
        <v/>
      </c>
    </row>
    <row r="23">
      <c r="B23" s="12" t="inlineStr">
        <is>
          <t>No Answer</t>
        </is>
      </c>
      <c r="C23" s="19">
        <f>IFERROR(VLOOKUP("No Answer",Pivot!$A$2:$B$29,2,FALSE),0)</f>
        <v/>
      </c>
      <c r="F23" s="12" t="inlineStr">
        <is>
          <t>Client Deceased</t>
        </is>
      </c>
      <c r="G23" s="19">
        <f>IFERROR(VLOOKUP("Client Deceased",Pivot!$A$2:$B$29,2,FALSE),0)</f>
        <v/>
      </c>
      <c r="H23" s="12" t="inlineStr">
        <is>
          <t>Affordability</t>
        </is>
      </c>
      <c r="I23" s="19">
        <f>IFERROR(VLOOKUP("Affordability",Pivot!$A$2:$B$29,2,FALSE),0)</f>
        <v/>
      </c>
    </row>
    <row r="24">
      <c r="B24" s="12" t="inlineStr">
        <is>
          <t>Busy Tone</t>
        </is>
      </c>
      <c r="C24" s="19">
        <f>IFERROR(VLOOKUP("Busy Tone",Pivot!$A$2:$B$29,2,FALSE),0)</f>
        <v/>
      </c>
      <c r="F24" s="12" t="inlineStr">
        <is>
          <t>Right Party Not Available</t>
        </is>
      </c>
      <c r="G24" s="19">
        <f>IFERROR(VLOOKUP("Right Party Not Available",Pivot!$A$2:$B$29,2,FALSE),0)</f>
        <v/>
      </c>
      <c r="H24" s="12" t="inlineStr">
        <is>
          <t>Quoted Client Not Interested</t>
        </is>
      </c>
      <c r="I24" s="19">
        <f>IFERROR(VLOOKUP("Quoted Client Not Interested",Pivot!$A$2:$B$29,2,FALSE),0)</f>
        <v/>
      </c>
    </row>
    <row r="25">
      <c r="B25" s="12" t="inlineStr">
        <is>
          <t>Dropped</t>
        </is>
      </c>
      <c r="C25" s="19">
        <f>IFERROR(VLOOKUP("Dropped",Pivot!$A$2:$B$29,2,FALSE),0)</f>
        <v/>
      </c>
      <c r="F25" s="12" t="inlineStr">
        <is>
          <t>Client Overage Limit</t>
        </is>
      </c>
      <c r="G25" s="19">
        <f>IFERROR(VLOOKUP("Client Overage Limit",Pivot!$A$2:$B$29,2,FALSE),0)</f>
        <v/>
      </c>
      <c r="H25" s="12" t="inlineStr">
        <is>
          <t>Not interested business does not use speed point mac</t>
        </is>
      </c>
      <c r="I25" s="19">
        <f>IFERROR(VLOOKUP("Not interested business does not use speed point mac",Pivot!$A$2:$B$29,2,FALSE),0)</f>
        <v/>
      </c>
    </row>
    <row r="26">
      <c r="B26" s="12" t="inlineStr">
        <is>
          <t>New</t>
        </is>
      </c>
      <c r="C26" s="19">
        <f>IFERROR(VLOOKUP("New",Pivot!$A$2:$B$29,2,FALSE),0)</f>
        <v/>
      </c>
      <c r="F26" s="12" t="inlineStr">
        <is>
          <t>Language Barrier</t>
        </is>
      </c>
      <c r="G26" s="19">
        <f>IFERROR(VLOOKUP("Language Barrier",Pivot!$A$2:$B$29,2,FALSE),0)</f>
        <v/>
      </c>
      <c r="H26" s="12" t="inlineStr">
        <is>
          <t>Call Back Technical Error</t>
        </is>
      </c>
      <c r="I26" s="19">
        <f>IFERROR(VLOOKUP("Call Back Technical Error",Pivot!$A$2:$B$29,2,FALSE),0)</f>
        <v/>
      </c>
    </row>
    <row r="27">
      <c r="B27" s="12" t="inlineStr">
        <is>
          <t>Call Dropped</t>
        </is>
      </c>
      <c r="C27" s="19">
        <f>IFERROR(VLOOKUP("Call Dropped",Pivot!$A$2:$B$29,2,FALSE),0)</f>
        <v/>
      </c>
      <c r="F27" s="12" t="inlineStr">
        <is>
          <t>Non SA Citizen</t>
        </is>
      </c>
      <c r="G27" s="19">
        <f>IFERROR(VLOOKUP("Non SA Citizen",Pivot!$A$2:$B$29,2,FALSE),0)</f>
        <v/>
      </c>
      <c r="H27" s="12" t="inlineStr">
        <is>
          <t>Not Interested Transaction Fees</t>
        </is>
      </c>
      <c r="I27" s="19">
        <f>IFERROR(VLOOKUP("Not Interested Transaction Fees",Pivot!$A$2:$B$29,2,FALSE),0)</f>
        <v/>
      </c>
    </row>
    <row r="28">
      <c r="B28" s="12" t="inlineStr">
        <is>
          <t>Inbound After Hours Drop</t>
        </is>
      </c>
      <c r="C28" s="19">
        <f>IFERROR(VLOOKUP("Inbound After Hours Drop",Pivot!$A$2:$B$29,2,FALSE),0)</f>
        <v/>
      </c>
      <c r="F28" s="12" t="inlineStr">
        <is>
          <t>No Bank Account</t>
        </is>
      </c>
      <c r="G28" s="19">
        <f>IFERROR(VLOOKUP("No Bank Account",Pivot!$A$2:$B$29,2,FALSE),0)</f>
        <v/>
      </c>
      <c r="H28" s="12" t="inlineStr">
        <is>
          <t>Cannot Afford</t>
        </is>
      </c>
      <c r="I28" s="19">
        <f>IFERROR(VLOOKUP("Cannot Afford",Pivot!$A$2:$B$29,2,FALSE),0)</f>
        <v/>
      </c>
    </row>
    <row r="29">
      <c r="B29" s="12" t="inlineStr">
        <is>
          <t>TPS Registered Number</t>
        </is>
      </c>
      <c r="C29" s="19">
        <f>IFERROR(VLOOKUP("TPS Registered Number",Pivot!$A$2:$B$29,2,FALSE),0)</f>
        <v/>
      </c>
      <c r="F29" s="12" t="inlineStr">
        <is>
          <t>Client Underage</t>
        </is>
      </c>
      <c r="G29" s="19">
        <f>IFERROR(VLOOKUP("Client Underage",Pivot!$A$2:$B$29,2,FALSE),0)</f>
        <v/>
      </c>
      <c r="H29" s="12" t="inlineStr">
        <is>
          <t>Not Interested Household Contents</t>
        </is>
      </c>
      <c r="I29" s="19">
        <f>IFERROR(VLOOKUP("Not Interested Household Contents",Pivot!$A$2:$B$29,2,FALSE),0)</f>
        <v/>
      </c>
    </row>
    <row r="30">
      <c r="B30" s="12" t="inlineStr">
        <is>
          <t>Temporary Disconnected Number</t>
        </is>
      </c>
      <c r="C30" s="19">
        <f>IFERROR(VLOOKUP("Temporary Disconnected Number",Pivot!$A$2:$B$29,2,FALSE),0)</f>
        <v/>
      </c>
      <c r="F30" s="12" t="inlineStr">
        <is>
          <t>Go To The Branch</t>
        </is>
      </c>
      <c r="G30" s="19">
        <f>IFERROR(VLOOKUP("Go To The Branch",Pivot!$A$2:$B$29,2,FALSE),0)</f>
        <v/>
      </c>
      <c r="H30" s="12" t="inlineStr">
        <is>
          <t>Call Back Hold</t>
        </is>
      </c>
      <c r="I30" s="19">
        <f>IFERROR(VLOOKUP("Call Back Hold",Pivot!$A$2:$B$29,2,FALSE),0)</f>
        <v/>
      </c>
    </row>
    <row r="31">
      <c r="B31" s="12" t="inlineStr">
        <is>
          <t>Bad Line Quality</t>
        </is>
      </c>
      <c r="C31" s="19">
        <f>IFERROR(VLOOKUP("Bad Line Quality",Pivot!$A$2:$B$29,2,FALSE),0)</f>
        <v/>
      </c>
      <c r="F31" s="12" t="inlineStr">
        <is>
          <t>Completed</t>
        </is>
      </c>
      <c r="G31" s="19">
        <f>IFERROR(VLOOKUP("Completed",Pivot!$A$2:$B$29,2,FALSE),0)</f>
        <v/>
      </c>
      <c r="H31" s="12" t="inlineStr">
        <is>
          <t>Declined Sale</t>
        </is>
      </c>
      <c r="I31" s="19">
        <f>IFERROR(VLOOKUP("Declined Sale",Pivot!$A$2:$B$29,2,FALSE),0)</f>
        <v/>
      </c>
    </row>
    <row r="32">
      <c r="B32" s="12" t="inlineStr">
        <is>
          <t>Inbound Abandon</t>
        </is>
      </c>
      <c r="C32" s="19">
        <f>IFERROR(VLOOKUP("Inbound Abandon",Pivot!$A$2:$B$29,2,FALSE),0)</f>
        <v/>
      </c>
      <c r="F32" s="12" t="inlineStr">
        <is>
          <t>Cannot Afford Upfront Payment</t>
        </is>
      </c>
      <c r="G32" s="19">
        <f>IFERROR(VLOOKUP("Cannot Afford Upfront Payment",Pivot!$A$2:$B$29,2,FALSE),0)</f>
        <v/>
      </c>
    </row>
    <row r="33">
      <c r="B33" s="12" t="inlineStr">
        <is>
          <t>Outbound Pre-Routing Drop</t>
        </is>
      </c>
      <c r="C33" s="19">
        <f>IFERROR(VLOOKUP("Outbound Pre-Routing Drop",Pivot!$A$2:$B$29,2,FALSE),0)</f>
        <v/>
      </c>
      <c r="F33" s="12" t="inlineStr">
        <is>
          <t>Account Suspended</t>
        </is>
      </c>
      <c r="G33" s="19">
        <f>IFERROR(VLOOKUP("Account Suspended",Pivot!$A$2:$B$29,2,FALSE),0)</f>
        <v/>
      </c>
    </row>
    <row r="34">
      <c r="B34" s="12" t="inlineStr">
        <is>
          <t>Engaged</t>
        </is>
      </c>
      <c r="C34" s="19">
        <f>IFERROR(VLOOKUP("Engaged",Pivot!$A$2:$B$29,2,FALSE),0)</f>
        <v/>
      </c>
      <c r="F34" s="12" t="inlineStr">
        <is>
          <t>Insured at another company</t>
        </is>
      </c>
      <c r="G34" s="19">
        <f>IFERROR(VLOOKUP("Insured at another company",Pivot!$A$2:$B$29,2,FALSE),0)</f>
        <v/>
      </c>
    </row>
    <row r="35">
      <c r="B35" s="12" t="inlineStr">
        <is>
          <t>Disconnected</t>
        </is>
      </c>
      <c r="C35" s="19">
        <f>IFERROR(VLOOKUP("Disconnected",Pivot!$A$2:$B$29,2,FALSE),0)</f>
        <v/>
      </c>
      <c r="F35" s="12" t="inlineStr">
        <is>
          <t>Scheduled Appointment</t>
        </is>
      </c>
      <c r="G35" s="19">
        <f>IFERROR(VLOOKUP("Scheduled Appointment",Pivot!$A$2:$B$29,2,FALSE),0)</f>
        <v/>
      </c>
    </row>
    <row r="36">
      <c r="B36" s="12" t="inlineStr">
        <is>
          <t>CONGESTED</t>
        </is>
      </c>
      <c r="C36" s="19">
        <f>IFERROR(VLOOKUP("CONGESTED",Pivot!$A$2:$B$29,2,FALSE),0)</f>
        <v/>
      </c>
      <c r="F36" s="12" t="inlineStr">
        <is>
          <t>Refund Request</t>
        </is>
      </c>
      <c r="G36" s="19">
        <f>IFERROR(VLOOKUP("Refund Request",Pivot!$A$2:$B$29,2,FALSE),0)</f>
        <v/>
      </c>
    </row>
    <row r="37">
      <c r="B37" s="12" t="inlineStr">
        <is>
          <t>Flow Inbound Abandon</t>
        </is>
      </c>
      <c r="C37" s="19">
        <f>IFERROR(VLOOKUP("Flow Inbound Abandon",Pivot!$A$2:$B$29,2,FALSE),0)</f>
        <v/>
      </c>
      <c r="F37" s="12" t="inlineStr">
        <is>
          <t>Does Not Qualify</t>
        </is>
      </c>
      <c r="G37" s="19">
        <f>IFERROR(VLOOKUP("Does Not Qualify",Pivot!$A$2:$B$29,2,FALSE),0)</f>
        <v/>
      </c>
    </row>
    <row r="38">
      <c r="B38" s="12" t="inlineStr">
        <is>
          <t>Multiple Calls</t>
        </is>
      </c>
      <c r="C38" s="19">
        <f>IFERROR(VLOOKUP("Multiple Calls",Pivot!$A$2:$B$29,2,FALSE),0)</f>
        <v/>
      </c>
      <c r="F38" s="12" t="inlineStr">
        <is>
          <t>Does Not Have a Business</t>
        </is>
      </c>
      <c r="G38" s="19">
        <f>IFERROR(VLOOKUP("Does Not Have a Business",Pivot!$A$2:$B$29,2,FALSE),0)</f>
        <v/>
      </c>
    </row>
    <row r="39">
      <c r="B39" s="12" t="inlineStr">
        <is>
          <t>Missed</t>
        </is>
      </c>
      <c r="C39" s="19">
        <f>IFERROR(VLOOKUP("Missed",Pivot!$A$2:$B$29,2,FALSE),0)</f>
        <v/>
      </c>
      <c r="F39" s="12" t="inlineStr">
        <is>
          <t>Refer To Store - Doesn't want to complete online</t>
        </is>
      </c>
      <c r="G39" s="19">
        <f>IFERROR(VLOOKUP("Refer To Store - Doesn't want to complete online",Pivot!$A$2:$B$29,2,FALSE),0)</f>
        <v/>
      </c>
    </row>
    <row r="40">
      <c r="B40" s="12" t="inlineStr">
        <is>
          <t>Answered</t>
        </is>
      </c>
      <c r="C40" s="19">
        <f>IFERROR(VLOOKUP("Answered",Pivot!$A$2:$B$29,2,FALSE),0)</f>
        <v/>
      </c>
      <c r="F40" s="12" t="inlineStr">
        <is>
          <t>Does Not Need It Now</t>
        </is>
      </c>
      <c r="G40" s="19">
        <f>IFERROR(VLOOKUP("Does Not Need It Now",Pivot!$A$2:$B$29,2,FALSE),0)</f>
        <v/>
      </c>
    </row>
    <row r="41">
      <c r="B41" s="12" t="inlineStr">
        <is>
          <t>Customer drop</t>
        </is>
      </c>
      <c r="C41" s="19">
        <f>IFERROR(VLOOKUP("Customer drop",Pivot!$A$2:$B$29,2,FALSE),0)</f>
        <v/>
      </c>
      <c r="F41" s="12" t="inlineStr">
        <is>
          <t>Technical Issue</t>
        </is>
      </c>
      <c r="G41" s="19">
        <f>IFERROR(VLOOKUP("Technical Issue",Pivot!$A$2:$B$29,2,FALSE),0)</f>
        <v/>
      </c>
    </row>
    <row r="42">
      <c r="B42" s="12" t="inlineStr">
        <is>
          <t>Auto Dial Disconnected</t>
        </is>
      </c>
      <c r="C42" s="19">
        <f>IFERROR(VLOOKUP("Auto Dial Disconnected",Pivot!$A$2:$B$29,2,FALSE),0)</f>
        <v/>
      </c>
      <c r="F42" s="12" t="inlineStr">
        <is>
          <t>Unsuccessful Application</t>
        </is>
      </c>
      <c r="G42" s="19">
        <f>IFERROR(VLOOKUP("Unsuccessful Application",Pivot!$A$2:$B$29,2,FALSE),0)</f>
        <v/>
      </c>
    </row>
    <row r="43">
      <c r="B43" s="12" t="inlineStr">
        <is>
          <t>Disconnected Number Temporary</t>
        </is>
      </c>
      <c r="C43" s="19">
        <f>IFERROR(VLOOKUP("Disconnected Number Temporary",Pivot!$A$2:$B$29,2,FALSE),0)</f>
        <v/>
      </c>
    </row>
    <row r="44"/>
    <row r="45"/>
    <row r="46">
      <c r="A46" s="20" t="inlineStr">
        <is>
          <t>TOTAL LEADS DIALLED</t>
        </is>
      </c>
      <c r="B46" s="19">
        <f>SUM(C17:C43)+SUM(E17:E21)</f>
        <v/>
      </c>
    </row>
    <row r="47"/>
    <row r="48">
      <c r="A48" s="20" t="inlineStr">
        <is>
          <t>CAMPAIGN STATISTICS</t>
        </is>
      </c>
    </row>
    <row r="49">
      <c r="A49" s="12" t="inlineStr">
        <is>
          <t>Successful Contacts</t>
        </is>
      </c>
      <c r="B49" s="19">
        <f>SUM(F17:F21)</f>
        <v/>
      </c>
    </row>
    <row r="50">
      <c r="A50" s="12" t="inlineStr">
        <is>
          <t>True Contacts (TC)</t>
        </is>
      </c>
      <c r="B50" s="19">
        <f>SUM(I17:I31)</f>
        <v/>
      </c>
    </row>
    <row r="51">
      <c r="A51" s="12" t="inlineStr">
        <is>
          <t>Unworkable Leads</t>
        </is>
      </c>
      <c r="B51" s="19">
        <f>SUM(G17:G42)</f>
        <v/>
      </c>
    </row>
    <row r="52">
      <c r="A52" s="12" t="inlineStr">
        <is>
          <t>Conversions</t>
        </is>
      </c>
      <c r="B52" s="19">
        <f>F17</f>
        <v/>
      </c>
    </row>
    <row r="53">
      <c r="A53" s="12" t="inlineStr">
        <is>
          <t>Conversion Ratio (vs TC)</t>
        </is>
      </c>
      <c r="B53" s="21">
        <f>B51/B49</f>
        <v/>
      </c>
    </row>
    <row r="54">
      <c r="A54" s="12" t="inlineStr">
        <is>
          <t>Contact Ratio</t>
        </is>
      </c>
      <c r="B54" s="21">
        <f>(B48+B49)/B46</f>
        <v/>
      </c>
    </row>
    <row r="55"/>
    <row r="56"/>
    <row r="57"/>
    <row r="58">
      <c r="A58" s="20" t="inlineStr">
        <is>
          <t>Top 5 Statuses</t>
        </is>
      </c>
      <c r="B58" s="20" t="inlineStr">
        <is>
          <t>Count</t>
        </is>
      </c>
      <c r="C58" s="20" t="inlineStr">
        <is>
          <t>% Contribution</t>
        </is>
      </c>
    </row>
    <row r="59">
      <c r="A59" s="12" t="inlineStr">
        <is>
          <t>Answering Machine Autodial</t>
        </is>
      </c>
      <c r="B59" s="13" t="n">
        <v>116</v>
      </c>
      <c r="C59" s="21">
        <f>B59/B46</f>
        <v/>
      </c>
    </row>
    <row r="60">
      <c r="A60" s="12" t="inlineStr">
        <is>
          <t>Auto Dial Disconnected</t>
        </is>
      </c>
      <c r="B60" s="13" t="n">
        <v>101</v>
      </c>
      <c r="C60" s="21">
        <f>B60/B46</f>
        <v/>
      </c>
    </row>
    <row r="61">
      <c r="A61" s="12" t="inlineStr">
        <is>
          <t>No Answer Autodial</t>
        </is>
      </c>
      <c r="B61" s="13" t="n">
        <v>64</v>
      </c>
      <c r="C61" s="21">
        <f>B61/B46</f>
        <v/>
      </c>
    </row>
    <row r="62">
      <c r="A62" s="12" t="inlineStr">
        <is>
          <t>Auto Engaged</t>
        </is>
      </c>
      <c r="B62" s="13" t="n">
        <v>41</v>
      </c>
      <c r="C62" s="21">
        <f>B62/B46</f>
        <v/>
      </c>
    </row>
    <row r="63">
      <c r="A63" s="12" t="inlineStr">
        <is>
          <t>Callback</t>
        </is>
      </c>
      <c r="B63" s="13" t="n">
        <v>39</v>
      </c>
      <c r="C63" s="21">
        <f>B63/B46</f>
        <v/>
      </c>
    </row>
  </sheetData>
  <mergeCells count="1">
    <mergeCell ref="A1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2026-06-30T04:49:42Z</dcterms:created>
  <dcterms:modified xsi:type="dcterms:W3CDTF">2026-06-30T04:49:45Z</dcterms:modified>
</cp:coreProperties>
</file>