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ivot_Data" sheetId="2" state="visible" r:id="rId2"/>
    <sheet name="Processed Data" sheetId="3" state="visible" r:id="rId3"/>
    <sheet name="Campaig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E78"/>
      <sz val="18"/>
      <scheme val="minor"/>
    </font>
  </fonts>
  <fills count="7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0" borderId="3" pivotButton="0" quotePrefix="0" xfId="0"/>
    <xf numFmtId="0" fontId="0" fillId="0" borderId="3" applyAlignment="1" pivotButton="0" quotePrefix="0" xfId="0">
      <alignment horizontal="left"/>
    </xf>
    <xf numFmtId="0" fontId="0" fillId="0" borderId="4" pivotButton="0" quotePrefix="0" xfId="0"/>
    <xf numFmtId="0" fontId="0" fillId="0" borderId="0" applyAlignment="1" pivotButton="0" quotePrefix="0" xfId="0">
      <alignment horizontal="left"/>
    </xf>
    <xf numFmtId="0" fontId="2" fillId="2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3" fontId="0" fillId="0" borderId="5" applyAlignment="1" pivotButton="0" quotePrefix="0" xfId="0">
      <alignment horizontal="center" vertical="center"/>
    </xf>
    <xf numFmtId="3" fontId="1" fillId="3" borderId="5" pivotButton="0" quotePrefix="0" xfId="0"/>
    <xf numFmtId="0" fontId="3" fillId="0" borderId="0" applyAlignment="1" pivotButton="0" quotePrefix="0" xfId="0">
      <alignment horizontal="center" vertical="center"/>
    </xf>
    <xf numFmtId="0" fontId="1" fillId="4" borderId="5" applyAlignment="1" pivotButton="0" quotePrefix="0" xfId="0">
      <alignment horizontal="left" vertical="center"/>
    </xf>
    <xf numFmtId="3" fontId="1" fillId="4" borderId="5" applyAlignment="1" pivotButton="0" quotePrefix="0" xfId="0">
      <alignment horizontal="center" vertical="center"/>
    </xf>
    <xf numFmtId="10" fontId="1" fillId="4" borderId="5" applyAlignment="1" pivotButton="0" quotePrefix="0" xfId="0">
      <alignment horizontal="center" vertical="center"/>
    </xf>
    <xf numFmtId="3" fontId="1" fillId="5" borderId="5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10" fontId="0" fillId="0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4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/>
    <row r="4"/>
    <row r="5" ht="15.75" customHeight="1">
      <c r="A5" s="1" t="n"/>
    </row>
    <row r="6">
      <c r="A6" s="2" t="inlineStr">
        <is>
          <t>total leads</t>
        </is>
      </c>
    </row>
    <row r="7">
      <c r="A7" s="3" t="inlineStr">
        <is>
          <t>unworked leads (new leads)</t>
        </is>
      </c>
    </row>
    <row r="8">
      <c r="A8" s="3" t="inlineStr">
        <is>
          <t>succesful contacts</t>
        </is>
      </c>
    </row>
    <row r="9">
      <c r="A9" s="3" t="inlineStr">
        <is>
          <t>true contacts</t>
        </is>
      </c>
    </row>
    <row r="10">
      <c r="A10" s="3" t="inlineStr">
        <is>
          <t>conversion</t>
        </is>
      </c>
    </row>
    <row r="11">
      <c r="A11" s="3" t="inlineStr">
        <is>
          <t>true sales (post qa)</t>
        </is>
      </c>
    </row>
    <row r="12">
      <c r="A12" s="3" t="inlineStr">
        <is>
          <t>Collections</t>
        </is>
      </c>
    </row>
    <row r="13">
      <c r="A13" s="3" t="inlineStr">
        <is>
          <t>Number of missed 1st Collections</t>
        </is>
      </c>
    </row>
    <row r="14">
      <c r="A14" s="3" t="inlineStr">
        <is>
          <t>NTU</t>
        </is>
      </c>
    </row>
    <row r="15">
      <c r="A15" s="3" t="inlineStr">
        <is>
          <t>Cancellations/Lapse</t>
        </is>
      </c>
    </row>
    <row r="16">
      <c r="A16" s="3" t="n"/>
    </row>
    <row r="17">
      <c r="A17" s="3" t="inlineStr">
        <is>
          <t>contactability</t>
        </is>
      </c>
    </row>
    <row r="18">
      <c r="A18" s="3" t="inlineStr">
        <is>
          <t>lead to sale conversion</t>
        </is>
      </c>
    </row>
    <row r="19">
      <c r="A19" s="3" t="inlineStr">
        <is>
          <t>conversion to true sale</t>
        </is>
      </c>
    </row>
    <row r="20">
      <c r="A20" s="3" t="inlineStr">
        <is>
          <t>true contacts to sales</t>
        </is>
      </c>
    </row>
    <row r="21">
      <c r="A21" s="3" t="inlineStr">
        <is>
          <t>True Sale to Collections</t>
        </is>
      </c>
    </row>
    <row r="22">
      <c r="A22" s="3" t="n"/>
    </row>
    <row r="23">
      <c r="A23" s="3" t="inlineStr">
        <is>
          <t>Number of Calls to Leads</t>
        </is>
      </c>
    </row>
    <row r="24">
      <c r="A24" s="3" t="inlineStr">
        <is>
          <t>Number of Calls Made</t>
        </is>
      </c>
    </row>
    <row r="25">
      <c r="A25" s="3" t="inlineStr">
        <is>
          <t>Number of Calls per Lead</t>
        </is>
      </c>
    </row>
    <row r="26">
      <c r="A26" s="3" t="inlineStr">
        <is>
          <t>Number of Agents</t>
        </is>
      </c>
    </row>
    <row r="27">
      <c r="A27" s="3" t="inlineStr">
        <is>
          <t>Number of Working Days</t>
        </is>
      </c>
    </row>
    <row r="28">
      <c r="A28" s="3" t="n"/>
    </row>
    <row r="29">
      <c r="A29" s="4" t="inlineStr">
        <is>
          <t>Unsuccesful Contacts Dispositions</t>
        </is>
      </c>
    </row>
    <row r="30">
      <c r="A30" s="3" t="inlineStr">
        <is>
          <t>Auto Dial Disconnected</t>
        </is>
      </c>
    </row>
    <row r="31">
      <c r="A31" s="3" t="inlineStr">
        <is>
          <t>Answering Machine Autodial</t>
        </is>
      </c>
    </row>
    <row r="32">
      <c r="A32" s="3" t="inlineStr">
        <is>
          <t>No Answer Autodial</t>
        </is>
      </c>
    </row>
    <row r="33">
      <c r="A33" s="5" t="inlineStr">
        <is>
          <t>Dropped</t>
        </is>
      </c>
    </row>
    <row r="34">
      <c r="A34" s="5" t="inlineStr">
        <is>
          <t>Answering Machine</t>
        </is>
      </c>
    </row>
    <row r="35">
      <c r="A35" s="5" t="inlineStr">
        <is>
          <t>Temporary Disconnected Number</t>
        </is>
      </c>
    </row>
    <row r="36">
      <c r="A36" s="3" t="inlineStr">
        <is>
          <t>Auto Engaged</t>
        </is>
      </c>
    </row>
    <row r="37">
      <c r="A37" s="3" t="inlineStr">
        <is>
          <t>Bad Line Quality</t>
        </is>
      </c>
    </row>
    <row r="38">
      <c r="A38" s="5" t="inlineStr">
        <is>
          <t>Outbound Pre-Routing Drop</t>
        </is>
      </c>
    </row>
    <row r="39">
      <c r="A39" s="5" t="inlineStr">
        <is>
          <t>No Answer</t>
        </is>
      </c>
    </row>
    <row r="40">
      <c r="A40" s="5" t="inlineStr">
        <is>
          <t>Busy Tone</t>
        </is>
      </c>
    </row>
    <row r="41">
      <c r="A41" s="3" t="inlineStr">
        <is>
          <t>Inbound Abandon</t>
        </is>
      </c>
    </row>
    <row r="42">
      <c r="A42" s="5" t="inlineStr">
        <is>
          <t>Selected</t>
        </is>
      </c>
    </row>
    <row r="43">
      <c r="A43" s="3" t="inlineStr">
        <is>
          <t>Inbound After Hours Drop</t>
        </is>
      </c>
    </row>
    <row r="44">
      <c r="A44" s="3" t="inlineStr">
        <is>
          <t>New</t>
        </is>
      </c>
    </row>
    <row r="45">
      <c r="A45" s="3" t="inlineStr">
        <is>
          <t>Missed</t>
        </is>
      </c>
    </row>
    <row r="46">
      <c r="A46" s="3" t="inlineStr">
        <is>
          <t>Multiple Calls</t>
        </is>
      </c>
    </row>
    <row r="47">
      <c r="A47" s="3" t="inlineStr">
        <is>
          <t>Call Dropped</t>
        </is>
      </c>
    </row>
    <row r="48">
      <c r="A48" s="3" t="inlineStr">
        <is>
          <t>Disconnected</t>
        </is>
      </c>
    </row>
    <row r="49">
      <c r="A49" s="5" t="inlineStr">
        <is>
          <t>Customer drop</t>
        </is>
      </c>
    </row>
    <row r="50">
      <c r="A50" s="3" t="inlineStr">
        <is>
          <t>Auto Alt-Dialling</t>
        </is>
      </c>
    </row>
    <row r="51">
      <c r="A51" s="3" t="inlineStr">
        <is>
          <t>Disconnected Number Auto</t>
        </is>
      </c>
    </row>
    <row r="52">
      <c r="A52" s="3" t="inlineStr">
        <is>
          <t>TPS Registered Number</t>
        </is>
      </c>
    </row>
    <row r="53">
      <c r="A53" s="3" t="inlineStr">
        <is>
          <t>Engaged</t>
        </is>
      </c>
    </row>
    <row r="54">
      <c r="A54" s="3" t="inlineStr">
        <is>
          <t>Busy</t>
        </is>
      </c>
    </row>
    <row r="55">
      <c r="A55" s="3" t="inlineStr">
        <is>
          <t>Flow Inbound Abandon</t>
        </is>
      </c>
    </row>
    <row r="56">
      <c r="A56" s="3" t="n"/>
    </row>
    <row r="57">
      <c r="A57" s="4" t="inlineStr">
        <is>
          <t>Unworkable Leads Dispositions</t>
        </is>
      </c>
    </row>
    <row r="58">
      <c r="A58" s="3" t="inlineStr">
        <is>
          <t>Unemployed</t>
        </is>
      </c>
    </row>
    <row r="59">
      <c r="A59" s="3" t="inlineStr">
        <is>
          <t>Under Age</t>
        </is>
      </c>
    </row>
    <row r="60">
      <c r="A60" s="3" t="inlineStr">
        <is>
          <t>Over Age Limit</t>
        </is>
      </c>
    </row>
    <row r="61">
      <c r="A61" s="3" t="inlineStr">
        <is>
          <t>Does Not Qualify</t>
        </is>
      </c>
    </row>
    <row r="62">
      <c r="A62" s="3" t="inlineStr">
        <is>
          <t>Go to the Branch</t>
        </is>
      </c>
    </row>
    <row r="63">
      <c r="A63" s="3" t="inlineStr">
        <is>
          <t>Existing Client</t>
        </is>
      </c>
    </row>
    <row r="64">
      <c r="A64" s="3" t="inlineStr">
        <is>
          <t>Do Not Call</t>
        </is>
      </c>
    </row>
    <row r="65">
      <c r="A65" s="3" t="inlineStr">
        <is>
          <t>Wrong Number</t>
        </is>
      </c>
    </row>
    <row r="66">
      <c r="A66" s="3" t="inlineStr">
        <is>
          <t>Language Barrier</t>
        </is>
      </c>
    </row>
    <row r="67">
      <c r="A67" s="3" t="inlineStr">
        <is>
          <t>Client Deceased</t>
        </is>
      </c>
    </row>
    <row r="68">
      <c r="A68" s="3" t="inlineStr">
        <is>
          <t>Right Party Not Available</t>
        </is>
      </c>
    </row>
    <row r="69">
      <c r="A69" s="3" t="inlineStr">
        <is>
          <t>Client Contacted For Documents</t>
        </is>
      </c>
    </row>
    <row r="70">
      <c r="A70" s="3" t="inlineStr">
        <is>
          <t>Already Contacted</t>
        </is>
      </c>
    </row>
    <row r="71">
      <c r="A71" s="3" t="inlineStr">
        <is>
          <t>Existing Client - Store</t>
        </is>
      </c>
    </row>
    <row r="72">
      <c r="A72" s="3" t="inlineStr">
        <is>
          <t>Account In Arrears</t>
        </is>
      </c>
    </row>
    <row r="73">
      <c r="A73" s="3" t="inlineStr">
        <is>
          <t>Existing Client - Bytes</t>
        </is>
      </c>
    </row>
    <row r="74">
      <c r="A74" s="3" t="inlineStr">
        <is>
          <t>Scheduled Appointment</t>
        </is>
      </c>
    </row>
    <row r="75">
      <c r="A75" s="3" t="inlineStr">
        <is>
          <t>Refund Request</t>
        </is>
      </c>
    </row>
    <row r="76">
      <c r="A76" s="3" t="inlineStr">
        <is>
          <t>Not Working Cannot Afford</t>
        </is>
      </c>
    </row>
    <row r="77">
      <c r="A77" s="3" t="inlineStr">
        <is>
          <t>Device Not Working</t>
        </is>
      </c>
    </row>
    <row r="78">
      <c r="A78" s="3" t="inlineStr">
        <is>
          <t>Account Suspended</t>
        </is>
      </c>
    </row>
    <row r="79">
      <c r="A79" s="3" t="inlineStr">
        <is>
          <t>Wanted medical aid</t>
        </is>
      </c>
    </row>
    <row r="80">
      <c r="A80" s="3" t="inlineStr">
        <is>
          <t>Lead Being Called</t>
        </is>
      </c>
    </row>
    <row r="81">
      <c r="A81" s="3" t="inlineStr">
        <is>
          <t>Insured at another company</t>
        </is>
      </c>
    </row>
    <row r="82">
      <c r="A82" s="3" t="n"/>
    </row>
    <row r="83">
      <c r="A83" s="4" t="inlineStr">
        <is>
          <t>true contacts</t>
        </is>
      </c>
    </row>
    <row r="84">
      <c r="A84" s="3" t="inlineStr">
        <is>
          <t>Client Hung Up</t>
        </is>
      </c>
    </row>
    <row r="85">
      <c r="A85" s="3" t="inlineStr">
        <is>
          <t>Affordability</t>
        </is>
      </c>
    </row>
    <row r="86">
      <c r="A86" s="5" t="inlineStr">
        <is>
          <t>Not Interested</t>
        </is>
      </c>
    </row>
    <row r="87">
      <c r="A87" s="5" t="inlineStr">
        <is>
          <t>Callback</t>
        </is>
      </c>
    </row>
    <row r="88">
      <c r="A88" s="3" t="inlineStr">
        <is>
          <t>Not Interested Upfront</t>
        </is>
      </c>
    </row>
    <row r="89">
      <c r="A89" s="3" t="inlineStr">
        <is>
          <t>Client Quoted Not Interested</t>
        </is>
      </c>
    </row>
    <row r="90">
      <c r="A90" s="3" t="inlineStr">
        <is>
          <t>DNQ Quote Declined</t>
        </is>
      </c>
    </row>
    <row r="91">
      <c r="A91" s="3" t="inlineStr">
        <is>
          <t>Do Not Qualify Failed Medical Question</t>
        </is>
      </c>
    </row>
    <row r="92">
      <c r="A92" s="3" t="inlineStr">
        <is>
          <t>Not Interested Household Contents</t>
        </is>
      </c>
    </row>
    <row r="93">
      <c r="A93" s="3" t="inlineStr">
        <is>
          <t>Not Interested Premium Cost</t>
        </is>
      </c>
    </row>
    <row r="94">
      <c r="A94" s="5" t="inlineStr">
        <is>
          <t>Not Interested Device Cost</t>
        </is>
      </c>
    </row>
    <row r="95">
      <c r="A95" s="3" t="inlineStr">
        <is>
          <t>Cannot Afford</t>
        </is>
      </c>
    </row>
    <row r="96">
      <c r="A96" s="5" t="inlineStr">
        <is>
          <t>Not interested SMS</t>
        </is>
      </c>
    </row>
    <row r="97">
      <c r="A97" s="3" t="inlineStr">
        <is>
          <t>Call Back Hold</t>
        </is>
      </c>
    </row>
    <row r="98">
      <c r="A98" s="3" t="inlineStr">
        <is>
          <t>NI Household Contents</t>
        </is>
      </c>
    </row>
    <row r="99">
      <c r="A99" s="3" t="inlineStr">
        <is>
          <t>Not interested - Pitched</t>
        </is>
      </c>
    </row>
    <row r="100">
      <c r="A100" s="3" t="inlineStr">
        <is>
          <t>Declined Sale</t>
        </is>
      </c>
    </row>
    <row r="101">
      <c r="A101" s="3" t="inlineStr">
        <is>
          <t>Sale Made</t>
        </is>
      </c>
    </row>
    <row r="102">
      <c r="A102" s="3" t="inlineStr">
        <is>
          <t>QA Rework</t>
        </is>
      </c>
    </row>
    <row r="103">
      <c r="A103" s="3" t="inlineStr">
        <is>
          <t>Sale SMS</t>
        </is>
      </c>
    </row>
    <row r="104">
      <c r="A104" s="3" t="n"/>
    </row>
    <row r="105">
      <c r="A105" s="4" t="inlineStr">
        <is>
          <t>Unsuccesful Contacts Dispositions</t>
        </is>
      </c>
    </row>
    <row r="106">
      <c r="A106" s="3" t="inlineStr">
        <is>
          <t>Auto Dial Disconnected</t>
        </is>
      </c>
    </row>
    <row r="107">
      <c r="A107" s="3" t="inlineStr">
        <is>
          <t>Answering Machine Autodial</t>
        </is>
      </c>
    </row>
    <row r="108">
      <c r="A108" s="3" t="inlineStr">
        <is>
          <t>No Answer Autodial</t>
        </is>
      </c>
    </row>
    <row r="109">
      <c r="A109" s="5" t="inlineStr">
        <is>
          <t>Dropped</t>
        </is>
      </c>
    </row>
    <row r="110">
      <c r="A110" s="5" t="inlineStr">
        <is>
          <t>Answering Machine</t>
        </is>
      </c>
    </row>
    <row r="111">
      <c r="A111" s="5" t="inlineStr">
        <is>
          <t>Temporary Disconnected Number</t>
        </is>
      </c>
    </row>
    <row r="112">
      <c r="A112" s="3" t="inlineStr">
        <is>
          <t>Auto Engaged</t>
        </is>
      </c>
    </row>
    <row r="113">
      <c r="A113" s="3" t="inlineStr">
        <is>
          <t>Bad Line Quality</t>
        </is>
      </c>
    </row>
    <row r="114">
      <c r="A114" s="5" t="inlineStr">
        <is>
          <t>Outbound Pre-Routing Drop</t>
        </is>
      </c>
    </row>
    <row r="115">
      <c r="A115" s="5" t="inlineStr">
        <is>
          <t>No Answer</t>
        </is>
      </c>
    </row>
    <row r="116">
      <c r="A116" s="5" t="inlineStr">
        <is>
          <t>Busy Tone</t>
        </is>
      </c>
    </row>
    <row r="117">
      <c r="A117" s="3" t="inlineStr">
        <is>
          <t>Inbound Abandon</t>
        </is>
      </c>
    </row>
    <row r="118">
      <c r="A118" s="5" t="inlineStr">
        <is>
          <t>Selected</t>
        </is>
      </c>
    </row>
    <row r="119">
      <c r="A119" s="3" t="inlineStr">
        <is>
          <t>Inbound After Hours Drop</t>
        </is>
      </c>
    </row>
    <row r="120">
      <c r="A120" s="3" t="inlineStr">
        <is>
          <t>New</t>
        </is>
      </c>
    </row>
    <row r="121">
      <c r="A121" s="3" t="inlineStr">
        <is>
          <t>Missed</t>
        </is>
      </c>
    </row>
    <row r="122">
      <c r="A122" s="3" t="inlineStr">
        <is>
          <t>Multiple Calls</t>
        </is>
      </c>
    </row>
    <row r="123">
      <c r="A123" s="3" t="inlineStr">
        <is>
          <t>Call Dropped</t>
        </is>
      </c>
    </row>
    <row r="124">
      <c r="A124" s="3" t="inlineStr">
        <is>
          <t>Disconnected</t>
        </is>
      </c>
    </row>
    <row r="125">
      <c r="A125" s="5" t="inlineStr">
        <is>
          <t>Customer drop</t>
        </is>
      </c>
    </row>
    <row r="126">
      <c r="A126" s="3" t="inlineStr">
        <is>
          <t>Auto Alt-Dialling</t>
        </is>
      </c>
    </row>
    <row r="127">
      <c r="A127" s="3" t="inlineStr">
        <is>
          <t>Disconnected Number Auto</t>
        </is>
      </c>
    </row>
    <row r="128">
      <c r="A128" s="3" t="inlineStr">
        <is>
          <t>TPS Registered Number</t>
        </is>
      </c>
    </row>
    <row r="129">
      <c r="A129" s="3" t="inlineStr">
        <is>
          <t>Engaged</t>
        </is>
      </c>
    </row>
    <row r="130">
      <c r="A130" s="3" t="inlineStr">
        <is>
          <t>Busy</t>
        </is>
      </c>
    </row>
    <row r="131">
      <c r="A131" s="3" t="inlineStr">
        <is>
          <t>Flow Inbound Abandon</t>
        </is>
      </c>
    </row>
    <row r="132">
      <c r="A132" s="3" t="n"/>
    </row>
    <row r="133">
      <c r="A133" s="4" t="inlineStr">
        <is>
          <t>Unworkable Leads Dispositions</t>
        </is>
      </c>
    </row>
    <row r="134">
      <c r="A134" s="3" t="inlineStr">
        <is>
          <t>Unemployed</t>
        </is>
      </c>
    </row>
    <row r="135">
      <c r="A135" s="3" t="inlineStr">
        <is>
          <t>Under Age</t>
        </is>
      </c>
    </row>
    <row r="136">
      <c r="A136" s="3" t="inlineStr">
        <is>
          <t>Over Age Limit</t>
        </is>
      </c>
    </row>
    <row r="137">
      <c r="A137" s="3" t="inlineStr">
        <is>
          <t>Does Not Qualify</t>
        </is>
      </c>
    </row>
    <row r="138">
      <c r="A138" s="3" t="inlineStr">
        <is>
          <t>Go to the Branch</t>
        </is>
      </c>
    </row>
    <row r="139">
      <c r="A139" s="3" t="inlineStr">
        <is>
          <t>Existing Client</t>
        </is>
      </c>
    </row>
    <row r="140">
      <c r="A140" s="3" t="inlineStr">
        <is>
          <t>Do Not Call</t>
        </is>
      </c>
    </row>
    <row r="141">
      <c r="A141" s="3" t="inlineStr">
        <is>
          <t>Wrong Number</t>
        </is>
      </c>
    </row>
    <row r="142">
      <c r="A142" s="3" t="inlineStr">
        <is>
          <t>Language Barrier</t>
        </is>
      </c>
    </row>
    <row r="143">
      <c r="A143" s="3" t="inlineStr">
        <is>
          <t>Client Deceased</t>
        </is>
      </c>
    </row>
    <row r="144">
      <c r="A144" s="3" t="inlineStr">
        <is>
          <t>Right Party Not Available</t>
        </is>
      </c>
    </row>
    <row r="145">
      <c r="A145" s="3" t="inlineStr">
        <is>
          <t>Client Contacted For Documents</t>
        </is>
      </c>
    </row>
    <row r="146">
      <c r="A146" s="3" t="inlineStr">
        <is>
          <t>Already Contacted</t>
        </is>
      </c>
    </row>
    <row r="147">
      <c r="A147" s="3" t="inlineStr">
        <is>
          <t>Existing Client - Store</t>
        </is>
      </c>
    </row>
    <row r="148">
      <c r="A148" s="3" t="inlineStr">
        <is>
          <t>Account In Arrears</t>
        </is>
      </c>
    </row>
    <row r="149">
      <c r="A149" s="3" t="inlineStr">
        <is>
          <t>Existing Client - Bytes</t>
        </is>
      </c>
    </row>
    <row r="150">
      <c r="A150" s="3" t="inlineStr">
        <is>
          <t>Scheduled Appointment</t>
        </is>
      </c>
    </row>
    <row r="151">
      <c r="A151" s="3" t="inlineStr">
        <is>
          <t>Refund Request</t>
        </is>
      </c>
    </row>
    <row r="152">
      <c r="A152" s="3" t="inlineStr">
        <is>
          <t>Not Working Cannot Afford</t>
        </is>
      </c>
    </row>
    <row r="153">
      <c r="A153" s="3" t="inlineStr">
        <is>
          <t>Device Not Working</t>
        </is>
      </c>
    </row>
    <row r="154">
      <c r="A154" s="3" t="inlineStr">
        <is>
          <t>Account Suspended</t>
        </is>
      </c>
    </row>
    <row r="155">
      <c r="A155" s="3" t="inlineStr">
        <is>
          <t>Wanted medical aid</t>
        </is>
      </c>
    </row>
    <row r="156">
      <c r="A156" s="3" t="inlineStr">
        <is>
          <t>Lead Being Called</t>
        </is>
      </c>
    </row>
    <row r="157">
      <c r="A157" s="3" t="inlineStr">
        <is>
          <t>Insured at another company</t>
        </is>
      </c>
    </row>
    <row r="158">
      <c r="A158" s="3" t="n"/>
    </row>
    <row r="159">
      <c r="A159" s="4" t="inlineStr">
        <is>
          <t>true contacts</t>
        </is>
      </c>
    </row>
    <row r="160">
      <c r="A160" s="3" t="inlineStr">
        <is>
          <t>Client Hung Up</t>
        </is>
      </c>
    </row>
    <row r="161">
      <c r="A161" s="3" t="inlineStr">
        <is>
          <t>Affordability</t>
        </is>
      </c>
    </row>
    <row r="162">
      <c r="A162" s="5" t="inlineStr">
        <is>
          <t>Not Interested</t>
        </is>
      </c>
    </row>
    <row r="163">
      <c r="A163" s="5" t="inlineStr">
        <is>
          <t>Callback</t>
        </is>
      </c>
    </row>
    <row r="164">
      <c r="A164" s="3" t="inlineStr">
        <is>
          <t>Not Interested Upfront</t>
        </is>
      </c>
    </row>
    <row r="165">
      <c r="A165" s="3" t="inlineStr">
        <is>
          <t>Client Quoted Not Interested</t>
        </is>
      </c>
    </row>
    <row r="166">
      <c r="A166" s="3" t="inlineStr">
        <is>
          <t>DNQ Quote Declined</t>
        </is>
      </c>
    </row>
    <row r="167">
      <c r="A167" s="3" t="inlineStr">
        <is>
          <t>Do Not Qualify Failed Medical Question</t>
        </is>
      </c>
    </row>
    <row r="168">
      <c r="A168" s="3" t="inlineStr">
        <is>
          <t>Not Interested Household Contents</t>
        </is>
      </c>
    </row>
    <row r="169">
      <c r="A169" s="3" t="inlineStr">
        <is>
          <t>Not Interested Premium Cost</t>
        </is>
      </c>
    </row>
    <row r="170">
      <c r="A170" s="5" t="inlineStr">
        <is>
          <t>Not Interested Device Cost</t>
        </is>
      </c>
    </row>
    <row r="171">
      <c r="A171" s="3" t="inlineStr">
        <is>
          <t>Cannot Afford</t>
        </is>
      </c>
    </row>
    <row r="172">
      <c r="A172" s="5" t="inlineStr">
        <is>
          <t>Not interested SMS</t>
        </is>
      </c>
    </row>
    <row r="173">
      <c r="A173" s="3" t="inlineStr">
        <is>
          <t>Call Back Hold</t>
        </is>
      </c>
    </row>
    <row r="174">
      <c r="A174" s="3" t="inlineStr">
        <is>
          <t>NI Household Contents</t>
        </is>
      </c>
    </row>
    <row r="175">
      <c r="A175" s="3" t="inlineStr">
        <is>
          <t>Not interested - Pitched</t>
        </is>
      </c>
    </row>
    <row r="176">
      <c r="A176" s="3" t="inlineStr">
        <is>
          <t>Declined Sale</t>
        </is>
      </c>
    </row>
    <row r="177">
      <c r="A177" s="3" t="inlineStr">
        <is>
          <t>Sale Made</t>
        </is>
      </c>
    </row>
    <row r="178">
      <c r="A178" s="3" t="inlineStr">
        <is>
          <t>QA Rework</t>
        </is>
      </c>
    </row>
    <row r="179" ht="15.75" customHeight="1">
      <c r="A179" s="6" t="inlineStr">
        <is>
          <t>Sale SMS</t>
        </is>
      </c>
    </row>
    <row r="180"/>
    <row r="181"/>
    <row r="182"/>
    <row r="183">
      <c r="A183" s="7" t="n"/>
    </row>
    <row r="184"/>
    <row r="185"/>
    <row r="186"/>
    <row r="187"/>
    <row r="188"/>
    <row r="189"/>
    <row r="190"/>
    <row r="191"/>
    <row r="192"/>
    <row r="193"/>
    <row r="194">
      <c r="A194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8" t="inlineStr">
        <is>
          <t>Outcome Description</t>
        </is>
      </c>
      <c r="B1" s="8" t="inlineStr">
        <is>
          <t>Count</t>
        </is>
      </c>
    </row>
    <row r="2">
      <c r="A2" s="9" t="inlineStr">
        <is>
          <t>Answering Machine Autodial</t>
        </is>
      </c>
      <c r="B2" s="10" t="n">
        <v>247</v>
      </c>
    </row>
    <row r="3">
      <c r="A3" s="9" t="inlineStr">
        <is>
          <t>Auto Engaged</t>
        </is>
      </c>
      <c r="B3" s="10" t="n">
        <v>178</v>
      </c>
    </row>
    <row r="4">
      <c r="A4" s="9" t="inlineStr">
        <is>
          <t>Dropped</t>
        </is>
      </c>
      <c r="B4" s="10" t="n">
        <v>94</v>
      </c>
    </row>
    <row r="5">
      <c r="A5" s="9" t="inlineStr">
        <is>
          <t>No Answer Autodial</t>
        </is>
      </c>
      <c r="B5" s="10" t="n">
        <v>92</v>
      </c>
    </row>
    <row r="6">
      <c r="A6" s="9" t="inlineStr">
        <is>
          <t>Callback</t>
        </is>
      </c>
      <c r="B6" s="10" t="n">
        <v>69</v>
      </c>
    </row>
    <row r="7">
      <c r="A7" s="9" t="inlineStr">
        <is>
          <t>Client Hung Up</t>
        </is>
      </c>
      <c r="B7" s="10" t="n">
        <v>59</v>
      </c>
    </row>
    <row r="8">
      <c r="A8" s="9" t="inlineStr">
        <is>
          <t>Not Interested</t>
        </is>
      </c>
      <c r="B8" s="10" t="n">
        <v>42</v>
      </c>
    </row>
    <row r="9">
      <c r="A9" s="9" t="inlineStr">
        <is>
          <t>Inbound Abandon</t>
        </is>
      </c>
      <c r="B9" s="10" t="n">
        <v>40</v>
      </c>
    </row>
    <row r="10">
      <c r="A10" s="9" t="inlineStr">
        <is>
          <t>Already Contacted</t>
        </is>
      </c>
      <c r="B10" s="10" t="n">
        <v>28</v>
      </c>
    </row>
    <row r="11">
      <c r="A11" s="9" t="inlineStr">
        <is>
          <t>Auto Dial Disconnected</t>
        </is>
      </c>
      <c r="B11" s="10" t="n">
        <v>28</v>
      </c>
    </row>
    <row r="12">
      <c r="A12" s="9" t="inlineStr">
        <is>
          <t>Unemployed</t>
        </is>
      </c>
      <c r="B12" s="10" t="n">
        <v>20</v>
      </c>
    </row>
    <row r="13">
      <c r="A13" s="9" t="inlineStr">
        <is>
          <t>Answering Machine</t>
        </is>
      </c>
      <c r="B13" s="10" t="n">
        <v>17</v>
      </c>
    </row>
    <row r="14">
      <c r="A14" s="9" t="inlineStr">
        <is>
          <t>No Answer</t>
        </is>
      </c>
      <c r="B14" s="10" t="n">
        <v>11</v>
      </c>
    </row>
    <row r="15">
      <c r="A15" s="9" t="inlineStr">
        <is>
          <t>Selected</t>
        </is>
      </c>
      <c r="B15" s="10" t="n">
        <v>10</v>
      </c>
    </row>
    <row r="16">
      <c r="A16" s="9" t="inlineStr">
        <is>
          <t>Call Dropped</t>
        </is>
      </c>
      <c r="B16" s="10" t="n">
        <v>8</v>
      </c>
    </row>
    <row r="17">
      <c r="A17" s="9" t="inlineStr">
        <is>
          <t>Cannot Afford</t>
        </is>
      </c>
      <c r="B17" s="10" t="n">
        <v>7</v>
      </c>
    </row>
    <row r="18">
      <c r="A18" s="9" t="inlineStr">
        <is>
          <t>Do Not Qualify Failed Medical Question</t>
        </is>
      </c>
      <c r="B18" s="10" t="n">
        <v>6</v>
      </c>
    </row>
    <row r="19">
      <c r="A19" s="9" t="inlineStr">
        <is>
          <t>Over Age Limit</t>
        </is>
      </c>
      <c r="B19" s="10" t="n">
        <v>6</v>
      </c>
    </row>
    <row r="20">
      <c r="A20" s="9" t="inlineStr">
        <is>
          <t>Do Not Call</t>
        </is>
      </c>
      <c r="B20" s="10" t="n">
        <v>5</v>
      </c>
    </row>
    <row r="21">
      <c r="A21" s="9" t="inlineStr">
        <is>
          <t>Does Not Qualify</t>
        </is>
      </c>
      <c r="B21" s="10" t="n">
        <v>5</v>
      </c>
    </row>
    <row r="22">
      <c r="A22" s="9" t="inlineStr">
        <is>
          <t>Not Interested Upfront</t>
        </is>
      </c>
      <c r="B22" s="10" t="n">
        <v>5</v>
      </c>
    </row>
    <row r="23">
      <c r="A23" s="9" t="inlineStr">
        <is>
          <t>Sale Made</t>
        </is>
      </c>
      <c r="B23" s="10" t="n">
        <v>5</v>
      </c>
    </row>
    <row r="24">
      <c r="A24" s="9" t="inlineStr">
        <is>
          <t>Temporary Disconnected Number</t>
        </is>
      </c>
      <c r="B24" s="10" t="n">
        <v>5</v>
      </c>
    </row>
    <row r="25">
      <c r="A25" s="9" t="inlineStr">
        <is>
          <t>Under Age</t>
        </is>
      </c>
      <c r="B25" s="10" t="n">
        <v>4</v>
      </c>
    </row>
    <row r="26">
      <c r="A26" s="9" t="inlineStr">
        <is>
          <t>Busy Tone</t>
        </is>
      </c>
      <c r="B26" s="10" t="n">
        <v>3</v>
      </c>
    </row>
    <row r="27">
      <c r="A27" s="9" t="inlineStr">
        <is>
          <t>DNQ Quote Declined</t>
        </is>
      </c>
      <c r="B27" s="10" t="n">
        <v>2</v>
      </c>
    </row>
    <row r="28">
      <c r="A28" s="9" t="inlineStr">
        <is>
          <t>Wrong Number</t>
        </is>
      </c>
      <c r="B28" s="10" t="n">
        <v>2</v>
      </c>
    </row>
    <row r="29">
      <c r="A29" s="9" t="inlineStr">
        <is>
          <t>Inbound After Hours Drop</t>
        </is>
      </c>
      <c r="B29" s="10" t="n">
        <v>1</v>
      </c>
    </row>
    <row r="30">
      <c r="A30" s="9" t="inlineStr">
        <is>
          <t>Disconnected</t>
        </is>
      </c>
      <c r="B30" s="10" t="n">
        <v>1</v>
      </c>
    </row>
    <row r="31">
      <c r="A31" s="11" t="inlineStr">
        <is>
          <t>Grand Total</t>
        </is>
      </c>
      <c r="B31" s="1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Contact Id</t>
        </is>
      </c>
      <c r="B1" s="8" t="inlineStr">
        <is>
          <t>Customer Id</t>
        </is>
      </c>
      <c r="C1" s="8" t="inlineStr">
        <is>
          <t>Lead Reference</t>
        </is>
      </c>
      <c r="D1" s="8" t="inlineStr">
        <is>
          <t>List Id</t>
        </is>
      </c>
      <c r="E1" s="8" t="inlineStr">
        <is>
          <t>List Name</t>
        </is>
      </c>
      <c r="F1" s="8" t="inlineStr">
        <is>
          <t>Title</t>
        </is>
      </c>
      <c r="G1" s="8" t="inlineStr">
        <is>
          <t>Firstname</t>
        </is>
      </c>
      <c r="H1" s="8" t="inlineStr">
        <is>
          <t>Lastname</t>
        </is>
      </c>
      <c r="I1" s="8" t="inlineStr">
        <is>
          <t>Gender</t>
        </is>
      </c>
      <c r="J1" s="8" t="inlineStr">
        <is>
          <t>Last Outcome</t>
        </is>
      </c>
      <c r="K1" s="8" t="inlineStr">
        <is>
          <t>Outcome Description</t>
        </is>
      </c>
      <c r="L1" s="8" t="inlineStr">
        <is>
          <t>Called Count</t>
        </is>
      </c>
      <c r="M1" s="8" t="inlineStr">
        <is>
          <t>Last Called Date</t>
        </is>
      </c>
      <c r="N1" s="8" t="inlineStr">
        <is>
          <t>Last User</t>
        </is>
      </c>
      <c r="O1" s="8" t="inlineStr">
        <is>
          <t>Created At</t>
        </is>
      </c>
      <c r="P1" s="8" t="inlineStr">
        <is>
          <t>Updated At</t>
        </is>
      </c>
      <c r="Q1" s="8" t="inlineStr">
        <is>
          <t>Address1</t>
        </is>
      </c>
      <c r="R1" s="8" t="inlineStr">
        <is>
          <t>Address2</t>
        </is>
      </c>
      <c r="S1" s="8" t="inlineStr">
        <is>
          <t>Address3</t>
        </is>
      </c>
      <c r="T1" s="8" t="inlineStr">
        <is>
          <t>Town</t>
        </is>
      </c>
      <c r="U1" s="8" t="inlineStr">
        <is>
          <t>County</t>
        </is>
      </c>
      <c r="V1" s="8" t="inlineStr">
        <is>
          <t>Country</t>
        </is>
      </c>
      <c r="W1" s="8" t="inlineStr">
        <is>
          <t>Postcode</t>
        </is>
      </c>
      <c r="X1" s="8" t="inlineStr">
        <is>
          <t>Email Address</t>
        </is>
      </c>
      <c r="Y1" s="8" t="inlineStr">
        <is>
          <t>Tel1</t>
        </is>
      </c>
      <c r="Z1" s="8" t="inlineStr">
        <is>
          <t>Tel2</t>
        </is>
      </c>
      <c r="AA1" s="8" t="inlineStr">
        <is>
          <t>Tel3</t>
        </is>
      </c>
      <c r="AB1" s="8" t="inlineStr">
        <is>
          <t>Tel4</t>
        </is>
      </c>
      <c r="AC1" s="8" t="inlineStr">
        <is>
          <t>Tel5</t>
        </is>
      </c>
      <c r="AD1" s="8" t="inlineStr">
        <is>
          <t>Tel6</t>
        </is>
      </c>
      <c r="AE1" s="8" t="inlineStr">
        <is>
          <t>Owner Username</t>
        </is>
      </c>
      <c r="AF1" s="8" t="inlineStr">
        <is>
          <t>Security Phrase</t>
        </is>
      </c>
      <c r="AG1" s="8" t="inlineStr">
        <is>
          <t>Source Reference</t>
        </is>
      </c>
      <c r="AH1" s="8" t="inlineStr">
        <is>
          <t>Industry</t>
        </is>
      </c>
      <c r="AI1" s="8" t="inlineStr">
        <is>
          <t>Company Name</t>
        </is>
      </c>
      <c r="AJ1" s="8" t="inlineStr">
        <is>
          <t>Website</t>
        </is>
      </c>
      <c r="AK1" s="8" t="inlineStr">
        <is>
          <t>Customer Reference</t>
        </is>
      </c>
      <c r="AL1" s="8" t="inlineStr">
        <is>
          <t>Dob</t>
        </is>
      </c>
    </row>
    <row r="2">
      <c r="A2" t="inlineStr">
        <is>
          <t>14828504</t>
        </is>
      </c>
      <c r="B2" t="inlineStr">
        <is>
          <t>c98ebd33-cac2-4aab-8bab-6b45e8bfbed9</t>
        </is>
      </c>
      <c r="D2" t="inlineStr">
        <is>
          <t>111111123</t>
        </is>
      </c>
      <c r="E2" t="inlineStr">
        <is>
          <t>Vodacom Life 20260603</t>
        </is>
      </c>
      <c r="H2" t="inlineStr">
        <is>
          <t>27766792170</t>
        </is>
      </c>
      <c r="J2" t="inlineStr">
        <is>
          <t>A</t>
        </is>
      </c>
      <c r="K2" t="inlineStr">
        <is>
          <t>Answering Machine</t>
        </is>
      </c>
      <c r="L2" t="n">
        <v>8</v>
      </c>
      <c r="M2" t="inlineStr">
        <is>
          <t>2026-06-26 11:37:47</t>
        </is>
      </c>
      <c r="N2" t="inlineStr">
        <is>
          <t>Musiiwa Mary Mabirimisa</t>
        </is>
      </c>
      <c r="O2" t="inlineStr">
        <is>
          <t>2026-06-08 05:25:27</t>
        </is>
      </c>
      <c r="P2" t="inlineStr">
        <is>
          <t>2026-06-08 05:25:27</t>
        </is>
      </c>
      <c r="Y2" t="inlineStr">
        <is>
          <t>27766792170</t>
        </is>
      </c>
    </row>
    <row r="3">
      <c r="A3" t="inlineStr">
        <is>
          <t>14828124</t>
        </is>
      </c>
      <c r="B3" t="inlineStr">
        <is>
          <t>ad5efd52-c734-4b8d-9f17-6eb51eacd3fb</t>
        </is>
      </c>
      <c r="D3" t="inlineStr">
        <is>
          <t>111111123</t>
        </is>
      </c>
      <c r="E3" t="inlineStr">
        <is>
          <t>Vodacom Life 20260603</t>
        </is>
      </c>
      <c r="H3" t="inlineStr">
        <is>
          <t>27664322996</t>
        </is>
      </c>
      <c r="J3" t="inlineStr">
        <is>
          <t>CCB</t>
        </is>
      </c>
      <c r="K3" t="inlineStr">
        <is>
          <t>Call Dropped</t>
        </is>
      </c>
      <c r="L3" t="n">
        <v>7</v>
      </c>
      <c r="M3" t="inlineStr">
        <is>
          <t>2026-06-25 14:42:17</t>
        </is>
      </c>
      <c r="N3" t="inlineStr">
        <is>
          <t>Musiiwa Mary Mabirimisa</t>
        </is>
      </c>
      <c r="O3" t="inlineStr">
        <is>
          <t>2026-06-08 05:25:27</t>
        </is>
      </c>
      <c r="P3" t="inlineStr">
        <is>
          <t>2026-06-08 05:25:27</t>
        </is>
      </c>
      <c r="Y3" t="inlineStr">
        <is>
          <t>27664322996</t>
        </is>
      </c>
    </row>
    <row r="4">
      <c r="A4" t="inlineStr">
        <is>
          <t>14828442</t>
        </is>
      </c>
      <c r="B4" t="inlineStr">
        <is>
          <t>18632b8d-b536-47b5-8bc2-18cd6f00e239</t>
        </is>
      </c>
      <c r="D4" t="inlineStr">
        <is>
          <t>111111123</t>
        </is>
      </c>
      <c r="E4" t="inlineStr">
        <is>
          <t>Vodacom Life 20260603</t>
        </is>
      </c>
      <c r="J4" t="inlineStr">
        <is>
          <t>DNQS</t>
        </is>
      </c>
      <c r="K4" t="inlineStr">
        <is>
          <t>Does Not Qualify</t>
        </is>
      </c>
      <c r="L4" t="n">
        <v>8</v>
      </c>
      <c r="M4" t="inlineStr">
        <is>
          <t>2026-06-25 12:51:19</t>
        </is>
      </c>
      <c r="N4" t="inlineStr">
        <is>
          <t>Musiiwa Mary Mabirimisa</t>
        </is>
      </c>
      <c r="O4" t="inlineStr">
        <is>
          <t>2026-06-08 05:25:27</t>
        </is>
      </c>
      <c r="P4" t="inlineStr">
        <is>
          <t>2026-06-08 05:25:27</t>
        </is>
      </c>
      <c r="Y4" t="inlineStr">
        <is>
          <t>27765613766</t>
        </is>
      </c>
    </row>
    <row r="5">
      <c r="A5" t="inlineStr">
        <is>
          <t>14828311</t>
        </is>
      </c>
      <c r="B5" t="inlineStr">
        <is>
          <t>eff62591-c93c-4177-aa9a-1071272795e4</t>
        </is>
      </c>
      <c r="D5" t="inlineStr">
        <is>
          <t>111111123</t>
        </is>
      </c>
      <c r="E5" t="inlineStr">
        <is>
          <t>Vodacom Life 20260603</t>
        </is>
      </c>
      <c r="J5" t="inlineStr">
        <is>
          <t>CCB</t>
        </is>
      </c>
      <c r="K5" t="inlineStr">
        <is>
          <t>Call Dropped</t>
        </is>
      </c>
      <c r="L5" t="n">
        <v>9</v>
      </c>
      <c r="M5" t="inlineStr">
        <is>
          <t>2026-06-25 12:32:48</t>
        </is>
      </c>
      <c r="N5" t="inlineStr">
        <is>
          <t>Musiiwa Mary Mabirimisa</t>
        </is>
      </c>
      <c r="O5" t="inlineStr">
        <is>
          <t>2026-06-08 05:25:27</t>
        </is>
      </c>
      <c r="P5" t="inlineStr">
        <is>
          <t>2026-06-08 05:25:27</t>
        </is>
      </c>
      <c r="Y5" t="inlineStr">
        <is>
          <t>27760867339</t>
        </is>
      </c>
    </row>
    <row r="6">
      <c r="A6" t="inlineStr">
        <is>
          <t>14828262</t>
        </is>
      </c>
      <c r="B6" t="inlineStr">
        <is>
          <t>89032e70-1768-4bd0-813c-a8efb57640cf</t>
        </is>
      </c>
      <c r="D6" t="inlineStr">
        <is>
          <t>111111123</t>
        </is>
      </c>
      <c r="E6" t="inlineStr">
        <is>
          <t>Vodacom Life 20260603</t>
        </is>
      </c>
      <c r="J6" t="inlineStr">
        <is>
          <t>N</t>
        </is>
      </c>
      <c r="K6" t="inlineStr">
        <is>
          <t>No Answer</t>
        </is>
      </c>
      <c r="L6" t="n">
        <v>8</v>
      </c>
      <c r="M6" t="inlineStr">
        <is>
          <t>2026-06-25 09:17:10</t>
        </is>
      </c>
      <c r="N6" t="inlineStr">
        <is>
          <t>Musiiwa Mary Mabirimisa</t>
        </is>
      </c>
      <c r="O6" t="inlineStr">
        <is>
          <t>2026-06-08 05:25:27</t>
        </is>
      </c>
      <c r="P6" t="inlineStr">
        <is>
          <t>2026-06-08 05:25:27</t>
        </is>
      </c>
      <c r="Y6" t="inlineStr">
        <is>
          <t>27820448179</t>
        </is>
      </c>
    </row>
    <row r="7">
      <c r="A7" t="inlineStr">
        <is>
          <t>14827781</t>
        </is>
      </c>
      <c r="B7" t="inlineStr">
        <is>
          <t>cdf34d13-c4e2-4d1e-92c5-0359e3ca27f3</t>
        </is>
      </c>
      <c r="D7" t="inlineStr">
        <is>
          <t>111111123</t>
        </is>
      </c>
      <c r="E7" t="inlineStr">
        <is>
          <t>Vodacom Life 20260603</t>
        </is>
      </c>
      <c r="H7" t="inlineStr">
        <is>
          <t>27726379764</t>
        </is>
      </c>
      <c r="J7" t="inlineStr">
        <is>
          <t>IABDN</t>
        </is>
      </c>
      <c r="K7" t="inlineStr">
        <is>
          <t>Inbound Abandon</t>
        </is>
      </c>
      <c r="L7" t="n">
        <v>7</v>
      </c>
      <c r="M7" t="inlineStr">
        <is>
          <t>2026-06-24 16:16:58</t>
        </is>
      </c>
      <c r="N7" t="inlineStr">
        <is>
          <t>system</t>
        </is>
      </c>
      <c r="O7" t="inlineStr">
        <is>
          <t>2026-06-08 05:25:27</t>
        </is>
      </c>
      <c r="P7" t="inlineStr">
        <is>
          <t>2026-06-08 05:25:27</t>
        </is>
      </c>
      <c r="Y7" t="inlineStr">
        <is>
          <t>27726379764</t>
        </is>
      </c>
    </row>
    <row r="8">
      <c r="A8" t="inlineStr">
        <is>
          <t>14827590</t>
        </is>
      </c>
      <c r="B8" t="inlineStr">
        <is>
          <t>845da16b-28ff-44a6-a1a8-fa9110ad60b2</t>
        </is>
      </c>
      <c r="D8" t="inlineStr">
        <is>
          <t>111111123</t>
        </is>
      </c>
      <c r="E8" t="inlineStr">
        <is>
          <t>Vodacom Life 20260603</t>
        </is>
      </c>
      <c r="J8" t="inlineStr">
        <is>
          <t>A</t>
        </is>
      </c>
      <c r="K8" t="inlineStr">
        <is>
          <t>Answering Machine</t>
        </is>
      </c>
      <c r="L8" t="n">
        <v>13</v>
      </c>
      <c r="M8" t="inlineStr">
        <is>
          <t>2026-06-24 14:34:49</t>
        </is>
      </c>
      <c r="N8" t="inlineStr">
        <is>
          <t>Maureen Ntsoko</t>
        </is>
      </c>
      <c r="O8" t="inlineStr">
        <is>
          <t>2026-06-08 05:25:27</t>
        </is>
      </c>
      <c r="P8" t="inlineStr">
        <is>
          <t>2026-06-08 05:25:27</t>
        </is>
      </c>
      <c r="Y8" t="inlineStr">
        <is>
          <t>27715476499</t>
        </is>
      </c>
    </row>
    <row r="9">
      <c r="A9" t="inlineStr">
        <is>
          <t>14828156</t>
        </is>
      </c>
      <c r="B9" t="inlineStr">
        <is>
          <t>6010c971-6a0a-47eb-9a7b-8c4a8355d682</t>
        </is>
      </c>
      <c r="D9" t="inlineStr">
        <is>
          <t>111111123</t>
        </is>
      </c>
      <c r="E9" t="inlineStr">
        <is>
          <t>Vodacom Life 20260603</t>
        </is>
      </c>
      <c r="J9" t="inlineStr">
        <is>
          <t>CB</t>
        </is>
      </c>
      <c r="K9" t="inlineStr">
        <is>
          <t>Busy Tone</t>
        </is>
      </c>
      <c r="L9" t="n">
        <v>7</v>
      </c>
      <c r="M9" t="inlineStr">
        <is>
          <t>2026-06-24 10:35:45</t>
        </is>
      </c>
      <c r="N9" t="inlineStr">
        <is>
          <t>Musiiwa Mary Mabirimisa</t>
        </is>
      </c>
      <c r="O9" t="inlineStr">
        <is>
          <t>2026-06-08 05:25:27</t>
        </is>
      </c>
      <c r="P9" t="inlineStr">
        <is>
          <t>2026-06-08 05:25:27</t>
        </is>
      </c>
      <c r="Y9" t="inlineStr">
        <is>
          <t>27798486924</t>
        </is>
      </c>
    </row>
    <row r="10">
      <c r="A10" t="inlineStr">
        <is>
          <t>14828196</t>
        </is>
      </c>
      <c r="B10" t="inlineStr">
        <is>
          <t>048c1fac-7f0f-4891-b1c2-cece9e1b360a</t>
        </is>
      </c>
      <c r="D10" t="inlineStr">
        <is>
          <t>111111123</t>
        </is>
      </c>
      <c r="E10" t="inlineStr">
        <is>
          <t>Vodacom Life 20260603</t>
        </is>
      </c>
      <c r="J10" t="inlineStr">
        <is>
          <t>A</t>
        </is>
      </c>
      <c r="K10" t="inlineStr">
        <is>
          <t>Answering Machine</t>
        </is>
      </c>
      <c r="L10" t="n">
        <v>7</v>
      </c>
      <c r="M10" t="inlineStr">
        <is>
          <t>2026-06-24 08:47:54</t>
        </is>
      </c>
      <c r="N10" t="inlineStr">
        <is>
          <t>Musiiwa Mary Mabirimisa</t>
        </is>
      </c>
      <c r="O10" t="inlineStr">
        <is>
          <t>2026-06-08 05:25:27</t>
        </is>
      </c>
      <c r="P10" t="inlineStr">
        <is>
          <t>2026-06-08 05:25:27</t>
        </is>
      </c>
      <c r="Y10" t="inlineStr">
        <is>
          <t>27768963240</t>
        </is>
      </c>
    </row>
    <row r="11">
      <c r="A11" t="inlineStr">
        <is>
          <t>14828161</t>
        </is>
      </c>
      <c r="B11" t="inlineStr">
        <is>
          <t>519a5d80-520e-4d20-9c8b-123fc3ee4e06</t>
        </is>
      </c>
      <c r="D11" t="inlineStr">
        <is>
          <t>111111123</t>
        </is>
      </c>
      <c r="E11" t="inlineStr">
        <is>
          <t>Vodacom Life 20260603</t>
        </is>
      </c>
      <c r="H11" t="inlineStr">
        <is>
          <t>27772939778</t>
        </is>
      </c>
      <c r="J11" t="inlineStr">
        <is>
          <t>N</t>
        </is>
      </c>
      <c r="K11" t="inlineStr">
        <is>
          <t>No Answer</t>
        </is>
      </c>
      <c r="L11" t="n">
        <v>7</v>
      </c>
      <c r="M11" t="inlineStr">
        <is>
          <t>2026-06-24 06:41:33</t>
        </is>
      </c>
      <c r="N11" t="inlineStr">
        <is>
          <t>Musiiwa Mary Mabirimisa</t>
        </is>
      </c>
      <c r="O11" t="inlineStr">
        <is>
          <t>2026-06-08 05:25:27</t>
        </is>
      </c>
      <c r="P11" t="inlineStr">
        <is>
          <t>2026-06-08 05:25:27</t>
        </is>
      </c>
      <c r="Y11" t="inlineStr">
        <is>
          <t>27772939778</t>
        </is>
      </c>
    </row>
    <row r="12">
      <c r="A12" t="inlineStr">
        <is>
          <t>14827670</t>
        </is>
      </c>
      <c r="B12" t="inlineStr">
        <is>
          <t>f11b3b84-d4f6-40c3-af01-12d0ca050361</t>
        </is>
      </c>
      <c r="D12" t="inlineStr">
        <is>
          <t>111111123</t>
        </is>
      </c>
      <c r="E12" t="inlineStr">
        <is>
          <t>Vodacom Life 20260603</t>
        </is>
      </c>
      <c r="H12" t="inlineStr">
        <is>
          <t>27792803613</t>
        </is>
      </c>
      <c r="J12" t="inlineStr">
        <is>
          <t>N</t>
        </is>
      </c>
      <c r="K12" t="inlineStr">
        <is>
          <t>No Answer</t>
        </is>
      </c>
      <c r="L12" t="n">
        <v>9</v>
      </c>
      <c r="M12" t="inlineStr">
        <is>
          <t>2026-06-24 06:35:14</t>
        </is>
      </c>
      <c r="N12" t="inlineStr">
        <is>
          <t>Musiiwa Mary Mabirimisa</t>
        </is>
      </c>
      <c r="O12" t="inlineStr">
        <is>
          <t>2026-06-08 05:25:27</t>
        </is>
      </c>
      <c r="P12" t="inlineStr">
        <is>
          <t>2026-06-08 05:25:27</t>
        </is>
      </c>
      <c r="Y12" t="inlineStr">
        <is>
          <t>27792803613</t>
        </is>
      </c>
    </row>
    <row r="13">
      <c r="A13" t="inlineStr">
        <is>
          <t>14827596</t>
        </is>
      </c>
      <c r="B13" t="inlineStr">
        <is>
          <t>16d97988-78c6-4893-ad9b-ab24d06075a4</t>
        </is>
      </c>
      <c r="D13" t="inlineStr">
        <is>
          <t>111111123</t>
        </is>
      </c>
      <c r="E13" t="inlineStr">
        <is>
          <t>Vodacom Life 20260603</t>
        </is>
      </c>
      <c r="J13" t="inlineStr">
        <is>
          <t>CB</t>
        </is>
      </c>
      <c r="K13" t="inlineStr">
        <is>
          <t>Busy Tone</t>
        </is>
      </c>
      <c r="L13" t="n">
        <v>8</v>
      </c>
      <c r="M13" t="inlineStr">
        <is>
          <t>2026-06-19 12:28:08</t>
        </is>
      </c>
      <c r="N13" t="inlineStr">
        <is>
          <t>Khensane Mabasa</t>
        </is>
      </c>
      <c r="O13" t="inlineStr">
        <is>
          <t>2026-06-08 05:25:27</t>
        </is>
      </c>
      <c r="P13" t="inlineStr">
        <is>
          <t>2026-06-08 05:25:27</t>
        </is>
      </c>
      <c r="Y13" t="inlineStr">
        <is>
          <t>27721176606</t>
        </is>
      </c>
    </row>
    <row r="14">
      <c r="A14" t="inlineStr">
        <is>
          <t>14828235</t>
        </is>
      </c>
      <c r="B14" t="inlineStr">
        <is>
          <t>d1f5323a-84f2-4043-88b3-2dd33b6ec555</t>
        </is>
      </c>
      <c r="D14" t="inlineStr">
        <is>
          <t>111111123</t>
        </is>
      </c>
      <c r="E14" t="inlineStr">
        <is>
          <t>Vodacom Life 20260603</t>
        </is>
      </c>
      <c r="H14" t="inlineStr">
        <is>
          <t>27722575370</t>
        </is>
      </c>
      <c r="J14" t="inlineStr">
        <is>
          <t>CU</t>
        </is>
      </c>
      <c r="K14" t="inlineStr">
        <is>
          <t>Client Hung Up</t>
        </is>
      </c>
      <c r="L14" t="n">
        <v>24</v>
      </c>
      <c r="M14" t="inlineStr">
        <is>
          <t>2026-06-19 10:10:46</t>
        </is>
      </c>
      <c r="N14" t="inlineStr">
        <is>
          <t>Maureen Ntsoko</t>
        </is>
      </c>
      <c r="O14" t="inlineStr">
        <is>
          <t>2026-06-08 05:25:27</t>
        </is>
      </c>
      <c r="P14" t="inlineStr">
        <is>
          <t>2026-06-08 05:25:27</t>
        </is>
      </c>
      <c r="Y14" t="inlineStr">
        <is>
          <t>27722575370</t>
        </is>
      </c>
    </row>
    <row r="15">
      <c r="A15" t="inlineStr">
        <is>
          <t>14828253</t>
        </is>
      </c>
      <c r="B15" t="inlineStr">
        <is>
          <t>4e15dfd4-9699-4563-8016-6be35ed24a2a</t>
        </is>
      </c>
      <c r="D15" t="inlineStr">
        <is>
          <t>111111123</t>
        </is>
      </c>
      <c r="E15" t="inlineStr">
        <is>
          <t>Vodacom Life 20260603</t>
        </is>
      </c>
      <c r="J15" t="inlineStr">
        <is>
          <t>DNQS</t>
        </is>
      </c>
      <c r="K15" t="inlineStr">
        <is>
          <t>Does Not Qualify</t>
        </is>
      </c>
      <c r="L15" t="n">
        <v>4</v>
      </c>
      <c r="M15" t="inlineStr">
        <is>
          <t>2026-06-19 09:45:27</t>
        </is>
      </c>
      <c r="N15" t="inlineStr">
        <is>
          <t>Maureen Ntsoko</t>
        </is>
      </c>
      <c r="O15" t="inlineStr">
        <is>
          <t>2026-06-08 05:25:27</t>
        </is>
      </c>
      <c r="P15" t="inlineStr">
        <is>
          <t>2026-06-08 05:25:27</t>
        </is>
      </c>
      <c r="Y15" t="inlineStr">
        <is>
          <t>27767763940</t>
        </is>
      </c>
    </row>
    <row r="16">
      <c r="A16" t="inlineStr">
        <is>
          <t>14828147</t>
        </is>
      </c>
      <c r="B16" t="inlineStr">
        <is>
          <t>7a0be475-e936-4ac0-a21d-1287dd98f7af</t>
        </is>
      </c>
      <c r="D16" t="inlineStr">
        <is>
          <t>111111123</t>
        </is>
      </c>
      <c r="E16" t="inlineStr">
        <is>
          <t>Vodacom Life 20260603</t>
        </is>
      </c>
      <c r="J16" t="inlineStr">
        <is>
          <t>AC</t>
        </is>
      </c>
      <c r="K16" t="inlineStr">
        <is>
          <t>Already Contacted</t>
        </is>
      </c>
      <c r="L16" t="n">
        <v>12</v>
      </c>
      <c r="M16" t="inlineStr">
        <is>
          <t>2026-06-19 07:47:34</t>
        </is>
      </c>
      <c r="N16" t="inlineStr">
        <is>
          <t>Maureen Ntsoko</t>
        </is>
      </c>
      <c r="O16" t="inlineStr">
        <is>
          <t>2026-06-08 05:25:27</t>
        </is>
      </c>
      <c r="P16" t="inlineStr">
        <is>
          <t>2026-06-08 05:25:27</t>
        </is>
      </c>
      <c r="Y16" t="inlineStr">
        <is>
          <t>27768097817</t>
        </is>
      </c>
    </row>
    <row r="17">
      <c r="A17" t="inlineStr">
        <is>
          <t>14828344</t>
        </is>
      </c>
      <c r="B17" t="inlineStr">
        <is>
          <t>c52866d2-654b-463b-95db-40d300b08610</t>
        </is>
      </c>
      <c r="D17" t="inlineStr">
        <is>
          <t>111111123</t>
        </is>
      </c>
      <c r="E17" t="inlineStr">
        <is>
          <t>Vodacom Life 20260603</t>
        </is>
      </c>
      <c r="J17" t="inlineStr">
        <is>
          <t>CB</t>
        </is>
      </c>
      <c r="K17" t="inlineStr">
        <is>
          <t>Busy Tone</t>
        </is>
      </c>
      <c r="L17" t="n">
        <v>8</v>
      </c>
      <c r="M17" t="inlineStr">
        <is>
          <t>2026-06-19 07:33:41</t>
        </is>
      </c>
      <c r="N17" t="inlineStr">
        <is>
          <t>Maureen Ntsoko</t>
        </is>
      </c>
      <c r="O17" t="inlineStr">
        <is>
          <t>2026-06-08 05:25:27</t>
        </is>
      </c>
      <c r="P17" t="inlineStr">
        <is>
          <t>2026-06-08 05:25:27</t>
        </is>
      </c>
      <c r="Y17" t="inlineStr">
        <is>
          <t>27722228317</t>
        </is>
      </c>
    </row>
    <row r="18">
      <c r="A18" t="inlineStr">
        <is>
          <t>14828212</t>
        </is>
      </c>
      <c r="B18" t="inlineStr">
        <is>
          <t>ecfe4295-2479-4ce9-8c17-c2cf6acb58c2</t>
        </is>
      </c>
      <c r="D18" t="inlineStr">
        <is>
          <t>111111123</t>
        </is>
      </c>
      <c r="E18" t="inlineStr">
        <is>
          <t>Vodacom Life 20260603</t>
        </is>
      </c>
      <c r="J18" t="inlineStr">
        <is>
          <t>N</t>
        </is>
      </c>
      <c r="K18" t="inlineStr">
        <is>
          <t>No Answer</t>
        </is>
      </c>
      <c r="L18" t="n">
        <v>13</v>
      </c>
      <c r="M18" t="inlineStr">
        <is>
          <t>2026-06-18 07:53:05</t>
        </is>
      </c>
      <c r="N18" t="inlineStr">
        <is>
          <t>Maureen Ntsoko</t>
        </is>
      </c>
      <c r="O18" t="inlineStr">
        <is>
          <t>2026-06-08 05:25:27</t>
        </is>
      </c>
      <c r="P18" t="inlineStr">
        <is>
          <t>2026-06-08 05:25:27</t>
        </is>
      </c>
      <c r="Y18" t="inlineStr">
        <is>
          <t>27674612571</t>
        </is>
      </c>
    </row>
    <row r="19">
      <c r="A19" t="inlineStr">
        <is>
          <t>14828479</t>
        </is>
      </c>
      <c r="B19" t="inlineStr">
        <is>
          <t>62f5c396-0b0b-49c4-84f6-a67529dbce27</t>
        </is>
      </c>
      <c r="D19" t="inlineStr">
        <is>
          <t>111111123</t>
        </is>
      </c>
      <c r="E19" t="inlineStr">
        <is>
          <t>Vodacom Life 20260603</t>
        </is>
      </c>
      <c r="H19" t="inlineStr">
        <is>
          <t>27768752354</t>
        </is>
      </c>
      <c r="J19" t="inlineStr">
        <is>
          <t>IABDN</t>
        </is>
      </c>
      <c r="K19" t="inlineStr">
        <is>
          <t>Inbound Abandon</t>
        </is>
      </c>
      <c r="L19" t="n">
        <v>7</v>
      </c>
      <c r="M19" t="inlineStr">
        <is>
          <t>2026-06-17 15:08:27</t>
        </is>
      </c>
      <c r="N19" t="inlineStr">
        <is>
          <t>system</t>
        </is>
      </c>
      <c r="O19" t="inlineStr">
        <is>
          <t>2026-06-08 05:25:27</t>
        </is>
      </c>
      <c r="P19" t="inlineStr">
        <is>
          <t>2026-06-08 05:25:27</t>
        </is>
      </c>
      <c r="Y19" t="inlineStr">
        <is>
          <t>27768752354</t>
        </is>
      </c>
    </row>
    <row r="20">
      <c r="A20" t="inlineStr">
        <is>
          <t>14828003</t>
        </is>
      </c>
      <c r="B20" t="inlineStr">
        <is>
          <t>80cf1ebc-a3b5-4d9e-ac86-40d5001f3c16</t>
        </is>
      </c>
      <c r="D20" t="inlineStr">
        <is>
          <t>111111123</t>
        </is>
      </c>
      <c r="E20" t="inlineStr">
        <is>
          <t>Vodacom Life 20260603</t>
        </is>
      </c>
      <c r="H20" t="inlineStr">
        <is>
          <t>27825812643</t>
        </is>
      </c>
      <c r="J20" t="inlineStr">
        <is>
          <t>IABDN</t>
        </is>
      </c>
      <c r="K20" t="inlineStr">
        <is>
          <t>Inbound Abandon</t>
        </is>
      </c>
      <c r="L20" t="n">
        <v>10</v>
      </c>
      <c r="M20" t="inlineStr">
        <is>
          <t>2026-06-17 14:52:44</t>
        </is>
      </c>
      <c r="N20" t="inlineStr">
        <is>
          <t>system</t>
        </is>
      </c>
      <c r="O20" t="inlineStr">
        <is>
          <t>2026-06-08 05:25:27</t>
        </is>
      </c>
      <c r="P20" t="inlineStr">
        <is>
          <t>2026-06-08 05:25:27</t>
        </is>
      </c>
      <c r="Y20" t="inlineStr">
        <is>
          <t>27825812643</t>
        </is>
      </c>
    </row>
    <row r="21">
      <c r="A21" t="inlineStr">
        <is>
          <t>14828454</t>
        </is>
      </c>
      <c r="B21" t="inlineStr">
        <is>
          <t>5ec6e30a-54ad-40d1-88b6-ec9c251e51d6</t>
        </is>
      </c>
      <c r="D21" t="inlineStr">
        <is>
          <t>111111123</t>
        </is>
      </c>
      <c r="E21" t="inlineStr">
        <is>
          <t>Vodacom Life 20260603</t>
        </is>
      </c>
      <c r="H21" t="inlineStr">
        <is>
          <t>27660738189</t>
        </is>
      </c>
      <c r="J21" t="inlineStr">
        <is>
          <t>IABDN</t>
        </is>
      </c>
      <c r="K21" t="inlineStr">
        <is>
          <t>Inbound Abandon</t>
        </is>
      </c>
      <c r="L21" t="n">
        <v>8</v>
      </c>
      <c r="M21" t="inlineStr">
        <is>
          <t>2026-06-17 13:23:59</t>
        </is>
      </c>
      <c r="N21" t="inlineStr">
        <is>
          <t>system</t>
        </is>
      </c>
      <c r="O21" t="inlineStr">
        <is>
          <t>2026-06-08 05:25:27</t>
        </is>
      </c>
      <c r="P21" t="inlineStr">
        <is>
          <t>2026-06-08 05:25:27</t>
        </is>
      </c>
      <c r="Y21" t="inlineStr">
        <is>
          <t>27660738189</t>
        </is>
      </c>
    </row>
    <row r="22">
      <c r="A22" t="inlineStr">
        <is>
          <t>14828119</t>
        </is>
      </c>
      <c r="B22" t="inlineStr">
        <is>
          <t>bf6b21ac-b092-4064-ac36-c510c5b708b7</t>
        </is>
      </c>
      <c r="D22" t="inlineStr">
        <is>
          <t>111111123</t>
        </is>
      </c>
      <c r="E22" t="inlineStr">
        <is>
          <t>Vodacom Life 20260603</t>
        </is>
      </c>
      <c r="J22" t="inlineStr">
        <is>
          <t>AC</t>
        </is>
      </c>
      <c r="K22" t="inlineStr">
        <is>
          <t>Already Contacted</t>
        </is>
      </c>
      <c r="L22" t="n">
        <v>9</v>
      </c>
      <c r="M22" t="inlineStr">
        <is>
          <t>2026-06-17 10:53:42</t>
        </is>
      </c>
      <c r="N22" t="inlineStr">
        <is>
          <t>Maureen Ntsoko</t>
        </is>
      </c>
      <c r="O22" t="inlineStr">
        <is>
          <t>2026-06-08 05:25:27</t>
        </is>
      </c>
      <c r="P22" t="inlineStr">
        <is>
          <t>2026-06-08 05:25:27</t>
        </is>
      </c>
      <c r="Y22" t="inlineStr">
        <is>
          <t>27798477722</t>
        </is>
      </c>
    </row>
    <row r="23">
      <c r="A23" t="inlineStr">
        <is>
          <t>14827569</t>
        </is>
      </c>
      <c r="B23" t="inlineStr">
        <is>
          <t>4b575512-1a1d-4540-9f7b-cb62cfc6f3ba</t>
        </is>
      </c>
      <c r="D23" t="inlineStr">
        <is>
          <t>111111123</t>
        </is>
      </c>
      <c r="E23" t="inlineStr">
        <is>
          <t>Vodacom Life 20260603</t>
        </is>
      </c>
      <c r="H23" t="inlineStr">
        <is>
          <t>27792437200</t>
        </is>
      </c>
      <c r="J23" t="inlineStr">
        <is>
          <t>DQQD</t>
        </is>
      </c>
      <c r="K23" t="inlineStr">
        <is>
          <t>DNQ Quote Declined</t>
        </is>
      </c>
      <c r="L23" t="n">
        <v>7</v>
      </c>
      <c r="M23" t="inlineStr">
        <is>
          <t>2026-06-17 09:22:38</t>
        </is>
      </c>
      <c r="N23" t="inlineStr">
        <is>
          <t>Khensane Mabasa</t>
        </is>
      </c>
      <c r="O23" t="inlineStr">
        <is>
          <t>2026-06-08 05:25:27</t>
        </is>
      </c>
      <c r="P23" t="inlineStr">
        <is>
          <t>2026-06-08 05:25:27</t>
        </is>
      </c>
      <c r="Y23" t="inlineStr">
        <is>
          <t>27792437200</t>
        </is>
      </c>
    </row>
    <row r="24">
      <c r="A24" t="inlineStr">
        <is>
          <t>14827878</t>
        </is>
      </c>
      <c r="B24" t="inlineStr">
        <is>
          <t>41def82a-d3d3-4336-9b95-00675d611bdf</t>
        </is>
      </c>
      <c r="D24" t="inlineStr">
        <is>
          <t>111111123</t>
        </is>
      </c>
      <c r="E24" t="inlineStr">
        <is>
          <t>Vodacom Life 20260603</t>
        </is>
      </c>
      <c r="H24" t="inlineStr">
        <is>
          <t>27760440000</t>
        </is>
      </c>
      <c r="J24" t="inlineStr">
        <is>
          <t>IABDN</t>
        </is>
      </c>
      <c r="K24" t="inlineStr">
        <is>
          <t>Inbound Abandon</t>
        </is>
      </c>
      <c r="L24" t="n">
        <v>7</v>
      </c>
      <c r="M24" t="inlineStr">
        <is>
          <t>2026-06-17 08:03:49</t>
        </is>
      </c>
      <c r="N24" t="inlineStr">
        <is>
          <t>system</t>
        </is>
      </c>
      <c r="O24" t="inlineStr">
        <is>
          <t>2026-06-08 05:25:27</t>
        </is>
      </c>
      <c r="P24" t="inlineStr">
        <is>
          <t>2026-06-08 05:25:27</t>
        </is>
      </c>
      <c r="Y24" t="inlineStr">
        <is>
          <t>27760440000</t>
        </is>
      </c>
    </row>
    <row r="25">
      <c r="A25" t="inlineStr">
        <is>
          <t>14827723</t>
        </is>
      </c>
      <c r="B25" t="inlineStr">
        <is>
          <t>1d7739d3-8518-40e5-bbc3-f101dbeaa786</t>
        </is>
      </c>
      <c r="D25" t="inlineStr">
        <is>
          <t>111111123</t>
        </is>
      </c>
      <c r="E25" t="inlineStr">
        <is>
          <t>Vodacom Life 20260603</t>
        </is>
      </c>
      <c r="J25" t="inlineStr">
        <is>
          <t>N</t>
        </is>
      </c>
      <c r="K25" t="inlineStr">
        <is>
          <t>No Answer</t>
        </is>
      </c>
      <c r="L25" t="n">
        <v>8</v>
      </c>
      <c r="M25" t="inlineStr">
        <is>
          <t>2026-06-17 07:10:21</t>
        </is>
      </c>
      <c r="N25" t="inlineStr">
        <is>
          <t>Khensane Mabasa</t>
        </is>
      </c>
      <c r="O25" t="inlineStr">
        <is>
          <t>2026-06-08 05:25:27</t>
        </is>
      </c>
      <c r="P25" t="inlineStr">
        <is>
          <t>2026-06-08 05:25:27</t>
        </is>
      </c>
      <c r="Y25" t="inlineStr">
        <is>
          <t>27711878675</t>
        </is>
      </c>
    </row>
    <row r="26">
      <c r="A26" t="inlineStr">
        <is>
          <t>14827558</t>
        </is>
      </c>
      <c r="B26" t="inlineStr">
        <is>
          <t>bbc467ab-2f43-4c3c-9e1a-3a8416b3aa1b</t>
        </is>
      </c>
      <c r="D26" t="inlineStr">
        <is>
          <t>111111123</t>
        </is>
      </c>
      <c r="E26" t="inlineStr">
        <is>
          <t>Vodacom Life 20260603</t>
        </is>
      </c>
      <c r="J26" t="inlineStr">
        <is>
          <t>QAVET</t>
        </is>
      </c>
      <c r="K26" t="inlineStr">
        <is>
          <t>Sale Made</t>
        </is>
      </c>
      <c r="L26" t="n">
        <v>8</v>
      </c>
      <c r="M26" t="inlineStr">
        <is>
          <t>2026-06-17 07:09:51</t>
        </is>
      </c>
      <c r="N26" t="inlineStr">
        <is>
          <t>Maureen Ntsoko</t>
        </is>
      </c>
      <c r="O26" t="inlineStr">
        <is>
          <t>2026-06-08 05:25:27</t>
        </is>
      </c>
      <c r="P26" t="inlineStr">
        <is>
          <t>2026-06-08 05:25:27</t>
        </is>
      </c>
      <c r="Y26" t="inlineStr">
        <is>
          <t>27716258698</t>
        </is>
      </c>
    </row>
    <row r="27">
      <c r="A27" t="inlineStr">
        <is>
          <t>14828218</t>
        </is>
      </c>
      <c r="B27" t="inlineStr">
        <is>
          <t>92ff0850-7d5a-40bd-a879-22d95b32da2f</t>
        </is>
      </c>
      <c r="D27" t="inlineStr">
        <is>
          <t>111111123</t>
        </is>
      </c>
      <c r="E27" t="inlineStr">
        <is>
          <t>Vodacom Life 20260603</t>
        </is>
      </c>
      <c r="H27" t="inlineStr">
        <is>
          <t>27711923928</t>
        </is>
      </c>
      <c r="J27" t="inlineStr">
        <is>
          <t>DROP</t>
        </is>
      </c>
      <c r="K27" t="inlineStr">
        <is>
          <t>Dropped</t>
        </is>
      </c>
      <c r="L27" t="n">
        <v>7</v>
      </c>
      <c r="M27" t="inlineStr">
        <is>
          <t>2026-06-17 06:02:31</t>
        </is>
      </c>
      <c r="N27" t="inlineStr">
        <is>
          <t>system</t>
        </is>
      </c>
      <c r="O27" t="inlineStr">
        <is>
          <t>2026-06-08 05:25:27</t>
        </is>
      </c>
      <c r="P27" t="inlineStr">
        <is>
          <t>2026-06-08 05:25:27</t>
        </is>
      </c>
      <c r="Y27" t="inlineStr">
        <is>
          <t>27711923928</t>
        </is>
      </c>
    </row>
    <row r="28">
      <c r="A28" t="inlineStr">
        <is>
          <t>14828488</t>
        </is>
      </c>
      <c r="B28" t="inlineStr">
        <is>
          <t>05715555-3b20-4e7e-9334-b0db9750e2ef</t>
        </is>
      </c>
      <c r="D28" t="inlineStr">
        <is>
          <t>111111123</t>
        </is>
      </c>
      <c r="E28" t="inlineStr">
        <is>
          <t>Vodacom Life 20260603</t>
        </is>
      </c>
      <c r="H28" t="inlineStr">
        <is>
          <t>27712861433</t>
        </is>
      </c>
      <c r="J28" t="inlineStr">
        <is>
          <t>DROP</t>
        </is>
      </c>
      <c r="K28" t="inlineStr">
        <is>
          <t>Dropped</t>
        </is>
      </c>
      <c r="L28" t="n">
        <v>7</v>
      </c>
      <c r="M28" t="inlineStr">
        <is>
          <t>2026-06-17 06:02:31</t>
        </is>
      </c>
      <c r="N28" t="inlineStr">
        <is>
          <t>system</t>
        </is>
      </c>
      <c r="O28" t="inlineStr">
        <is>
          <t>2026-06-08 05:25:27</t>
        </is>
      </c>
      <c r="P28" t="inlineStr">
        <is>
          <t>2026-06-08 05:25:27</t>
        </is>
      </c>
      <c r="Y28" t="inlineStr">
        <is>
          <t>27712861433</t>
        </is>
      </c>
    </row>
    <row r="29">
      <c r="A29" t="inlineStr">
        <is>
          <t>14828357</t>
        </is>
      </c>
      <c r="B29" t="inlineStr">
        <is>
          <t>2edefb7a-378f-4f61-9624-07f8b9362d1b</t>
        </is>
      </c>
      <c r="D29" t="inlineStr">
        <is>
          <t>111111123</t>
        </is>
      </c>
      <c r="E29" t="inlineStr">
        <is>
          <t>Vodacom Life 20260603</t>
        </is>
      </c>
      <c r="H29" t="inlineStr">
        <is>
          <t>27761406482</t>
        </is>
      </c>
      <c r="J29" t="inlineStr">
        <is>
          <t>AFTHRS</t>
        </is>
      </c>
      <c r="K29" t="inlineStr">
        <is>
          <t>Inbound After Hours Drop</t>
        </is>
      </c>
      <c r="L29" t="n">
        <v>7</v>
      </c>
      <c r="M29" t="inlineStr">
        <is>
          <t>2026-06-15 16:57:44</t>
        </is>
      </c>
      <c r="N29" t="inlineStr">
        <is>
          <t>system</t>
        </is>
      </c>
      <c r="O29" t="inlineStr">
        <is>
          <t>2026-06-08 05:25:27</t>
        </is>
      </c>
      <c r="P29" t="inlineStr">
        <is>
          <t>2026-06-08 05:25:27</t>
        </is>
      </c>
      <c r="Y29" t="inlineStr">
        <is>
          <t>27761406482</t>
        </is>
      </c>
    </row>
    <row r="30">
      <c r="A30" t="inlineStr">
        <is>
          <t>14827875</t>
        </is>
      </c>
      <c r="B30" t="inlineStr">
        <is>
          <t>a6ff25f8-1cad-4cff-8b7a-c7e86b8cf855</t>
        </is>
      </c>
      <c r="D30" t="inlineStr">
        <is>
          <t>111111123</t>
        </is>
      </c>
      <c r="E30" t="inlineStr">
        <is>
          <t>Vodacom Life 20260603</t>
        </is>
      </c>
      <c r="H30" t="inlineStr">
        <is>
          <t>27823403672</t>
        </is>
      </c>
      <c r="J30" t="inlineStr">
        <is>
          <t>CU</t>
        </is>
      </c>
      <c r="K30" t="inlineStr">
        <is>
          <t>Client Hung Up</t>
        </is>
      </c>
      <c r="L30" t="n">
        <v>7</v>
      </c>
      <c r="M30" t="inlineStr">
        <is>
          <t>2026-06-15 14:27:33</t>
        </is>
      </c>
      <c r="N30" t="inlineStr">
        <is>
          <t>Maureen Ntsoko</t>
        </is>
      </c>
      <c r="O30" t="inlineStr">
        <is>
          <t>2026-06-08 05:25:27</t>
        </is>
      </c>
      <c r="P30" t="inlineStr">
        <is>
          <t>2026-06-08 05:25:27</t>
        </is>
      </c>
      <c r="Y30" t="inlineStr">
        <is>
          <t>27823403672</t>
        </is>
      </c>
    </row>
    <row r="31">
      <c r="A31" t="inlineStr">
        <is>
          <t>14828511</t>
        </is>
      </c>
      <c r="B31" t="inlineStr">
        <is>
          <t>760cb91f-403f-4fb0-8bf0-e432f02cef7c</t>
        </is>
      </c>
      <c r="D31" t="inlineStr">
        <is>
          <t>111111123</t>
        </is>
      </c>
      <c r="E31" t="inlineStr">
        <is>
          <t>Vodacom Life 20260603</t>
        </is>
      </c>
      <c r="H31" t="inlineStr">
        <is>
          <t>27763802950</t>
        </is>
      </c>
      <c r="J31" t="inlineStr">
        <is>
          <t>IABDN</t>
        </is>
      </c>
      <c r="K31" t="inlineStr">
        <is>
          <t>Inbound Abandon</t>
        </is>
      </c>
      <c r="L31" t="n">
        <v>7</v>
      </c>
      <c r="M31" t="inlineStr">
        <is>
          <t>2026-06-15 12:08:43</t>
        </is>
      </c>
      <c r="N31" t="inlineStr">
        <is>
          <t>system</t>
        </is>
      </c>
      <c r="O31" t="inlineStr">
        <is>
          <t>2026-06-08 05:25:27</t>
        </is>
      </c>
      <c r="P31" t="inlineStr">
        <is>
          <t>2026-06-08 05:25:27</t>
        </is>
      </c>
      <c r="Y31" t="inlineStr">
        <is>
          <t>27763802950</t>
        </is>
      </c>
    </row>
    <row r="32">
      <c r="A32" t="inlineStr">
        <is>
          <t>14827918</t>
        </is>
      </c>
      <c r="B32" t="inlineStr">
        <is>
          <t>96538359-9716-4944-95ab-c05dc92678b4</t>
        </is>
      </c>
      <c r="D32" t="inlineStr">
        <is>
          <t>111111123</t>
        </is>
      </c>
      <c r="E32" t="inlineStr">
        <is>
          <t>Vodacom Life 20260603</t>
        </is>
      </c>
      <c r="J32" t="inlineStr">
        <is>
          <t>AA</t>
        </is>
      </c>
      <c r="K32" t="inlineStr">
        <is>
          <t>Answering Machine Autodial</t>
        </is>
      </c>
      <c r="L32" t="n">
        <v>7</v>
      </c>
      <c r="M32" t="inlineStr">
        <is>
          <t>2026-06-15 10:22:05</t>
        </is>
      </c>
      <c r="N32" t="inlineStr">
        <is>
          <t>system</t>
        </is>
      </c>
      <c r="O32" t="inlineStr">
        <is>
          <t>2026-06-08 05:25:27</t>
        </is>
      </c>
      <c r="P32" t="inlineStr">
        <is>
          <t>2026-06-08 05:25:27</t>
        </is>
      </c>
      <c r="Y32" t="inlineStr">
        <is>
          <t>27646271120</t>
        </is>
      </c>
    </row>
    <row r="33">
      <c r="A33" t="inlineStr">
        <is>
          <t>14828036</t>
        </is>
      </c>
      <c r="B33" t="inlineStr">
        <is>
          <t>0051cb9f-db48-4fb5-af63-d9a523664611</t>
        </is>
      </c>
      <c r="D33" t="inlineStr">
        <is>
          <t>111111123</t>
        </is>
      </c>
      <c r="E33" t="inlineStr">
        <is>
          <t>Vodacom Life 20260603</t>
        </is>
      </c>
      <c r="H33" t="inlineStr">
        <is>
          <t>27799968911</t>
        </is>
      </c>
      <c r="J33" t="inlineStr">
        <is>
          <t>IABDN</t>
        </is>
      </c>
      <c r="K33" t="inlineStr">
        <is>
          <t>Inbound Abandon</t>
        </is>
      </c>
      <c r="L33" t="n">
        <v>7</v>
      </c>
      <c r="M33" t="inlineStr">
        <is>
          <t>2026-06-15 09:58:35</t>
        </is>
      </c>
      <c r="N33" t="inlineStr">
        <is>
          <t>system</t>
        </is>
      </c>
      <c r="O33" t="inlineStr">
        <is>
          <t>2026-06-08 05:25:27</t>
        </is>
      </c>
      <c r="P33" t="inlineStr">
        <is>
          <t>2026-06-08 05:25:27</t>
        </is>
      </c>
      <c r="Y33" t="inlineStr">
        <is>
          <t>27799968911</t>
        </is>
      </c>
    </row>
    <row r="34">
      <c r="A34" t="inlineStr">
        <is>
          <t>14827629</t>
        </is>
      </c>
      <c r="B34" t="inlineStr">
        <is>
          <t>21640b7c-8e82-4f1d-9e7c-78445d47b9eb</t>
        </is>
      </c>
      <c r="D34" t="inlineStr">
        <is>
          <t>111111123</t>
        </is>
      </c>
      <c r="E34" t="inlineStr">
        <is>
          <t>Vodacom Life 20260603</t>
        </is>
      </c>
      <c r="H34" t="inlineStr">
        <is>
          <t>27607618682</t>
        </is>
      </c>
      <c r="J34" t="inlineStr">
        <is>
          <t>A</t>
        </is>
      </c>
      <c r="K34" t="inlineStr">
        <is>
          <t>Answering Machine</t>
        </is>
      </c>
      <c r="L34" t="n">
        <v>7</v>
      </c>
      <c r="M34" t="inlineStr">
        <is>
          <t>2026-06-15 09:44:43</t>
        </is>
      </c>
      <c r="N34" t="inlineStr">
        <is>
          <t>bongiwe lushaba</t>
        </is>
      </c>
      <c r="O34" t="inlineStr">
        <is>
          <t>2026-06-08 05:25:27</t>
        </is>
      </c>
      <c r="P34" t="inlineStr">
        <is>
          <t>2026-06-08 05:25:27</t>
        </is>
      </c>
      <c r="Y34" t="inlineStr">
        <is>
          <t>27607618682</t>
        </is>
      </c>
    </row>
    <row r="35">
      <c r="A35" t="inlineStr">
        <is>
          <t>14828256</t>
        </is>
      </c>
      <c r="B35" t="inlineStr">
        <is>
          <t>7645425c-591d-4e01-aeac-3484f3ef5fe2</t>
        </is>
      </c>
      <c r="D35" t="inlineStr">
        <is>
          <t>111111123</t>
        </is>
      </c>
      <c r="E35" t="inlineStr">
        <is>
          <t>Vodacom Life 20260603</t>
        </is>
      </c>
      <c r="H35" t="inlineStr">
        <is>
          <t>27818063859</t>
        </is>
      </c>
      <c r="J35" t="inlineStr">
        <is>
          <t>IABDN</t>
        </is>
      </c>
      <c r="K35" t="inlineStr">
        <is>
          <t>Inbound Abandon</t>
        </is>
      </c>
      <c r="L35" t="n">
        <v>7</v>
      </c>
      <c r="M35" t="inlineStr">
        <is>
          <t>2026-06-15 09:43:00</t>
        </is>
      </c>
      <c r="N35" t="inlineStr">
        <is>
          <t>system</t>
        </is>
      </c>
      <c r="O35" t="inlineStr">
        <is>
          <t>2026-06-08 05:25:27</t>
        </is>
      </c>
      <c r="P35" t="inlineStr">
        <is>
          <t>2026-06-08 05:25:27</t>
        </is>
      </c>
      <c r="Y35" t="inlineStr">
        <is>
          <t>27818063859</t>
        </is>
      </c>
    </row>
    <row r="36">
      <c r="A36" t="inlineStr">
        <is>
          <t>14828314</t>
        </is>
      </c>
      <c r="B36" t="inlineStr">
        <is>
          <t>547f0a20-4631-4b53-93ee-654a5073b132</t>
        </is>
      </c>
      <c r="D36" t="inlineStr">
        <is>
          <t>111111123</t>
        </is>
      </c>
      <c r="E36" t="inlineStr">
        <is>
          <t>Vodacom Life 20260603</t>
        </is>
      </c>
      <c r="H36" t="inlineStr">
        <is>
          <t>27609542682</t>
        </is>
      </c>
      <c r="J36" t="inlineStr">
        <is>
          <t>AA</t>
        </is>
      </c>
      <c r="K36" t="inlineStr">
        <is>
          <t>Answering Machine Autodial</t>
        </is>
      </c>
      <c r="L36" t="n">
        <v>7</v>
      </c>
      <c r="M36" t="inlineStr">
        <is>
          <t>2026-06-15 09:29:04</t>
        </is>
      </c>
      <c r="N36" t="inlineStr">
        <is>
          <t>system</t>
        </is>
      </c>
      <c r="O36" t="inlineStr">
        <is>
          <t>2026-06-08 05:25:27</t>
        </is>
      </c>
      <c r="P36" t="inlineStr">
        <is>
          <t>2026-06-08 05:25:27</t>
        </is>
      </c>
      <c r="Y36" t="inlineStr">
        <is>
          <t>27609542682</t>
        </is>
      </c>
    </row>
    <row r="37">
      <c r="A37" t="inlineStr">
        <is>
          <t>14828277</t>
        </is>
      </c>
      <c r="B37" t="inlineStr">
        <is>
          <t>edba40e1-8f10-42f5-9d5e-db97c221ab03</t>
        </is>
      </c>
      <c r="D37" t="inlineStr">
        <is>
          <t>111111123</t>
        </is>
      </c>
      <c r="E37" t="inlineStr">
        <is>
          <t>Vodacom Life 20260603</t>
        </is>
      </c>
      <c r="H37" t="inlineStr">
        <is>
          <t>27724531707</t>
        </is>
      </c>
      <c r="J37" t="inlineStr">
        <is>
          <t>IABDN</t>
        </is>
      </c>
      <c r="K37" t="inlineStr">
        <is>
          <t>Inbound Abandon</t>
        </is>
      </c>
      <c r="L37" t="n">
        <v>8</v>
      </c>
      <c r="M37" t="inlineStr">
        <is>
          <t>2026-06-15 09:27:00</t>
        </is>
      </c>
      <c r="N37" t="inlineStr">
        <is>
          <t>system</t>
        </is>
      </c>
      <c r="O37" t="inlineStr">
        <is>
          <t>2026-06-08 05:25:27</t>
        </is>
      </c>
      <c r="P37" t="inlineStr">
        <is>
          <t>2026-06-08 05:25:27</t>
        </is>
      </c>
      <c r="Y37" t="inlineStr">
        <is>
          <t>27724531707</t>
        </is>
      </c>
    </row>
    <row r="38">
      <c r="A38" t="inlineStr">
        <is>
          <t>14827681</t>
        </is>
      </c>
      <c r="B38" t="inlineStr">
        <is>
          <t>03a13c19-87ed-48ef-99de-1e3e779d5272</t>
        </is>
      </c>
      <c r="D38" t="inlineStr">
        <is>
          <t>111111123</t>
        </is>
      </c>
      <c r="E38" t="inlineStr">
        <is>
          <t>Vodacom Life 20260603</t>
        </is>
      </c>
      <c r="H38" t="inlineStr">
        <is>
          <t>27729503424</t>
        </is>
      </c>
      <c r="J38" t="inlineStr">
        <is>
          <t>IABDN</t>
        </is>
      </c>
      <c r="K38" t="inlineStr">
        <is>
          <t>Inbound Abandon</t>
        </is>
      </c>
      <c r="L38" t="n">
        <v>7</v>
      </c>
      <c r="M38" t="inlineStr">
        <is>
          <t>2026-06-15 09:11:13</t>
        </is>
      </c>
      <c r="N38" t="inlineStr">
        <is>
          <t>system</t>
        </is>
      </c>
      <c r="O38" t="inlineStr">
        <is>
          <t>2026-06-08 05:25:27</t>
        </is>
      </c>
      <c r="P38" t="inlineStr">
        <is>
          <t>2026-06-08 05:25:27</t>
        </is>
      </c>
      <c r="Y38" t="inlineStr">
        <is>
          <t>27729503424</t>
        </is>
      </c>
    </row>
    <row r="39">
      <c r="A39" t="inlineStr">
        <is>
          <t>14828004</t>
        </is>
      </c>
      <c r="B39" t="inlineStr">
        <is>
          <t>db45303d-9025-434e-9aa9-0d48501c13c7</t>
        </is>
      </c>
      <c r="D39" t="inlineStr">
        <is>
          <t>111111123</t>
        </is>
      </c>
      <c r="E39" t="inlineStr">
        <is>
          <t>Vodacom Life 20260603</t>
        </is>
      </c>
      <c r="J39" t="inlineStr">
        <is>
          <t>DROP</t>
        </is>
      </c>
      <c r="K39" t="inlineStr">
        <is>
          <t>Dropped</t>
        </is>
      </c>
      <c r="L39" t="n">
        <v>7</v>
      </c>
      <c r="M39" t="inlineStr">
        <is>
          <t>2026-06-15 08:49:40</t>
        </is>
      </c>
      <c r="N39" t="inlineStr">
        <is>
          <t>system</t>
        </is>
      </c>
      <c r="O39" t="inlineStr">
        <is>
          <t>2026-06-08 05:25:27</t>
        </is>
      </c>
      <c r="P39" t="inlineStr">
        <is>
          <t>2026-06-08 05:25:27</t>
        </is>
      </c>
      <c r="Y39" t="inlineStr">
        <is>
          <t>27720949177</t>
        </is>
      </c>
    </row>
    <row r="40">
      <c r="A40" t="inlineStr">
        <is>
          <t>14828064</t>
        </is>
      </c>
      <c r="B40" t="inlineStr">
        <is>
          <t>456b3d34-1d03-44e2-9b21-8c4945d5d9d4</t>
        </is>
      </c>
      <c r="D40" t="inlineStr">
        <is>
          <t>111111123</t>
        </is>
      </c>
      <c r="E40" t="inlineStr">
        <is>
          <t>Vodacom Life 20260603</t>
        </is>
      </c>
      <c r="J40" t="inlineStr">
        <is>
          <t>AA</t>
        </is>
      </c>
      <c r="K40" t="inlineStr">
        <is>
          <t>Answering Machine Autodial</t>
        </is>
      </c>
      <c r="L40" t="n">
        <v>7</v>
      </c>
      <c r="M40" t="inlineStr">
        <is>
          <t>2026-06-15 08:49:16</t>
        </is>
      </c>
      <c r="N40" t="inlineStr">
        <is>
          <t>system</t>
        </is>
      </c>
      <c r="O40" t="inlineStr">
        <is>
          <t>2026-06-08 05:25:27</t>
        </is>
      </c>
      <c r="P40" t="inlineStr">
        <is>
          <t>2026-06-08 05:25:27</t>
        </is>
      </c>
      <c r="Y40" t="inlineStr">
        <is>
          <t>27723663474</t>
        </is>
      </c>
    </row>
    <row r="41">
      <c r="A41" t="inlineStr">
        <is>
          <t>14828231</t>
        </is>
      </c>
      <c r="B41" t="inlineStr">
        <is>
          <t>217821e9-0c74-4719-8a54-36af55c6906f</t>
        </is>
      </c>
      <c r="D41" t="inlineStr">
        <is>
          <t>111111123</t>
        </is>
      </c>
      <c r="E41" t="inlineStr">
        <is>
          <t>Vodacom Life 20260603</t>
        </is>
      </c>
      <c r="H41" t="inlineStr">
        <is>
          <t>27716098356</t>
        </is>
      </c>
      <c r="J41" t="inlineStr">
        <is>
          <t>DROP</t>
        </is>
      </c>
      <c r="K41" t="inlineStr">
        <is>
          <t>Dropped</t>
        </is>
      </c>
      <c r="L41" t="n">
        <v>7</v>
      </c>
      <c r="M41" t="inlineStr">
        <is>
          <t>2026-06-15 08:49:15</t>
        </is>
      </c>
      <c r="N41" t="inlineStr">
        <is>
          <t>system</t>
        </is>
      </c>
      <c r="O41" t="inlineStr">
        <is>
          <t>2026-06-08 05:25:27</t>
        </is>
      </c>
      <c r="P41" t="inlineStr">
        <is>
          <t>2026-06-08 05:25:27</t>
        </is>
      </c>
      <c r="Y41" t="inlineStr">
        <is>
          <t>27716098356</t>
        </is>
      </c>
    </row>
    <row r="42">
      <c r="A42" t="inlineStr">
        <is>
          <t>14800000</t>
        </is>
      </c>
      <c r="B42" t="inlineStr">
        <is>
          <t>46e2487d-f6ae-427d-aedd-15d17cdb0c70</t>
        </is>
      </c>
      <c r="D42" t="inlineStr">
        <is>
          <t>111111123</t>
        </is>
      </c>
      <c r="E42" t="inlineStr">
        <is>
          <t>Vodacom Life 20260603</t>
        </is>
      </c>
      <c r="J42" t="inlineStr">
        <is>
          <t>AA</t>
        </is>
      </c>
      <c r="K42" t="inlineStr">
        <is>
          <t>Answering Machine Autodial</t>
        </is>
      </c>
      <c r="L42" t="n">
        <v>7</v>
      </c>
      <c r="M42" t="inlineStr">
        <is>
          <t>2026-06-15 08:49:09</t>
        </is>
      </c>
      <c r="N42" t="inlineStr">
        <is>
          <t>system</t>
        </is>
      </c>
      <c r="O42" t="inlineStr">
        <is>
          <t>2026-06-08 05:25:27</t>
        </is>
      </c>
      <c r="P42" t="inlineStr">
        <is>
          <t>2026-06-08 05:25:27</t>
        </is>
      </c>
      <c r="Y42" t="inlineStr">
        <is>
          <t>27664214639</t>
        </is>
      </c>
    </row>
    <row r="43">
      <c r="A43" t="inlineStr">
        <is>
          <t>14828146</t>
        </is>
      </c>
      <c r="B43" t="inlineStr">
        <is>
          <t>be64666e-d938-4623-821a-6ae0ab93322b</t>
        </is>
      </c>
      <c r="D43" t="inlineStr">
        <is>
          <t>111111123</t>
        </is>
      </c>
      <c r="E43" t="inlineStr">
        <is>
          <t>Vodacom Life 20260603</t>
        </is>
      </c>
      <c r="J43" t="inlineStr">
        <is>
          <t>CU</t>
        </is>
      </c>
      <c r="K43" t="inlineStr">
        <is>
          <t>Client Hung Up</t>
        </is>
      </c>
      <c r="L43" t="n">
        <v>7</v>
      </c>
      <c r="M43" t="inlineStr">
        <is>
          <t>2026-06-15 08:49:09</t>
        </is>
      </c>
      <c r="N43" t="inlineStr">
        <is>
          <t>Maureen Ntsoko</t>
        </is>
      </c>
      <c r="O43" t="inlineStr">
        <is>
          <t>2026-06-08 05:25:27</t>
        </is>
      </c>
      <c r="P43" t="inlineStr">
        <is>
          <t>2026-06-08 05:25:27</t>
        </is>
      </c>
      <c r="Y43" t="inlineStr">
        <is>
          <t>27765962069</t>
        </is>
      </c>
    </row>
    <row r="44">
      <c r="A44" t="inlineStr">
        <is>
          <t>14828474</t>
        </is>
      </c>
      <c r="B44" t="inlineStr">
        <is>
          <t>a54c3589-557e-4c1e-9609-3985101d0ea6</t>
        </is>
      </c>
      <c r="D44" t="inlineStr">
        <is>
          <t>111111123</t>
        </is>
      </c>
      <c r="E44" t="inlineStr">
        <is>
          <t>Vodacom Life 20260603</t>
        </is>
      </c>
      <c r="J44" t="inlineStr">
        <is>
          <t>AE</t>
        </is>
      </c>
      <c r="K44" t="inlineStr">
        <is>
          <t>Auto Engaged</t>
        </is>
      </c>
      <c r="L44" t="n">
        <v>7</v>
      </c>
      <c r="M44" t="inlineStr">
        <is>
          <t>2026-06-15 08:49:05</t>
        </is>
      </c>
      <c r="N44" t="inlineStr">
        <is>
          <t>system</t>
        </is>
      </c>
      <c r="O44" t="inlineStr">
        <is>
          <t>2026-06-08 05:25:27</t>
        </is>
      </c>
      <c r="P44" t="inlineStr">
        <is>
          <t>2026-06-08 05:25:27</t>
        </is>
      </c>
      <c r="Y44" t="inlineStr">
        <is>
          <t>27716608663</t>
        </is>
      </c>
    </row>
    <row r="45">
      <c r="A45" t="inlineStr">
        <is>
          <t>14827943</t>
        </is>
      </c>
      <c r="B45" t="inlineStr">
        <is>
          <t>37f96eec-c069-4ab9-9307-5e2ac8b56db5</t>
        </is>
      </c>
      <c r="D45" t="inlineStr">
        <is>
          <t>111111123</t>
        </is>
      </c>
      <c r="E45" t="inlineStr">
        <is>
          <t>Vodacom Life 20260603</t>
        </is>
      </c>
      <c r="J45" t="inlineStr">
        <is>
          <t>AA</t>
        </is>
      </c>
      <c r="K45" t="inlineStr">
        <is>
          <t>Answering Machine Autodial</t>
        </is>
      </c>
      <c r="L45" t="n">
        <v>7</v>
      </c>
      <c r="M45" t="inlineStr">
        <is>
          <t>2026-06-15 08:49:02</t>
        </is>
      </c>
      <c r="N45" t="inlineStr">
        <is>
          <t>system</t>
        </is>
      </c>
      <c r="O45" t="inlineStr">
        <is>
          <t>2026-06-08 05:25:27</t>
        </is>
      </c>
      <c r="P45" t="inlineStr">
        <is>
          <t>2026-06-08 05:25:27</t>
        </is>
      </c>
      <c r="Y45" t="inlineStr">
        <is>
          <t>27767598200</t>
        </is>
      </c>
    </row>
    <row r="46">
      <c r="A46" t="inlineStr">
        <is>
          <t>14827929</t>
        </is>
      </c>
      <c r="B46" t="inlineStr">
        <is>
          <t>8e5ff671-f45f-42c9-b5b7-564b2d3ad541</t>
        </is>
      </c>
      <c r="D46" t="inlineStr">
        <is>
          <t>111111123</t>
        </is>
      </c>
      <c r="E46" t="inlineStr">
        <is>
          <t>Vodacom Life 20260603</t>
        </is>
      </c>
      <c r="J46" t="inlineStr">
        <is>
          <t>CU</t>
        </is>
      </c>
      <c r="K46" t="inlineStr">
        <is>
          <t>Client Hung Up</t>
        </is>
      </c>
      <c r="L46" t="n">
        <v>7</v>
      </c>
      <c r="M46" t="inlineStr">
        <is>
          <t>2026-06-15 08:48:59</t>
        </is>
      </c>
      <c r="N46" t="inlineStr">
        <is>
          <t>bongiwe lushaba</t>
        </is>
      </c>
      <c r="O46" t="inlineStr">
        <is>
          <t>2026-06-08 05:25:27</t>
        </is>
      </c>
      <c r="P46" t="inlineStr">
        <is>
          <t>2026-06-08 05:25:27</t>
        </is>
      </c>
      <c r="Y46" t="inlineStr">
        <is>
          <t>27716306514</t>
        </is>
      </c>
    </row>
    <row r="47">
      <c r="A47" t="inlineStr">
        <is>
          <t>14828047</t>
        </is>
      </c>
      <c r="B47" t="inlineStr">
        <is>
          <t>177e19cb-4499-49ee-b9d1-da7c864603f0</t>
        </is>
      </c>
      <c r="D47" t="inlineStr">
        <is>
          <t>111111123</t>
        </is>
      </c>
      <c r="E47" t="inlineStr">
        <is>
          <t>Vodacom Life 20260603</t>
        </is>
      </c>
      <c r="J47" t="inlineStr">
        <is>
          <t>AA</t>
        </is>
      </c>
      <c r="K47" t="inlineStr">
        <is>
          <t>Answering Machine Autodial</t>
        </is>
      </c>
      <c r="L47" t="n">
        <v>7</v>
      </c>
      <c r="M47" t="inlineStr">
        <is>
          <t>2026-06-15 08:48:59</t>
        </is>
      </c>
      <c r="N47" t="inlineStr">
        <is>
          <t>system</t>
        </is>
      </c>
      <c r="O47" t="inlineStr">
        <is>
          <t>2026-06-08 05:25:27</t>
        </is>
      </c>
      <c r="P47" t="inlineStr">
        <is>
          <t>2026-06-08 05:25:27</t>
        </is>
      </c>
      <c r="Y47" t="inlineStr">
        <is>
          <t>27768625120</t>
        </is>
      </c>
    </row>
    <row r="48">
      <c r="A48" t="inlineStr">
        <is>
          <t>14827965</t>
        </is>
      </c>
      <c r="B48" t="inlineStr">
        <is>
          <t>c174dea8-d5c5-4432-bf8d-2512ab385de4</t>
        </is>
      </c>
      <c r="D48" t="inlineStr">
        <is>
          <t>111111123</t>
        </is>
      </c>
      <c r="E48" t="inlineStr">
        <is>
          <t>Vodacom Life 20260603</t>
        </is>
      </c>
      <c r="J48" t="inlineStr">
        <is>
          <t>AE</t>
        </is>
      </c>
      <c r="K48" t="inlineStr">
        <is>
          <t>Auto Engaged</t>
        </is>
      </c>
      <c r="L48" t="n">
        <v>7</v>
      </c>
      <c r="M48" t="inlineStr">
        <is>
          <t>2026-06-15 08:48:59</t>
        </is>
      </c>
      <c r="N48" t="inlineStr">
        <is>
          <t>system</t>
        </is>
      </c>
      <c r="O48" t="inlineStr">
        <is>
          <t>2026-06-08 05:25:27</t>
        </is>
      </c>
      <c r="P48" t="inlineStr">
        <is>
          <t>2026-06-08 05:25:27</t>
        </is>
      </c>
      <c r="Y48" t="inlineStr">
        <is>
          <t>27608534778</t>
        </is>
      </c>
    </row>
    <row r="49">
      <c r="A49" t="inlineStr">
        <is>
          <t>14827999</t>
        </is>
      </c>
      <c r="B49" t="inlineStr">
        <is>
          <t>b72670ba-38e7-43ad-b181-9fcda0c117b5</t>
        </is>
      </c>
      <c r="D49" t="inlineStr">
        <is>
          <t>111111123</t>
        </is>
      </c>
      <c r="E49" t="inlineStr">
        <is>
          <t>Vodacom Life 20260603</t>
        </is>
      </c>
      <c r="H49" t="inlineStr">
        <is>
          <t>27716738101</t>
        </is>
      </c>
      <c r="J49" t="inlineStr">
        <is>
          <t>NA</t>
        </is>
      </c>
      <c r="K49" t="inlineStr">
        <is>
          <t>No Answer Autodial</t>
        </is>
      </c>
      <c r="L49" t="n">
        <v>7</v>
      </c>
      <c r="M49" t="inlineStr">
        <is>
          <t>2026-06-15 08:48:10</t>
        </is>
      </c>
      <c r="N49" t="inlineStr">
        <is>
          <t>system</t>
        </is>
      </c>
      <c r="O49" t="inlineStr">
        <is>
          <t>2026-06-08 05:25:27</t>
        </is>
      </c>
      <c r="P49" t="inlineStr">
        <is>
          <t>2026-06-08 05:25:27</t>
        </is>
      </c>
      <c r="Y49" t="inlineStr">
        <is>
          <t>27716738101</t>
        </is>
      </c>
    </row>
    <row r="50">
      <c r="A50" t="inlineStr">
        <is>
          <t>14828187</t>
        </is>
      </c>
      <c r="B50" t="inlineStr">
        <is>
          <t>cbac8f7b-c7ae-4c7e-8fdb-778680fff9d0</t>
        </is>
      </c>
      <c r="D50" t="inlineStr">
        <is>
          <t>111111123</t>
        </is>
      </c>
      <c r="E50" t="inlineStr">
        <is>
          <t>Vodacom Life 20260603</t>
        </is>
      </c>
      <c r="H50" t="inlineStr">
        <is>
          <t>27760983077</t>
        </is>
      </c>
      <c r="J50" t="inlineStr">
        <is>
          <t>DROP</t>
        </is>
      </c>
      <c r="K50" t="inlineStr">
        <is>
          <t>Dropped</t>
        </is>
      </c>
      <c r="L50" t="n">
        <v>7</v>
      </c>
      <c r="M50" t="inlineStr">
        <is>
          <t>2026-06-15 08:48:00</t>
        </is>
      </c>
      <c r="N50" t="inlineStr">
        <is>
          <t>system</t>
        </is>
      </c>
      <c r="O50" t="inlineStr">
        <is>
          <t>2026-06-08 05:25:27</t>
        </is>
      </c>
      <c r="P50" t="inlineStr">
        <is>
          <t>2026-06-08 05:25:27</t>
        </is>
      </c>
      <c r="Y50" t="inlineStr">
        <is>
          <t>27760983077</t>
        </is>
      </c>
    </row>
    <row r="51">
      <c r="A51" t="inlineStr">
        <is>
          <t>14828174</t>
        </is>
      </c>
      <c r="B51" t="inlineStr">
        <is>
          <t>a4da98c7-e598-4719-aff0-7246db81eaaa</t>
        </is>
      </c>
      <c r="D51" t="inlineStr">
        <is>
          <t>111111123</t>
        </is>
      </c>
      <c r="E51" t="inlineStr">
        <is>
          <t>Vodacom Life 20260603</t>
        </is>
      </c>
      <c r="H51" t="inlineStr">
        <is>
          <t>27761412851</t>
        </is>
      </c>
      <c r="J51" t="inlineStr">
        <is>
          <t>DROP</t>
        </is>
      </c>
      <c r="K51" t="inlineStr">
        <is>
          <t>Dropped</t>
        </is>
      </c>
      <c r="L51" t="n">
        <v>7</v>
      </c>
      <c r="M51" t="inlineStr">
        <is>
          <t>2026-06-15 08:47:59</t>
        </is>
      </c>
      <c r="N51" t="inlineStr">
        <is>
          <t>system</t>
        </is>
      </c>
      <c r="O51" t="inlineStr">
        <is>
          <t>2026-06-08 05:25:27</t>
        </is>
      </c>
      <c r="P51" t="inlineStr">
        <is>
          <t>2026-06-08 05:25:27</t>
        </is>
      </c>
      <c r="Y51" t="inlineStr">
        <is>
          <t>27761412851</t>
        </is>
      </c>
    </row>
    <row r="52">
      <c r="A52" t="inlineStr">
        <is>
          <t>14827960</t>
        </is>
      </c>
      <c r="B52" t="inlineStr">
        <is>
          <t>11f096d0-c9ea-4584-8ae5-2e5aa1b41c70</t>
        </is>
      </c>
      <c r="D52" t="inlineStr">
        <is>
          <t>111111123</t>
        </is>
      </c>
      <c r="E52" t="inlineStr">
        <is>
          <t>Vodacom Life 20260603</t>
        </is>
      </c>
      <c r="J52" t="inlineStr">
        <is>
          <t>AA</t>
        </is>
      </c>
      <c r="K52" t="inlineStr">
        <is>
          <t>Answering Machine Autodial</t>
        </is>
      </c>
      <c r="L52" t="n">
        <v>7</v>
      </c>
      <c r="M52" t="inlineStr">
        <is>
          <t>2026-06-15 08:47:53</t>
        </is>
      </c>
      <c r="N52" t="inlineStr">
        <is>
          <t>system</t>
        </is>
      </c>
      <c r="O52" t="inlineStr">
        <is>
          <t>2026-06-08 05:25:27</t>
        </is>
      </c>
      <c r="P52" t="inlineStr">
        <is>
          <t>2026-06-08 05:25:27</t>
        </is>
      </c>
      <c r="Y52" t="inlineStr">
        <is>
          <t>27636029537</t>
        </is>
      </c>
    </row>
    <row r="53">
      <c r="A53" t="inlineStr">
        <is>
          <t>14828049</t>
        </is>
      </c>
      <c r="B53" t="inlineStr">
        <is>
          <t>195ed68a-c622-4968-85c3-7269ad225652</t>
        </is>
      </c>
      <c r="D53" t="inlineStr">
        <is>
          <t>111111123</t>
        </is>
      </c>
      <c r="E53" t="inlineStr">
        <is>
          <t>Vodacom Life 20260603</t>
        </is>
      </c>
      <c r="H53" t="inlineStr">
        <is>
          <t>27663552419</t>
        </is>
      </c>
      <c r="J53" t="inlineStr">
        <is>
          <t>NI</t>
        </is>
      </c>
      <c r="K53" t="inlineStr">
        <is>
          <t>Not Interested</t>
        </is>
      </c>
      <c r="L53" t="n">
        <v>7</v>
      </c>
      <c r="M53" t="inlineStr">
        <is>
          <t>2026-06-15 08:47:51</t>
        </is>
      </c>
      <c r="N53" t="inlineStr">
        <is>
          <t>Maureen Ntsoko</t>
        </is>
      </c>
      <c r="O53" t="inlineStr">
        <is>
          <t>2026-06-08 05:25:27</t>
        </is>
      </c>
      <c r="P53" t="inlineStr">
        <is>
          <t>2026-06-08 05:25:27</t>
        </is>
      </c>
      <c r="Y53" t="inlineStr">
        <is>
          <t>27663552419</t>
        </is>
      </c>
    </row>
    <row r="54">
      <c r="A54" t="inlineStr">
        <is>
          <t>14827947</t>
        </is>
      </c>
      <c r="B54" t="inlineStr">
        <is>
          <t>defd13a3-51b8-45d3-a96f-8fb3ba46df28</t>
        </is>
      </c>
      <c r="D54" t="inlineStr">
        <is>
          <t>111111123</t>
        </is>
      </c>
      <c r="E54" t="inlineStr">
        <is>
          <t>Vodacom Life 20260603</t>
        </is>
      </c>
      <c r="J54" t="inlineStr">
        <is>
          <t>AA</t>
        </is>
      </c>
      <c r="K54" t="inlineStr">
        <is>
          <t>Answering Machine Autodial</t>
        </is>
      </c>
      <c r="L54" t="n">
        <v>7</v>
      </c>
      <c r="M54" t="inlineStr">
        <is>
          <t>2026-06-15 08:47:50</t>
        </is>
      </c>
      <c r="N54" t="inlineStr">
        <is>
          <t>system</t>
        </is>
      </c>
      <c r="O54" t="inlineStr">
        <is>
          <t>2026-06-08 05:25:27</t>
        </is>
      </c>
      <c r="P54" t="inlineStr">
        <is>
          <t>2026-06-08 05:25:27</t>
        </is>
      </c>
      <c r="Y54" t="inlineStr">
        <is>
          <t>27781407392</t>
        </is>
      </c>
    </row>
    <row r="55">
      <c r="A55" t="inlineStr">
        <is>
          <t>14828054</t>
        </is>
      </c>
      <c r="B55" t="inlineStr">
        <is>
          <t>3fe83c5e-3b9b-4871-99e7-27da2dcc058a</t>
        </is>
      </c>
      <c r="D55" t="inlineStr">
        <is>
          <t>111111123</t>
        </is>
      </c>
      <c r="E55" t="inlineStr">
        <is>
          <t>Vodacom Life 20260603</t>
        </is>
      </c>
      <c r="J55" t="inlineStr">
        <is>
          <t>AE</t>
        </is>
      </c>
      <c r="K55" t="inlineStr">
        <is>
          <t>Auto Engaged</t>
        </is>
      </c>
      <c r="L55" t="n">
        <v>7</v>
      </c>
      <c r="M55" t="inlineStr">
        <is>
          <t>2026-06-15 08:47:50</t>
        </is>
      </c>
      <c r="N55" t="inlineStr">
        <is>
          <t>system</t>
        </is>
      </c>
      <c r="O55" t="inlineStr">
        <is>
          <t>2026-06-08 05:25:27</t>
        </is>
      </c>
      <c r="P55" t="inlineStr">
        <is>
          <t>2026-06-08 05:25:27</t>
        </is>
      </c>
      <c r="Y55" t="inlineStr">
        <is>
          <t>27660929737</t>
        </is>
      </c>
    </row>
    <row r="56">
      <c r="A56" t="inlineStr">
        <is>
          <t>14827949</t>
        </is>
      </c>
      <c r="B56" t="inlineStr">
        <is>
          <t>808f12ec-d71f-44bb-9fe3-05939f06db2c</t>
        </is>
      </c>
      <c r="D56" t="inlineStr">
        <is>
          <t>111111123</t>
        </is>
      </c>
      <c r="E56" t="inlineStr">
        <is>
          <t>Vodacom Life 20260603</t>
        </is>
      </c>
      <c r="J56" t="inlineStr">
        <is>
          <t>AA</t>
        </is>
      </c>
      <c r="K56" t="inlineStr">
        <is>
          <t>Answering Machine Autodial</t>
        </is>
      </c>
      <c r="L56" t="n">
        <v>7</v>
      </c>
      <c r="M56" t="inlineStr">
        <is>
          <t>2026-06-15 08:47:50</t>
        </is>
      </c>
      <c r="N56" t="inlineStr">
        <is>
          <t>system</t>
        </is>
      </c>
      <c r="O56" t="inlineStr">
        <is>
          <t>2026-06-08 05:25:27</t>
        </is>
      </c>
      <c r="P56" t="inlineStr">
        <is>
          <t>2026-06-08 05:25:27</t>
        </is>
      </c>
      <c r="Y56" t="inlineStr">
        <is>
          <t>27660120007</t>
        </is>
      </c>
    </row>
    <row r="57">
      <c r="A57" t="inlineStr">
        <is>
          <t>14828166</t>
        </is>
      </c>
      <c r="B57" t="inlineStr">
        <is>
          <t>98815d56-bb47-4266-b35e-f446911fc0f8</t>
        </is>
      </c>
      <c r="D57" t="inlineStr">
        <is>
          <t>111111123</t>
        </is>
      </c>
      <c r="E57" t="inlineStr">
        <is>
          <t>Vodacom Life 20260603</t>
        </is>
      </c>
      <c r="H57" t="inlineStr">
        <is>
          <t>27648848116</t>
        </is>
      </c>
      <c r="J57" t="inlineStr">
        <is>
          <t>N</t>
        </is>
      </c>
      <c r="K57" t="inlineStr">
        <is>
          <t>No Answer</t>
        </is>
      </c>
      <c r="L57" t="n">
        <v>8</v>
      </c>
      <c r="M57" t="inlineStr">
        <is>
          <t>2026-06-15 08:47:13</t>
        </is>
      </c>
      <c r="N57" t="inlineStr">
        <is>
          <t>Maureen Ntsoko</t>
        </is>
      </c>
      <c r="O57" t="inlineStr">
        <is>
          <t>2026-06-08 05:25:27</t>
        </is>
      </c>
      <c r="P57" t="inlineStr">
        <is>
          <t>2026-06-08 05:25:27</t>
        </is>
      </c>
      <c r="Y57" t="inlineStr">
        <is>
          <t>27648848116</t>
        </is>
      </c>
    </row>
    <row r="58">
      <c r="A58" t="inlineStr">
        <is>
          <t>14828032</t>
        </is>
      </c>
      <c r="B58" t="inlineStr">
        <is>
          <t>6f5f8cdd-98f8-4c9c-b2ac-eb299fe11ef1</t>
        </is>
      </c>
      <c r="D58" t="inlineStr">
        <is>
          <t>111111123</t>
        </is>
      </c>
      <c r="E58" t="inlineStr">
        <is>
          <t>Vodacom Life 20260603</t>
        </is>
      </c>
      <c r="J58" t="inlineStr">
        <is>
          <t>AA</t>
        </is>
      </c>
      <c r="K58" t="inlineStr">
        <is>
          <t>Answering Machine Autodial</t>
        </is>
      </c>
      <c r="L58" t="n">
        <v>7</v>
      </c>
      <c r="M58" t="inlineStr">
        <is>
          <t>2026-06-15 08:47:11</t>
        </is>
      </c>
      <c r="N58" t="inlineStr">
        <is>
          <t>system</t>
        </is>
      </c>
      <c r="O58" t="inlineStr">
        <is>
          <t>2026-06-08 05:25:27</t>
        </is>
      </c>
      <c r="P58" t="inlineStr">
        <is>
          <t>2026-06-08 05:25:27</t>
        </is>
      </c>
      <c r="Y58" t="inlineStr">
        <is>
          <t>27768497983</t>
        </is>
      </c>
    </row>
    <row r="59">
      <c r="A59" t="inlineStr">
        <is>
          <t>14828037</t>
        </is>
      </c>
      <c r="B59" t="inlineStr">
        <is>
          <t>66a13fe2-ad8b-4093-ac8c-c16496e38e03</t>
        </is>
      </c>
      <c r="D59" t="inlineStr">
        <is>
          <t>111111123</t>
        </is>
      </c>
      <c r="E59" t="inlineStr">
        <is>
          <t>Vodacom Life 20260603</t>
        </is>
      </c>
      <c r="H59" t="inlineStr">
        <is>
          <t>27827512134</t>
        </is>
      </c>
      <c r="J59" t="inlineStr">
        <is>
          <t>AA</t>
        </is>
      </c>
      <c r="K59" t="inlineStr">
        <is>
          <t>Answering Machine Autodial</t>
        </is>
      </c>
      <c r="L59" t="n">
        <v>7</v>
      </c>
      <c r="M59" t="inlineStr">
        <is>
          <t>2026-06-15 08:47:11</t>
        </is>
      </c>
      <c r="N59" t="inlineStr">
        <is>
          <t>system</t>
        </is>
      </c>
      <c r="O59" t="inlineStr">
        <is>
          <t>2026-06-08 05:25:27</t>
        </is>
      </c>
      <c r="P59" t="inlineStr">
        <is>
          <t>2026-06-08 05:25:27</t>
        </is>
      </c>
      <c r="Y59" t="inlineStr">
        <is>
          <t>27827512134</t>
        </is>
      </c>
    </row>
    <row r="60">
      <c r="A60" t="inlineStr">
        <is>
          <t>14828255</t>
        </is>
      </c>
      <c r="B60" t="inlineStr">
        <is>
          <t>b5695f9a-5716-4156-8275-b75e119a0b75</t>
        </is>
      </c>
      <c r="D60" t="inlineStr">
        <is>
          <t>111111123</t>
        </is>
      </c>
      <c r="E60" t="inlineStr">
        <is>
          <t>Vodacom Life 20260603</t>
        </is>
      </c>
      <c r="J60" t="inlineStr">
        <is>
          <t>AA</t>
        </is>
      </c>
      <c r="K60" t="inlineStr">
        <is>
          <t>Answering Machine Autodial</t>
        </is>
      </c>
      <c r="L60" t="n">
        <v>7</v>
      </c>
      <c r="M60" t="inlineStr">
        <is>
          <t>2026-06-15 08:47:11</t>
        </is>
      </c>
      <c r="N60" t="inlineStr">
        <is>
          <t>system</t>
        </is>
      </c>
      <c r="O60" t="inlineStr">
        <is>
          <t>2026-06-08 05:25:27</t>
        </is>
      </c>
      <c r="P60" t="inlineStr">
        <is>
          <t>2026-06-08 05:25:27</t>
        </is>
      </c>
      <c r="Y60" t="inlineStr">
        <is>
          <t>27763061283</t>
        </is>
      </c>
    </row>
    <row r="61">
      <c r="A61" t="inlineStr">
        <is>
          <t>14828268</t>
        </is>
      </c>
      <c r="B61" t="inlineStr">
        <is>
          <t>0502e25e-4783-4dff-bb87-474b1ec13b5a</t>
        </is>
      </c>
      <c r="D61" t="inlineStr">
        <is>
          <t>111111123</t>
        </is>
      </c>
      <c r="E61" t="inlineStr">
        <is>
          <t>Vodacom Life 20260603</t>
        </is>
      </c>
      <c r="H61" t="inlineStr">
        <is>
          <t>27673070380</t>
        </is>
      </c>
      <c r="J61" t="inlineStr">
        <is>
          <t>DROP</t>
        </is>
      </c>
      <c r="K61" t="inlineStr">
        <is>
          <t>Dropped</t>
        </is>
      </c>
      <c r="L61" t="n">
        <v>7</v>
      </c>
      <c r="M61" t="inlineStr">
        <is>
          <t>2026-06-15 08:47:11</t>
        </is>
      </c>
      <c r="N61" t="inlineStr">
        <is>
          <t>system</t>
        </is>
      </c>
      <c r="O61" t="inlineStr">
        <is>
          <t>2026-06-08 05:25:27</t>
        </is>
      </c>
      <c r="P61" t="inlineStr">
        <is>
          <t>2026-06-08 05:25:27</t>
        </is>
      </c>
      <c r="Y61" t="inlineStr">
        <is>
          <t>27673070380</t>
        </is>
      </c>
    </row>
    <row r="62">
      <c r="A62" t="inlineStr">
        <is>
          <t>14828085</t>
        </is>
      </c>
      <c r="B62" t="inlineStr">
        <is>
          <t>4301ec54-88e3-4fe9-8f8c-d7bf5fa38d1c</t>
        </is>
      </c>
      <c r="D62" t="inlineStr">
        <is>
          <t>111111123</t>
        </is>
      </c>
      <c r="E62" t="inlineStr">
        <is>
          <t>Vodacom Life 20260603</t>
        </is>
      </c>
      <c r="H62" t="inlineStr">
        <is>
          <t>27761920832</t>
        </is>
      </c>
      <c r="J62" t="inlineStr">
        <is>
          <t>IABDN</t>
        </is>
      </c>
      <c r="K62" t="inlineStr">
        <is>
          <t>Inbound Abandon</t>
        </is>
      </c>
      <c r="L62" t="n">
        <v>7</v>
      </c>
      <c r="M62" t="inlineStr">
        <is>
          <t>2026-06-15 08:45:47</t>
        </is>
      </c>
      <c r="N62" t="inlineStr">
        <is>
          <t>system</t>
        </is>
      </c>
      <c r="O62" t="inlineStr">
        <is>
          <t>2026-06-08 05:25:27</t>
        </is>
      </c>
      <c r="P62" t="inlineStr">
        <is>
          <t>2026-06-08 05:25:27</t>
        </is>
      </c>
      <c r="Y62" t="inlineStr">
        <is>
          <t>27761920832</t>
        </is>
      </c>
    </row>
    <row r="63">
      <c r="A63" t="inlineStr">
        <is>
          <t>14800000</t>
        </is>
      </c>
      <c r="B63" t="inlineStr">
        <is>
          <t>36e522e3-2491-423d-9430-1099bcf292b9</t>
        </is>
      </c>
      <c r="D63" t="inlineStr">
        <is>
          <t>111111123</t>
        </is>
      </c>
      <c r="E63" t="inlineStr">
        <is>
          <t>Vodacom Life 20260603</t>
        </is>
      </c>
      <c r="H63" t="inlineStr">
        <is>
          <t>27765807169</t>
        </is>
      </c>
      <c r="J63" t="inlineStr">
        <is>
          <t>IABDN</t>
        </is>
      </c>
      <c r="K63" t="inlineStr">
        <is>
          <t>Inbound Abandon</t>
        </is>
      </c>
      <c r="L63" t="n">
        <v>7</v>
      </c>
      <c r="M63" t="inlineStr">
        <is>
          <t>2026-06-15 08:45:12</t>
        </is>
      </c>
      <c r="N63" t="inlineStr">
        <is>
          <t>system</t>
        </is>
      </c>
      <c r="O63" t="inlineStr">
        <is>
          <t>2026-06-08 05:25:27</t>
        </is>
      </c>
      <c r="P63" t="inlineStr">
        <is>
          <t>2026-06-08 05:25:27</t>
        </is>
      </c>
      <c r="Y63" t="inlineStr">
        <is>
          <t>27765807169</t>
        </is>
      </c>
    </row>
    <row r="64">
      <c r="A64" t="inlineStr">
        <is>
          <t>14828030</t>
        </is>
      </c>
      <c r="B64" t="inlineStr">
        <is>
          <t>3ce9138f-74b1-44b4-a2ea-89418b9cac1d</t>
        </is>
      </c>
      <c r="D64" t="inlineStr">
        <is>
          <t>111111123</t>
        </is>
      </c>
      <c r="E64" t="inlineStr">
        <is>
          <t>Vodacom Life 20260603</t>
        </is>
      </c>
      <c r="J64" t="inlineStr">
        <is>
          <t>ADC</t>
        </is>
      </c>
      <c r="K64" t="inlineStr">
        <is>
          <t>Auto Dial Disconnected</t>
        </is>
      </c>
      <c r="L64" t="n">
        <v>7</v>
      </c>
      <c r="M64" t="inlineStr">
        <is>
          <t>2026-06-15 08:43:26</t>
        </is>
      </c>
      <c r="N64" t="inlineStr">
        <is>
          <t>system</t>
        </is>
      </c>
      <c r="O64" t="inlineStr">
        <is>
          <t>2026-06-08 05:25:27</t>
        </is>
      </c>
      <c r="P64" t="inlineStr">
        <is>
          <t>2026-06-08 05:25:27</t>
        </is>
      </c>
      <c r="Y64" t="inlineStr">
        <is>
          <t>27665201728</t>
        </is>
      </c>
    </row>
    <row r="65">
      <c r="A65" t="inlineStr">
        <is>
          <t>14827931</t>
        </is>
      </c>
      <c r="B65" t="inlineStr">
        <is>
          <t>aa638169-e126-4862-81cf-6544b7dd2dae</t>
        </is>
      </c>
      <c r="D65" t="inlineStr">
        <is>
          <t>111111123</t>
        </is>
      </c>
      <c r="E65" t="inlineStr">
        <is>
          <t>Vodacom Life 20260603</t>
        </is>
      </c>
      <c r="J65" t="inlineStr">
        <is>
          <t>DROP</t>
        </is>
      </c>
      <c r="K65" t="inlineStr">
        <is>
          <t>Dropped</t>
        </is>
      </c>
      <c r="L65" t="n">
        <v>7</v>
      </c>
      <c r="M65" t="inlineStr">
        <is>
          <t>2026-06-15 08:43:26</t>
        </is>
      </c>
      <c r="N65" t="inlineStr">
        <is>
          <t>system</t>
        </is>
      </c>
      <c r="O65" t="inlineStr">
        <is>
          <t>2026-06-08 05:25:27</t>
        </is>
      </c>
      <c r="P65" t="inlineStr">
        <is>
          <t>2026-06-08 05:25:27</t>
        </is>
      </c>
      <c r="Y65" t="inlineStr">
        <is>
          <t>27796653226</t>
        </is>
      </c>
    </row>
    <row r="66">
      <c r="A66" t="inlineStr">
        <is>
          <t>14827955</t>
        </is>
      </c>
      <c r="B66" t="inlineStr">
        <is>
          <t>e237e33d-2303-4908-a9bb-c9fdf9fb4b01</t>
        </is>
      </c>
      <c r="D66" t="inlineStr">
        <is>
          <t>111111123</t>
        </is>
      </c>
      <c r="E66" t="inlineStr">
        <is>
          <t>Vodacom Life 20260603</t>
        </is>
      </c>
      <c r="J66" t="inlineStr">
        <is>
          <t>CU</t>
        </is>
      </c>
      <c r="K66" t="inlineStr">
        <is>
          <t>Client Hung Up</t>
        </is>
      </c>
      <c r="L66" t="n">
        <v>7</v>
      </c>
      <c r="M66" t="inlineStr">
        <is>
          <t>2026-06-15 08:43:20</t>
        </is>
      </c>
      <c r="N66" t="inlineStr">
        <is>
          <t>bongiwe lushaba</t>
        </is>
      </c>
      <c r="O66" t="inlineStr">
        <is>
          <t>2026-06-08 05:25:27</t>
        </is>
      </c>
      <c r="P66" t="inlineStr">
        <is>
          <t>2026-06-08 05:25:27</t>
        </is>
      </c>
      <c r="Y66" t="inlineStr">
        <is>
          <t>27606019784</t>
        </is>
      </c>
    </row>
    <row r="67">
      <c r="A67" t="inlineStr">
        <is>
          <t>14827917</t>
        </is>
      </c>
      <c r="B67" t="inlineStr">
        <is>
          <t>b0ae0a6a-d89d-4094-9e2f-50e5bab80cc8</t>
        </is>
      </c>
      <c r="D67" t="inlineStr">
        <is>
          <t>111111123</t>
        </is>
      </c>
      <c r="E67" t="inlineStr">
        <is>
          <t>Vodacom Life 20260603</t>
        </is>
      </c>
      <c r="J67" t="inlineStr">
        <is>
          <t>AA</t>
        </is>
      </c>
      <c r="K67" t="inlineStr">
        <is>
          <t>Answering Machine Autodial</t>
        </is>
      </c>
      <c r="L67" t="n">
        <v>7</v>
      </c>
      <c r="M67" t="inlineStr">
        <is>
          <t>2026-06-15 08:43:19</t>
        </is>
      </c>
      <c r="N67" t="inlineStr">
        <is>
          <t>system</t>
        </is>
      </c>
      <c r="O67" t="inlineStr">
        <is>
          <t>2026-06-08 05:25:27</t>
        </is>
      </c>
      <c r="P67" t="inlineStr">
        <is>
          <t>2026-06-08 05:25:27</t>
        </is>
      </c>
      <c r="Y67" t="inlineStr">
        <is>
          <t>27661765452</t>
        </is>
      </c>
    </row>
    <row r="68">
      <c r="A68" t="inlineStr">
        <is>
          <t>14828168</t>
        </is>
      </c>
      <c r="B68" t="inlineStr">
        <is>
          <t>592a03e7-45c1-408b-bfac-3d9ed580b2a9</t>
        </is>
      </c>
      <c r="D68" t="inlineStr">
        <is>
          <t>111111123</t>
        </is>
      </c>
      <c r="E68" t="inlineStr">
        <is>
          <t>Vodacom Life 20260603</t>
        </is>
      </c>
      <c r="J68" t="inlineStr">
        <is>
          <t>AA</t>
        </is>
      </c>
      <c r="K68" t="inlineStr">
        <is>
          <t>Answering Machine Autodial</t>
        </is>
      </c>
      <c r="L68" t="n">
        <v>7</v>
      </c>
      <c r="M68" t="inlineStr">
        <is>
          <t>2026-06-15 08:43:19</t>
        </is>
      </c>
      <c r="N68" t="inlineStr">
        <is>
          <t>system</t>
        </is>
      </c>
      <c r="O68" t="inlineStr">
        <is>
          <t>2026-06-08 05:25:27</t>
        </is>
      </c>
      <c r="P68" t="inlineStr">
        <is>
          <t>2026-06-08 05:25:27</t>
        </is>
      </c>
      <c r="Y68" t="inlineStr">
        <is>
          <t>27766612878</t>
        </is>
      </c>
    </row>
    <row r="69">
      <c r="A69" t="inlineStr">
        <is>
          <t>14827915</t>
        </is>
      </c>
      <c r="B69" t="inlineStr">
        <is>
          <t>237664a4-69fb-42c0-97bc-d5b251ec40b9</t>
        </is>
      </c>
      <c r="D69" t="inlineStr">
        <is>
          <t>111111123</t>
        </is>
      </c>
      <c r="E69" t="inlineStr">
        <is>
          <t>Vodacom Life 20260603</t>
        </is>
      </c>
      <c r="J69" t="inlineStr">
        <is>
          <t>DROP</t>
        </is>
      </c>
      <c r="K69" t="inlineStr">
        <is>
          <t>Dropped</t>
        </is>
      </c>
      <c r="L69" t="n">
        <v>7</v>
      </c>
      <c r="M69" t="inlineStr">
        <is>
          <t>2026-06-15 08:43:06</t>
        </is>
      </c>
      <c r="N69" t="inlineStr">
        <is>
          <t>system</t>
        </is>
      </c>
      <c r="O69" t="inlineStr">
        <is>
          <t>2026-06-08 05:25:27</t>
        </is>
      </c>
      <c r="P69" t="inlineStr">
        <is>
          <t>2026-06-08 05:25:27</t>
        </is>
      </c>
      <c r="Y69" t="inlineStr">
        <is>
          <t>27765264626</t>
        </is>
      </c>
    </row>
    <row r="70">
      <c r="A70" t="inlineStr">
        <is>
          <t>14827933</t>
        </is>
      </c>
      <c r="B70" t="inlineStr">
        <is>
          <t>7b89e99f-da33-48cc-98ff-a9e73002599a</t>
        </is>
      </c>
      <c r="D70" t="inlineStr">
        <is>
          <t>111111123</t>
        </is>
      </c>
      <c r="E70" t="inlineStr">
        <is>
          <t>Vodacom Life 20260603</t>
        </is>
      </c>
      <c r="H70" t="inlineStr">
        <is>
          <t>27818585875</t>
        </is>
      </c>
      <c r="J70" t="inlineStr">
        <is>
          <t>NA</t>
        </is>
      </c>
      <c r="K70" t="inlineStr">
        <is>
          <t>No Answer Autodial</t>
        </is>
      </c>
      <c r="L70" t="n">
        <v>7</v>
      </c>
      <c r="M70" t="inlineStr">
        <is>
          <t>2026-06-15 08:42:58</t>
        </is>
      </c>
      <c r="N70" t="inlineStr">
        <is>
          <t>system</t>
        </is>
      </c>
      <c r="O70" t="inlineStr">
        <is>
          <t>2026-06-08 05:25:27</t>
        </is>
      </c>
      <c r="P70" t="inlineStr">
        <is>
          <t>2026-06-08 05:25:27</t>
        </is>
      </c>
      <c r="Y70" t="inlineStr">
        <is>
          <t>27818585875</t>
        </is>
      </c>
    </row>
    <row r="71">
      <c r="A71" t="inlineStr">
        <is>
          <t>14828080</t>
        </is>
      </c>
      <c r="B71" t="inlineStr">
        <is>
          <t>b5fbf85d-5dbd-4025-9304-906e0cbbb055</t>
        </is>
      </c>
      <c r="D71" t="inlineStr">
        <is>
          <t>111111123</t>
        </is>
      </c>
      <c r="E71" t="inlineStr">
        <is>
          <t>Vodacom Life 20260603</t>
        </is>
      </c>
      <c r="J71" t="inlineStr">
        <is>
          <t>DROP</t>
        </is>
      </c>
      <c r="K71" t="inlineStr">
        <is>
          <t>Dropped</t>
        </is>
      </c>
      <c r="L71" t="n">
        <v>7</v>
      </c>
      <c r="M71" t="inlineStr">
        <is>
          <t>2026-06-15 08:42:55</t>
        </is>
      </c>
      <c r="N71" t="inlineStr">
        <is>
          <t>system</t>
        </is>
      </c>
      <c r="O71" t="inlineStr">
        <is>
          <t>2026-06-08 05:25:27</t>
        </is>
      </c>
      <c r="P71" t="inlineStr">
        <is>
          <t>2026-06-08 05:25:27</t>
        </is>
      </c>
      <c r="Y71" t="inlineStr">
        <is>
          <t>27793932855</t>
        </is>
      </c>
    </row>
    <row r="72">
      <c r="A72" t="inlineStr">
        <is>
          <t>14828052</t>
        </is>
      </c>
      <c r="B72" t="inlineStr">
        <is>
          <t>803a7bc6-4110-4d55-b266-23f4e171b8ad</t>
        </is>
      </c>
      <c r="D72" t="inlineStr">
        <is>
          <t>111111123</t>
        </is>
      </c>
      <c r="E72" t="inlineStr">
        <is>
          <t>Vodacom Life 20260603</t>
        </is>
      </c>
      <c r="J72" t="inlineStr">
        <is>
          <t>A</t>
        </is>
      </c>
      <c r="K72" t="inlineStr">
        <is>
          <t>Answering Machine</t>
        </is>
      </c>
      <c r="L72" t="n">
        <v>7</v>
      </c>
      <c r="M72" t="inlineStr">
        <is>
          <t>2026-06-15 08:42:31</t>
        </is>
      </c>
      <c r="N72" t="inlineStr">
        <is>
          <t>bongiwe lushaba</t>
        </is>
      </c>
      <c r="O72" t="inlineStr">
        <is>
          <t>2026-06-08 05:25:27</t>
        </is>
      </c>
      <c r="P72" t="inlineStr">
        <is>
          <t>2026-06-08 05:25:27</t>
        </is>
      </c>
      <c r="Y72" t="inlineStr">
        <is>
          <t>27828084699</t>
        </is>
      </c>
    </row>
    <row r="73">
      <c r="A73" t="inlineStr">
        <is>
          <t>14828313</t>
        </is>
      </c>
      <c r="B73" t="inlineStr">
        <is>
          <t>6bd3f153-c191-4d49-80cb-c3f3acff0608</t>
        </is>
      </c>
      <c r="D73" t="inlineStr">
        <is>
          <t>111111123</t>
        </is>
      </c>
      <c r="E73" t="inlineStr">
        <is>
          <t>Vodacom Life 20260603</t>
        </is>
      </c>
      <c r="J73" t="inlineStr">
        <is>
          <t>AE</t>
        </is>
      </c>
      <c r="K73" t="inlineStr">
        <is>
          <t>Auto Engaged</t>
        </is>
      </c>
      <c r="L73" t="n">
        <v>7</v>
      </c>
      <c r="M73" t="inlineStr">
        <is>
          <t>2026-06-15 08:42:29</t>
        </is>
      </c>
      <c r="N73" t="inlineStr">
        <is>
          <t>system</t>
        </is>
      </c>
      <c r="O73" t="inlineStr">
        <is>
          <t>2026-06-08 05:25:27</t>
        </is>
      </c>
      <c r="P73" t="inlineStr">
        <is>
          <t>2026-06-08 05:25:27</t>
        </is>
      </c>
      <c r="Y73" t="inlineStr">
        <is>
          <t>27797017781</t>
        </is>
      </c>
    </row>
    <row r="74">
      <c r="A74" t="inlineStr">
        <is>
          <t>14828273</t>
        </is>
      </c>
      <c r="B74" t="inlineStr">
        <is>
          <t>46849ab6-7e86-4098-9279-7d68edd13dc4</t>
        </is>
      </c>
      <c r="D74" t="inlineStr">
        <is>
          <t>111111123</t>
        </is>
      </c>
      <c r="E74" t="inlineStr">
        <is>
          <t>Vodacom Life 20260603</t>
        </is>
      </c>
      <c r="J74" t="inlineStr">
        <is>
          <t>AE</t>
        </is>
      </c>
      <c r="K74" t="inlineStr">
        <is>
          <t>Auto Engaged</t>
        </is>
      </c>
      <c r="L74" t="n">
        <v>7</v>
      </c>
      <c r="M74" t="inlineStr">
        <is>
          <t>2026-06-15 08:42:15</t>
        </is>
      </c>
      <c r="N74" t="inlineStr">
        <is>
          <t>system</t>
        </is>
      </c>
      <c r="O74" t="inlineStr">
        <is>
          <t>2026-06-08 05:25:27</t>
        </is>
      </c>
      <c r="P74" t="inlineStr">
        <is>
          <t>2026-06-08 05:25:27</t>
        </is>
      </c>
      <c r="Y74" t="inlineStr">
        <is>
          <t>27763015436</t>
        </is>
      </c>
    </row>
    <row r="75">
      <c r="A75" t="inlineStr">
        <is>
          <t>14828289</t>
        </is>
      </c>
      <c r="B75" t="inlineStr">
        <is>
          <t>72c0e79a-f1b8-48d9-9ba1-5f076ce842d7</t>
        </is>
      </c>
      <c r="D75" t="inlineStr">
        <is>
          <t>111111123</t>
        </is>
      </c>
      <c r="E75" t="inlineStr">
        <is>
          <t>Vodacom Life 20260603</t>
        </is>
      </c>
      <c r="J75" t="inlineStr">
        <is>
          <t>NA</t>
        </is>
      </c>
      <c r="K75" t="inlineStr">
        <is>
          <t>No Answer Autodial</t>
        </is>
      </c>
      <c r="L75" t="n">
        <v>7</v>
      </c>
      <c r="M75" t="inlineStr">
        <is>
          <t>2026-06-15 08:41:51</t>
        </is>
      </c>
      <c r="N75" t="inlineStr">
        <is>
          <t>system</t>
        </is>
      </c>
      <c r="O75" t="inlineStr">
        <is>
          <t>2026-06-08 05:25:27</t>
        </is>
      </c>
      <c r="P75" t="inlineStr">
        <is>
          <t>2026-06-08 05:25:27</t>
        </is>
      </c>
      <c r="Y75" t="inlineStr">
        <is>
          <t>27714708304</t>
        </is>
      </c>
    </row>
    <row r="76">
      <c r="A76" t="inlineStr">
        <is>
          <t>14828023</t>
        </is>
      </c>
      <c r="B76" t="inlineStr">
        <is>
          <t>40c55370-c647-481e-962f-c30299ac0f25</t>
        </is>
      </c>
      <c r="D76" t="inlineStr">
        <is>
          <t>111111123</t>
        </is>
      </c>
      <c r="E76" t="inlineStr">
        <is>
          <t>Vodacom Life 20260603</t>
        </is>
      </c>
      <c r="J76" t="inlineStr">
        <is>
          <t>NA</t>
        </is>
      </c>
      <c r="K76" t="inlineStr">
        <is>
          <t>No Answer Autodial</t>
        </is>
      </c>
      <c r="L76" t="n">
        <v>7</v>
      </c>
      <c r="M76" t="inlineStr">
        <is>
          <t>2026-06-15 08:41:29</t>
        </is>
      </c>
      <c r="N76" t="inlineStr">
        <is>
          <t>system</t>
        </is>
      </c>
      <c r="O76" t="inlineStr">
        <is>
          <t>2026-06-08 05:25:27</t>
        </is>
      </c>
      <c r="P76" t="inlineStr">
        <is>
          <t>2026-06-08 05:25:27</t>
        </is>
      </c>
      <c r="Y76" t="inlineStr">
        <is>
          <t>27720884639</t>
        </is>
      </c>
    </row>
    <row r="77">
      <c r="A77" t="inlineStr">
        <is>
          <t>14828222</t>
        </is>
      </c>
      <c r="B77" t="inlineStr">
        <is>
          <t>3896d757-8d85-4eaf-8ad0-c1d007041687</t>
        </is>
      </c>
      <c r="D77" t="inlineStr">
        <is>
          <t>111111123</t>
        </is>
      </c>
      <c r="E77" t="inlineStr">
        <is>
          <t>Vodacom Life 20260603</t>
        </is>
      </c>
      <c r="J77" t="inlineStr">
        <is>
          <t>NA</t>
        </is>
      </c>
      <c r="K77" t="inlineStr">
        <is>
          <t>No Answer Autodial</t>
        </is>
      </c>
      <c r="L77" t="n">
        <v>7</v>
      </c>
      <c r="M77" t="inlineStr">
        <is>
          <t>2026-06-15 08:41:26</t>
        </is>
      </c>
      <c r="N77" t="inlineStr">
        <is>
          <t>system</t>
        </is>
      </c>
      <c r="O77" t="inlineStr">
        <is>
          <t>2026-06-08 05:25:27</t>
        </is>
      </c>
      <c r="P77" t="inlineStr">
        <is>
          <t>2026-06-08 05:25:27</t>
        </is>
      </c>
      <c r="Y77" t="inlineStr">
        <is>
          <t>27764682093</t>
        </is>
      </c>
    </row>
    <row r="78">
      <c r="A78" t="inlineStr">
        <is>
          <t>14827885</t>
        </is>
      </c>
      <c r="B78" t="inlineStr">
        <is>
          <t>dc355e67-9055-42bc-ad46-7f2c08865589</t>
        </is>
      </c>
      <c r="D78" t="inlineStr">
        <is>
          <t>111111123</t>
        </is>
      </c>
      <c r="E78" t="inlineStr">
        <is>
          <t>Vodacom Life 20260603</t>
        </is>
      </c>
      <c r="J78" t="inlineStr">
        <is>
          <t>AA</t>
        </is>
      </c>
      <c r="K78" t="inlineStr">
        <is>
          <t>Answering Machine Autodial</t>
        </is>
      </c>
      <c r="L78" t="n">
        <v>7</v>
      </c>
      <c r="M78" t="inlineStr">
        <is>
          <t>2026-06-15 08:41:24</t>
        </is>
      </c>
      <c r="N78" t="inlineStr">
        <is>
          <t>system</t>
        </is>
      </c>
      <c r="O78" t="inlineStr">
        <is>
          <t>2026-06-08 05:25:27</t>
        </is>
      </c>
      <c r="P78" t="inlineStr">
        <is>
          <t>2026-06-08 05:25:27</t>
        </is>
      </c>
      <c r="Y78" t="inlineStr">
        <is>
          <t>27763864920</t>
        </is>
      </c>
    </row>
    <row r="79">
      <c r="A79" t="inlineStr">
        <is>
          <t>14827884</t>
        </is>
      </c>
      <c r="B79" t="inlineStr">
        <is>
          <t>1aa2e88f-b6cc-41ea-80e2-6b86e4f702da</t>
        </is>
      </c>
      <c r="D79" t="inlineStr">
        <is>
          <t>111111123</t>
        </is>
      </c>
      <c r="E79" t="inlineStr">
        <is>
          <t>Vodacom Life 20260603</t>
        </is>
      </c>
      <c r="J79" t="inlineStr">
        <is>
          <t>AA</t>
        </is>
      </c>
      <c r="K79" t="inlineStr">
        <is>
          <t>Answering Machine Autodial</t>
        </is>
      </c>
      <c r="L79" t="n">
        <v>7</v>
      </c>
      <c r="M79" t="inlineStr">
        <is>
          <t>2026-06-15 08:41:20</t>
        </is>
      </c>
      <c r="N79" t="inlineStr">
        <is>
          <t>system</t>
        </is>
      </c>
      <c r="O79" t="inlineStr">
        <is>
          <t>2026-06-08 05:25:27</t>
        </is>
      </c>
      <c r="P79" t="inlineStr">
        <is>
          <t>2026-06-08 05:25:27</t>
        </is>
      </c>
      <c r="Y79" t="inlineStr">
        <is>
          <t>27794632346</t>
        </is>
      </c>
    </row>
    <row r="80">
      <c r="A80" t="inlineStr">
        <is>
          <t>14828367</t>
        </is>
      </c>
      <c r="B80" t="inlineStr">
        <is>
          <t>d60a7f56-3f71-4a26-894d-96938bb2a479</t>
        </is>
      </c>
      <c r="D80" t="inlineStr">
        <is>
          <t>111111123</t>
        </is>
      </c>
      <c r="E80" t="inlineStr">
        <is>
          <t>Vodacom Life 20260603</t>
        </is>
      </c>
      <c r="J80" t="inlineStr">
        <is>
          <t>AA</t>
        </is>
      </c>
      <c r="K80" t="inlineStr">
        <is>
          <t>Answering Machine Autodial</t>
        </is>
      </c>
      <c r="L80" t="n">
        <v>7</v>
      </c>
      <c r="M80" t="inlineStr">
        <is>
          <t>2026-06-15 08:40:51</t>
        </is>
      </c>
      <c r="N80" t="inlineStr">
        <is>
          <t>system</t>
        </is>
      </c>
      <c r="O80" t="inlineStr">
        <is>
          <t>2026-06-08 05:25:27</t>
        </is>
      </c>
      <c r="P80" t="inlineStr">
        <is>
          <t>2026-06-08 05:25:27</t>
        </is>
      </c>
      <c r="Y80" t="inlineStr">
        <is>
          <t>27760182516</t>
        </is>
      </c>
    </row>
    <row r="81">
      <c r="A81" t="inlineStr">
        <is>
          <t>14800000</t>
        </is>
      </c>
      <c r="B81" t="inlineStr">
        <is>
          <t>e84493bd-a99d-4dbd-a851-48829e4111d9</t>
        </is>
      </c>
      <c r="D81" t="inlineStr">
        <is>
          <t>111111123</t>
        </is>
      </c>
      <c r="E81" t="inlineStr">
        <is>
          <t>Vodacom Life 20260603</t>
        </is>
      </c>
      <c r="J81" t="inlineStr">
        <is>
          <t>AA</t>
        </is>
      </c>
      <c r="K81" t="inlineStr">
        <is>
          <t>Answering Machine Autodial</t>
        </is>
      </c>
      <c r="L81" t="n">
        <v>7</v>
      </c>
      <c r="M81" t="inlineStr">
        <is>
          <t>2026-06-15 08:40:48</t>
        </is>
      </c>
      <c r="N81" t="inlineStr">
        <is>
          <t>system</t>
        </is>
      </c>
      <c r="O81" t="inlineStr">
        <is>
          <t>2026-06-08 05:25:27</t>
        </is>
      </c>
      <c r="P81" t="inlineStr">
        <is>
          <t>2026-06-08 05:25:27</t>
        </is>
      </c>
      <c r="Y81" t="inlineStr">
        <is>
          <t>27762294938</t>
        </is>
      </c>
    </row>
    <row r="82">
      <c r="A82" t="inlineStr">
        <is>
          <t>14828067</t>
        </is>
      </c>
      <c r="B82" t="inlineStr">
        <is>
          <t>94f2df2e-c212-4a6b-b374-9e01132ce147</t>
        </is>
      </c>
      <c r="D82" t="inlineStr">
        <is>
          <t>111111123</t>
        </is>
      </c>
      <c r="E82" t="inlineStr">
        <is>
          <t>Vodacom Life 20260603</t>
        </is>
      </c>
      <c r="J82" t="inlineStr">
        <is>
          <t>NA</t>
        </is>
      </c>
      <c r="K82" t="inlineStr">
        <is>
          <t>No Answer Autodial</t>
        </is>
      </c>
      <c r="L82" t="n">
        <v>7</v>
      </c>
      <c r="M82" t="inlineStr">
        <is>
          <t>2026-06-15 08:40:47</t>
        </is>
      </c>
      <c r="N82" t="inlineStr">
        <is>
          <t>system</t>
        </is>
      </c>
      <c r="O82" t="inlineStr">
        <is>
          <t>2026-06-08 05:25:27</t>
        </is>
      </c>
      <c r="P82" t="inlineStr">
        <is>
          <t>2026-06-08 05:25:27</t>
        </is>
      </c>
      <c r="Y82" t="inlineStr">
        <is>
          <t>27767202308</t>
        </is>
      </c>
    </row>
    <row r="83">
      <c r="A83" t="inlineStr">
        <is>
          <t>14828247</t>
        </is>
      </c>
      <c r="B83" t="inlineStr">
        <is>
          <t>9db5ac38-de4f-4a7b-b500-826b6a8dbaf5</t>
        </is>
      </c>
      <c r="D83" t="inlineStr">
        <is>
          <t>111111123</t>
        </is>
      </c>
      <c r="E83" t="inlineStr">
        <is>
          <t>Vodacom Life 20260603</t>
        </is>
      </c>
      <c r="J83" t="inlineStr">
        <is>
          <t>AE</t>
        </is>
      </c>
      <c r="K83" t="inlineStr">
        <is>
          <t>Auto Engaged</t>
        </is>
      </c>
      <c r="L83" t="n">
        <v>7</v>
      </c>
      <c r="M83" t="inlineStr">
        <is>
          <t>2026-06-15 08:40:44</t>
        </is>
      </c>
      <c r="N83" t="inlineStr">
        <is>
          <t>system</t>
        </is>
      </c>
      <c r="O83" t="inlineStr">
        <is>
          <t>2026-06-08 05:25:27</t>
        </is>
      </c>
      <c r="P83" t="inlineStr">
        <is>
          <t>2026-06-08 05:25:27</t>
        </is>
      </c>
      <c r="Y83" t="inlineStr">
        <is>
          <t>27820789710</t>
        </is>
      </c>
    </row>
    <row r="84">
      <c r="A84" t="inlineStr">
        <is>
          <t>14828188</t>
        </is>
      </c>
      <c r="B84" t="inlineStr">
        <is>
          <t>73f7438c-af8d-41f1-a5a5-25caeccd72e6</t>
        </is>
      </c>
      <c r="D84" t="inlineStr">
        <is>
          <t>111111123</t>
        </is>
      </c>
      <c r="E84" t="inlineStr">
        <is>
          <t>Vodacom Life 20260603</t>
        </is>
      </c>
      <c r="J84" t="inlineStr">
        <is>
          <t>AA</t>
        </is>
      </c>
      <c r="K84" t="inlineStr">
        <is>
          <t>Answering Machine Autodial</t>
        </is>
      </c>
      <c r="L84" t="n">
        <v>7</v>
      </c>
      <c r="M84" t="inlineStr">
        <is>
          <t>2026-06-15 08:40:37</t>
        </is>
      </c>
      <c r="N84" t="inlineStr">
        <is>
          <t>system</t>
        </is>
      </c>
      <c r="O84" t="inlineStr">
        <is>
          <t>2026-06-08 05:25:27</t>
        </is>
      </c>
      <c r="P84" t="inlineStr">
        <is>
          <t>2026-06-08 05:25:27</t>
        </is>
      </c>
      <c r="Y84" t="inlineStr">
        <is>
          <t>27773848774</t>
        </is>
      </c>
    </row>
    <row r="85">
      <c r="A85" t="inlineStr">
        <is>
          <t>14828185</t>
        </is>
      </c>
      <c r="B85" t="inlineStr">
        <is>
          <t>e46b97df-27d5-42dd-9447-ee100de5573c</t>
        </is>
      </c>
      <c r="D85" t="inlineStr">
        <is>
          <t>111111123</t>
        </is>
      </c>
      <c r="E85" t="inlineStr">
        <is>
          <t>Vodacom Life 20260603</t>
        </is>
      </c>
      <c r="J85" t="inlineStr">
        <is>
          <t>AA</t>
        </is>
      </c>
      <c r="K85" t="inlineStr">
        <is>
          <t>Answering Machine Autodial</t>
        </is>
      </c>
      <c r="L85" t="n">
        <v>7</v>
      </c>
      <c r="M85" t="inlineStr">
        <is>
          <t>2026-06-15 08:40:34</t>
        </is>
      </c>
      <c r="N85" t="inlineStr">
        <is>
          <t>system</t>
        </is>
      </c>
      <c r="O85" t="inlineStr">
        <is>
          <t>2026-06-08 05:25:27</t>
        </is>
      </c>
      <c r="P85" t="inlineStr">
        <is>
          <t>2026-06-08 05:25:27</t>
        </is>
      </c>
      <c r="Y85" t="inlineStr">
        <is>
          <t>27648536569</t>
        </is>
      </c>
    </row>
    <row r="86">
      <c r="A86" t="inlineStr">
        <is>
          <t>14828390</t>
        </is>
      </c>
      <c r="B86" t="inlineStr">
        <is>
          <t>68fda16a-dd5c-4cfb-9f70-eb299782f4ae</t>
        </is>
      </c>
      <c r="D86" t="inlineStr">
        <is>
          <t>111111123</t>
        </is>
      </c>
      <c r="E86" t="inlineStr">
        <is>
          <t>Vodacom Life 20260603</t>
        </is>
      </c>
      <c r="J86" t="inlineStr">
        <is>
          <t>AE</t>
        </is>
      </c>
      <c r="K86" t="inlineStr">
        <is>
          <t>Auto Engaged</t>
        </is>
      </c>
      <c r="L86" t="n">
        <v>7</v>
      </c>
      <c r="M86" t="inlineStr">
        <is>
          <t>2026-06-15 08:40:32</t>
        </is>
      </c>
      <c r="N86" t="inlineStr">
        <is>
          <t>system</t>
        </is>
      </c>
      <c r="O86" t="inlineStr">
        <is>
          <t>2026-06-08 05:25:27</t>
        </is>
      </c>
      <c r="P86" t="inlineStr">
        <is>
          <t>2026-06-08 05:25:27</t>
        </is>
      </c>
      <c r="Y86" t="inlineStr">
        <is>
          <t>27726590713</t>
        </is>
      </c>
    </row>
    <row r="87">
      <c r="A87" t="inlineStr">
        <is>
          <t>14827934</t>
        </is>
      </c>
      <c r="B87" t="inlineStr">
        <is>
          <t>30456318-5276-469e-9e30-60c671714666</t>
        </is>
      </c>
      <c r="D87" t="inlineStr">
        <is>
          <t>111111123</t>
        </is>
      </c>
      <c r="E87" t="inlineStr">
        <is>
          <t>Vodacom Life 20260603</t>
        </is>
      </c>
      <c r="J87" t="inlineStr">
        <is>
          <t>AE</t>
        </is>
      </c>
      <c r="K87" t="inlineStr">
        <is>
          <t>Auto Engaged</t>
        </is>
      </c>
      <c r="L87" t="n">
        <v>7</v>
      </c>
      <c r="M87" t="inlineStr">
        <is>
          <t>2026-06-15 08:40:28</t>
        </is>
      </c>
      <c r="N87" t="inlineStr">
        <is>
          <t>system</t>
        </is>
      </c>
      <c r="O87" t="inlineStr">
        <is>
          <t>2026-06-08 05:25:27</t>
        </is>
      </c>
      <c r="P87" t="inlineStr">
        <is>
          <t>2026-06-08 05:25:27</t>
        </is>
      </c>
      <c r="Y87" t="inlineStr">
        <is>
          <t>27827465401</t>
        </is>
      </c>
    </row>
    <row r="88">
      <c r="A88" t="inlineStr">
        <is>
          <t>14828112</t>
        </is>
      </c>
      <c r="B88" t="inlineStr">
        <is>
          <t>40ad46da-b3a7-4462-b690-1868cb3c7e5f</t>
        </is>
      </c>
      <c r="D88" t="inlineStr">
        <is>
          <t>111111123</t>
        </is>
      </c>
      <c r="E88" t="inlineStr">
        <is>
          <t>Vodacom Life 20260603</t>
        </is>
      </c>
      <c r="J88" t="inlineStr">
        <is>
          <t>AA</t>
        </is>
      </c>
      <c r="K88" t="inlineStr">
        <is>
          <t>Answering Machine Autodial</t>
        </is>
      </c>
      <c r="L88" t="n">
        <v>7</v>
      </c>
      <c r="M88" t="inlineStr">
        <is>
          <t>2026-06-15 08:40:04</t>
        </is>
      </c>
      <c r="N88" t="inlineStr">
        <is>
          <t>system</t>
        </is>
      </c>
      <c r="O88" t="inlineStr">
        <is>
          <t>2026-06-08 05:25:27</t>
        </is>
      </c>
      <c r="P88" t="inlineStr">
        <is>
          <t>2026-06-08 05:25:27</t>
        </is>
      </c>
      <c r="Y88" t="inlineStr">
        <is>
          <t>27761088453</t>
        </is>
      </c>
    </row>
    <row r="89">
      <c r="A89" t="inlineStr">
        <is>
          <t>14827940</t>
        </is>
      </c>
      <c r="B89" t="inlineStr">
        <is>
          <t>fe3cb1f1-8195-455d-90be-d1db3ad0153c</t>
        </is>
      </c>
      <c r="D89" t="inlineStr">
        <is>
          <t>111111123</t>
        </is>
      </c>
      <c r="E89" t="inlineStr">
        <is>
          <t>Vodacom Life 20260603</t>
        </is>
      </c>
      <c r="H89" t="inlineStr">
        <is>
          <t>27660832850</t>
        </is>
      </c>
      <c r="J89" t="inlineStr">
        <is>
          <t>NA</t>
        </is>
      </c>
      <c r="K89" t="inlineStr">
        <is>
          <t>No Answer Autodial</t>
        </is>
      </c>
      <c r="L89" t="n">
        <v>7</v>
      </c>
      <c r="M89" t="inlineStr">
        <is>
          <t>2026-06-15 08:39:58</t>
        </is>
      </c>
      <c r="N89" t="inlineStr">
        <is>
          <t>system</t>
        </is>
      </c>
      <c r="O89" t="inlineStr">
        <is>
          <t>2026-06-08 05:25:27</t>
        </is>
      </c>
      <c r="P89" t="inlineStr">
        <is>
          <t>2026-06-08 05:25:27</t>
        </is>
      </c>
      <c r="Y89" t="inlineStr">
        <is>
          <t>27660832850</t>
        </is>
      </c>
    </row>
    <row r="90">
      <c r="A90" t="inlineStr">
        <is>
          <t>14828068</t>
        </is>
      </c>
      <c r="B90" t="inlineStr">
        <is>
          <t>710cdb51-6423-440d-bb2a-25d71bd1a563</t>
        </is>
      </c>
      <c r="D90" t="inlineStr">
        <is>
          <t>111111123</t>
        </is>
      </c>
      <c r="E90" t="inlineStr">
        <is>
          <t>Vodacom Life 20260603</t>
        </is>
      </c>
      <c r="J90" t="inlineStr">
        <is>
          <t>AA</t>
        </is>
      </c>
      <c r="K90" t="inlineStr">
        <is>
          <t>Answering Machine Autodial</t>
        </is>
      </c>
      <c r="L90" t="n">
        <v>7</v>
      </c>
      <c r="M90" t="inlineStr">
        <is>
          <t>2026-06-15 08:39:58</t>
        </is>
      </c>
      <c r="N90" t="inlineStr">
        <is>
          <t>system</t>
        </is>
      </c>
      <c r="O90" t="inlineStr">
        <is>
          <t>2026-06-08 05:25:27</t>
        </is>
      </c>
      <c r="P90" t="inlineStr">
        <is>
          <t>2026-06-08 05:25:27</t>
        </is>
      </c>
      <c r="Y90" t="inlineStr">
        <is>
          <t>27722700058</t>
        </is>
      </c>
    </row>
    <row r="91">
      <c r="A91" t="inlineStr">
        <is>
          <t>14828116</t>
        </is>
      </c>
      <c r="B91" t="inlineStr">
        <is>
          <t>f6ecd974-9467-443b-8810-9355229535da</t>
        </is>
      </c>
      <c r="D91" t="inlineStr">
        <is>
          <t>111111123</t>
        </is>
      </c>
      <c r="E91" t="inlineStr">
        <is>
          <t>Vodacom Life 20260603</t>
        </is>
      </c>
      <c r="H91" t="inlineStr">
        <is>
          <t>27761288139</t>
        </is>
      </c>
      <c r="J91" t="inlineStr">
        <is>
          <t>N</t>
        </is>
      </c>
      <c r="K91" t="inlineStr">
        <is>
          <t>No Answer</t>
        </is>
      </c>
      <c r="L91" t="n">
        <v>8</v>
      </c>
      <c r="M91" t="inlineStr">
        <is>
          <t>2026-06-15 08:39:08</t>
        </is>
      </c>
      <c r="N91" t="inlineStr">
        <is>
          <t>bongiwe lushaba</t>
        </is>
      </c>
      <c r="O91" t="inlineStr">
        <is>
          <t>2026-06-08 05:25:27</t>
        </is>
      </c>
      <c r="P91" t="inlineStr">
        <is>
          <t>2026-06-08 05:25:27</t>
        </is>
      </c>
      <c r="Y91" t="inlineStr">
        <is>
          <t>27761288139</t>
        </is>
      </c>
    </row>
    <row r="92">
      <c r="A92" t="inlineStr">
        <is>
          <t>14828082</t>
        </is>
      </c>
      <c r="B92" t="inlineStr">
        <is>
          <t>68871471-f844-4245-84d6-336d96f398b9</t>
        </is>
      </c>
      <c r="D92" t="inlineStr">
        <is>
          <t>111111123</t>
        </is>
      </c>
      <c r="E92" t="inlineStr">
        <is>
          <t>Vodacom Life 20260603</t>
        </is>
      </c>
      <c r="J92" t="inlineStr">
        <is>
          <t>NA</t>
        </is>
      </c>
      <c r="K92" t="inlineStr">
        <is>
          <t>No Answer Autodial</t>
        </is>
      </c>
      <c r="L92" t="n">
        <v>7</v>
      </c>
      <c r="M92" t="inlineStr">
        <is>
          <t>2026-06-15 08:39:03</t>
        </is>
      </c>
      <c r="N92" t="inlineStr">
        <is>
          <t>system</t>
        </is>
      </c>
      <c r="O92" t="inlineStr">
        <is>
          <t>2026-06-08 05:25:27</t>
        </is>
      </c>
      <c r="P92" t="inlineStr">
        <is>
          <t>2026-06-08 05:25:27</t>
        </is>
      </c>
      <c r="Y92" t="inlineStr">
        <is>
          <t>27763793008</t>
        </is>
      </c>
    </row>
    <row r="93">
      <c r="A93" t="inlineStr">
        <is>
          <t>14827923</t>
        </is>
      </c>
      <c r="B93" t="inlineStr">
        <is>
          <t>1b99fd4f-3e20-4713-b1fd-e013994936ae</t>
        </is>
      </c>
      <c r="D93" t="inlineStr">
        <is>
          <t>111111123</t>
        </is>
      </c>
      <c r="E93" t="inlineStr">
        <is>
          <t>Vodacom Life 20260603</t>
        </is>
      </c>
      <c r="J93" t="inlineStr">
        <is>
          <t>AA</t>
        </is>
      </c>
      <c r="K93" t="inlineStr">
        <is>
          <t>Answering Machine Autodial</t>
        </is>
      </c>
      <c r="L93" t="n">
        <v>7</v>
      </c>
      <c r="M93" t="inlineStr">
        <is>
          <t>2026-06-15 08:38:54</t>
        </is>
      </c>
      <c r="N93" t="inlineStr">
        <is>
          <t>system</t>
        </is>
      </c>
      <c r="O93" t="inlineStr">
        <is>
          <t>2026-06-08 05:25:27</t>
        </is>
      </c>
      <c r="P93" t="inlineStr">
        <is>
          <t>2026-06-08 05:25:27</t>
        </is>
      </c>
      <c r="Y93" t="inlineStr">
        <is>
          <t>27729380347</t>
        </is>
      </c>
    </row>
    <row r="94">
      <c r="A94" t="inlineStr">
        <is>
          <t>14827948</t>
        </is>
      </c>
      <c r="B94" t="inlineStr">
        <is>
          <t>df868496-168c-4b22-89e9-4a12fcb52dd7</t>
        </is>
      </c>
      <c r="D94" t="inlineStr">
        <is>
          <t>111111123</t>
        </is>
      </c>
      <c r="E94" t="inlineStr">
        <is>
          <t>Vodacom Life 20260603</t>
        </is>
      </c>
      <c r="J94" t="inlineStr">
        <is>
          <t>DROP</t>
        </is>
      </c>
      <c r="K94" t="inlineStr">
        <is>
          <t>Dropped</t>
        </is>
      </c>
      <c r="L94" t="n">
        <v>7</v>
      </c>
      <c r="M94" t="inlineStr">
        <is>
          <t>2026-06-15 08:38:54</t>
        </is>
      </c>
      <c r="N94" t="inlineStr">
        <is>
          <t>system</t>
        </is>
      </c>
      <c r="O94" t="inlineStr">
        <is>
          <t>2026-06-08 05:25:27</t>
        </is>
      </c>
      <c r="P94" t="inlineStr">
        <is>
          <t>2026-06-08 05:25:27</t>
        </is>
      </c>
      <c r="Y94" t="inlineStr">
        <is>
          <t>27648647281</t>
        </is>
      </c>
    </row>
    <row r="95">
      <c r="A95" t="inlineStr">
        <is>
          <t>14828303</t>
        </is>
      </c>
      <c r="B95" t="inlineStr">
        <is>
          <t>b9725f1a-f7f1-4e3d-96d6-8df4051fe60a</t>
        </is>
      </c>
      <c r="D95" t="inlineStr">
        <is>
          <t>111111123</t>
        </is>
      </c>
      <c r="E95" t="inlineStr">
        <is>
          <t>Vodacom Life 20260603</t>
        </is>
      </c>
      <c r="J95" t="inlineStr">
        <is>
          <t>NA</t>
        </is>
      </c>
      <c r="K95" t="inlineStr">
        <is>
          <t>No Answer Autodial</t>
        </is>
      </c>
      <c r="L95" t="n">
        <v>7</v>
      </c>
      <c r="M95" t="inlineStr">
        <is>
          <t>2026-06-15 08:38:53</t>
        </is>
      </c>
      <c r="N95" t="inlineStr">
        <is>
          <t>system</t>
        </is>
      </c>
      <c r="O95" t="inlineStr">
        <is>
          <t>2026-06-08 05:25:27</t>
        </is>
      </c>
      <c r="P95" t="inlineStr">
        <is>
          <t>2026-06-08 05:25:27</t>
        </is>
      </c>
      <c r="Y95" t="inlineStr">
        <is>
          <t>27827353421</t>
        </is>
      </c>
    </row>
    <row r="96">
      <c r="A96" t="inlineStr">
        <is>
          <t>14827942</t>
        </is>
      </c>
      <c r="B96" t="inlineStr">
        <is>
          <t>47b9d15c-1e86-453b-ab82-3d93a86f4446</t>
        </is>
      </c>
      <c r="D96" t="inlineStr">
        <is>
          <t>111111123</t>
        </is>
      </c>
      <c r="E96" t="inlineStr">
        <is>
          <t>Vodacom Life 20260603</t>
        </is>
      </c>
      <c r="J96" t="inlineStr">
        <is>
          <t>AA</t>
        </is>
      </c>
      <c r="K96" t="inlineStr">
        <is>
          <t>Answering Machine Autodial</t>
        </is>
      </c>
      <c r="L96" t="n">
        <v>7</v>
      </c>
      <c r="M96" t="inlineStr">
        <is>
          <t>2026-06-15 08:38:18</t>
        </is>
      </c>
      <c r="N96" t="inlineStr">
        <is>
          <t>system</t>
        </is>
      </c>
      <c r="O96" t="inlineStr">
        <is>
          <t>2026-06-08 05:25:27</t>
        </is>
      </c>
      <c r="P96" t="inlineStr">
        <is>
          <t>2026-06-08 05:25:27</t>
        </is>
      </c>
      <c r="Y96" t="inlineStr">
        <is>
          <t>27722018167</t>
        </is>
      </c>
    </row>
    <row r="97">
      <c r="A97" t="inlineStr">
        <is>
          <t>14827977</t>
        </is>
      </c>
      <c r="B97" t="inlineStr">
        <is>
          <t>14b1f789-bf65-4735-9a28-a6117c7ee802</t>
        </is>
      </c>
      <c r="D97" t="inlineStr">
        <is>
          <t>111111123</t>
        </is>
      </c>
      <c r="E97" t="inlineStr">
        <is>
          <t>Vodacom Life 20260603</t>
        </is>
      </c>
      <c r="J97" t="inlineStr">
        <is>
          <t>DROP</t>
        </is>
      </c>
      <c r="K97" t="inlineStr">
        <is>
          <t>Dropped</t>
        </is>
      </c>
      <c r="L97" t="n">
        <v>7</v>
      </c>
      <c r="M97" t="inlineStr">
        <is>
          <t>2026-06-15 08:38:12</t>
        </is>
      </c>
      <c r="N97" t="inlineStr">
        <is>
          <t>system</t>
        </is>
      </c>
      <c r="O97" t="inlineStr">
        <is>
          <t>2026-06-08 05:25:27</t>
        </is>
      </c>
      <c r="P97" t="inlineStr">
        <is>
          <t>2026-06-08 05:25:27</t>
        </is>
      </c>
      <c r="Y97" t="inlineStr">
        <is>
          <t>27730503608</t>
        </is>
      </c>
    </row>
    <row r="98">
      <c r="A98" t="inlineStr">
        <is>
          <t>14827990</t>
        </is>
      </c>
      <c r="B98" t="inlineStr">
        <is>
          <t>943477f4-56c7-46cd-afb5-0a2a50e22bec</t>
        </is>
      </c>
      <c r="D98" t="inlineStr">
        <is>
          <t>111111123</t>
        </is>
      </c>
      <c r="E98" t="inlineStr">
        <is>
          <t>Vodacom Life 20260603</t>
        </is>
      </c>
      <c r="J98" t="inlineStr">
        <is>
          <t>NA</t>
        </is>
      </c>
      <c r="K98" t="inlineStr">
        <is>
          <t>No Answer Autodial</t>
        </is>
      </c>
      <c r="L98" t="n">
        <v>7</v>
      </c>
      <c r="M98" t="inlineStr">
        <is>
          <t>2026-06-15 08:38:07</t>
        </is>
      </c>
      <c r="N98" t="inlineStr">
        <is>
          <t>system</t>
        </is>
      </c>
      <c r="O98" t="inlineStr">
        <is>
          <t>2026-06-08 05:25:27</t>
        </is>
      </c>
      <c r="P98" t="inlineStr">
        <is>
          <t>2026-06-08 05:25:27</t>
        </is>
      </c>
      <c r="Y98" t="inlineStr">
        <is>
          <t>27785431613</t>
        </is>
      </c>
    </row>
    <row r="99">
      <c r="A99" t="inlineStr">
        <is>
          <t>14828223</t>
        </is>
      </c>
      <c r="B99" t="inlineStr">
        <is>
          <t>1554b1fe-db19-4ffe-9816-9b21d3ade457</t>
        </is>
      </c>
      <c r="D99" t="inlineStr">
        <is>
          <t>111111123</t>
        </is>
      </c>
      <c r="E99" t="inlineStr">
        <is>
          <t>Vodacom Life 20260603</t>
        </is>
      </c>
      <c r="H99" t="inlineStr">
        <is>
          <t>27728897113</t>
        </is>
      </c>
      <c r="J99" t="inlineStr">
        <is>
          <t>AA</t>
        </is>
      </c>
      <c r="K99" t="inlineStr">
        <is>
          <t>Answering Machine Autodial</t>
        </is>
      </c>
      <c r="L99" t="n">
        <v>7</v>
      </c>
      <c r="M99" t="inlineStr">
        <is>
          <t>2026-06-15 08:38:07</t>
        </is>
      </c>
      <c r="N99" t="inlineStr">
        <is>
          <t>system</t>
        </is>
      </c>
      <c r="O99" t="inlineStr">
        <is>
          <t>2026-06-08 05:25:27</t>
        </is>
      </c>
      <c r="P99" t="inlineStr">
        <is>
          <t>2026-06-08 05:25:27</t>
        </is>
      </c>
      <c r="Y99" t="inlineStr">
        <is>
          <t>27728897113</t>
        </is>
      </c>
    </row>
    <row r="100">
      <c r="A100" t="inlineStr">
        <is>
          <t>14828083</t>
        </is>
      </c>
      <c r="B100" t="inlineStr">
        <is>
          <t>c4dd593f-f98e-466c-a84c-0daafa9a7d9a</t>
        </is>
      </c>
      <c r="D100" t="inlineStr">
        <is>
          <t>111111123</t>
        </is>
      </c>
      <c r="E100" t="inlineStr">
        <is>
          <t>Vodacom Life 20260603</t>
        </is>
      </c>
      <c r="J100" t="inlineStr">
        <is>
          <t>AA</t>
        </is>
      </c>
      <c r="K100" t="inlineStr">
        <is>
          <t>Answering Machine Autodial</t>
        </is>
      </c>
      <c r="L100" t="n">
        <v>7</v>
      </c>
      <c r="M100" t="inlineStr">
        <is>
          <t>2026-06-15 08:38:06</t>
        </is>
      </c>
      <c r="N100" t="inlineStr">
        <is>
          <t>system</t>
        </is>
      </c>
      <c r="O100" t="inlineStr">
        <is>
          <t>2026-06-08 05:25:27</t>
        </is>
      </c>
      <c r="P100" t="inlineStr">
        <is>
          <t>2026-06-08 05:25:27</t>
        </is>
      </c>
      <c r="Y100" t="inlineStr">
        <is>
          <t>27799473544</t>
        </is>
      </c>
    </row>
    <row r="101">
      <c r="A101" t="inlineStr">
        <is>
          <t>14828006</t>
        </is>
      </c>
      <c r="B101" t="inlineStr">
        <is>
          <t>f4ff4f79-1b4e-4b6e-b0b4-adae60a9ef01</t>
        </is>
      </c>
      <c r="D101" t="inlineStr">
        <is>
          <t>111111123</t>
        </is>
      </c>
      <c r="E101" t="inlineStr">
        <is>
          <t>Vodacom Life 20260603</t>
        </is>
      </c>
      <c r="J101" t="inlineStr">
        <is>
          <t>AE</t>
        </is>
      </c>
      <c r="K101" t="inlineStr">
        <is>
          <t>Auto Engaged</t>
        </is>
      </c>
      <c r="L101" t="n">
        <v>7</v>
      </c>
      <c r="M101" t="inlineStr">
        <is>
          <t>2026-06-15 08:36:19</t>
        </is>
      </c>
      <c r="N101" t="inlineStr">
        <is>
          <t>system</t>
        </is>
      </c>
      <c r="O101" t="inlineStr">
        <is>
          <t>2026-06-08 05:25:27</t>
        </is>
      </c>
      <c r="P101" t="inlineStr">
        <is>
          <t>2026-06-08 05:25:27</t>
        </is>
      </c>
      <c r="Y101" t="inlineStr">
        <is>
          <t>27789766798</t>
        </is>
      </c>
    </row>
    <row r="102">
      <c r="A102" t="inlineStr">
        <is>
          <t>14828091</t>
        </is>
      </c>
      <c r="B102" t="inlineStr">
        <is>
          <t>49d4b8f8-b66b-4626-bf61-894feca59204</t>
        </is>
      </c>
      <c r="D102" t="inlineStr">
        <is>
          <t>111111123</t>
        </is>
      </c>
      <c r="E102" t="inlineStr">
        <is>
          <t>Vodacom Life 20260603</t>
        </is>
      </c>
      <c r="J102" t="inlineStr">
        <is>
          <t>DROP</t>
        </is>
      </c>
      <c r="K102" t="inlineStr">
        <is>
          <t>Dropped</t>
        </is>
      </c>
      <c r="L102" t="n">
        <v>7</v>
      </c>
      <c r="M102" t="inlineStr">
        <is>
          <t>2026-06-15 08:36:19</t>
        </is>
      </c>
      <c r="N102" t="inlineStr">
        <is>
          <t>system</t>
        </is>
      </c>
      <c r="O102" t="inlineStr">
        <is>
          <t>2026-06-08 05:25:27</t>
        </is>
      </c>
      <c r="P102" t="inlineStr">
        <is>
          <t>2026-06-08 05:25:27</t>
        </is>
      </c>
      <c r="Y102" t="inlineStr">
        <is>
          <t>27620075896</t>
        </is>
      </c>
    </row>
    <row r="103">
      <c r="A103" t="inlineStr">
        <is>
          <t>14828089</t>
        </is>
      </c>
      <c r="B103" t="inlineStr">
        <is>
          <t>2974e3a2-8a21-4857-ad27-7722f097b7ef</t>
        </is>
      </c>
      <c r="D103" t="inlineStr">
        <is>
          <t>111111123</t>
        </is>
      </c>
      <c r="E103" t="inlineStr">
        <is>
          <t>Vodacom Life 20260603</t>
        </is>
      </c>
      <c r="J103" t="inlineStr">
        <is>
          <t>ADC</t>
        </is>
      </c>
      <c r="K103" t="inlineStr">
        <is>
          <t>Auto Dial Disconnected</t>
        </is>
      </c>
      <c r="L103" t="n">
        <v>7</v>
      </c>
      <c r="M103" t="inlineStr">
        <is>
          <t>2026-06-15 08:36:18</t>
        </is>
      </c>
      <c r="N103" t="inlineStr">
        <is>
          <t>system</t>
        </is>
      </c>
      <c r="O103" t="inlineStr">
        <is>
          <t>2026-06-08 05:25:27</t>
        </is>
      </c>
      <c r="P103" t="inlineStr">
        <is>
          <t>2026-06-08 05:25:27</t>
        </is>
      </c>
      <c r="Y103" t="inlineStr">
        <is>
          <t>27790727150</t>
        </is>
      </c>
    </row>
    <row r="104">
      <c r="A104" t="inlineStr">
        <is>
          <t>14828348</t>
        </is>
      </c>
      <c r="B104" t="inlineStr">
        <is>
          <t>afc92106-d2cc-4c06-9514-2354b99f1c1f</t>
        </is>
      </c>
      <c r="D104" t="inlineStr">
        <is>
          <t>111111123</t>
        </is>
      </c>
      <c r="E104" t="inlineStr">
        <is>
          <t>Vodacom Life 20260603</t>
        </is>
      </c>
      <c r="J104" t="inlineStr">
        <is>
          <t>DROP</t>
        </is>
      </c>
      <c r="K104" t="inlineStr">
        <is>
          <t>Dropped</t>
        </is>
      </c>
      <c r="L104" t="n">
        <v>7</v>
      </c>
      <c r="M104" t="inlineStr">
        <is>
          <t>2026-06-15 08:35:06</t>
        </is>
      </c>
      <c r="N104" t="inlineStr">
        <is>
          <t>system</t>
        </is>
      </c>
      <c r="O104" t="inlineStr">
        <is>
          <t>2026-06-08 05:25:27</t>
        </is>
      </c>
      <c r="P104" t="inlineStr">
        <is>
          <t>2026-06-08 05:25:27</t>
        </is>
      </c>
      <c r="Y104" t="inlineStr">
        <is>
          <t>27661990231</t>
        </is>
      </c>
    </row>
    <row r="105">
      <c r="A105" t="inlineStr">
        <is>
          <t>14828007</t>
        </is>
      </c>
      <c r="B105" t="inlineStr">
        <is>
          <t>b7039a7f-69ef-432d-b7e6-6a9ec3a97722</t>
        </is>
      </c>
      <c r="D105" t="inlineStr">
        <is>
          <t>111111123</t>
        </is>
      </c>
      <c r="E105" t="inlineStr">
        <is>
          <t>Vodacom Life 20260603</t>
        </is>
      </c>
      <c r="J105" t="inlineStr">
        <is>
          <t>DROP</t>
        </is>
      </c>
      <c r="K105" t="inlineStr">
        <is>
          <t>Dropped</t>
        </is>
      </c>
      <c r="L105" t="n">
        <v>7</v>
      </c>
      <c r="M105" t="inlineStr">
        <is>
          <t>2026-06-15 08:35:04</t>
        </is>
      </c>
      <c r="N105" t="inlineStr">
        <is>
          <t>system</t>
        </is>
      </c>
      <c r="O105" t="inlineStr">
        <is>
          <t>2026-06-08 05:25:27</t>
        </is>
      </c>
      <c r="P105" t="inlineStr">
        <is>
          <t>2026-06-08 05:25:27</t>
        </is>
      </c>
      <c r="Y105" t="inlineStr">
        <is>
          <t>27766980409</t>
        </is>
      </c>
    </row>
    <row r="106">
      <c r="A106" t="inlineStr">
        <is>
          <t>14828154</t>
        </is>
      </c>
      <c r="B106" t="inlineStr">
        <is>
          <t>eab297de-d43f-43ca-a72d-4fb8bc56cad3</t>
        </is>
      </c>
      <c r="D106" t="inlineStr">
        <is>
          <t>111111123</t>
        </is>
      </c>
      <c r="E106" t="inlineStr">
        <is>
          <t>Vodacom Life 20260603</t>
        </is>
      </c>
      <c r="J106" t="inlineStr">
        <is>
          <t>A</t>
        </is>
      </c>
      <c r="K106" t="inlineStr">
        <is>
          <t>Answering Machine</t>
        </is>
      </c>
      <c r="L106" t="n">
        <v>7</v>
      </c>
      <c r="M106" t="inlineStr">
        <is>
          <t>2026-06-15 08:35:02</t>
        </is>
      </c>
      <c r="N106" t="inlineStr">
        <is>
          <t>Maureen Ntsoko</t>
        </is>
      </c>
      <c r="O106" t="inlineStr">
        <is>
          <t>2026-06-08 05:25:27</t>
        </is>
      </c>
      <c r="P106" t="inlineStr">
        <is>
          <t>2026-06-08 05:25:27</t>
        </is>
      </c>
      <c r="Y106" t="inlineStr">
        <is>
          <t>27715299757</t>
        </is>
      </c>
    </row>
    <row r="107">
      <c r="A107" t="inlineStr">
        <is>
          <t>14828378</t>
        </is>
      </c>
      <c r="B107" t="inlineStr">
        <is>
          <t>f94b4adc-70a4-4afd-a58e-e40118ff3849</t>
        </is>
      </c>
      <c r="D107" t="inlineStr">
        <is>
          <t>111111123</t>
        </is>
      </c>
      <c r="E107" t="inlineStr">
        <is>
          <t>Vodacom Life 20260603</t>
        </is>
      </c>
      <c r="H107" t="inlineStr">
        <is>
          <t>27671631628</t>
        </is>
      </c>
      <c r="J107" t="inlineStr">
        <is>
          <t>CU</t>
        </is>
      </c>
      <c r="K107" t="inlineStr">
        <is>
          <t>Client Hung Up</t>
        </is>
      </c>
      <c r="L107" t="n">
        <v>7</v>
      </c>
      <c r="M107" t="inlineStr">
        <is>
          <t>2026-06-15 08:34:52</t>
        </is>
      </c>
      <c r="N107" t="inlineStr">
        <is>
          <t>Maureen Ntsoko</t>
        </is>
      </c>
      <c r="O107" t="inlineStr">
        <is>
          <t>2026-06-08 05:25:27</t>
        </is>
      </c>
      <c r="P107" t="inlineStr">
        <is>
          <t>2026-06-08 05:25:27</t>
        </is>
      </c>
      <c r="Y107" t="inlineStr">
        <is>
          <t>27671631628</t>
        </is>
      </c>
    </row>
    <row r="108">
      <c r="A108" t="inlineStr">
        <is>
          <t>14828057</t>
        </is>
      </c>
      <c r="B108" t="inlineStr">
        <is>
          <t>65c6d13d-456f-40e1-993d-322fd8665415</t>
        </is>
      </c>
      <c r="D108" t="inlineStr">
        <is>
          <t>111111123</t>
        </is>
      </c>
      <c r="E108" t="inlineStr">
        <is>
          <t>Vodacom Life 20260603</t>
        </is>
      </c>
      <c r="H108" t="inlineStr">
        <is>
          <t>27760698542</t>
        </is>
      </c>
      <c r="J108" t="inlineStr">
        <is>
          <t>AA</t>
        </is>
      </c>
      <c r="K108" t="inlineStr">
        <is>
          <t>Answering Machine Autodial</t>
        </is>
      </c>
      <c r="L108" t="n">
        <v>7</v>
      </c>
      <c r="M108" t="inlineStr">
        <is>
          <t>2026-06-15 08:34:50</t>
        </is>
      </c>
      <c r="N108" t="inlineStr">
        <is>
          <t>system</t>
        </is>
      </c>
      <c r="O108" t="inlineStr">
        <is>
          <t>2026-06-08 05:25:27</t>
        </is>
      </c>
      <c r="P108" t="inlineStr">
        <is>
          <t>2026-06-08 05:25:27</t>
        </is>
      </c>
      <c r="Y108" t="inlineStr">
        <is>
          <t>27760698542</t>
        </is>
      </c>
    </row>
    <row r="109">
      <c r="A109" t="inlineStr">
        <is>
          <t>14827988</t>
        </is>
      </c>
      <c r="B109" t="inlineStr">
        <is>
          <t>6da2667f-2086-4175-b53a-df71f17e6220</t>
        </is>
      </c>
      <c r="D109" t="inlineStr">
        <is>
          <t>111111123</t>
        </is>
      </c>
      <c r="E109" t="inlineStr">
        <is>
          <t>Vodacom Life 20260603</t>
        </is>
      </c>
      <c r="H109" t="inlineStr">
        <is>
          <t>27767798182</t>
        </is>
      </c>
      <c r="J109" t="inlineStr">
        <is>
          <t>AE</t>
        </is>
      </c>
      <c r="K109" t="inlineStr">
        <is>
          <t>Auto Engaged</t>
        </is>
      </c>
      <c r="L109" t="n">
        <v>7</v>
      </c>
      <c r="M109" t="inlineStr">
        <is>
          <t>2026-06-15 08:34:49</t>
        </is>
      </c>
      <c r="N109" t="inlineStr">
        <is>
          <t>system</t>
        </is>
      </c>
      <c r="O109" t="inlineStr">
        <is>
          <t>2026-06-08 05:25:27</t>
        </is>
      </c>
      <c r="P109" t="inlineStr">
        <is>
          <t>2026-06-08 05:25:27</t>
        </is>
      </c>
      <c r="Y109" t="inlineStr">
        <is>
          <t>27767798182</t>
        </is>
      </c>
    </row>
    <row r="110">
      <c r="A110" t="inlineStr">
        <is>
          <t>14828016</t>
        </is>
      </c>
      <c r="B110" t="inlineStr">
        <is>
          <t>388ecc66-5fc4-4a14-9a03-a563ee94d424</t>
        </is>
      </c>
      <c r="D110" t="inlineStr">
        <is>
          <t>111111123</t>
        </is>
      </c>
      <c r="E110" t="inlineStr">
        <is>
          <t>Vodacom Life 20260603</t>
        </is>
      </c>
      <c r="J110" t="inlineStr">
        <is>
          <t>AA</t>
        </is>
      </c>
      <c r="K110" t="inlineStr">
        <is>
          <t>Answering Machine Autodial</t>
        </is>
      </c>
      <c r="L110" t="n">
        <v>7</v>
      </c>
      <c r="M110" t="inlineStr">
        <is>
          <t>2026-06-15 08:34:49</t>
        </is>
      </c>
      <c r="N110" t="inlineStr">
        <is>
          <t>system</t>
        </is>
      </c>
      <c r="O110" t="inlineStr">
        <is>
          <t>2026-06-08 05:25:27</t>
        </is>
      </c>
      <c r="P110" t="inlineStr">
        <is>
          <t>2026-06-08 05:25:27</t>
        </is>
      </c>
      <c r="Y110" t="inlineStr">
        <is>
          <t>27763664816</t>
        </is>
      </c>
    </row>
    <row r="111">
      <c r="A111" t="inlineStr">
        <is>
          <t>14828063</t>
        </is>
      </c>
      <c r="B111" t="inlineStr">
        <is>
          <t>bf9a214b-3729-463b-8234-6d4c525c87b6</t>
        </is>
      </c>
      <c r="D111" t="inlineStr">
        <is>
          <t>111111123</t>
        </is>
      </c>
      <c r="E111" t="inlineStr">
        <is>
          <t>Vodacom Life 20260603</t>
        </is>
      </c>
      <c r="J111" t="inlineStr">
        <is>
          <t>ADC</t>
        </is>
      </c>
      <c r="K111" t="inlineStr">
        <is>
          <t>Auto Dial Disconnected</t>
        </is>
      </c>
      <c r="L111" t="n">
        <v>7</v>
      </c>
      <c r="M111" t="inlineStr">
        <is>
          <t>2026-06-15 08:34:49</t>
        </is>
      </c>
      <c r="N111" t="inlineStr">
        <is>
          <t>system</t>
        </is>
      </c>
      <c r="O111" t="inlineStr">
        <is>
          <t>2026-06-08 05:25:27</t>
        </is>
      </c>
      <c r="P111" t="inlineStr">
        <is>
          <t>2026-06-08 05:25:27</t>
        </is>
      </c>
      <c r="Y111" t="inlineStr">
        <is>
          <t>27715651770</t>
        </is>
      </c>
    </row>
    <row r="112">
      <c r="A112" t="inlineStr">
        <is>
          <t>14827958</t>
        </is>
      </c>
      <c r="B112" t="inlineStr">
        <is>
          <t>a0966b57-7bbe-43a9-b3c1-11471b6129a4</t>
        </is>
      </c>
      <c r="D112" t="inlineStr">
        <is>
          <t>111111123</t>
        </is>
      </c>
      <c r="E112" t="inlineStr">
        <is>
          <t>Vodacom Life 20260603</t>
        </is>
      </c>
      <c r="H112" t="inlineStr">
        <is>
          <t>27711845247</t>
        </is>
      </c>
      <c r="J112" t="inlineStr">
        <is>
          <t>DROP</t>
        </is>
      </c>
      <c r="K112" t="inlineStr">
        <is>
          <t>Dropped</t>
        </is>
      </c>
      <c r="L112" t="n">
        <v>7</v>
      </c>
      <c r="M112" t="inlineStr">
        <is>
          <t>2026-06-15 08:34:12</t>
        </is>
      </c>
      <c r="N112" t="inlineStr">
        <is>
          <t>system</t>
        </is>
      </c>
      <c r="O112" t="inlineStr">
        <is>
          <t>2026-06-08 05:25:27</t>
        </is>
      </c>
      <c r="P112" t="inlineStr">
        <is>
          <t>2026-06-08 05:25:27</t>
        </is>
      </c>
      <c r="Y112" t="inlineStr">
        <is>
          <t>27711845247</t>
        </is>
      </c>
    </row>
    <row r="113">
      <c r="A113" t="inlineStr">
        <is>
          <t>14828017</t>
        </is>
      </c>
      <c r="B113" t="inlineStr">
        <is>
          <t>71da4135-26a2-4a9a-a0aa-a7806c5ee6b1</t>
        </is>
      </c>
      <c r="D113" t="inlineStr">
        <is>
          <t>111111123</t>
        </is>
      </c>
      <c r="E113" t="inlineStr">
        <is>
          <t>Vodacom Life 20260603</t>
        </is>
      </c>
      <c r="J113" t="inlineStr">
        <is>
          <t>AA</t>
        </is>
      </c>
      <c r="K113" t="inlineStr">
        <is>
          <t>Answering Machine Autodial</t>
        </is>
      </c>
      <c r="L113" t="n">
        <v>7</v>
      </c>
      <c r="M113" t="inlineStr">
        <is>
          <t>2026-06-15 08:34:01</t>
        </is>
      </c>
      <c r="N113" t="inlineStr">
        <is>
          <t>system</t>
        </is>
      </c>
      <c r="O113" t="inlineStr">
        <is>
          <t>2026-06-08 05:25:27</t>
        </is>
      </c>
      <c r="P113" t="inlineStr">
        <is>
          <t>2026-06-08 05:25:27</t>
        </is>
      </c>
      <c r="Y113" t="inlineStr">
        <is>
          <t>27793956327</t>
        </is>
      </c>
    </row>
    <row r="114">
      <c r="A114" t="inlineStr">
        <is>
          <t>14828034</t>
        </is>
      </c>
      <c r="B114" t="inlineStr">
        <is>
          <t>4949efe3-16ed-4786-8c21-cc35720442f0</t>
        </is>
      </c>
      <c r="D114" t="inlineStr">
        <is>
          <t>111111123</t>
        </is>
      </c>
      <c r="E114" t="inlineStr">
        <is>
          <t>Vodacom Life 20260603</t>
        </is>
      </c>
      <c r="J114" t="inlineStr">
        <is>
          <t>DROP</t>
        </is>
      </c>
      <c r="K114" t="inlineStr">
        <is>
          <t>Dropped</t>
        </is>
      </c>
      <c r="L114" t="n">
        <v>7</v>
      </c>
      <c r="M114" t="inlineStr">
        <is>
          <t>2026-06-15 08:34:01</t>
        </is>
      </c>
      <c r="N114" t="inlineStr">
        <is>
          <t>system</t>
        </is>
      </c>
      <c r="O114" t="inlineStr">
        <is>
          <t>2026-06-08 05:25:27</t>
        </is>
      </c>
      <c r="P114" t="inlineStr">
        <is>
          <t>2026-06-08 05:25:27</t>
        </is>
      </c>
      <c r="Y114" t="inlineStr">
        <is>
          <t>27795239778</t>
        </is>
      </c>
    </row>
    <row r="115">
      <c r="A115" t="inlineStr">
        <is>
          <t>14827953</t>
        </is>
      </c>
      <c r="B115" t="inlineStr">
        <is>
          <t>360db586-fead-4e1a-9aba-58cbd4c39f14</t>
        </is>
      </c>
      <c r="D115" t="inlineStr">
        <is>
          <t>111111123</t>
        </is>
      </c>
      <c r="E115" t="inlineStr">
        <is>
          <t>Vodacom Life 20260603</t>
        </is>
      </c>
      <c r="J115" t="inlineStr">
        <is>
          <t>AA</t>
        </is>
      </c>
      <c r="K115" t="inlineStr">
        <is>
          <t>Answering Machine Autodial</t>
        </is>
      </c>
      <c r="L115" t="n">
        <v>7</v>
      </c>
      <c r="M115" t="inlineStr">
        <is>
          <t>2026-06-15 08:34:01</t>
        </is>
      </c>
      <c r="N115" t="inlineStr">
        <is>
          <t>system</t>
        </is>
      </c>
      <c r="O115" t="inlineStr">
        <is>
          <t>2026-06-08 05:25:27</t>
        </is>
      </c>
      <c r="P115" t="inlineStr">
        <is>
          <t>2026-06-08 05:25:27</t>
        </is>
      </c>
      <c r="Y115" t="inlineStr">
        <is>
          <t>27674862443</t>
        </is>
      </c>
    </row>
    <row r="116">
      <c r="A116" t="inlineStr">
        <is>
          <t>14828072</t>
        </is>
      </c>
      <c r="B116" t="inlineStr">
        <is>
          <t>4576a210-49c3-49f3-9832-19f7977e1000</t>
        </is>
      </c>
      <c r="D116" t="inlineStr">
        <is>
          <t>111111123</t>
        </is>
      </c>
      <c r="E116" t="inlineStr">
        <is>
          <t>Vodacom Life 20260603</t>
        </is>
      </c>
      <c r="J116" t="inlineStr">
        <is>
          <t>AA</t>
        </is>
      </c>
      <c r="K116" t="inlineStr">
        <is>
          <t>Answering Machine Autodial</t>
        </is>
      </c>
      <c r="L116" t="n">
        <v>7</v>
      </c>
      <c r="M116" t="inlineStr">
        <is>
          <t>2026-06-15 08:34:01</t>
        </is>
      </c>
      <c r="N116" t="inlineStr">
        <is>
          <t>system</t>
        </is>
      </c>
      <c r="O116" t="inlineStr">
        <is>
          <t>2026-06-08 05:25:27</t>
        </is>
      </c>
      <c r="P116" t="inlineStr">
        <is>
          <t>2026-06-08 05:25:27</t>
        </is>
      </c>
      <c r="Y116" t="inlineStr">
        <is>
          <t>27826840047</t>
        </is>
      </c>
    </row>
    <row r="117">
      <c r="A117" t="inlineStr">
        <is>
          <t>14828090</t>
        </is>
      </c>
      <c r="B117" t="inlineStr">
        <is>
          <t>7a0a0aa1-6e9f-48c4-9e56-e37a60a690c9</t>
        </is>
      </c>
      <c r="D117" t="inlineStr">
        <is>
          <t>111111123</t>
        </is>
      </c>
      <c r="E117" t="inlineStr">
        <is>
          <t>Vodacom Life 20260603</t>
        </is>
      </c>
      <c r="J117" t="inlineStr">
        <is>
          <t>DROP</t>
        </is>
      </c>
      <c r="K117" t="inlineStr">
        <is>
          <t>Dropped</t>
        </is>
      </c>
      <c r="L117" t="n">
        <v>7</v>
      </c>
      <c r="M117" t="inlineStr">
        <is>
          <t>2026-06-15 08:32:10</t>
        </is>
      </c>
      <c r="N117" t="inlineStr">
        <is>
          <t>system</t>
        </is>
      </c>
      <c r="O117" t="inlineStr">
        <is>
          <t>2026-06-08 05:25:27</t>
        </is>
      </c>
      <c r="P117" t="inlineStr">
        <is>
          <t>2026-06-08 05:25:27</t>
        </is>
      </c>
      <c r="Y117" t="inlineStr">
        <is>
          <t>27823901086</t>
        </is>
      </c>
    </row>
    <row r="118">
      <c r="A118" t="inlineStr">
        <is>
          <t>14828018</t>
        </is>
      </c>
      <c r="B118" t="inlineStr">
        <is>
          <t>82866a0a-7bae-4b31-a6a4-1480e187ace9</t>
        </is>
      </c>
      <c r="D118" t="inlineStr">
        <is>
          <t>111111123</t>
        </is>
      </c>
      <c r="E118" t="inlineStr">
        <is>
          <t>Vodacom Life 20260603</t>
        </is>
      </c>
      <c r="J118" t="inlineStr">
        <is>
          <t>AA</t>
        </is>
      </c>
      <c r="K118" t="inlineStr">
        <is>
          <t>Answering Machine Autodial</t>
        </is>
      </c>
      <c r="L118" t="n">
        <v>7</v>
      </c>
      <c r="M118" t="inlineStr">
        <is>
          <t>2026-06-15 08:32:09</t>
        </is>
      </c>
      <c r="N118" t="inlineStr">
        <is>
          <t>system</t>
        </is>
      </c>
      <c r="O118" t="inlineStr">
        <is>
          <t>2026-06-08 05:25:27</t>
        </is>
      </c>
      <c r="P118" t="inlineStr">
        <is>
          <t>2026-06-08 05:25:27</t>
        </is>
      </c>
      <c r="Y118" t="inlineStr">
        <is>
          <t>27798942132</t>
        </is>
      </c>
    </row>
    <row r="119">
      <c r="A119" t="inlineStr">
        <is>
          <t>14828092</t>
        </is>
      </c>
      <c r="B119" t="inlineStr">
        <is>
          <t>7b4d8b3c-c7b6-47bf-b4e9-1aa7c214b008</t>
        </is>
      </c>
      <c r="D119" t="inlineStr">
        <is>
          <t>111111123</t>
        </is>
      </c>
      <c r="E119" t="inlineStr">
        <is>
          <t>Vodacom Life 20260603</t>
        </is>
      </c>
      <c r="J119" t="inlineStr">
        <is>
          <t>AA</t>
        </is>
      </c>
      <c r="K119" t="inlineStr">
        <is>
          <t>Answering Machine Autodial</t>
        </is>
      </c>
      <c r="L119" t="n">
        <v>7</v>
      </c>
      <c r="M119" t="inlineStr">
        <is>
          <t>2026-06-15 08:32:09</t>
        </is>
      </c>
      <c r="N119" t="inlineStr">
        <is>
          <t>system</t>
        </is>
      </c>
      <c r="O119" t="inlineStr">
        <is>
          <t>2026-06-08 05:25:27</t>
        </is>
      </c>
      <c r="P119" t="inlineStr">
        <is>
          <t>2026-06-08 05:25:27</t>
        </is>
      </c>
      <c r="Y119" t="inlineStr">
        <is>
          <t>27721728470</t>
        </is>
      </c>
    </row>
    <row r="120">
      <c r="A120" t="inlineStr">
        <is>
          <t>14828100</t>
        </is>
      </c>
      <c r="B120" t="inlineStr">
        <is>
          <t>4214f37f-cdc2-478f-8df9-28fd3be4d176</t>
        </is>
      </c>
      <c r="D120" t="inlineStr">
        <is>
          <t>111111123</t>
        </is>
      </c>
      <c r="E120" t="inlineStr">
        <is>
          <t>Vodacom Life 20260603</t>
        </is>
      </c>
      <c r="J120" t="inlineStr">
        <is>
          <t>DROP</t>
        </is>
      </c>
      <c r="K120" t="inlineStr">
        <is>
          <t>Dropped</t>
        </is>
      </c>
      <c r="L120" t="n">
        <v>7</v>
      </c>
      <c r="M120" t="inlineStr">
        <is>
          <t>2026-06-15 08:32:09</t>
        </is>
      </c>
      <c r="N120" t="inlineStr">
        <is>
          <t>system</t>
        </is>
      </c>
      <c r="O120" t="inlineStr">
        <is>
          <t>2026-06-08 05:25:27</t>
        </is>
      </c>
      <c r="P120" t="inlineStr">
        <is>
          <t>2026-06-08 05:25:27</t>
        </is>
      </c>
      <c r="Y120" t="inlineStr">
        <is>
          <t>27720551355</t>
        </is>
      </c>
    </row>
    <row r="121">
      <c r="A121" t="inlineStr">
        <is>
          <t>14828027</t>
        </is>
      </c>
      <c r="B121" t="inlineStr">
        <is>
          <t>62156945-a40f-424f-9f33-5141b7a57a6d</t>
        </is>
      </c>
      <c r="D121" t="inlineStr">
        <is>
          <t>111111123</t>
        </is>
      </c>
      <c r="E121" t="inlineStr">
        <is>
          <t>Vodacom Life 20260603</t>
        </is>
      </c>
      <c r="J121" t="inlineStr">
        <is>
          <t>AA</t>
        </is>
      </c>
      <c r="K121" t="inlineStr">
        <is>
          <t>Answering Machine Autodial</t>
        </is>
      </c>
      <c r="L121" t="n">
        <v>7</v>
      </c>
      <c r="M121" t="inlineStr">
        <is>
          <t>2026-06-15 08:26:30</t>
        </is>
      </c>
      <c r="N121" t="inlineStr">
        <is>
          <t>system</t>
        </is>
      </c>
      <c r="O121" t="inlineStr">
        <is>
          <t>2026-06-08 05:25:27</t>
        </is>
      </c>
      <c r="P121" t="inlineStr">
        <is>
          <t>2026-06-08 05:25:27</t>
        </is>
      </c>
      <c r="Y121" t="inlineStr">
        <is>
          <t>27794711227</t>
        </is>
      </c>
    </row>
    <row r="122">
      <c r="A122" t="inlineStr">
        <is>
          <t>14828278</t>
        </is>
      </c>
      <c r="B122" t="inlineStr">
        <is>
          <t>0f36e350-50be-4096-b020-bb888e85c659</t>
        </is>
      </c>
      <c r="D122" t="inlineStr">
        <is>
          <t>111111123</t>
        </is>
      </c>
      <c r="E122" t="inlineStr">
        <is>
          <t>Vodacom Life 20260603</t>
        </is>
      </c>
      <c r="J122" t="inlineStr">
        <is>
          <t>AA</t>
        </is>
      </c>
      <c r="K122" t="inlineStr">
        <is>
          <t>Answering Machine Autodial</t>
        </is>
      </c>
      <c r="L122" t="n">
        <v>7</v>
      </c>
      <c r="M122" t="inlineStr">
        <is>
          <t>2026-06-15 08:26:25</t>
        </is>
      </c>
      <c r="N122" t="inlineStr">
        <is>
          <t>system</t>
        </is>
      </c>
      <c r="O122" t="inlineStr">
        <is>
          <t>2026-06-08 05:25:27</t>
        </is>
      </c>
      <c r="P122" t="inlineStr">
        <is>
          <t>2026-06-08 05:25:27</t>
        </is>
      </c>
      <c r="Y122" t="inlineStr">
        <is>
          <t>27715151171</t>
        </is>
      </c>
    </row>
    <row r="123">
      <c r="A123" t="inlineStr">
        <is>
          <t>14827961</t>
        </is>
      </c>
      <c r="B123" t="inlineStr">
        <is>
          <t>86d0e6af-a7fe-4523-828e-cf95602fd685</t>
        </is>
      </c>
      <c r="D123" t="inlineStr">
        <is>
          <t>111111123</t>
        </is>
      </c>
      <c r="E123" t="inlineStr">
        <is>
          <t>Vodacom Life 20260603</t>
        </is>
      </c>
      <c r="J123" t="inlineStr">
        <is>
          <t>AA</t>
        </is>
      </c>
      <c r="K123" t="inlineStr">
        <is>
          <t>Answering Machine Autodial</t>
        </is>
      </c>
      <c r="L123" t="n">
        <v>7</v>
      </c>
      <c r="M123" t="inlineStr">
        <is>
          <t>2026-06-15 08:26:24</t>
        </is>
      </c>
      <c r="N123" t="inlineStr">
        <is>
          <t>system</t>
        </is>
      </c>
      <c r="O123" t="inlineStr">
        <is>
          <t>2026-06-08 05:25:27</t>
        </is>
      </c>
      <c r="P123" t="inlineStr">
        <is>
          <t>2026-06-08 05:25:27</t>
        </is>
      </c>
      <c r="Y123" t="inlineStr">
        <is>
          <t>27740210503</t>
        </is>
      </c>
    </row>
    <row r="124">
      <c r="A124" t="inlineStr">
        <is>
          <t>14828237</t>
        </is>
      </c>
      <c r="B124" t="inlineStr">
        <is>
          <t>8c155d08-2b46-4a59-af0a-5a13f0fddcb7</t>
        </is>
      </c>
      <c r="D124" t="inlineStr">
        <is>
          <t>111111123</t>
        </is>
      </c>
      <c r="E124" t="inlineStr">
        <is>
          <t>Vodacom Life 20260603</t>
        </is>
      </c>
      <c r="J124" t="inlineStr">
        <is>
          <t>AA</t>
        </is>
      </c>
      <c r="K124" t="inlineStr">
        <is>
          <t>Answering Machine Autodial</t>
        </is>
      </c>
      <c r="L124" t="n">
        <v>7</v>
      </c>
      <c r="M124" t="inlineStr">
        <is>
          <t>2026-06-15 08:26:24</t>
        </is>
      </c>
      <c r="N124" t="inlineStr">
        <is>
          <t>system</t>
        </is>
      </c>
      <c r="O124" t="inlineStr">
        <is>
          <t>2026-06-08 05:25:27</t>
        </is>
      </c>
      <c r="P124" t="inlineStr">
        <is>
          <t>2026-06-08 05:25:27</t>
        </is>
      </c>
      <c r="Y124" t="inlineStr">
        <is>
          <t>27767044200</t>
        </is>
      </c>
    </row>
    <row r="125">
      <c r="A125" t="inlineStr">
        <is>
          <t>14827962</t>
        </is>
      </c>
      <c r="B125" t="inlineStr">
        <is>
          <t>e0c0a681-d5de-4342-bb6e-68e311dbc81d</t>
        </is>
      </c>
      <c r="D125" t="inlineStr">
        <is>
          <t>111111123</t>
        </is>
      </c>
      <c r="E125" t="inlineStr">
        <is>
          <t>Vodacom Life 20260603</t>
        </is>
      </c>
      <c r="J125" t="inlineStr">
        <is>
          <t>AC</t>
        </is>
      </c>
      <c r="K125" t="inlineStr">
        <is>
          <t>Already Contacted</t>
        </is>
      </c>
      <c r="L125" t="n">
        <v>7</v>
      </c>
      <c r="M125" t="inlineStr">
        <is>
          <t>2026-06-15 08:26:23</t>
        </is>
      </c>
      <c r="N125" t="inlineStr">
        <is>
          <t>Maureen Ntsoko</t>
        </is>
      </c>
      <c r="O125" t="inlineStr">
        <is>
          <t>2026-06-08 05:25:27</t>
        </is>
      </c>
      <c r="P125" t="inlineStr">
        <is>
          <t>2026-06-08 05:25:27</t>
        </is>
      </c>
      <c r="Y125" t="inlineStr">
        <is>
          <t>27647227445</t>
        </is>
      </c>
    </row>
    <row r="126">
      <c r="A126" t="inlineStr">
        <is>
          <t>14828098</t>
        </is>
      </c>
      <c r="B126" t="inlineStr">
        <is>
          <t>28030770-0977-4d2a-afe0-f422a0e30ef7</t>
        </is>
      </c>
      <c r="D126" t="inlineStr">
        <is>
          <t>111111123</t>
        </is>
      </c>
      <c r="E126" t="inlineStr">
        <is>
          <t>Vodacom Life 20260603</t>
        </is>
      </c>
      <c r="J126" t="inlineStr">
        <is>
          <t>AE</t>
        </is>
      </c>
      <c r="K126" t="inlineStr">
        <is>
          <t>Auto Engaged</t>
        </is>
      </c>
      <c r="L126" t="n">
        <v>7</v>
      </c>
      <c r="M126" t="inlineStr">
        <is>
          <t>2026-06-15 08:26:23</t>
        </is>
      </c>
      <c r="N126" t="inlineStr">
        <is>
          <t>system</t>
        </is>
      </c>
      <c r="O126" t="inlineStr">
        <is>
          <t>2026-06-08 05:25:27</t>
        </is>
      </c>
      <c r="P126" t="inlineStr">
        <is>
          <t>2026-06-08 05:25:27</t>
        </is>
      </c>
      <c r="Y126" t="inlineStr">
        <is>
          <t>27769895283</t>
        </is>
      </c>
    </row>
    <row r="127">
      <c r="A127" t="inlineStr">
        <is>
          <t>14827985</t>
        </is>
      </c>
      <c r="B127" t="inlineStr">
        <is>
          <t>8670bae1-f18c-46c3-8b55-33ab5b8c9b18</t>
        </is>
      </c>
      <c r="D127" t="inlineStr">
        <is>
          <t>111111123</t>
        </is>
      </c>
      <c r="E127" t="inlineStr">
        <is>
          <t>Vodacom Life 20260603</t>
        </is>
      </c>
      <c r="J127" t="inlineStr">
        <is>
          <t>AA</t>
        </is>
      </c>
      <c r="K127" t="inlineStr">
        <is>
          <t>Answering Machine Autodial</t>
        </is>
      </c>
      <c r="L127" t="n">
        <v>7</v>
      </c>
      <c r="M127" t="inlineStr">
        <is>
          <t>2026-06-15 08:18:28</t>
        </is>
      </c>
      <c r="N127" t="inlineStr">
        <is>
          <t>system</t>
        </is>
      </c>
      <c r="O127" t="inlineStr">
        <is>
          <t>2026-06-08 05:25:27</t>
        </is>
      </c>
      <c r="P127" t="inlineStr">
        <is>
          <t>2026-06-08 05:25:27</t>
        </is>
      </c>
      <c r="Y127" t="inlineStr">
        <is>
          <t>27647601181</t>
        </is>
      </c>
    </row>
    <row r="128">
      <c r="A128" t="inlineStr">
        <is>
          <t>14827987</t>
        </is>
      </c>
      <c r="B128" t="inlineStr">
        <is>
          <t>b7e2d4ea-8f49-4c82-8d4d-463500ba12ed</t>
        </is>
      </c>
      <c r="D128" t="inlineStr">
        <is>
          <t>111111123</t>
        </is>
      </c>
      <c r="E128" t="inlineStr">
        <is>
          <t>Vodacom Life 20260603</t>
        </is>
      </c>
      <c r="J128" t="inlineStr">
        <is>
          <t>DROP</t>
        </is>
      </c>
      <c r="K128" t="inlineStr">
        <is>
          <t>Dropped</t>
        </is>
      </c>
      <c r="L128" t="n">
        <v>7</v>
      </c>
      <c r="M128" t="inlineStr">
        <is>
          <t>2026-06-15 08:18:28</t>
        </is>
      </c>
      <c r="N128" t="inlineStr">
        <is>
          <t>system</t>
        </is>
      </c>
      <c r="O128" t="inlineStr">
        <is>
          <t>2026-06-08 05:25:27</t>
        </is>
      </c>
      <c r="P128" t="inlineStr">
        <is>
          <t>2026-06-08 05:25:27</t>
        </is>
      </c>
      <c r="Y128" t="inlineStr">
        <is>
          <t>27765692886</t>
        </is>
      </c>
    </row>
    <row r="129">
      <c r="A129" t="inlineStr">
        <is>
          <t>14828111</t>
        </is>
      </c>
      <c r="B129" t="inlineStr">
        <is>
          <t>4cc7b832-a083-41c0-8798-4d534c74831b</t>
        </is>
      </c>
      <c r="D129" t="inlineStr">
        <is>
          <t>111111123</t>
        </is>
      </c>
      <c r="E129" t="inlineStr">
        <is>
          <t>Vodacom Life 20260603</t>
        </is>
      </c>
      <c r="J129" t="inlineStr">
        <is>
          <t>DROP</t>
        </is>
      </c>
      <c r="K129" t="inlineStr">
        <is>
          <t>Dropped</t>
        </is>
      </c>
      <c r="L129" t="n">
        <v>7</v>
      </c>
      <c r="M129" t="inlineStr">
        <is>
          <t>2026-06-15 08:18:28</t>
        </is>
      </c>
      <c r="N129" t="inlineStr">
        <is>
          <t>system</t>
        </is>
      </c>
      <c r="O129" t="inlineStr">
        <is>
          <t>2026-06-08 05:25:27</t>
        </is>
      </c>
      <c r="P129" t="inlineStr">
        <is>
          <t>2026-06-08 05:25:27</t>
        </is>
      </c>
      <c r="Y129" t="inlineStr">
        <is>
          <t>27729214050</t>
        </is>
      </c>
    </row>
    <row r="130">
      <c r="A130" t="inlineStr">
        <is>
          <t>14828238</t>
        </is>
      </c>
      <c r="B130" t="inlineStr">
        <is>
          <t>d1914c65-a9d5-44b2-863b-e7ca5b864e96</t>
        </is>
      </c>
      <c r="D130" t="inlineStr">
        <is>
          <t>111111123</t>
        </is>
      </c>
      <c r="E130" t="inlineStr">
        <is>
          <t>Vodacom Life 20260603</t>
        </is>
      </c>
      <c r="J130" t="inlineStr">
        <is>
          <t>AA</t>
        </is>
      </c>
      <c r="K130" t="inlineStr">
        <is>
          <t>Answering Machine Autodial</t>
        </is>
      </c>
      <c r="L130" t="n">
        <v>7</v>
      </c>
      <c r="M130" t="inlineStr">
        <is>
          <t>2026-06-15 08:18:28</t>
        </is>
      </c>
      <c r="N130" t="inlineStr">
        <is>
          <t>system</t>
        </is>
      </c>
      <c r="O130" t="inlineStr">
        <is>
          <t>2026-06-08 05:25:27</t>
        </is>
      </c>
      <c r="P130" t="inlineStr">
        <is>
          <t>2026-06-08 05:25:27</t>
        </is>
      </c>
      <c r="Y130" t="inlineStr">
        <is>
          <t>27768403054</t>
        </is>
      </c>
    </row>
    <row r="131">
      <c r="A131" t="inlineStr">
        <is>
          <t>14828450</t>
        </is>
      </c>
      <c r="B131" t="inlineStr">
        <is>
          <t>64d6bb70-75b1-4e3a-86a2-779c24964a33</t>
        </is>
      </c>
      <c r="D131" t="inlineStr">
        <is>
          <t>111111123</t>
        </is>
      </c>
      <c r="E131" t="inlineStr">
        <is>
          <t>Vodacom Life 20260603</t>
        </is>
      </c>
      <c r="H131" t="inlineStr">
        <is>
          <t>27725490015</t>
        </is>
      </c>
      <c r="J131" t="inlineStr">
        <is>
          <t>IABDN</t>
        </is>
      </c>
      <c r="K131" t="inlineStr">
        <is>
          <t>Inbound Abandon</t>
        </is>
      </c>
      <c r="L131" t="n">
        <v>7</v>
      </c>
      <c r="M131" t="inlineStr">
        <is>
          <t>2026-06-15 08:10:14</t>
        </is>
      </c>
      <c r="N131" t="inlineStr">
        <is>
          <t>system</t>
        </is>
      </c>
      <c r="O131" t="inlineStr">
        <is>
          <t>2026-06-08 05:25:27</t>
        </is>
      </c>
      <c r="P131" t="inlineStr">
        <is>
          <t>2026-06-08 05:25:27</t>
        </is>
      </c>
      <c r="Y131" t="inlineStr">
        <is>
          <t>27725490015</t>
        </is>
      </c>
    </row>
    <row r="132">
      <c r="A132" t="inlineStr">
        <is>
          <t>14828307</t>
        </is>
      </c>
      <c r="B132" t="inlineStr">
        <is>
          <t>4e5f51db-409d-4a56-be4b-8501b05327a3</t>
        </is>
      </c>
      <c r="D132" t="inlineStr">
        <is>
          <t>111111123</t>
        </is>
      </c>
      <c r="E132" t="inlineStr">
        <is>
          <t>Vodacom Life 20260603</t>
        </is>
      </c>
      <c r="H132" t="inlineStr">
        <is>
          <t>27675374329</t>
        </is>
      </c>
      <c r="J132" t="inlineStr">
        <is>
          <t>IABDN</t>
        </is>
      </c>
      <c r="K132" t="inlineStr">
        <is>
          <t>Inbound Abandon</t>
        </is>
      </c>
      <c r="L132" t="n">
        <v>7</v>
      </c>
      <c r="M132" t="inlineStr">
        <is>
          <t>2026-06-15 08:10:08</t>
        </is>
      </c>
      <c r="N132" t="inlineStr">
        <is>
          <t>system</t>
        </is>
      </c>
      <c r="O132" t="inlineStr">
        <is>
          <t>2026-06-08 05:25:27</t>
        </is>
      </c>
      <c r="P132" t="inlineStr">
        <is>
          <t>2026-06-08 05:25:27</t>
        </is>
      </c>
      <c r="Y132" t="inlineStr">
        <is>
          <t>27675374329</t>
        </is>
      </c>
    </row>
    <row r="133">
      <c r="A133" t="inlineStr">
        <is>
          <t>14827992</t>
        </is>
      </c>
      <c r="B133" t="inlineStr">
        <is>
          <t>33aa5d81-03ae-43d2-9984-fc9b2bcbe60f</t>
        </is>
      </c>
      <c r="D133" t="inlineStr">
        <is>
          <t>111111123</t>
        </is>
      </c>
      <c r="E133" t="inlineStr">
        <is>
          <t>Vodacom Life 20260603</t>
        </is>
      </c>
      <c r="H133" t="inlineStr">
        <is>
          <t>27791902660</t>
        </is>
      </c>
      <c r="J133" t="inlineStr">
        <is>
          <t>AE</t>
        </is>
      </c>
      <c r="K133" t="inlineStr">
        <is>
          <t>Auto Engaged</t>
        </is>
      </c>
      <c r="L133" t="n">
        <v>7</v>
      </c>
      <c r="M133" t="inlineStr">
        <is>
          <t>2026-06-15 08:07:28</t>
        </is>
      </c>
      <c r="N133" t="inlineStr">
        <is>
          <t>system</t>
        </is>
      </c>
      <c r="O133" t="inlineStr">
        <is>
          <t>2026-06-08 05:25:27</t>
        </is>
      </c>
      <c r="P133" t="inlineStr">
        <is>
          <t>2026-06-08 05:25:27</t>
        </is>
      </c>
      <c r="Y133" t="inlineStr">
        <is>
          <t>27791902660</t>
        </is>
      </c>
    </row>
    <row r="134">
      <c r="A134" t="inlineStr">
        <is>
          <t>14827994</t>
        </is>
      </c>
      <c r="B134" t="inlineStr">
        <is>
          <t>90baaa71-8fb7-4a89-9ba5-cb50a54923e0</t>
        </is>
      </c>
      <c r="D134" t="inlineStr">
        <is>
          <t>111111123</t>
        </is>
      </c>
      <c r="E134" t="inlineStr">
        <is>
          <t>Vodacom Life 20260603</t>
        </is>
      </c>
      <c r="J134" t="inlineStr">
        <is>
          <t>AE</t>
        </is>
      </c>
      <c r="K134" t="inlineStr">
        <is>
          <t>Auto Engaged</t>
        </is>
      </c>
      <c r="L134" t="n">
        <v>7</v>
      </c>
      <c r="M134" t="inlineStr">
        <is>
          <t>2026-06-15 08:07:28</t>
        </is>
      </c>
      <c r="N134" t="inlineStr">
        <is>
          <t>system</t>
        </is>
      </c>
      <c r="O134" t="inlineStr">
        <is>
          <t>2026-06-08 05:25:27</t>
        </is>
      </c>
      <c r="P134" t="inlineStr">
        <is>
          <t>2026-06-08 05:25:27</t>
        </is>
      </c>
      <c r="Y134" t="inlineStr">
        <is>
          <t>27822537511</t>
        </is>
      </c>
    </row>
    <row r="135">
      <c r="A135" t="inlineStr">
        <is>
          <t>14828113</t>
        </is>
      </c>
      <c r="B135" t="inlineStr">
        <is>
          <t>264638c5-6f3c-4888-ae6d-1855748e3f80</t>
        </is>
      </c>
      <c r="D135" t="inlineStr">
        <is>
          <t>111111123</t>
        </is>
      </c>
      <c r="E135" t="inlineStr">
        <is>
          <t>Vodacom Life 20260603</t>
        </is>
      </c>
      <c r="J135" t="inlineStr">
        <is>
          <t>NA</t>
        </is>
      </c>
      <c r="K135" t="inlineStr">
        <is>
          <t>No Answer Autodial</t>
        </is>
      </c>
      <c r="L135" t="n">
        <v>7</v>
      </c>
      <c r="M135" t="inlineStr">
        <is>
          <t>2026-06-15 08:07:28</t>
        </is>
      </c>
      <c r="N135" t="inlineStr">
        <is>
          <t>system</t>
        </is>
      </c>
      <c r="O135" t="inlineStr">
        <is>
          <t>2026-06-08 05:25:27</t>
        </is>
      </c>
      <c r="P135" t="inlineStr">
        <is>
          <t>2026-06-08 05:25:27</t>
        </is>
      </c>
      <c r="Y135" t="inlineStr">
        <is>
          <t>27763081335</t>
        </is>
      </c>
    </row>
    <row r="136">
      <c r="A136" t="inlineStr">
        <is>
          <t>14828239</t>
        </is>
      </c>
      <c r="B136" t="inlineStr">
        <is>
          <t>44589d84-192a-4bfa-8088-12b1096066d8</t>
        </is>
      </c>
      <c r="D136" t="inlineStr">
        <is>
          <t>111111123</t>
        </is>
      </c>
      <c r="E136" t="inlineStr">
        <is>
          <t>Vodacom Life 20260603</t>
        </is>
      </c>
      <c r="J136" t="inlineStr">
        <is>
          <t>AA</t>
        </is>
      </c>
      <c r="K136" t="inlineStr">
        <is>
          <t>Answering Machine Autodial</t>
        </is>
      </c>
      <c r="L136" t="n">
        <v>7</v>
      </c>
      <c r="M136" t="inlineStr">
        <is>
          <t>2026-06-15 08:07:28</t>
        </is>
      </c>
      <c r="N136" t="inlineStr">
        <is>
          <t>system</t>
        </is>
      </c>
      <c r="O136" t="inlineStr">
        <is>
          <t>2026-06-08 05:25:27</t>
        </is>
      </c>
      <c r="P136" t="inlineStr">
        <is>
          <t>2026-06-08 05:25:27</t>
        </is>
      </c>
      <c r="Y136" t="inlineStr">
        <is>
          <t>27791174053</t>
        </is>
      </c>
    </row>
    <row r="137">
      <c r="A137" t="inlineStr">
        <is>
          <t>14828050</t>
        </is>
      </c>
      <c r="B137" t="inlineStr">
        <is>
          <t>6e74fb0d-cf94-4d63-bba7-699bb4966a2d</t>
        </is>
      </c>
      <c r="D137" t="inlineStr">
        <is>
          <t>111111123</t>
        </is>
      </c>
      <c r="E137" t="inlineStr">
        <is>
          <t>Vodacom Life 20260603</t>
        </is>
      </c>
      <c r="J137" t="inlineStr">
        <is>
          <t>AF</t>
        </is>
      </c>
      <c r="K137" t="inlineStr">
        <is>
          <t>Cannot Afford</t>
        </is>
      </c>
      <c r="L137" t="n">
        <v>7</v>
      </c>
      <c r="M137" t="inlineStr">
        <is>
          <t>2026-06-15 08:02:51</t>
        </is>
      </c>
      <c r="N137" t="inlineStr">
        <is>
          <t>Maureen Ntsoko</t>
        </is>
      </c>
      <c r="O137" t="inlineStr">
        <is>
          <t>2026-06-08 05:25:27</t>
        </is>
      </c>
      <c r="P137" t="inlineStr">
        <is>
          <t>2026-06-08 05:25:27</t>
        </is>
      </c>
      <c r="Y137" t="inlineStr">
        <is>
          <t>27796371747</t>
        </is>
      </c>
    </row>
    <row r="138">
      <c r="A138" t="inlineStr">
        <is>
          <t>14828288</t>
        </is>
      </c>
      <c r="B138" t="inlineStr">
        <is>
          <t>f22a8285-a075-4b6e-95ec-6513c892a33f</t>
        </is>
      </c>
      <c r="D138" t="inlineStr">
        <is>
          <t>111111123</t>
        </is>
      </c>
      <c r="E138" t="inlineStr">
        <is>
          <t>Vodacom Life 20260603</t>
        </is>
      </c>
      <c r="J138" t="inlineStr">
        <is>
          <t>AE</t>
        </is>
      </c>
      <c r="K138" t="inlineStr">
        <is>
          <t>Auto Engaged</t>
        </is>
      </c>
      <c r="L138" t="n">
        <v>7</v>
      </c>
      <c r="M138" t="inlineStr">
        <is>
          <t>2026-06-15 08:02:47</t>
        </is>
      </c>
      <c r="N138" t="inlineStr">
        <is>
          <t>system</t>
        </is>
      </c>
      <c r="O138" t="inlineStr">
        <is>
          <t>2026-06-08 05:25:27</t>
        </is>
      </c>
      <c r="P138" t="inlineStr">
        <is>
          <t>2026-06-08 05:25:27</t>
        </is>
      </c>
      <c r="Y138" t="inlineStr">
        <is>
          <t>27823663017</t>
        </is>
      </c>
    </row>
    <row r="139">
      <c r="A139" t="inlineStr">
        <is>
          <t>14828251</t>
        </is>
      </c>
      <c r="B139" t="inlineStr">
        <is>
          <t>e16fb76a-2f31-4e66-ab99-eddac8b0afe1</t>
        </is>
      </c>
      <c r="D139" t="inlineStr">
        <is>
          <t>111111123</t>
        </is>
      </c>
      <c r="E139" t="inlineStr">
        <is>
          <t>Vodacom Life 20260603</t>
        </is>
      </c>
      <c r="H139" t="inlineStr">
        <is>
          <t>27764120556</t>
        </is>
      </c>
      <c r="J139" t="inlineStr">
        <is>
          <t>AA</t>
        </is>
      </c>
      <c r="K139" t="inlineStr">
        <is>
          <t>Answering Machine Autodial</t>
        </is>
      </c>
      <c r="L139" t="n">
        <v>7</v>
      </c>
      <c r="M139" t="inlineStr">
        <is>
          <t>2026-06-15 08:02:47</t>
        </is>
      </c>
      <c r="N139" t="inlineStr">
        <is>
          <t>system</t>
        </is>
      </c>
      <c r="O139" t="inlineStr">
        <is>
          <t>2026-06-08 05:25:27</t>
        </is>
      </c>
      <c r="P139" t="inlineStr">
        <is>
          <t>2026-06-08 05:25:27</t>
        </is>
      </c>
      <c r="Y139" t="inlineStr">
        <is>
          <t>27764120556</t>
        </is>
      </c>
    </row>
    <row r="140">
      <c r="A140" t="inlineStr">
        <is>
          <t>14800000</t>
        </is>
      </c>
      <c r="B140" t="inlineStr">
        <is>
          <t>e0081740-f7d8-4956-8193-5eb0937fe39f</t>
        </is>
      </c>
      <c r="D140" t="inlineStr">
        <is>
          <t>111111123</t>
        </is>
      </c>
      <c r="E140" t="inlineStr">
        <is>
          <t>Vodacom Life 20260603</t>
        </is>
      </c>
      <c r="H140" t="inlineStr">
        <is>
          <t>27716491517</t>
        </is>
      </c>
      <c r="J140" t="inlineStr">
        <is>
          <t>CCB</t>
        </is>
      </c>
      <c r="K140" t="inlineStr">
        <is>
          <t>Call Dropped</t>
        </is>
      </c>
      <c r="L140" t="n">
        <v>7</v>
      </c>
      <c r="M140" t="inlineStr">
        <is>
          <t>2026-06-15 08:01:57</t>
        </is>
      </c>
      <c r="N140" t="inlineStr">
        <is>
          <t>Maureen Ntsoko</t>
        </is>
      </c>
      <c r="O140" t="inlineStr">
        <is>
          <t>2026-06-08 05:25:27</t>
        </is>
      </c>
      <c r="P140" t="inlineStr">
        <is>
          <t>2026-06-08 05:25:27</t>
        </is>
      </c>
      <c r="Y140" t="inlineStr">
        <is>
          <t>27716491517</t>
        </is>
      </c>
    </row>
    <row r="141">
      <c r="A141" t="inlineStr">
        <is>
          <t>14828010</t>
        </is>
      </c>
      <c r="B141" t="inlineStr">
        <is>
          <t>decdb031-b367-429c-9493-8447c2dc6dd9</t>
        </is>
      </c>
      <c r="D141" t="inlineStr">
        <is>
          <t>111111123</t>
        </is>
      </c>
      <c r="E141" t="inlineStr">
        <is>
          <t>Vodacom Life 20260603</t>
        </is>
      </c>
      <c r="J141" t="inlineStr">
        <is>
          <t>NA</t>
        </is>
      </c>
      <c r="K141" t="inlineStr">
        <is>
          <t>No Answer Autodial</t>
        </is>
      </c>
      <c r="L141" t="n">
        <v>7</v>
      </c>
      <c r="M141" t="inlineStr">
        <is>
          <t>2026-06-15 08:01:56</t>
        </is>
      </c>
      <c r="N141" t="inlineStr">
        <is>
          <t>system</t>
        </is>
      </c>
      <c r="O141" t="inlineStr">
        <is>
          <t>2026-06-08 05:25:27</t>
        </is>
      </c>
      <c r="P141" t="inlineStr">
        <is>
          <t>2026-06-08 05:25:27</t>
        </is>
      </c>
      <c r="Y141" t="inlineStr">
        <is>
          <t>27793213515</t>
        </is>
      </c>
    </row>
    <row r="142">
      <c r="A142" t="inlineStr">
        <is>
          <t>14828013</t>
        </is>
      </c>
      <c r="B142" t="inlineStr">
        <is>
          <t>8627abb8-15e3-4cd2-ba1e-98263ea5198c</t>
        </is>
      </c>
      <c r="D142" t="inlineStr">
        <is>
          <t>111111123</t>
        </is>
      </c>
      <c r="E142" t="inlineStr">
        <is>
          <t>Vodacom Life 20260603</t>
        </is>
      </c>
      <c r="J142" t="inlineStr">
        <is>
          <t>NA</t>
        </is>
      </c>
      <c r="K142" t="inlineStr">
        <is>
          <t>No Answer Autodial</t>
        </is>
      </c>
      <c r="L142" t="n">
        <v>7</v>
      </c>
      <c r="M142" t="inlineStr">
        <is>
          <t>2026-06-15 08:01:56</t>
        </is>
      </c>
      <c r="N142" t="inlineStr">
        <is>
          <t>system</t>
        </is>
      </c>
      <c r="O142" t="inlineStr">
        <is>
          <t>2026-06-08 05:25:27</t>
        </is>
      </c>
      <c r="P142" t="inlineStr">
        <is>
          <t>2026-06-08 05:25:27</t>
        </is>
      </c>
      <c r="Y142" t="inlineStr">
        <is>
          <t>27725990370</t>
        </is>
      </c>
    </row>
    <row r="143">
      <c r="A143" t="inlineStr">
        <is>
          <t>14828130</t>
        </is>
      </c>
      <c r="B143" t="inlineStr">
        <is>
          <t>ffafd947-b3cd-45ab-a72c-dbf62d6e44cc</t>
        </is>
      </c>
      <c r="D143" t="inlineStr">
        <is>
          <t>111111123</t>
        </is>
      </c>
      <c r="E143" t="inlineStr">
        <is>
          <t>Vodacom Life 20260603</t>
        </is>
      </c>
      <c r="J143" t="inlineStr">
        <is>
          <t>CU</t>
        </is>
      </c>
      <c r="K143" t="inlineStr">
        <is>
          <t>Client Hung Up</t>
        </is>
      </c>
      <c r="L143" t="n">
        <v>7</v>
      </c>
      <c r="M143" t="inlineStr">
        <is>
          <t>2026-06-15 08:01:55</t>
        </is>
      </c>
      <c r="N143" t="inlineStr">
        <is>
          <t>Maureen Ntsoko</t>
        </is>
      </c>
      <c r="O143" t="inlineStr">
        <is>
          <t>2026-06-08 05:25:27</t>
        </is>
      </c>
      <c r="P143" t="inlineStr">
        <is>
          <t>2026-06-08 05:25:27</t>
        </is>
      </c>
      <c r="Y143" t="inlineStr">
        <is>
          <t>27764359173</t>
        </is>
      </c>
    </row>
    <row r="144">
      <c r="A144" t="inlineStr">
        <is>
          <t>14828249</t>
        </is>
      </c>
      <c r="B144" t="inlineStr">
        <is>
          <t>854f6df7-c786-4a09-bea2-8b1f350f9dfb</t>
        </is>
      </c>
      <c r="D144" t="inlineStr">
        <is>
          <t>111111123</t>
        </is>
      </c>
      <c r="E144" t="inlineStr">
        <is>
          <t>Vodacom Life 20260603</t>
        </is>
      </c>
      <c r="J144" t="inlineStr">
        <is>
          <t>AE</t>
        </is>
      </c>
      <c r="K144" t="inlineStr">
        <is>
          <t>Auto Engaged</t>
        </is>
      </c>
      <c r="L144" t="n">
        <v>7</v>
      </c>
      <c r="M144" t="inlineStr">
        <is>
          <t>2026-06-15 08:01:15</t>
        </is>
      </c>
      <c r="N144" t="inlineStr">
        <is>
          <t>system</t>
        </is>
      </c>
      <c r="O144" t="inlineStr">
        <is>
          <t>2026-06-08 05:25:27</t>
        </is>
      </c>
      <c r="P144" t="inlineStr">
        <is>
          <t>2026-06-08 05:25:27</t>
        </is>
      </c>
      <c r="Y144" t="inlineStr">
        <is>
          <t>27740264401</t>
        </is>
      </c>
    </row>
    <row r="145">
      <c r="A145" t="inlineStr">
        <is>
          <t>14827975</t>
        </is>
      </c>
      <c r="B145" t="inlineStr">
        <is>
          <t>745ad1fa-c9df-4687-a7ba-d17f25bd7cf9</t>
        </is>
      </c>
      <c r="D145" t="inlineStr">
        <is>
          <t>111111123</t>
        </is>
      </c>
      <c r="E145" t="inlineStr">
        <is>
          <t>Vodacom Life 20260603</t>
        </is>
      </c>
      <c r="J145" t="inlineStr">
        <is>
          <t>CCB</t>
        </is>
      </c>
      <c r="K145" t="inlineStr">
        <is>
          <t>Call Dropped</t>
        </is>
      </c>
      <c r="L145" t="n">
        <v>7</v>
      </c>
      <c r="M145" t="inlineStr">
        <is>
          <t>2026-06-15 08:01:05</t>
        </is>
      </c>
      <c r="N145" t="inlineStr">
        <is>
          <t>Maureen Ntsoko</t>
        </is>
      </c>
      <c r="O145" t="inlineStr">
        <is>
          <t>2026-06-08 05:25:27</t>
        </is>
      </c>
      <c r="P145" t="inlineStr">
        <is>
          <t>2026-06-08 05:25:27</t>
        </is>
      </c>
      <c r="Y145" t="inlineStr">
        <is>
          <t>27720363705</t>
        </is>
      </c>
    </row>
    <row r="146">
      <c r="A146" t="inlineStr">
        <is>
          <t>14828102</t>
        </is>
      </c>
      <c r="B146" t="inlineStr">
        <is>
          <t>0c2f15c9-ec70-4a52-b395-ed4369d4a36c</t>
        </is>
      </c>
      <c r="D146" t="inlineStr">
        <is>
          <t>111111123</t>
        </is>
      </c>
      <c r="E146" t="inlineStr">
        <is>
          <t>Vodacom Life 20260603</t>
        </is>
      </c>
      <c r="J146" t="inlineStr">
        <is>
          <t>AA</t>
        </is>
      </c>
      <c r="K146" t="inlineStr">
        <is>
          <t>Answering Machine Autodial</t>
        </is>
      </c>
      <c r="L146" t="n">
        <v>7</v>
      </c>
      <c r="M146" t="inlineStr">
        <is>
          <t>2026-06-15 08:01:05</t>
        </is>
      </c>
      <c r="N146" t="inlineStr">
        <is>
          <t>system</t>
        </is>
      </c>
      <c r="O146" t="inlineStr">
        <is>
          <t>2026-06-08 05:25:27</t>
        </is>
      </c>
      <c r="P146" t="inlineStr">
        <is>
          <t>2026-06-08 05:25:27</t>
        </is>
      </c>
      <c r="Y146" t="inlineStr">
        <is>
          <t>27764796684</t>
        </is>
      </c>
    </row>
    <row r="147">
      <c r="A147" t="inlineStr">
        <is>
          <t>14828257</t>
        </is>
      </c>
      <c r="B147" t="inlineStr">
        <is>
          <t>4d7bea77-3e36-4c16-82b8-20b0ec090431</t>
        </is>
      </c>
      <c r="D147" t="inlineStr">
        <is>
          <t>111111123</t>
        </is>
      </c>
      <c r="E147" t="inlineStr">
        <is>
          <t>Vodacom Life 20260603</t>
        </is>
      </c>
      <c r="J147" t="inlineStr">
        <is>
          <t>NA</t>
        </is>
      </c>
      <c r="K147" t="inlineStr">
        <is>
          <t>No Answer Autodial</t>
        </is>
      </c>
      <c r="L147" t="n">
        <v>7</v>
      </c>
      <c r="M147" t="inlineStr">
        <is>
          <t>2026-06-15 08:01:05</t>
        </is>
      </c>
      <c r="N147" t="inlineStr">
        <is>
          <t>system</t>
        </is>
      </c>
      <c r="O147" t="inlineStr">
        <is>
          <t>2026-06-08 05:25:27</t>
        </is>
      </c>
      <c r="P147" t="inlineStr">
        <is>
          <t>2026-06-08 05:25:27</t>
        </is>
      </c>
      <c r="Y147" t="inlineStr">
        <is>
          <t>27823561868</t>
        </is>
      </c>
    </row>
    <row r="148">
      <c r="A148" t="inlineStr">
        <is>
          <t>14828406</t>
        </is>
      </c>
      <c r="B148" t="inlineStr">
        <is>
          <t>3551656b-dc5d-4b76-b4b1-4620c6bdde85</t>
        </is>
      </c>
      <c r="D148" t="inlineStr">
        <is>
          <t>111111123</t>
        </is>
      </c>
      <c r="E148" t="inlineStr">
        <is>
          <t>Vodacom Life 20260603</t>
        </is>
      </c>
      <c r="J148" t="inlineStr">
        <is>
          <t>AA</t>
        </is>
      </c>
      <c r="K148" t="inlineStr">
        <is>
          <t>Answering Machine Autodial</t>
        </is>
      </c>
      <c r="L148" t="n">
        <v>7</v>
      </c>
      <c r="M148" t="inlineStr">
        <is>
          <t>2026-06-15 08:01:05</t>
        </is>
      </c>
      <c r="N148" t="inlineStr">
        <is>
          <t>system</t>
        </is>
      </c>
      <c r="O148" t="inlineStr">
        <is>
          <t>2026-06-08 05:25:27</t>
        </is>
      </c>
      <c r="P148" t="inlineStr">
        <is>
          <t>2026-06-08 05:25:27</t>
        </is>
      </c>
      <c r="Y148" t="inlineStr">
        <is>
          <t>27714543107</t>
        </is>
      </c>
    </row>
    <row r="149">
      <c r="A149" t="inlineStr">
        <is>
          <t>14828244</t>
        </is>
      </c>
      <c r="B149" t="inlineStr">
        <is>
          <t>f2aca32f-585d-45b5-be22-44a3553b9f86</t>
        </is>
      </c>
      <c r="D149" t="inlineStr">
        <is>
          <t>111111123</t>
        </is>
      </c>
      <c r="E149" t="inlineStr">
        <is>
          <t>Vodacom Life 20260603</t>
        </is>
      </c>
      <c r="H149" t="inlineStr">
        <is>
          <t>27829343926</t>
        </is>
      </c>
      <c r="J149" t="inlineStr">
        <is>
          <t>AA</t>
        </is>
      </c>
      <c r="K149" t="inlineStr">
        <is>
          <t>Answering Machine Autodial</t>
        </is>
      </c>
      <c r="L149" t="n">
        <v>7</v>
      </c>
      <c r="M149" t="inlineStr">
        <is>
          <t>2026-06-15 07:58:13</t>
        </is>
      </c>
      <c r="N149" t="inlineStr">
        <is>
          <t>system</t>
        </is>
      </c>
      <c r="O149" t="inlineStr">
        <is>
          <t>2026-06-08 05:25:27</t>
        </is>
      </c>
      <c r="P149" t="inlineStr">
        <is>
          <t>2026-06-08 05:25:27</t>
        </is>
      </c>
      <c r="Y149" t="inlineStr">
        <is>
          <t>27829343926</t>
        </is>
      </c>
    </row>
    <row r="150">
      <c r="A150" t="inlineStr">
        <is>
          <t>14828081</t>
        </is>
      </c>
      <c r="B150" t="inlineStr">
        <is>
          <t>087bca17-a60b-4bfe-8da2-56de9ecaa6a6</t>
        </is>
      </c>
      <c r="D150" t="inlineStr">
        <is>
          <t>111111123</t>
        </is>
      </c>
      <c r="E150" t="inlineStr">
        <is>
          <t>Vodacom Life 20260603</t>
        </is>
      </c>
      <c r="J150" t="inlineStr">
        <is>
          <t>AE</t>
        </is>
      </c>
      <c r="K150" t="inlineStr">
        <is>
          <t>Auto Engaged</t>
        </is>
      </c>
      <c r="L150" t="n">
        <v>7</v>
      </c>
      <c r="M150" t="inlineStr">
        <is>
          <t>2026-06-15 07:58:12</t>
        </is>
      </c>
      <c r="N150" t="inlineStr">
        <is>
          <t>system</t>
        </is>
      </c>
      <c r="O150" t="inlineStr">
        <is>
          <t>2026-06-08 05:25:27</t>
        </is>
      </c>
      <c r="P150" t="inlineStr">
        <is>
          <t>2026-06-08 05:25:27</t>
        </is>
      </c>
      <c r="Y150" t="inlineStr">
        <is>
          <t>27764031759</t>
        </is>
      </c>
    </row>
    <row r="151">
      <c r="A151" t="inlineStr">
        <is>
          <t>14828096</t>
        </is>
      </c>
      <c r="B151" t="inlineStr">
        <is>
          <t>0297950f-87f5-4ae0-b2df-fd8efb812b48</t>
        </is>
      </c>
      <c r="D151" t="inlineStr">
        <is>
          <t>111111123</t>
        </is>
      </c>
      <c r="E151" t="inlineStr">
        <is>
          <t>Vodacom Life 20260603</t>
        </is>
      </c>
      <c r="J151" t="inlineStr">
        <is>
          <t>NA</t>
        </is>
      </c>
      <c r="K151" t="inlineStr">
        <is>
          <t>No Answer Autodial</t>
        </is>
      </c>
      <c r="L151" t="n">
        <v>7</v>
      </c>
      <c r="M151" t="inlineStr">
        <is>
          <t>2026-06-15 07:58:12</t>
        </is>
      </c>
      <c r="N151" t="inlineStr">
        <is>
          <t>system</t>
        </is>
      </c>
      <c r="O151" t="inlineStr">
        <is>
          <t>2026-06-08 05:25:27</t>
        </is>
      </c>
      <c r="P151" t="inlineStr">
        <is>
          <t>2026-06-08 05:25:27</t>
        </is>
      </c>
      <c r="Y151" t="inlineStr">
        <is>
          <t>27762539601</t>
        </is>
      </c>
    </row>
    <row r="152">
      <c r="A152" t="inlineStr">
        <is>
          <t>14828295</t>
        </is>
      </c>
      <c r="B152" t="inlineStr">
        <is>
          <t>d0522f1f-a547-4ae8-9080-30dbf27fe4c2</t>
        </is>
      </c>
      <c r="D152" t="inlineStr">
        <is>
          <t>111111123</t>
        </is>
      </c>
      <c r="E152" t="inlineStr">
        <is>
          <t>Vodacom Life 20260603</t>
        </is>
      </c>
      <c r="H152" t="inlineStr">
        <is>
          <t>27637646773</t>
        </is>
      </c>
      <c r="J152" t="inlineStr">
        <is>
          <t>DROP</t>
        </is>
      </c>
      <c r="K152" t="inlineStr">
        <is>
          <t>Dropped</t>
        </is>
      </c>
      <c r="L152" t="n">
        <v>7</v>
      </c>
      <c r="M152" t="inlineStr">
        <is>
          <t>2026-06-15 07:58:12</t>
        </is>
      </c>
      <c r="N152" t="inlineStr">
        <is>
          <t>system</t>
        </is>
      </c>
      <c r="O152" t="inlineStr">
        <is>
          <t>2026-06-08 05:25:27</t>
        </is>
      </c>
      <c r="P152" t="inlineStr">
        <is>
          <t>2026-06-08 05:25:27</t>
        </is>
      </c>
      <c r="Y152" t="inlineStr">
        <is>
          <t>27637646773</t>
        </is>
      </c>
    </row>
    <row r="153">
      <c r="A153" t="inlineStr">
        <is>
          <t>14828045</t>
        </is>
      </c>
      <c r="B153" t="inlineStr">
        <is>
          <t>222f1c39-bd91-464f-9d42-846dea9b10d5</t>
        </is>
      </c>
      <c r="D153" t="inlineStr">
        <is>
          <t>111111123</t>
        </is>
      </c>
      <c r="E153" t="inlineStr">
        <is>
          <t>Vodacom Life 20260603</t>
        </is>
      </c>
      <c r="H153" t="inlineStr">
        <is>
          <t>27761093931</t>
        </is>
      </c>
      <c r="J153" t="inlineStr">
        <is>
          <t>DROP</t>
        </is>
      </c>
      <c r="K153" t="inlineStr">
        <is>
          <t>Dropped</t>
        </is>
      </c>
      <c r="L153" t="n">
        <v>7</v>
      </c>
      <c r="M153" t="inlineStr">
        <is>
          <t>2026-06-15 07:57:03</t>
        </is>
      </c>
      <c r="N153" t="inlineStr">
        <is>
          <t>system</t>
        </is>
      </c>
      <c r="O153" t="inlineStr">
        <is>
          <t>2026-06-08 05:25:27</t>
        </is>
      </c>
      <c r="P153" t="inlineStr">
        <is>
          <t>2026-06-08 05:25:27</t>
        </is>
      </c>
      <c r="Y153" t="inlineStr">
        <is>
          <t>27761093931</t>
        </is>
      </c>
    </row>
    <row r="154">
      <c r="A154" t="inlineStr">
        <is>
          <t>14828046</t>
        </is>
      </c>
      <c r="B154" t="inlineStr">
        <is>
          <t>387e0b92-409b-48db-ab13-4684ef906b9e</t>
        </is>
      </c>
      <c r="D154" t="inlineStr">
        <is>
          <t>111111123</t>
        </is>
      </c>
      <c r="E154" t="inlineStr">
        <is>
          <t>Vodacom Life 20260603</t>
        </is>
      </c>
      <c r="J154" t="inlineStr">
        <is>
          <t>AE</t>
        </is>
      </c>
      <c r="K154" t="inlineStr">
        <is>
          <t>Auto Engaged</t>
        </is>
      </c>
      <c r="L154" t="n">
        <v>7</v>
      </c>
      <c r="M154" t="inlineStr">
        <is>
          <t>2026-06-15 07:57:03</t>
        </is>
      </c>
      <c r="N154" t="inlineStr">
        <is>
          <t>system</t>
        </is>
      </c>
      <c r="O154" t="inlineStr">
        <is>
          <t>2026-06-08 05:25:27</t>
        </is>
      </c>
      <c r="P154" t="inlineStr">
        <is>
          <t>2026-06-08 05:25:27</t>
        </is>
      </c>
      <c r="Y154" t="inlineStr">
        <is>
          <t>27845661558</t>
        </is>
      </c>
    </row>
    <row r="155">
      <c r="A155" t="inlineStr">
        <is>
          <t>14828263</t>
        </is>
      </c>
      <c r="B155" t="inlineStr">
        <is>
          <t>4822869c-bb44-4910-9dc7-bfd5555fb2f0</t>
        </is>
      </c>
      <c r="D155" t="inlineStr">
        <is>
          <t>111111123</t>
        </is>
      </c>
      <c r="E155" t="inlineStr">
        <is>
          <t>Vodacom Life 20260603</t>
        </is>
      </c>
      <c r="H155" t="inlineStr">
        <is>
          <t>27624779176</t>
        </is>
      </c>
      <c r="J155" t="inlineStr">
        <is>
          <t>AA</t>
        </is>
      </c>
      <c r="K155" t="inlineStr">
        <is>
          <t>Answering Machine Autodial</t>
        </is>
      </c>
      <c r="L155" t="n">
        <v>7</v>
      </c>
      <c r="M155" t="inlineStr">
        <is>
          <t>2026-06-15 07:57:03</t>
        </is>
      </c>
      <c r="N155" t="inlineStr">
        <is>
          <t>system</t>
        </is>
      </c>
      <c r="O155" t="inlineStr">
        <is>
          <t>2026-06-08 05:25:27</t>
        </is>
      </c>
      <c r="P155" t="inlineStr">
        <is>
          <t>2026-06-08 05:25:27</t>
        </is>
      </c>
      <c r="Y155" t="inlineStr">
        <is>
          <t>27624779176</t>
        </is>
      </c>
    </row>
    <row r="156">
      <c r="A156" t="inlineStr">
        <is>
          <t>14828175</t>
        </is>
      </c>
      <c r="B156" t="inlineStr">
        <is>
          <t>efa3df18-21d6-42dd-8e94-f0d667761ea9</t>
        </is>
      </c>
      <c r="D156" t="inlineStr">
        <is>
          <t>111111123</t>
        </is>
      </c>
      <c r="E156" t="inlineStr">
        <is>
          <t>Vodacom Life 20260603</t>
        </is>
      </c>
      <c r="J156" t="inlineStr">
        <is>
          <t>AA</t>
        </is>
      </c>
      <c r="K156" t="inlineStr">
        <is>
          <t>Answering Machine Autodial</t>
        </is>
      </c>
      <c r="L156" t="n">
        <v>7</v>
      </c>
      <c r="M156" t="inlineStr">
        <is>
          <t>2026-06-15 07:57:03</t>
        </is>
      </c>
      <c r="N156" t="inlineStr">
        <is>
          <t>system</t>
        </is>
      </c>
      <c r="O156" t="inlineStr">
        <is>
          <t>2026-06-08 05:25:27</t>
        </is>
      </c>
      <c r="P156" t="inlineStr">
        <is>
          <t>2026-06-08 05:25:27</t>
        </is>
      </c>
      <c r="Y156" t="inlineStr">
        <is>
          <t>27794124456</t>
        </is>
      </c>
    </row>
    <row r="157">
      <c r="A157" t="inlineStr">
        <is>
          <t>14827972</t>
        </is>
      </c>
      <c r="B157" t="inlineStr">
        <is>
          <t>c2711d79-50ff-4639-9e7a-48a0fdc0f057</t>
        </is>
      </c>
      <c r="D157" t="inlineStr">
        <is>
          <t>111111123</t>
        </is>
      </c>
      <c r="E157" t="inlineStr">
        <is>
          <t>Vodacom Life 20260603</t>
        </is>
      </c>
      <c r="J157" t="inlineStr">
        <is>
          <t>AA</t>
        </is>
      </c>
      <c r="K157" t="inlineStr">
        <is>
          <t>Answering Machine Autodial</t>
        </is>
      </c>
      <c r="L157" t="n">
        <v>7</v>
      </c>
      <c r="M157" t="inlineStr">
        <is>
          <t>2026-06-15 07:55:44</t>
        </is>
      </c>
      <c r="N157" t="inlineStr">
        <is>
          <t>system</t>
        </is>
      </c>
      <c r="O157" t="inlineStr">
        <is>
          <t>2026-06-08 05:25:27</t>
        </is>
      </c>
      <c r="P157" t="inlineStr">
        <is>
          <t>2026-06-08 05:25:27</t>
        </is>
      </c>
      <c r="Y157" t="inlineStr">
        <is>
          <t>27729270352</t>
        </is>
      </c>
    </row>
    <row r="158">
      <c r="A158" t="inlineStr">
        <is>
          <t>14828135</t>
        </is>
      </c>
      <c r="B158" t="inlineStr">
        <is>
          <t>e7c0decc-b756-4f82-a2dc-e6bdd03450aa</t>
        </is>
      </c>
      <c r="D158" t="inlineStr">
        <is>
          <t>111111123</t>
        </is>
      </c>
      <c r="E158" t="inlineStr">
        <is>
          <t>Vodacom Life 20260603</t>
        </is>
      </c>
      <c r="H158" t="inlineStr">
        <is>
          <t>27761621505</t>
        </is>
      </c>
      <c r="J158" t="inlineStr">
        <is>
          <t>AE</t>
        </is>
      </c>
      <c r="K158" t="inlineStr">
        <is>
          <t>Auto Engaged</t>
        </is>
      </c>
      <c r="L158" t="n">
        <v>7</v>
      </c>
      <c r="M158" t="inlineStr">
        <is>
          <t>2026-06-15 07:55:44</t>
        </is>
      </c>
      <c r="N158" t="inlineStr">
        <is>
          <t>system</t>
        </is>
      </c>
      <c r="O158" t="inlineStr">
        <is>
          <t>2026-06-08 05:25:27</t>
        </is>
      </c>
      <c r="P158" t="inlineStr">
        <is>
          <t>2026-06-08 05:25:27</t>
        </is>
      </c>
      <c r="Y158" t="inlineStr">
        <is>
          <t>27761621505</t>
        </is>
      </c>
    </row>
    <row r="159">
      <c r="A159" t="inlineStr">
        <is>
          <t>14828258</t>
        </is>
      </c>
      <c r="B159" t="inlineStr">
        <is>
          <t>43170e05-09b5-47e1-b46a-57360e2e8deb</t>
        </is>
      </c>
      <c r="D159" t="inlineStr">
        <is>
          <t>111111123</t>
        </is>
      </c>
      <c r="E159" t="inlineStr">
        <is>
          <t>Vodacom Life 20260603</t>
        </is>
      </c>
      <c r="J159" t="inlineStr">
        <is>
          <t>DROP</t>
        </is>
      </c>
      <c r="K159" t="inlineStr">
        <is>
          <t>Dropped</t>
        </is>
      </c>
      <c r="L159" t="n">
        <v>7</v>
      </c>
      <c r="M159" t="inlineStr">
        <is>
          <t>2026-06-15 07:55:44</t>
        </is>
      </c>
      <c r="N159" t="inlineStr">
        <is>
          <t>system</t>
        </is>
      </c>
      <c r="O159" t="inlineStr">
        <is>
          <t>2026-06-08 05:25:27</t>
        </is>
      </c>
      <c r="P159" t="inlineStr">
        <is>
          <t>2026-06-08 05:25:27</t>
        </is>
      </c>
      <c r="Y159" t="inlineStr">
        <is>
          <t>27829230644</t>
        </is>
      </c>
    </row>
    <row r="160">
      <c r="A160" t="inlineStr">
        <is>
          <t>14800000</t>
        </is>
      </c>
      <c r="B160" t="inlineStr">
        <is>
          <t>e8317920-d312-43be-8f0c-3e06e478a281</t>
        </is>
      </c>
      <c r="D160" t="inlineStr">
        <is>
          <t>111111123</t>
        </is>
      </c>
      <c r="E160" t="inlineStr">
        <is>
          <t>Vodacom Life 20260603</t>
        </is>
      </c>
      <c r="H160" t="inlineStr">
        <is>
          <t>27606272844</t>
        </is>
      </c>
      <c r="J160" t="inlineStr">
        <is>
          <t>DROP</t>
        </is>
      </c>
      <c r="K160" t="inlineStr">
        <is>
          <t>Dropped</t>
        </is>
      </c>
      <c r="L160" t="n">
        <v>7</v>
      </c>
      <c r="M160" t="inlineStr">
        <is>
          <t>2026-06-15 07:54:58</t>
        </is>
      </c>
      <c r="N160" t="inlineStr">
        <is>
          <t>system</t>
        </is>
      </c>
      <c r="O160" t="inlineStr">
        <is>
          <t>2026-06-08 05:25:27</t>
        </is>
      </c>
      <c r="P160" t="inlineStr">
        <is>
          <t>2026-06-08 05:25:27</t>
        </is>
      </c>
      <c r="Y160" t="inlineStr">
        <is>
          <t>27606272844</t>
        </is>
      </c>
    </row>
    <row r="161">
      <c r="A161" t="inlineStr">
        <is>
          <t>14828274</t>
        </is>
      </c>
      <c r="B161" t="inlineStr">
        <is>
          <t>08a0a65d-12b2-41a5-b6e1-1d71aa01a9c6</t>
        </is>
      </c>
      <c r="D161" t="inlineStr">
        <is>
          <t>111111123</t>
        </is>
      </c>
      <c r="E161" t="inlineStr">
        <is>
          <t>Vodacom Life 20260603</t>
        </is>
      </c>
      <c r="J161" t="inlineStr">
        <is>
          <t>AE</t>
        </is>
      </c>
      <c r="K161" t="inlineStr">
        <is>
          <t>Auto Engaged</t>
        </is>
      </c>
      <c r="L161" t="n">
        <v>7</v>
      </c>
      <c r="M161" t="inlineStr">
        <is>
          <t>2026-06-15 07:54:55</t>
        </is>
      </c>
      <c r="N161" t="inlineStr">
        <is>
          <t>system</t>
        </is>
      </c>
      <c r="O161" t="inlineStr">
        <is>
          <t>2026-06-08 05:25:27</t>
        </is>
      </c>
      <c r="P161" t="inlineStr">
        <is>
          <t>2026-06-08 05:25:27</t>
        </is>
      </c>
      <c r="Y161" t="inlineStr">
        <is>
          <t>27713440650</t>
        </is>
      </c>
    </row>
    <row r="162">
      <c r="A162" t="inlineStr">
        <is>
          <t>14828129</t>
        </is>
      </c>
      <c r="B162" t="inlineStr">
        <is>
          <t>b903a450-268d-4bbc-9522-aec8c636fd1d</t>
        </is>
      </c>
      <c r="D162" t="inlineStr">
        <is>
          <t>111111123</t>
        </is>
      </c>
      <c r="E162" t="inlineStr">
        <is>
          <t>Vodacom Life 20260603</t>
        </is>
      </c>
      <c r="J162" t="inlineStr">
        <is>
          <t>AA</t>
        </is>
      </c>
      <c r="K162" t="inlineStr">
        <is>
          <t>Answering Machine Autodial</t>
        </is>
      </c>
      <c r="L162" t="n">
        <v>7</v>
      </c>
      <c r="M162" t="inlineStr">
        <is>
          <t>2026-06-15 07:54:52</t>
        </is>
      </c>
      <c r="N162" t="inlineStr">
        <is>
          <t>system</t>
        </is>
      </c>
      <c r="O162" t="inlineStr">
        <is>
          <t>2026-06-08 05:25:27</t>
        </is>
      </c>
      <c r="P162" t="inlineStr">
        <is>
          <t>2026-06-08 05:25:27</t>
        </is>
      </c>
      <c r="Y162" t="inlineStr">
        <is>
          <t>27663982098</t>
        </is>
      </c>
    </row>
    <row r="163">
      <c r="A163" t="inlineStr">
        <is>
          <t>14828304</t>
        </is>
      </c>
      <c r="B163" t="inlineStr">
        <is>
          <t>0575b97b-3435-49f5-a061-cbc45f49b3cf</t>
        </is>
      </c>
      <c r="D163" t="inlineStr">
        <is>
          <t>111111123</t>
        </is>
      </c>
      <c r="E163" t="inlineStr">
        <is>
          <t>Vodacom Life 20260603</t>
        </is>
      </c>
      <c r="J163" t="inlineStr">
        <is>
          <t>AE</t>
        </is>
      </c>
      <c r="K163" t="inlineStr">
        <is>
          <t>Auto Engaged</t>
        </is>
      </c>
      <c r="L163" t="n">
        <v>7</v>
      </c>
      <c r="M163" t="inlineStr">
        <is>
          <t>2026-06-15 07:54:48</t>
        </is>
      </c>
      <c r="N163" t="inlineStr">
        <is>
          <t>system</t>
        </is>
      </c>
      <c r="O163" t="inlineStr">
        <is>
          <t>2026-06-08 05:25:27</t>
        </is>
      </c>
      <c r="P163" t="inlineStr">
        <is>
          <t>2026-06-08 05:25:27</t>
        </is>
      </c>
      <c r="Y163" t="inlineStr">
        <is>
          <t>27716976957</t>
        </is>
      </c>
    </row>
    <row r="164">
      <c r="A164" t="inlineStr">
        <is>
          <t>14828099</t>
        </is>
      </c>
      <c r="B164" t="inlineStr">
        <is>
          <t>cf88a9ea-8d4e-4437-82ba-511e781c1dfa</t>
        </is>
      </c>
      <c r="D164" t="inlineStr">
        <is>
          <t>111111123</t>
        </is>
      </c>
      <c r="E164" t="inlineStr">
        <is>
          <t>Vodacom Life 20260603</t>
        </is>
      </c>
      <c r="J164" t="inlineStr">
        <is>
          <t>AA</t>
        </is>
      </c>
      <c r="K164" t="inlineStr">
        <is>
          <t>Answering Machine Autodial</t>
        </is>
      </c>
      <c r="L164" t="n">
        <v>7</v>
      </c>
      <c r="M164" t="inlineStr">
        <is>
          <t>2026-06-15 07:54:47</t>
        </is>
      </c>
      <c r="N164" t="inlineStr">
        <is>
          <t>system</t>
        </is>
      </c>
      <c r="O164" t="inlineStr">
        <is>
          <t>2026-06-08 05:25:27</t>
        </is>
      </c>
      <c r="P164" t="inlineStr">
        <is>
          <t>2026-06-08 05:25:27</t>
        </is>
      </c>
      <c r="Y164" t="inlineStr">
        <is>
          <t>27712906232</t>
        </is>
      </c>
    </row>
    <row r="165">
      <c r="A165" t="inlineStr">
        <is>
          <t>14828070</t>
        </is>
      </c>
      <c r="B165" t="inlineStr">
        <is>
          <t>7546ba3a-1175-4a88-8ebb-bc73a3e345c7</t>
        </is>
      </c>
      <c r="D165" t="inlineStr">
        <is>
          <t>111111123</t>
        </is>
      </c>
      <c r="E165" t="inlineStr">
        <is>
          <t>Vodacom Life 20260603</t>
        </is>
      </c>
      <c r="J165" t="inlineStr">
        <is>
          <t>AA</t>
        </is>
      </c>
      <c r="K165" t="inlineStr">
        <is>
          <t>Answering Machine Autodial</t>
        </is>
      </c>
      <c r="L165" t="n">
        <v>7</v>
      </c>
      <c r="M165" t="inlineStr">
        <is>
          <t>2026-06-15 07:54:42</t>
        </is>
      </c>
      <c r="N165" t="inlineStr">
        <is>
          <t>system</t>
        </is>
      </c>
      <c r="O165" t="inlineStr">
        <is>
          <t>2026-06-08 05:25:27</t>
        </is>
      </c>
      <c r="P165" t="inlineStr">
        <is>
          <t>2026-06-08 05:25:27</t>
        </is>
      </c>
      <c r="Y165" t="inlineStr">
        <is>
          <t>27715686376</t>
        </is>
      </c>
    </row>
    <row r="166">
      <c r="A166" t="inlineStr">
        <is>
          <t>14828071</t>
        </is>
      </c>
      <c r="B166" t="inlineStr">
        <is>
          <t>05a8d933-0a13-477e-b0b6-daa817d32c18</t>
        </is>
      </c>
      <c r="D166" t="inlineStr">
        <is>
          <t>111111123</t>
        </is>
      </c>
      <c r="E166" t="inlineStr">
        <is>
          <t>Vodacom Life 20260603</t>
        </is>
      </c>
      <c r="J166" t="inlineStr">
        <is>
          <t>AA</t>
        </is>
      </c>
      <c r="K166" t="inlineStr">
        <is>
          <t>Answering Machine Autodial</t>
        </is>
      </c>
      <c r="L166" t="n">
        <v>7</v>
      </c>
      <c r="M166" t="inlineStr">
        <is>
          <t>2026-06-15 07:54:41</t>
        </is>
      </c>
      <c r="N166" t="inlineStr">
        <is>
          <t>system</t>
        </is>
      </c>
      <c r="O166" t="inlineStr">
        <is>
          <t>2026-06-08 05:25:27</t>
        </is>
      </c>
      <c r="P166" t="inlineStr">
        <is>
          <t>2026-06-08 05:25:27</t>
        </is>
      </c>
      <c r="Y166" t="inlineStr">
        <is>
          <t>27673100973</t>
        </is>
      </c>
    </row>
    <row r="167">
      <c r="A167" t="inlineStr">
        <is>
          <t>14828233</t>
        </is>
      </c>
      <c r="B167" t="inlineStr">
        <is>
          <t>b778cd47-2120-40e3-90b1-9d8884b13636</t>
        </is>
      </c>
      <c r="D167" t="inlineStr">
        <is>
          <t>111111123</t>
        </is>
      </c>
      <c r="E167" t="inlineStr">
        <is>
          <t>Vodacom Life 20260603</t>
        </is>
      </c>
      <c r="J167" t="inlineStr">
        <is>
          <t>AE</t>
        </is>
      </c>
      <c r="K167" t="inlineStr">
        <is>
          <t>Auto Engaged</t>
        </is>
      </c>
      <c r="L167" t="n">
        <v>7</v>
      </c>
      <c r="M167" t="inlineStr">
        <is>
          <t>2026-06-15 07:54:41</t>
        </is>
      </c>
      <c r="N167" t="inlineStr">
        <is>
          <t>system</t>
        </is>
      </c>
      <c r="O167" t="inlineStr">
        <is>
          <t>2026-06-08 05:25:27</t>
        </is>
      </c>
      <c r="P167" t="inlineStr">
        <is>
          <t>2026-06-08 05:25:27</t>
        </is>
      </c>
      <c r="Y167" t="inlineStr">
        <is>
          <t>27722936180</t>
        </is>
      </c>
    </row>
    <row r="168">
      <c r="A168" t="inlineStr">
        <is>
          <t>14828056</t>
        </is>
      </c>
      <c r="B168" t="inlineStr">
        <is>
          <t>fae18bdd-c8c4-4f9b-a8de-41f10635f369</t>
        </is>
      </c>
      <c r="D168" t="inlineStr">
        <is>
          <t>111111123</t>
        </is>
      </c>
      <c r="E168" t="inlineStr">
        <is>
          <t>Vodacom Life 20260603</t>
        </is>
      </c>
      <c r="J168" t="inlineStr">
        <is>
          <t>CBACK</t>
        </is>
      </c>
      <c r="K168" t="inlineStr">
        <is>
          <t>Callback</t>
        </is>
      </c>
      <c r="L168" t="n">
        <v>7</v>
      </c>
      <c r="M168" t="inlineStr">
        <is>
          <t>2026-06-15 07:49:14</t>
        </is>
      </c>
      <c r="N168" t="inlineStr">
        <is>
          <t>Maureen Ntsoko</t>
        </is>
      </c>
      <c r="O168" t="inlineStr">
        <is>
          <t>2026-06-08 05:25:27</t>
        </is>
      </c>
      <c r="P168" t="inlineStr">
        <is>
          <t>2026-06-08 05:25:27</t>
        </is>
      </c>
      <c r="Y168" t="inlineStr">
        <is>
          <t>27716481855</t>
        </is>
      </c>
    </row>
    <row r="169">
      <c r="A169" t="inlineStr">
        <is>
          <t>14828234</t>
        </is>
      </c>
      <c r="B169" t="inlineStr">
        <is>
          <t>dec253a4-7666-4a87-8a51-b4ef00a7ed48</t>
        </is>
      </c>
      <c r="D169" t="inlineStr">
        <is>
          <t>111111123</t>
        </is>
      </c>
      <c r="E169" t="inlineStr">
        <is>
          <t>Vodacom Life 20260603</t>
        </is>
      </c>
      <c r="J169" t="inlineStr">
        <is>
          <t>AA</t>
        </is>
      </c>
      <c r="K169" t="inlineStr">
        <is>
          <t>Answering Machine Autodial</t>
        </is>
      </c>
      <c r="L169" t="n">
        <v>7</v>
      </c>
      <c r="M169" t="inlineStr">
        <is>
          <t>2026-06-15 07:49:14</t>
        </is>
      </c>
      <c r="N169" t="inlineStr">
        <is>
          <t>system</t>
        </is>
      </c>
      <c r="O169" t="inlineStr">
        <is>
          <t>2026-06-08 05:25:27</t>
        </is>
      </c>
      <c r="P169" t="inlineStr">
        <is>
          <t>2026-06-08 05:25:27</t>
        </is>
      </c>
      <c r="Y169" t="inlineStr">
        <is>
          <t>27663298937</t>
        </is>
      </c>
    </row>
    <row r="170">
      <c r="A170" t="inlineStr">
        <is>
          <t>14828117</t>
        </is>
      </c>
      <c r="B170" t="inlineStr">
        <is>
          <t>76c00baa-90fe-4c0c-b051-33ec1313e5b0</t>
        </is>
      </c>
      <c r="D170" t="inlineStr">
        <is>
          <t>111111123</t>
        </is>
      </c>
      <c r="E170" t="inlineStr">
        <is>
          <t>Vodacom Life 20260603</t>
        </is>
      </c>
      <c r="J170" t="inlineStr">
        <is>
          <t>NA</t>
        </is>
      </c>
      <c r="K170" t="inlineStr">
        <is>
          <t>No Answer Autodial</t>
        </is>
      </c>
      <c r="L170" t="n">
        <v>7</v>
      </c>
      <c r="M170" t="inlineStr">
        <is>
          <t>2026-06-15 07:48:19</t>
        </is>
      </c>
      <c r="N170" t="inlineStr">
        <is>
          <t>system</t>
        </is>
      </c>
      <c r="O170" t="inlineStr">
        <is>
          <t>2026-06-08 05:25:27</t>
        </is>
      </c>
      <c r="P170" t="inlineStr">
        <is>
          <t>2026-06-08 05:25:27</t>
        </is>
      </c>
      <c r="Y170" t="inlineStr">
        <is>
          <t>27764806937</t>
        </is>
      </c>
    </row>
    <row r="171">
      <c r="A171" t="inlineStr">
        <is>
          <t>14828157</t>
        </is>
      </c>
      <c r="B171" t="inlineStr">
        <is>
          <t>923c2596-a3f8-4991-ba2b-bfb92f1300d7</t>
        </is>
      </c>
      <c r="D171" t="inlineStr">
        <is>
          <t>111111123</t>
        </is>
      </c>
      <c r="E171" t="inlineStr">
        <is>
          <t>Vodacom Life 20260603</t>
        </is>
      </c>
      <c r="J171" t="inlineStr">
        <is>
          <t>NA</t>
        </is>
      </c>
      <c r="K171" t="inlineStr">
        <is>
          <t>No Answer Autodial</t>
        </is>
      </c>
      <c r="L171" t="n">
        <v>7</v>
      </c>
      <c r="M171" t="inlineStr">
        <is>
          <t>2026-06-15 07:48:19</t>
        </is>
      </c>
      <c r="N171" t="inlineStr">
        <is>
          <t>system</t>
        </is>
      </c>
      <c r="O171" t="inlineStr">
        <is>
          <t>2026-06-08 05:25:27</t>
        </is>
      </c>
      <c r="P171" t="inlineStr">
        <is>
          <t>2026-06-08 05:25:27</t>
        </is>
      </c>
      <c r="Y171" t="inlineStr">
        <is>
          <t>27825037547</t>
        </is>
      </c>
    </row>
    <row r="172">
      <c r="A172" t="inlineStr">
        <is>
          <t>14828261</t>
        </is>
      </c>
      <c r="B172" t="inlineStr">
        <is>
          <t>5335656c-8200-4f3d-b2a6-35e61be74f93</t>
        </is>
      </c>
      <c r="D172" t="inlineStr">
        <is>
          <t>111111123</t>
        </is>
      </c>
      <c r="E172" t="inlineStr">
        <is>
          <t>Vodacom Life 20260603</t>
        </is>
      </c>
      <c r="H172" t="inlineStr">
        <is>
          <t>27799218337</t>
        </is>
      </c>
      <c r="J172" t="inlineStr">
        <is>
          <t>AC</t>
        </is>
      </c>
      <c r="K172" t="inlineStr">
        <is>
          <t>Already Contacted</t>
        </is>
      </c>
      <c r="L172" t="n">
        <v>7</v>
      </c>
      <c r="M172" t="inlineStr">
        <is>
          <t>2026-06-15 07:48:19</t>
        </is>
      </c>
      <c r="N172" t="inlineStr">
        <is>
          <t>Maureen Ntsoko</t>
        </is>
      </c>
      <c r="O172" t="inlineStr">
        <is>
          <t>2026-06-08 05:25:27</t>
        </is>
      </c>
      <c r="P172" t="inlineStr">
        <is>
          <t>2026-06-08 05:25:27</t>
        </is>
      </c>
      <c r="Y172" t="inlineStr">
        <is>
          <t>27799218337</t>
        </is>
      </c>
    </row>
    <row r="173">
      <c r="A173" t="inlineStr">
        <is>
          <t>14828309</t>
        </is>
      </c>
      <c r="B173" t="inlineStr">
        <is>
          <t>feecd3d5-82c5-4a0b-8c41-7f58b8b92504</t>
        </is>
      </c>
      <c r="D173" t="inlineStr">
        <is>
          <t>111111123</t>
        </is>
      </c>
      <c r="E173" t="inlineStr">
        <is>
          <t>Vodacom Life 20260603</t>
        </is>
      </c>
      <c r="J173" t="inlineStr">
        <is>
          <t>AA</t>
        </is>
      </c>
      <c r="K173" t="inlineStr">
        <is>
          <t>Answering Machine Autodial</t>
        </is>
      </c>
      <c r="L173" t="n">
        <v>7</v>
      </c>
      <c r="M173" t="inlineStr">
        <is>
          <t>2026-06-15 07:47:56</t>
        </is>
      </c>
      <c r="N173" t="inlineStr">
        <is>
          <t>system</t>
        </is>
      </c>
      <c r="O173" t="inlineStr">
        <is>
          <t>2026-06-08 05:25:27</t>
        </is>
      </c>
      <c r="P173" t="inlineStr">
        <is>
          <t>2026-06-08 05:25:27</t>
        </is>
      </c>
      <c r="Y173" t="inlineStr">
        <is>
          <t>27720328171</t>
        </is>
      </c>
    </row>
    <row r="174">
      <c r="A174" t="inlineStr">
        <is>
          <t>14828087</t>
        </is>
      </c>
      <c r="B174" t="inlineStr">
        <is>
          <t>86973915-c928-4930-886e-0c8c7f5a2ee6</t>
        </is>
      </c>
      <c r="D174" t="inlineStr">
        <is>
          <t>111111123</t>
        </is>
      </c>
      <c r="E174" t="inlineStr">
        <is>
          <t>Vodacom Life 20260603</t>
        </is>
      </c>
      <c r="J174" t="inlineStr">
        <is>
          <t>DROP</t>
        </is>
      </c>
      <c r="K174" t="inlineStr">
        <is>
          <t>Dropped</t>
        </is>
      </c>
      <c r="L174" t="n">
        <v>7</v>
      </c>
      <c r="M174" t="inlineStr">
        <is>
          <t>2026-06-15 07:47:45</t>
        </is>
      </c>
      <c r="N174" t="inlineStr">
        <is>
          <t>system</t>
        </is>
      </c>
      <c r="O174" t="inlineStr">
        <is>
          <t>2026-06-08 05:25:27</t>
        </is>
      </c>
      <c r="P174" t="inlineStr">
        <is>
          <t>2026-06-08 05:25:27</t>
        </is>
      </c>
      <c r="Y174" t="inlineStr">
        <is>
          <t>27674566430</t>
        </is>
      </c>
    </row>
    <row r="175">
      <c r="A175" t="inlineStr">
        <is>
          <t>14828088</t>
        </is>
      </c>
      <c r="B175" t="inlineStr">
        <is>
          <t>dd9e3363-bfaa-4135-b58d-e46b33e207e5</t>
        </is>
      </c>
      <c r="D175" t="inlineStr">
        <is>
          <t>111111123</t>
        </is>
      </c>
      <c r="E175" t="inlineStr">
        <is>
          <t>Vodacom Life 20260603</t>
        </is>
      </c>
      <c r="J175" t="inlineStr">
        <is>
          <t>NA</t>
        </is>
      </c>
      <c r="K175" t="inlineStr">
        <is>
          <t>No Answer Autodial</t>
        </is>
      </c>
      <c r="L175" t="n">
        <v>7</v>
      </c>
      <c r="M175" t="inlineStr">
        <is>
          <t>2026-06-15 07:47:45</t>
        </is>
      </c>
      <c r="N175" t="inlineStr">
        <is>
          <t>system</t>
        </is>
      </c>
      <c r="O175" t="inlineStr">
        <is>
          <t>2026-06-08 05:25:27</t>
        </is>
      </c>
      <c r="P175" t="inlineStr">
        <is>
          <t>2026-06-08 05:25:27</t>
        </is>
      </c>
      <c r="Y175" t="inlineStr">
        <is>
          <t>27714110500</t>
        </is>
      </c>
    </row>
    <row r="176">
      <c r="A176" t="inlineStr">
        <is>
          <t>14828287</t>
        </is>
      </c>
      <c r="B176" t="inlineStr">
        <is>
          <t>b166d9c6-bb28-4708-94b0-730b04ff8302</t>
        </is>
      </c>
      <c r="D176" t="inlineStr">
        <is>
          <t>111111123</t>
        </is>
      </c>
      <c r="E176" t="inlineStr">
        <is>
          <t>Vodacom Life 20260603</t>
        </is>
      </c>
      <c r="J176" t="inlineStr">
        <is>
          <t>AA</t>
        </is>
      </c>
      <c r="K176" t="inlineStr">
        <is>
          <t>Answering Machine Autodial</t>
        </is>
      </c>
      <c r="L176" t="n">
        <v>7</v>
      </c>
      <c r="M176" t="inlineStr">
        <is>
          <t>2026-06-15 07:47:45</t>
        </is>
      </c>
      <c r="N176" t="inlineStr">
        <is>
          <t>system</t>
        </is>
      </c>
      <c r="O176" t="inlineStr">
        <is>
          <t>2026-06-08 05:25:27</t>
        </is>
      </c>
      <c r="P176" t="inlineStr">
        <is>
          <t>2026-06-08 05:25:27</t>
        </is>
      </c>
      <c r="Y176" t="inlineStr">
        <is>
          <t>27795765425</t>
        </is>
      </c>
    </row>
    <row r="177">
      <c r="A177" t="inlineStr">
        <is>
          <t>14828243</t>
        </is>
      </c>
      <c r="B177" t="inlineStr">
        <is>
          <t>fae1710f-19e9-4d3a-937a-b9b696d0397d</t>
        </is>
      </c>
      <c r="D177" t="inlineStr">
        <is>
          <t>111111123</t>
        </is>
      </c>
      <c r="E177" t="inlineStr">
        <is>
          <t>Vodacom Life 20260603</t>
        </is>
      </c>
      <c r="H177" t="inlineStr">
        <is>
          <t>27798816115</t>
        </is>
      </c>
      <c r="J177" t="inlineStr">
        <is>
          <t>CU</t>
        </is>
      </c>
      <c r="K177" t="inlineStr">
        <is>
          <t>Client Hung Up</t>
        </is>
      </c>
      <c r="L177" t="n">
        <v>7</v>
      </c>
      <c r="M177" t="inlineStr">
        <is>
          <t>2026-06-15 07:47:44</t>
        </is>
      </c>
      <c r="N177" t="inlineStr">
        <is>
          <t>Maureen Ntsoko</t>
        </is>
      </c>
      <c r="O177" t="inlineStr">
        <is>
          <t>2026-06-08 05:25:27</t>
        </is>
      </c>
      <c r="P177" t="inlineStr">
        <is>
          <t>2026-06-08 05:25:27</t>
        </is>
      </c>
      <c r="Y177" t="inlineStr">
        <is>
          <t>27798816115</t>
        </is>
      </c>
    </row>
    <row r="178">
      <c r="A178" t="inlineStr">
        <is>
          <t>14828227</t>
        </is>
      </c>
      <c r="B178" t="inlineStr">
        <is>
          <t>b33acfff-f5d9-49fb-b231-3aa66ae29c73</t>
        </is>
      </c>
      <c r="D178" t="inlineStr">
        <is>
          <t>111111123</t>
        </is>
      </c>
      <c r="E178" t="inlineStr">
        <is>
          <t>Vodacom Life 20260603</t>
        </is>
      </c>
      <c r="J178" t="inlineStr">
        <is>
          <t>ADC</t>
        </is>
      </c>
      <c r="K178" t="inlineStr">
        <is>
          <t>Auto Dial Disconnected</t>
        </is>
      </c>
      <c r="L178" t="n">
        <v>7</v>
      </c>
      <c r="M178" t="inlineStr">
        <is>
          <t>2026-06-15 07:46:31</t>
        </is>
      </c>
      <c r="N178" t="inlineStr">
        <is>
          <t>system</t>
        </is>
      </c>
      <c r="O178" t="inlineStr">
        <is>
          <t>2026-06-08 05:25:27</t>
        </is>
      </c>
      <c r="P178" t="inlineStr">
        <is>
          <t>2026-06-08 05:25:27</t>
        </is>
      </c>
      <c r="Y178" t="inlineStr">
        <is>
          <t>27636257663</t>
        </is>
      </c>
    </row>
    <row r="179">
      <c r="A179" t="inlineStr">
        <is>
          <t>14828418</t>
        </is>
      </c>
      <c r="B179" t="inlineStr">
        <is>
          <t>4661e8c4-012f-4b13-a221-380248d3cb1a</t>
        </is>
      </c>
      <c r="D179" t="inlineStr">
        <is>
          <t>111111123</t>
        </is>
      </c>
      <c r="E179" t="inlineStr">
        <is>
          <t>Vodacom Life 20260603</t>
        </is>
      </c>
      <c r="J179" t="inlineStr">
        <is>
          <t>AE</t>
        </is>
      </c>
      <c r="K179" t="inlineStr">
        <is>
          <t>Auto Engaged</t>
        </is>
      </c>
      <c r="L179" t="n">
        <v>7</v>
      </c>
      <c r="M179" t="inlineStr">
        <is>
          <t>2026-06-15 07:46:28</t>
        </is>
      </c>
      <c r="N179" t="inlineStr">
        <is>
          <t>system</t>
        </is>
      </c>
      <c r="O179" t="inlineStr">
        <is>
          <t>2026-06-08 05:25:27</t>
        </is>
      </c>
      <c r="P179" t="inlineStr">
        <is>
          <t>2026-06-08 05:25:27</t>
        </is>
      </c>
      <c r="Y179" t="inlineStr">
        <is>
          <t>27648818333</t>
        </is>
      </c>
    </row>
    <row r="180">
      <c r="A180" t="inlineStr">
        <is>
          <t>14828290</t>
        </is>
      </c>
      <c r="B180" t="inlineStr">
        <is>
          <t>e19e1bc4-1404-40ac-9b61-62eef11c60c3</t>
        </is>
      </c>
      <c r="D180" t="inlineStr">
        <is>
          <t>111111123</t>
        </is>
      </c>
      <c r="E180" t="inlineStr">
        <is>
          <t>Vodacom Life 20260603</t>
        </is>
      </c>
      <c r="J180" t="inlineStr">
        <is>
          <t>AE</t>
        </is>
      </c>
      <c r="K180" t="inlineStr">
        <is>
          <t>Auto Engaged</t>
        </is>
      </c>
      <c r="L180" t="n">
        <v>7</v>
      </c>
      <c r="M180" t="inlineStr">
        <is>
          <t>2026-06-15 07:46:24</t>
        </is>
      </c>
      <c r="N180" t="inlineStr">
        <is>
          <t>system</t>
        </is>
      </c>
      <c r="O180" t="inlineStr">
        <is>
          <t>2026-06-08 05:25:27</t>
        </is>
      </c>
      <c r="P180" t="inlineStr">
        <is>
          <t>2026-06-08 05:25:27</t>
        </is>
      </c>
      <c r="Y180" t="inlineStr">
        <is>
          <t>27716506313</t>
        </is>
      </c>
    </row>
    <row r="181">
      <c r="A181" t="inlineStr">
        <is>
          <t>14828276</t>
        </is>
      </c>
      <c r="B181" t="inlineStr">
        <is>
          <t>636c6be6-efd8-454f-b3d2-6cdde3e0a117</t>
        </is>
      </c>
      <c r="D181" t="inlineStr">
        <is>
          <t>111111123</t>
        </is>
      </c>
      <c r="E181" t="inlineStr">
        <is>
          <t>Vodacom Life 20260603</t>
        </is>
      </c>
      <c r="J181" t="inlineStr">
        <is>
          <t>AA</t>
        </is>
      </c>
      <c r="K181" t="inlineStr">
        <is>
          <t>Answering Machine Autodial</t>
        </is>
      </c>
      <c r="L181" t="n">
        <v>7</v>
      </c>
      <c r="M181" t="inlineStr">
        <is>
          <t>2026-06-15 07:46:13</t>
        </is>
      </c>
      <c r="N181" t="inlineStr">
        <is>
          <t>system</t>
        </is>
      </c>
      <c r="O181" t="inlineStr">
        <is>
          <t>2026-06-08 05:25:27</t>
        </is>
      </c>
      <c r="P181" t="inlineStr">
        <is>
          <t>2026-06-08 05:25:27</t>
        </is>
      </c>
      <c r="Y181" t="inlineStr">
        <is>
          <t>27712480824</t>
        </is>
      </c>
    </row>
    <row r="182">
      <c r="A182" t="inlineStr">
        <is>
          <t>14828189</t>
        </is>
      </c>
      <c r="B182" t="inlineStr">
        <is>
          <t>daf426a2-5c03-4614-b499-8d92d94ab569</t>
        </is>
      </c>
      <c r="D182" t="inlineStr">
        <is>
          <t>111111123</t>
        </is>
      </c>
      <c r="E182" t="inlineStr">
        <is>
          <t>Vodacom Life 20260603</t>
        </is>
      </c>
      <c r="H182" t="inlineStr">
        <is>
          <t>27764686588</t>
        </is>
      </c>
      <c r="J182" t="inlineStr">
        <is>
          <t>AA</t>
        </is>
      </c>
      <c r="K182" t="inlineStr">
        <is>
          <t>Answering Machine Autodial</t>
        </is>
      </c>
      <c r="L182" t="n">
        <v>7</v>
      </c>
      <c r="M182" t="inlineStr">
        <is>
          <t>2026-06-15 07:46:12</t>
        </is>
      </c>
      <c r="N182" t="inlineStr">
        <is>
          <t>system</t>
        </is>
      </c>
      <c r="O182" t="inlineStr">
        <is>
          <t>2026-06-08 05:25:27</t>
        </is>
      </c>
      <c r="P182" t="inlineStr">
        <is>
          <t>2026-06-08 05:25:27</t>
        </is>
      </c>
      <c r="Y182" t="inlineStr">
        <is>
          <t>27764686588</t>
        </is>
      </c>
    </row>
    <row r="183">
      <c r="A183" t="inlineStr">
        <is>
          <t>14828162</t>
        </is>
      </c>
      <c r="B183" t="inlineStr">
        <is>
          <t>6182d156-ddeb-47db-bedd-453a55fc04c7</t>
        </is>
      </c>
      <c r="D183" t="inlineStr">
        <is>
          <t>111111123</t>
        </is>
      </c>
      <c r="E183" t="inlineStr">
        <is>
          <t>Vodacom Life 20260603</t>
        </is>
      </c>
      <c r="J183" t="inlineStr">
        <is>
          <t>AA</t>
        </is>
      </c>
      <c r="K183" t="inlineStr">
        <is>
          <t>Answering Machine Autodial</t>
        </is>
      </c>
      <c r="L183" t="n">
        <v>7</v>
      </c>
      <c r="M183" t="inlineStr">
        <is>
          <t>2026-06-15 07:46:04</t>
        </is>
      </c>
      <c r="N183" t="inlineStr">
        <is>
          <t>system</t>
        </is>
      </c>
      <c r="O183" t="inlineStr">
        <is>
          <t>2026-06-08 05:25:27</t>
        </is>
      </c>
      <c r="P183" t="inlineStr">
        <is>
          <t>2026-06-08 05:25:27</t>
        </is>
      </c>
      <c r="Y183" t="inlineStr">
        <is>
          <t>27724144393</t>
        </is>
      </c>
    </row>
    <row r="184">
      <c r="A184" t="inlineStr">
        <is>
          <t>14828327</t>
        </is>
      </c>
      <c r="B184" t="inlineStr">
        <is>
          <t>284b71c6-3bc3-41b0-bf08-d57bce6698ca</t>
        </is>
      </c>
      <c r="D184" t="inlineStr">
        <is>
          <t>111111123</t>
        </is>
      </c>
      <c r="E184" t="inlineStr">
        <is>
          <t>Vodacom Life 20260603</t>
        </is>
      </c>
      <c r="J184" t="inlineStr">
        <is>
          <t>AA</t>
        </is>
      </c>
      <c r="K184" t="inlineStr">
        <is>
          <t>Answering Machine Autodial</t>
        </is>
      </c>
      <c r="L184" t="n">
        <v>7</v>
      </c>
      <c r="M184" t="inlineStr">
        <is>
          <t>2026-06-15 07:45:59</t>
        </is>
      </c>
      <c r="N184" t="inlineStr">
        <is>
          <t>system</t>
        </is>
      </c>
      <c r="O184" t="inlineStr">
        <is>
          <t>2026-06-08 05:25:27</t>
        </is>
      </c>
      <c r="P184" t="inlineStr">
        <is>
          <t>2026-06-08 05:25:27</t>
        </is>
      </c>
      <c r="Y184" t="inlineStr">
        <is>
          <t>27764290953</t>
        </is>
      </c>
    </row>
    <row r="185">
      <c r="A185" t="inlineStr">
        <is>
          <t>14828291</t>
        </is>
      </c>
      <c r="B185" t="inlineStr">
        <is>
          <t>a7273232-0157-42fd-98e9-bb14cbe9fa29</t>
        </is>
      </c>
      <c r="D185" t="inlineStr">
        <is>
          <t>111111123</t>
        </is>
      </c>
      <c r="E185" t="inlineStr">
        <is>
          <t>Vodacom Life 20260603</t>
        </is>
      </c>
      <c r="H185" t="inlineStr">
        <is>
          <t>27769211674</t>
        </is>
      </c>
      <c r="J185" t="inlineStr">
        <is>
          <t>AA</t>
        </is>
      </c>
      <c r="K185" t="inlineStr">
        <is>
          <t>Answering Machine Autodial</t>
        </is>
      </c>
      <c r="L185" t="n">
        <v>7</v>
      </c>
      <c r="M185" t="inlineStr">
        <is>
          <t>2026-06-15 07:45:51</t>
        </is>
      </c>
      <c r="N185" t="inlineStr">
        <is>
          <t>system</t>
        </is>
      </c>
      <c r="O185" t="inlineStr">
        <is>
          <t>2026-06-08 05:25:27</t>
        </is>
      </c>
      <c r="P185" t="inlineStr">
        <is>
          <t>2026-06-08 05:25:27</t>
        </is>
      </c>
      <c r="Y185" t="inlineStr">
        <is>
          <t>27769211674</t>
        </is>
      </c>
    </row>
    <row r="186">
      <c r="A186" t="inlineStr">
        <is>
          <t>14828105</t>
        </is>
      </c>
      <c r="B186" t="inlineStr">
        <is>
          <t>570411e6-10b2-4a2a-b8ac-5372e8b9e18f</t>
        </is>
      </c>
      <c r="D186" t="inlineStr">
        <is>
          <t>111111123</t>
        </is>
      </c>
      <c r="E186" t="inlineStr">
        <is>
          <t>Vodacom Life 20260603</t>
        </is>
      </c>
      <c r="J186" t="inlineStr">
        <is>
          <t>AA</t>
        </is>
      </c>
      <c r="K186" t="inlineStr">
        <is>
          <t>Answering Machine Autodial</t>
        </is>
      </c>
      <c r="L186" t="n">
        <v>7</v>
      </c>
      <c r="M186" t="inlineStr">
        <is>
          <t>2026-06-15 07:45:51</t>
        </is>
      </c>
      <c r="N186" t="inlineStr">
        <is>
          <t>system</t>
        </is>
      </c>
      <c r="O186" t="inlineStr">
        <is>
          <t>2026-06-08 05:25:27</t>
        </is>
      </c>
      <c r="P186" t="inlineStr">
        <is>
          <t>2026-06-08 05:25:27</t>
        </is>
      </c>
      <c r="Y186" t="inlineStr">
        <is>
          <t>27608238138</t>
        </is>
      </c>
    </row>
    <row r="187">
      <c r="A187" t="inlineStr">
        <is>
          <t>14828108</t>
        </is>
      </c>
      <c r="B187" t="inlineStr">
        <is>
          <t>3eff9dfd-0332-46e4-9a91-98f0e04b5f05</t>
        </is>
      </c>
      <c r="D187" t="inlineStr">
        <is>
          <t>111111123</t>
        </is>
      </c>
      <c r="E187" t="inlineStr">
        <is>
          <t>Vodacom Life 20260603</t>
        </is>
      </c>
      <c r="J187" t="inlineStr">
        <is>
          <t>AE</t>
        </is>
      </c>
      <c r="K187" t="inlineStr">
        <is>
          <t>Auto Engaged</t>
        </is>
      </c>
      <c r="L187" t="n">
        <v>7</v>
      </c>
      <c r="M187" t="inlineStr">
        <is>
          <t>2026-06-15 07:45:51</t>
        </is>
      </c>
      <c r="N187" t="inlineStr">
        <is>
          <t>system</t>
        </is>
      </c>
      <c r="O187" t="inlineStr">
        <is>
          <t>2026-06-08 05:25:27</t>
        </is>
      </c>
      <c r="P187" t="inlineStr">
        <is>
          <t>2026-06-08 05:25:27</t>
        </is>
      </c>
      <c r="Y187" t="inlineStr">
        <is>
          <t>27648186790</t>
        </is>
      </c>
    </row>
    <row r="188">
      <c r="A188" t="inlineStr">
        <is>
          <t>14828254</t>
        </is>
      </c>
      <c r="B188" t="inlineStr">
        <is>
          <t>6e35a76a-5fa9-4f9a-9bd3-bd2296ee34b7</t>
        </is>
      </c>
      <c r="D188" t="inlineStr">
        <is>
          <t>111111123</t>
        </is>
      </c>
      <c r="E188" t="inlineStr">
        <is>
          <t>Vodacom Life 20260603</t>
        </is>
      </c>
      <c r="J188" t="inlineStr">
        <is>
          <t>AA</t>
        </is>
      </c>
      <c r="K188" t="inlineStr">
        <is>
          <t>Answering Machine Autodial</t>
        </is>
      </c>
      <c r="L188" t="n">
        <v>7</v>
      </c>
      <c r="M188" t="inlineStr">
        <is>
          <t>2026-06-15 07:45:51</t>
        </is>
      </c>
      <c r="N188" t="inlineStr">
        <is>
          <t>system</t>
        </is>
      </c>
      <c r="O188" t="inlineStr">
        <is>
          <t>2026-06-08 05:25:27</t>
        </is>
      </c>
      <c r="P188" t="inlineStr">
        <is>
          <t>2026-06-08 05:25:27</t>
        </is>
      </c>
      <c r="Y188" t="inlineStr">
        <is>
          <t>27720555629</t>
        </is>
      </c>
    </row>
    <row r="189">
      <c r="A189" t="inlineStr">
        <is>
          <t>14828440</t>
        </is>
      </c>
      <c r="B189" t="inlineStr">
        <is>
          <t>ee7a25d4-6162-451c-8f5a-4af6c3790ca1</t>
        </is>
      </c>
      <c r="D189" t="inlineStr">
        <is>
          <t>111111123</t>
        </is>
      </c>
      <c r="E189" t="inlineStr">
        <is>
          <t>Vodacom Life 20260603</t>
        </is>
      </c>
      <c r="H189" t="inlineStr">
        <is>
          <t>27721883008</t>
        </is>
      </c>
      <c r="J189" t="inlineStr">
        <is>
          <t>CU</t>
        </is>
      </c>
      <c r="K189" t="inlineStr">
        <is>
          <t>Client Hung Up</t>
        </is>
      </c>
      <c r="L189" t="n">
        <v>8</v>
      </c>
      <c r="M189" t="inlineStr">
        <is>
          <t>2026-06-15 07:45:17</t>
        </is>
      </c>
      <c r="N189" t="inlineStr">
        <is>
          <t>Maureen Ntsoko</t>
        </is>
      </c>
      <c r="O189" t="inlineStr">
        <is>
          <t>2026-06-08 05:25:27</t>
        </is>
      </c>
      <c r="P189" t="inlineStr">
        <is>
          <t>2026-06-08 05:25:27</t>
        </is>
      </c>
      <c r="Y189" t="inlineStr">
        <is>
          <t>27721883008</t>
        </is>
      </c>
    </row>
    <row r="190">
      <c r="A190" t="inlineStr">
        <is>
          <t>14828280</t>
        </is>
      </c>
      <c r="B190" t="inlineStr">
        <is>
          <t>330be365-0e07-47ad-af7a-4ead3fe45938</t>
        </is>
      </c>
      <c r="D190" t="inlineStr">
        <is>
          <t>111111123</t>
        </is>
      </c>
      <c r="E190" t="inlineStr">
        <is>
          <t>Vodacom Life 20260603</t>
        </is>
      </c>
      <c r="J190" t="inlineStr">
        <is>
          <t>AE</t>
        </is>
      </c>
      <c r="K190" t="inlineStr">
        <is>
          <t>Auto Engaged</t>
        </is>
      </c>
      <c r="L190" t="n">
        <v>7</v>
      </c>
      <c r="M190" t="inlineStr">
        <is>
          <t>2026-06-15 07:42:27</t>
        </is>
      </c>
      <c r="N190" t="inlineStr">
        <is>
          <t>system</t>
        </is>
      </c>
      <c r="O190" t="inlineStr">
        <is>
          <t>2026-06-08 05:25:27</t>
        </is>
      </c>
      <c r="P190" t="inlineStr">
        <is>
          <t>2026-06-08 05:25:27</t>
        </is>
      </c>
      <c r="Y190" t="inlineStr">
        <is>
          <t>27763112454</t>
        </is>
      </c>
    </row>
    <row r="191">
      <c r="A191" t="inlineStr">
        <is>
          <t>14828337</t>
        </is>
      </c>
      <c r="B191" t="inlineStr">
        <is>
          <t>2cc841f8-7da0-4b89-8ab1-810ed5d55ecf</t>
        </is>
      </c>
      <c r="D191" t="inlineStr">
        <is>
          <t>111111123</t>
        </is>
      </c>
      <c r="E191" t="inlineStr">
        <is>
          <t>Vodacom Life 20260603</t>
        </is>
      </c>
      <c r="J191" t="inlineStr">
        <is>
          <t>NA</t>
        </is>
      </c>
      <c r="K191" t="inlineStr">
        <is>
          <t>No Answer Autodial</t>
        </is>
      </c>
      <c r="L191" t="n">
        <v>7</v>
      </c>
      <c r="M191" t="inlineStr">
        <is>
          <t>2026-06-15 07:42:27</t>
        </is>
      </c>
      <c r="N191" t="inlineStr">
        <is>
          <t>system</t>
        </is>
      </c>
      <c r="O191" t="inlineStr">
        <is>
          <t>2026-06-08 05:25:27</t>
        </is>
      </c>
      <c r="P191" t="inlineStr">
        <is>
          <t>2026-06-08 05:25:27</t>
        </is>
      </c>
      <c r="Y191" t="inlineStr">
        <is>
          <t>27798520130</t>
        </is>
      </c>
    </row>
    <row r="192">
      <c r="A192" t="inlineStr">
        <is>
          <t>14828228</t>
        </is>
      </c>
      <c r="B192" t="inlineStr">
        <is>
          <t>44a8b4df-63bb-4578-a595-7a31a981d812</t>
        </is>
      </c>
      <c r="D192" t="inlineStr">
        <is>
          <t>111111123</t>
        </is>
      </c>
      <c r="E192" t="inlineStr">
        <is>
          <t>Vodacom Life 20260603</t>
        </is>
      </c>
      <c r="J192" t="inlineStr">
        <is>
          <t>DROP</t>
        </is>
      </c>
      <c r="K192" t="inlineStr">
        <is>
          <t>Dropped</t>
        </is>
      </c>
      <c r="L192" t="n">
        <v>7</v>
      </c>
      <c r="M192" t="inlineStr">
        <is>
          <t>2026-06-15 07:42:27</t>
        </is>
      </c>
      <c r="N192" t="inlineStr">
        <is>
          <t>system</t>
        </is>
      </c>
      <c r="O192" t="inlineStr">
        <is>
          <t>2026-06-08 05:25:27</t>
        </is>
      </c>
      <c r="P192" t="inlineStr">
        <is>
          <t>2026-06-08 05:25:27</t>
        </is>
      </c>
      <c r="Y192" t="inlineStr">
        <is>
          <t>27663650688</t>
        </is>
      </c>
    </row>
    <row r="193">
      <c r="A193" t="inlineStr">
        <is>
          <t>14828177</t>
        </is>
      </c>
      <c r="B193" t="inlineStr">
        <is>
          <t>a1900706-3d47-4ea5-ac99-ce648e621212</t>
        </is>
      </c>
      <c r="D193" t="inlineStr">
        <is>
          <t>111111123</t>
        </is>
      </c>
      <c r="E193" t="inlineStr">
        <is>
          <t>Vodacom Life 20260603</t>
        </is>
      </c>
      <c r="H193" t="inlineStr">
        <is>
          <t>27793389647</t>
        </is>
      </c>
      <c r="J193" t="inlineStr">
        <is>
          <t>AA</t>
        </is>
      </c>
      <c r="K193" t="inlineStr">
        <is>
          <t>Answering Machine Autodial</t>
        </is>
      </c>
      <c r="L193" t="n">
        <v>7</v>
      </c>
      <c r="M193" t="inlineStr">
        <is>
          <t>2026-06-15 07:42:26</t>
        </is>
      </c>
      <c r="N193" t="inlineStr">
        <is>
          <t>system</t>
        </is>
      </c>
      <c r="O193" t="inlineStr">
        <is>
          <t>2026-06-08 05:25:27</t>
        </is>
      </c>
      <c r="P193" t="inlineStr">
        <is>
          <t>2026-06-08 05:25:27</t>
        </is>
      </c>
      <c r="Y193" t="inlineStr">
        <is>
          <t>27793389647</t>
        </is>
      </c>
    </row>
    <row r="194">
      <c r="A194" t="inlineStr">
        <is>
          <t>14828122</t>
        </is>
      </c>
      <c r="B194" t="inlineStr">
        <is>
          <t>178c5f21-bd2b-4ab2-b382-5b4d38116bc4</t>
        </is>
      </c>
      <c r="D194" t="inlineStr">
        <is>
          <t>111111123</t>
        </is>
      </c>
      <c r="E194" t="inlineStr">
        <is>
          <t>Vodacom Life 20260603</t>
        </is>
      </c>
      <c r="H194" t="inlineStr">
        <is>
          <t>27796362305</t>
        </is>
      </c>
      <c r="J194" t="inlineStr">
        <is>
          <t>IABDN</t>
        </is>
      </c>
      <c r="K194" t="inlineStr">
        <is>
          <t>Inbound Abandon</t>
        </is>
      </c>
      <c r="L194" t="n">
        <v>7</v>
      </c>
      <c r="M194" t="inlineStr">
        <is>
          <t>2026-06-15 07:40:47</t>
        </is>
      </c>
      <c r="N194" t="inlineStr">
        <is>
          <t>system</t>
        </is>
      </c>
      <c r="O194" t="inlineStr">
        <is>
          <t>2026-06-08 05:25:27</t>
        </is>
      </c>
      <c r="P194" t="inlineStr">
        <is>
          <t>2026-06-08 05:25:27</t>
        </is>
      </c>
      <c r="Y194" t="inlineStr">
        <is>
          <t>27796362305</t>
        </is>
      </c>
    </row>
    <row r="195">
      <c r="A195" t="inlineStr">
        <is>
          <t>14827974</t>
        </is>
      </c>
      <c r="B195" t="inlineStr">
        <is>
          <t>22657d10-bc95-4880-bc2b-b40df87fc818</t>
        </is>
      </c>
      <c r="D195" t="inlineStr">
        <is>
          <t>111111123</t>
        </is>
      </c>
      <c r="E195" t="inlineStr">
        <is>
          <t>Vodacom Life 20260603</t>
        </is>
      </c>
      <c r="H195" t="inlineStr">
        <is>
          <t>27674428214</t>
        </is>
      </c>
      <c r="J195" t="inlineStr">
        <is>
          <t>AE</t>
        </is>
      </c>
      <c r="K195" t="inlineStr">
        <is>
          <t>Auto Engaged</t>
        </is>
      </c>
      <c r="L195" t="n">
        <v>7</v>
      </c>
      <c r="M195" t="inlineStr">
        <is>
          <t>2026-06-15 07:40:00</t>
        </is>
      </c>
      <c r="N195" t="inlineStr">
        <is>
          <t>system</t>
        </is>
      </c>
      <c r="O195" t="inlineStr">
        <is>
          <t>2026-06-08 05:25:27</t>
        </is>
      </c>
      <c r="P195" t="inlineStr">
        <is>
          <t>2026-06-08 05:25:27</t>
        </is>
      </c>
      <c r="Y195" t="inlineStr">
        <is>
          <t>27674428214</t>
        </is>
      </c>
    </row>
    <row r="196">
      <c r="A196" t="inlineStr">
        <is>
          <t>14828301</t>
        </is>
      </c>
      <c r="B196" t="inlineStr">
        <is>
          <t>e8d41ea7-1eb3-4e6c-b10d-99177688110b</t>
        </is>
      </c>
      <c r="D196" t="inlineStr">
        <is>
          <t>111111123</t>
        </is>
      </c>
      <c r="E196" t="inlineStr">
        <is>
          <t>Vodacom Life 20260603</t>
        </is>
      </c>
      <c r="J196" t="inlineStr">
        <is>
          <t>AA</t>
        </is>
      </c>
      <c r="K196" t="inlineStr">
        <is>
          <t>Answering Machine Autodial</t>
        </is>
      </c>
      <c r="L196" t="n">
        <v>7</v>
      </c>
      <c r="M196" t="inlineStr">
        <is>
          <t>2026-06-15 07:40:00</t>
        </is>
      </c>
      <c r="N196" t="inlineStr">
        <is>
          <t>system</t>
        </is>
      </c>
      <c r="O196" t="inlineStr">
        <is>
          <t>2026-06-08 05:25:27</t>
        </is>
      </c>
      <c r="P196" t="inlineStr">
        <is>
          <t>2026-06-08 05:25:27</t>
        </is>
      </c>
      <c r="Y196" t="inlineStr">
        <is>
          <t>27793655960</t>
        </is>
      </c>
    </row>
    <row r="197">
      <c r="A197" t="inlineStr">
        <is>
          <t>14828125</t>
        </is>
      </c>
      <c r="B197" t="inlineStr">
        <is>
          <t>754b70d7-8719-4fe0-b502-9941e85a0908</t>
        </is>
      </c>
      <c r="D197" t="inlineStr">
        <is>
          <t>111111123</t>
        </is>
      </c>
      <c r="E197" t="inlineStr">
        <is>
          <t>Vodacom Life 20260603</t>
        </is>
      </c>
      <c r="J197" t="inlineStr">
        <is>
          <t>DROP</t>
        </is>
      </c>
      <c r="K197" t="inlineStr">
        <is>
          <t>Dropped</t>
        </is>
      </c>
      <c r="L197" t="n">
        <v>7</v>
      </c>
      <c r="M197" t="inlineStr">
        <is>
          <t>2026-06-15 07:40:00</t>
        </is>
      </c>
      <c r="N197" t="inlineStr">
        <is>
          <t>system</t>
        </is>
      </c>
      <c r="O197" t="inlineStr">
        <is>
          <t>2026-06-08 05:25:27</t>
        </is>
      </c>
      <c r="P197" t="inlineStr">
        <is>
          <t>2026-06-08 05:25:27</t>
        </is>
      </c>
      <c r="Y197" t="inlineStr">
        <is>
          <t>27713975809</t>
        </is>
      </c>
    </row>
    <row r="198">
      <c r="A198" t="inlineStr">
        <is>
          <t>14800000</t>
        </is>
      </c>
      <c r="B198" t="inlineStr">
        <is>
          <t>00e53825-9ab4-4b6b-85c8-d4d9cde95c64</t>
        </is>
      </c>
      <c r="D198" t="inlineStr">
        <is>
          <t>111111123</t>
        </is>
      </c>
      <c r="E198" t="inlineStr">
        <is>
          <t>Vodacom Life 20260603</t>
        </is>
      </c>
      <c r="J198" t="inlineStr">
        <is>
          <t>DROP</t>
        </is>
      </c>
      <c r="K198" t="inlineStr">
        <is>
          <t>Dropped</t>
        </is>
      </c>
      <c r="L198" t="n">
        <v>7</v>
      </c>
      <c r="M198" t="inlineStr">
        <is>
          <t>2026-06-15 07:35:58</t>
        </is>
      </c>
      <c r="N198" t="inlineStr">
        <is>
          <t>system</t>
        </is>
      </c>
      <c r="O198" t="inlineStr">
        <is>
          <t>2026-06-08 05:25:27</t>
        </is>
      </c>
      <c r="P198" t="inlineStr">
        <is>
          <t>2026-06-08 05:25:27</t>
        </is>
      </c>
      <c r="Y198" t="inlineStr">
        <is>
          <t>27727992491</t>
        </is>
      </c>
    </row>
    <row r="199">
      <c r="A199" t="inlineStr">
        <is>
          <t>14828271</t>
        </is>
      </c>
      <c r="B199" t="inlineStr">
        <is>
          <t>a03807d1-a211-4616-8f39-2b36094bfd30</t>
        </is>
      </c>
      <c r="D199" t="inlineStr">
        <is>
          <t>111111123</t>
        </is>
      </c>
      <c r="E199" t="inlineStr">
        <is>
          <t>Vodacom Life 20260603</t>
        </is>
      </c>
      <c r="H199" t="inlineStr">
        <is>
          <t>27637610697</t>
        </is>
      </c>
      <c r="J199" t="inlineStr">
        <is>
          <t>AA</t>
        </is>
      </c>
      <c r="K199" t="inlineStr">
        <is>
          <t>Answering Machine Autodial</t>
        </is>
      </c>
      <c r="L199" t="n">
        <v>7</v>
      </c>
      <c r="M199" t="inlineStr">
        <is>
          <t>2026-06-15 07:35:58</t>
        </is>
      </c>
      <c r="N199" t="inlineStr">
        <is>
          <t>system</t>
        </is>
      </c>
      <c r="O199" t="inlineStr">
        <is>
          <t>2026-06-08 05:25:27</t>
        </is>
      </c>
      <c r="P199" t="inlineStr">
        <is>
          <t>2026-06-08 05:25:27</t>
        </is>
      </c>
      <c r="Y199" t="inlineStr">
        <is>
          <t>27637610697</t>
        </is>
      </c>
    </row>
    <row r="200">
      <c r="A200" t="inlineStr">
        <is>
          <t>14828395</t>
        </is>
      </c>
      <c r="B200" t="inlineStr">
        <is>
          <t>1ab9e10a-76c3-450a-8ca3-e44559c6404f</t>
        </is>
      </c>
      <c r="D200" t="inlineStr">
        <is>
          <t>111111123</t>
        </is>
      </c>
      <c r="E200" t="inlineStr">
        <is>
          <t>Vodacom Life 20260603</t>
        </is>
      </c>
      <c r="J200" t="inlineStr">
        <is>
          <t>AA</t>
        </is>
      </c>
      <c r="K200" t="inlineStr">
        <is>
          <t>Answering Machine Autodial</t>
        </is>
      </c>
      <c r="L200" t="n">
        <v>7</v>
      </c>
      <c r="M200" t="inlineStr">
        <is>
          <t>2026-06-15 07:35:58</t>
        </is>
      </c>
      <c r="N200" t="inlineStr">
        <is>
          <t>system</t>
        </is>
      </c>
      <c r="O200" t="inlineStr">
        <is>
          <t>2026-06-08 05:25:27</t>
        </is>
      </c>
      <c r="P200" t="inlineStr">
        <is>
          <t>2026-06-08 05:25:27</t>
        </is>
      </c>
      <c r="Y200" t="inlineStr">
        <is>
          <t>27636309216</t>
        </is>
      </c>
    </row>
    <row r="201">
      <c r="A201" t="inlineStr">
        <is>
          <t>14828270</t>
        </is>
      </c>
      <c r="B201" t="inlineStr">
        <is>
          <t>b0024ea0-f92b-4a83-92be-996d9a4a5708</t>
        </is>
      </c>
      <c r="D201" t="inlineStr">
        <is>
          <t>111111123</t>
        </is>
      </c>
      <c r="E201" t="inlineStr">
        <is>
          <t>Vodacom Life 20260603</t>
        </is>
      </c>
      <c r="J201" t="inlineStr">
        <is>
          <t>AE</t>
        </is>
      </c>
      <c r="K201" t="inlineStr">
        <is>
          <t>Auto Engaged</t>
        </is>
      </c>
      <c r="L201" t="n">
        <v>7</v>
      </c>
      <c r="M201" t="inlineStr">
        <is>
          <t>2026-06-15 07:35:57</t>
        </is>
      </c>
      <c r="N201" t="inlineStr">
        <is>
          <t>system</t>
        </is>
      </c>
      <c r="O201" t="inlineStr">
        <is>
          <t>2026-06-08 05:25:27</t>
        </is>
      </c>
      <c r="P201" t="inlineStr">
        <is>
          <t>2026-06-08 05:25:27</t>
        </is>
      </c>
      <c r="Y201" t="inlineStr">
        <is>
          <t>27767547704</t>
        </is>
      </c>
    </row>
    <row r="202">
      <c r="A202" t="inlineStr">
        <is>
          <t>14828350</t>
        </is>
      </c>
      <c r="B202" t="inlineStr">
        <is>
          <t>6e4b0938-432a-4565-81b0-792891ff608d</t>
        </is>
      </c>
      <c r="D202" t="inlineStr">
        <is>
          <t>111111123</t>
        </is>
      </c>
      <c r="E202" t="inlineStr">
        <is>
          <t>Vodacom Life 20260603</t>
        </is>
      </c>
      <c r="H202" t="inlineStr">
        <is>
          <t>27766052420</t>
        </is>
      </c>
      <c r="J202" t="inlineStr">
        <is>
          <t>IABDN</t>
        </is>
      </c>
      <c r="K202" t="inlineStr">
        <is>
          <t>Inbound Abandon</t>
        </is>
      </c>
      <c r="L202" t="n">
        <v>7</v>
      </c>
      <c r="M202" t="inlineStr">
        <is>
          <t>2026-06-15 07:30:59</t>
        </is>
      </c>
      <c r="N202" t="inlineStr">
        <is>
          <t>system</t>
        </is>
      </c>
      <c r="O202" t="inlineStr">
        <is>
          <t>2026-06-08 05:25:27</t>
        </is>
      </c>
      <c r="P202" t="inlineStr">
        <is>
          <t>2026-06-08 05:25:27</t>
        </is>
      </c>
      <c r="Y202" t="inlineStr">
        <is>
          <t>27766052420</t>
        </is>
      </c>
    </row>
    <row r="203">
      <c r="A203" t="inlineStr">
        <is>
          <t>14828151</t>
        </is>
      </c>
      <c r="B203" t="inlineStr">
        <is>
          <t>1ea08df0-1c42-4d89-a9ae-7332d977c6a5</t>
        </is>
      </c>
      <c r="D203" t="inlineStr">
        <is>
          <t>111111123</t>
        </is>
      </c>
      <c r="E203" t="inlineStr">
        <is>
          <t>Vodacom Life 20260603</t>
        </is>
      </c>
      <c r="H203" t="inlineStr">
        <is>
          <t>27725006495</t>
        </is>
      </c>
      <c r="J203" t="inlineStr">
        <is>
          <t>IABDN</t>
        </is>
      </c>
      <c r="K203" t="inlineStr">
        <is>
          <t>Inbound Abandon</t>
        </is>
      </c>
      <c r="L203" t="n">
        <v>7</v>
      </c>
      <c r="M203" t="inlineStr">
        <is>
          <t>2026-06-15 07:28:48</t>
        </is>
      </c>
      <c r="N203" t="inlineStr">
        <is>
          <t>system</t>
        </is>
      </c>
      <c r="O203" t="inlineStr">
        <is>
          <t>2026-06-08 05:25:27</t>
        </is>
      </c>
      <c r="P203" t="inlineStr">
        <is>
          <t>2026-06-08 05:25:27</t>
        </is>
      </c>
      <c r="Y203" t="inlineStr">
        <is>
          <t>27725006495</t>
        </is>
      </c>
    </row>
    <row r="204">
      <c r="A204" t="inlineStr">
        <is>
          <t>14828179</t>
        </is>
      </c>
      <c r="B204" t="inlineStr">
        <is>
          <t>f4e0ae48-247c-45be-93c0-08f35ce5f51c</t>
        </is>
      </c>
      <c r="D204" t="inlineStr">
        <is>
          <t>111111123</t>
        </is>
      </c>
      <c r="E204" t="inlineStr">
        <is>
          <t>Vodacom Life 20260603</t>
        </is>
      </c>
      <c r="H204" t="inlineStr">
        <is>
          <t>27725792846</t>
        </is>
      </c>
      <c r="J204" t="inlineStr">
        <is>
          <t>IABDN</t>
        </is>
      </c>
      <c r="K204" t="inlineStr">
        <is>
          <t>Inbound Abandon</t>
        </is>
      </c>
      <c r="L204" t="n">
        <v>7</v>
      </c>
      <c r="M204" t="inlineStr">
        <is>
          <t>2026-06-15 07:28:11</t>
        </is>
      </c>
      <c r="N204" t="inlineStr">
        <is>
          <t>system</t>
        </is>
      </c>
      <c r="O204" t="inlineStr">
        <is>
          <t>2026-06-08 05:25:27</t>
        </is>
      </c>
      <c r="P204" t="inlineStr">
        <is>
          <t>2026-06-08 05:25:27</t>
        </is>
      </c>
      <c r="Y204" t="inlineStr">
        <is>
          <t>27725792846</t>
        </is>
      </c>
    </row>
    <row r="205">
      <c r="A205" t="inlineStr">
        <is>
          <t>14828305</t>
        </is>
      </c>
      <c r="B205" t="inlineStr">
        <is>
          <t>2f96f3dc-56fb-4f21-b84e-973544581105</t>
        </is>
      </c>
      <c r="D205" t="inlineStr">
        <is>
          <t>111111123</t>
        </is>
      </c>
      <c r="E205" t="inlineStr">
        <is>
          <t>Vodacom Life 20260603</t>
        </is>
      </c>
      <c r="J205" t="inlineStr">
        <is>
          <t>AA</t>
        </is>
      </c>
      <c r="K205" t="inlineStr">
        <is>
          <t>Answering Machine Autodial</t>
        </is>
      </c>
      <c r="L205" t="n">
        <v>7</v>
      </c>
      <c r="M205" t="inlineStr">
        <is>
          <t>2026-06-15 07:27:47</t>
        </is>
      </c>
      <c r="N205" t="inlineStr">
        <is>
          <t>system</t>
        </is>
      </c>
      <c r="O205" t="inlineStr">
        <is>
          <t>2026-06-08 05:25:27</t>
        </is>
      </c>
      <c r="P205" t="inlineStr">
        <is>
          <t>2026-06-08 05:25:27</t>
        </is>
      </c>
      <c r="Y205" t="inlineStr">
        <is>
          <t>27795479346</t>
        </is>
      </c>
    </row>
    <row r="206">
      <c r="A206" t="inlineStr">
        <is>
          <t>14828153</t>
        </is>
      </c>
      <c r="B206" t="inlineStr">
        <is>
          <t>9c67c0a6-0ad7-4455-826d-5dbaddebdd0b</t>
        </is>
      </c>
      <c r="D206" t="inlineStr">
        <is>
          <t>111111123</t>
        </is>
      </c>
      <c r="E206" t="inlineStr">
        <is>
          <t>Vodacom Life 20260603</t>
        </is>
      </c>
      <c r="J206" t="inlineStr">
        <is>
          <t>AE</t>
        </is>
      </c>
      <c r="K206" t="inlineStr">
        <is>
          <t>Auto Engaged</t>
        </is>
      </c>
      <c r="L206" t="n">
        <v>7</v>
      </c>
      <c r="M206" t="inlineStr">
        <is>
          <t>2026-06-15 07:27:47</t>
        </is>
      </c>
      <c r="N206" t="inlineStr">
        <is>
          <t>system</t>
        </is>
      </c>
      <c r="O206" t="inlineStr">
        <is>
          <t>2026-06-08 05:25:27</t>
        </is>
      </c>
      <c r="P206" t="inlineStr">
        <is>
          <t>2026-06-08 05:25:27</t>
        </is>
      </c>
      <c r="Y206" t="inlineStr">
        <is>
          <t>27673983058</t>
        </is>
      </c>
    </row>
    <row r="207">
      <c r="A207" t="inlineStr">
        <is>
          <t>14828383</t>
        </is>
      </c>
      <c r="B207" t="inlineStr">
        <is>
          <t>67f1b943-d3f5-4569-824b-5b59b895879c</t>
        </is>
      </c>
      <c r="D207" t="inlineStr">
        <is>
          <t>111111123</t>
        </is>
      </c>
      <c r="E207" t="inlineStr">
        <is>
          <t>Vodacom Life 20260603</t>
        </is>
      </c>
      <c r="H207" t="inlineStr">
        <is>
          <t>27724533476</t>
        </is>
      </c>
      <c r="J207" t="inlineStr">
        <is>
          <t>QAVET</t>
        </is>
      </c>
      <c r="K207" t="inlineStr">
        <is>
          <t>Sale Made</t>
        </is>
      </c>
      <c r="L207" t="n">
        <v>8</v>
      </c>
      <c r="M207" t="inlineStr">
        <is>
          <t>2026-06-15 07:27:46</t>
        </is>
      </c>
      <c r="N207" t="inlineStr">
        <is>
          <t>Maureen Ntsoko</t>
        </is>
      </c>
      <c r="O207" t="inlineStr">
        <is>
          <t>2026-06-08 05:25:27</t>
        </is>
      </c>
      <c r="P207" t="inlineStr">
        <is>
          <t>2026-06-08 05:25:27</t>
        </is>
      </c>
      <c r="Y207" t="inlineStr">
        <is>
          <t>27724533476</t>
        </is>
      </c>
    </row>
    <row r="208">
      <c r="A208" t="inlineStr">
        <is>
          <t>14828171</t>
        </is>
      </c>
      <c r="B208" t="inlineStr">
        <is>
          <t>238fef67-7700-4253-8239-879195ed45b6</t>
        </is>
      </c>
      <c r="D208" t="inlineStr">
        <is>
          <t>111111123</t>
        </is>
      </c>
      <c r="E208" t="inlineStr">
        <is>
          <t>Vodacom Life 20260603</t>
        </is>
      </c>
      <c r="H208" t="inlineStr">
        <is>
          <t>27837580642</t>
        </is>
      </c>
      <c r="J208" t="inlineStr">
        <is>
          <t>CCB</t>
        </is>
      </c>
      <c r="K208" t="inlineStr">
        <is>
          <t>Call Dropped</t>
        </is>
      </c>
      <c r="L208" t="n">
        <v>7</v>
      </c>
      <c r="M208" t="inlineStr">
        <is>
          <t>2026-06-15 07:27:34</t>
        </is>
      </c>
      <c r="N208" t="inlineStr">
        <is>
          <t>Maureen Ntsoko</t>
        </is>
      </c>
      <c r="O208" t="inlineStr">
        <is>
          <t>2026-06-08 05:25:27</t>
        </is>
      </c>
      <c r="P208" t="inlineStr">
        <is>
          <t>2026-06-08 05:25:27</t>
        </is>
      </c>
      <c r="Y208" t="inlineStr">
        <is>
          <t>27837580642</t>
        </is>
      </c>
    </row>
    <row r="209">
      <c r="A209" t="inlineStr">
        <is>
          <t>14828232</t>
        </is>
      </c>
      <c r="B209" t="inlineStr">
        <is>
          <t>39ba9652-933f-4a94-b1fb-f43a34b76eab</t>
        </is>
      </c>
      <c r="D209" t="inlineStr">
        <is>
          <t>111111123</t>
        </is>
      </c>
      <c r="E209" t="inlineStr">
        <is>
          <t>Vodacom Life 20260603</t>
        </is>
      </c>
      <c r="H209" t="inlineStr">
        <is>
          <t>27722087093</t>
        </is>
      </c>
      <c r="J209" t="inlineStr">
        <is>
          <t>IABDN</t>
        </is>
      </c>
      <c r="K209" t="inlineStr">
        <is>
          <t>Inbound Abandon</t>
        </is>
      </c>
      <c r="L209" t="n">
        <v>7</v>
      </c>
      <c r="M209" t="inlineStr">
        <is>
          <t>2026-06-15 07:19:44</t>
        </is>
      </c>
      <c r="N209" t="inlineStr">
        <is>
          <t>system</t>
        </is>
      </c>
      <c r="O209" t="inlineStr">
        <is>
          <t>2026-06-08 05:25:27</t>
        </is>
      </c>
      <c r="P209" t="inlineStr">
        <is>
          <t>2026-06-08 05:25:27</t>
        </is>
      </c>
      <c r="Y209" t="inlineStr">
        <is>
          <t>27722087093</t>
        </is>
      </c>
    </row>
    <row r="210">
      <c r="A210" t="inlineStr">
        <is>
          <t>14828294</t>
        </is>
      </c>
      <c r="B210" t="inlineStr">
        <is>
          <t>f00ed500-adad-4270-a6f0-921c72148883</t>
        </is>
      </c>
      <c r="D210" t="inlineStr">
        <is>
          <t>111111123</t>
        </is>
      </c>
      <c r="E210" t="inlineStr">
        <is>
          <t>Vodacom Life 20260603</t>
        </is>
      </c>
      <c r="J210" t="inlineStr">
        <is>
          <t>NA</t>
        </is>
      </c>
      <c r="K210" t="inlineStr">
        <is>
          <t>No Answer Autodial</t>
        </is>
      </c>
      <c r="L210" t="n">
        <v>7</v>
      </c>
      <c r="M210" t="inlineStr">
        <is>
          <t>2026-06-15 07:19:25</t>
        </is>
      </c>
      <c r="N210" t="inlineStr">
        <is>
          <t>system</t>
        </is>
      </c>
      <c r="O210" t="inlineStr">
        <is>
          <t>2026-06-08 05:25:27</t>
        </is>
      </c>
      <c r="P210" t="inlineStr">
        <is>
          <t>2026-06-08 05:25:27</t>
        </is>
      </c>
      <c r="Y210" t="inlineStr">
        <is>
          <t>27825982164</t>
        </is>
      </c>
    </row>
    <row r="211">
      <c r="A211" t="inlineStr">
        <is>
          <t>14828246</t>
        </is>
      </c>
      <c r="B211" t="inlineStr">
        <is>
          <t>f6fe80dd-3e4a-44f0-bdc9-6a976b9cbfa6</t>
        </is>
      </c>
      <c r="D211" t="inlineStr">
        <is>
          <t>111111123</t>
        </is>
      </c>
      <c r="E211" t="inlineStr">
        <is>
          <t>Vodacom Life 20260603</t>
        </is>
      </c>
      <c r="J211" t="inlineStr">
        <is>
          <t>NA</t>
        </is>
      </c>
      <c r="K211" t="inlineStr">
        <is>
          <t>No Answer Autodial</t>
        </is>
      </c>
      <c r="L211" t="n">
        <v>7</v>
      </c>
      <c r="M211" t="inlineStr">
        <is>
          <t>2026-06-15 07:19:25</t>
        </is>
      </c>
      <c r="N211" t="inlineStr">
        <is>
          <t>system</t>
        </is>
      </c>
      <c r="O211" t="inlineStr">
        <is>
          <t>2026-06-08 05:25:27</t>
        </is>
      </c>
      <c r="P211" t="inlineStr">
        <is>
          <t>2026-06-08 05:25:27</t>
        </is>
      </c>
      <c r="Y211" t="inlineStr">
        <is>
          <t>27794476815</t>
        </is>
      </c>
    </row>
    <row r="212">
      <c r="A212" t="inlineStr">
        <is>
          <t>14828355</t>
        </is>
      </c>
      <c r="B212" t="inlineStr">
        <is>
          <t>72661d2e-4d59-4d0d-82ca-2090b3086580</t>
        </is>
      </c>
      <c r="D212" t="inlineStr">
        <is>
          <t>111111123</t>
        </is>
      </c>
      <c r="E212" t="inlineStr">
        <is>
          <t>Vodacom Life 20260603</t>
        </is>
      </c>
      <c r="J212" t="inlineStr">
        <is>
          <t>DROP</t>
        </is>
      </c>
      <c r="K212" t="inlineStr">
        <is>
          <t>Dropped</t>
        </is>
      </c>
      <c r="L212" t="n">
        <v>7</v>
      </c>
      <c r="M212" t="inlineStr">
        <is>
          <t>2026-06-15 07:18:38</t>
        </is>
      </c>
      <c r="N212" t="inlineStr">
        <is>
          <t>system</t>
        </is>
      </c>
      <c r="O212" t="inlineStr">
        <is>
          <t>2026-06-08 05:25:27</t>
        </is>
      </c>
      <c r="P212" t="inlineStr">
        <is>
          <t>2026-06-08 05:25:27</t>
        </is>
      </c>
      <c r="Y212" t="inlineStr">
        <is>
          <t>27721465628</t>
        </is>
      </c>
    </row>
    <row r="213">
      <c r="A213" t="inlineStr">
        <is>
          <t>14828310</t>
        </is>
      </c>
      <c r="B213" t="inlineStr">
        <is>
          <t>4b9630ad-2adb-4c6a-bc75-14d39c653af2</t>
        </is>
      </c>
      <c r="D213" t="inlineStr">
        <is>
          <t>111111123</t>
        </is>
      </c>
      <c r="E213" t="inlineStr">
        <is>
          <t>Vodacom Life 20260603</t>
        </is>
      </c>
      <c r="J213" t="inlineStr">
        <is>
          <t>AA</t>
        </is>
      </c>
      <c r="K213" t="inlineStr">
        <is>
          <t>Answering Machine Autodial</t>
        </is>
      </c>
      <c r="L213" t="n">
        <v>7</v>
      </c>
      <c r="M213" t="inlineStr">
        <is>
          <t>2026-06-15 07:18:36</t>
        </is>
      </c>
      <c r="N213" t="inlineStr">
        <is>
          <t>system</t>
        </is>
      </c>
      <c r="O213" t="inlineStr">
        <is>
          <t>2026-06-08 05:25:27</t>
        </is>
      </c>
      <c r="P213" t="inlineStr">
        <is>
          <t>2026-06-08 05:25:27</t>
        </is>
      </c>
      <c r="Y213" t="inlineStr">
        <is>
          <t>27729916179</t>
        </is>
      </c>
    </row>
    <row r="214">
      <c r="A214" t="inlineStr">
        <is>
          <t>14828172</t>
        </is>
      </c>
      <c r="B214" t="inlineStr">
        <is>
          <t>49b469c7-2958-4cf9-801d-261ce9329dbe</t>
        </is>
      </c>
      <c r="D214" t="inlineStr">
        <is>
          <t>111111123</t>
        </is>
      </c>
      <c r="E214" t="inlineStr">
        <is>
          <t>Vodacom Life 20260603</t>
        </is>
      </c>
      <c r="H214" t="inlineStr">
        <is>
          <t>27609355705</t>
        </is>
      </c>
      <c r="J214" t="inlineStr">
        <is>
          <t>AE</t>
        </is>
      </c>
      <c r="K214" t="inlineStr">
        <is>
          <t>Auto Engaged</t>
        </is>
      </c>
      <c r="L214" t="n">
        <v>7</v>
      </c>
      <c r="M214" t="inlineStr">
        <is>
          <t>2026-06-15 07:18:35</t>
        </is>
      </c>
      <c r="N214" t="inlineStr">
        <is>
          <t>system</t>
        </is>
      </c>
      <c r="O214" t="inlineStr">
        <is>
          <t>2026-06-08 05:25:27</t>
        </is>
      </c>
      <c r="P214" t="inlineStr">
        <is>
          <t>2026-06-08 05:25:27</t>
        </is>
      </c>
      <c r="Y214" t="inlineStr">
        <is>
          <t>27609355705</t>
        </is>
      </c>
    </row>
    <row r="215">
      <c r="A215" t="inlineStr">
        <is>
          <t>14828236</t>
        </is>
      </c>
      <c r="B215" t="inlineStr">
        <is>
          <t>2489613c-6035-4950-a37e-73db346cc74e</t>
        </is>
      </c>
      <c r="D215" t="inlineStr">
        <is>
          <t>111111123</t>
        </is>
      </c>
      <c r="E215" t="inlineStr">
        <is>
          <t>Vodacom Life 20260603</t>
        </is>
      </c>
      <c r="J215" t="inlineStr">
        <is>
          <t>AA</t>
        </is>
      </c>
      <c r="K215" t="inlineStr">
        <is>
          <t>Answering Machine Autodial</t>
        </is>
      </c>
      <c r="L215" t="n">
        <v>7</v>
      </c>
      <c r="M215" t="inlineStr">
        <is>
          <t>2026-06-15 07:17:31</t>
        </is>
      </c>
      <c r="N215" t="inlineStr">
        <is>
          <t>system</t>
        </is>
      </c>
      <c r="O215" t="inlineStr">
        <is>
          <t>2026-06-08 05:25:27</t>
        </is>
      </c>
      <c r="P215" t="inlineStr">
        <is>
          <t>2026-06-08 05:25:27</t>
        </is>
      </c>
      <c r="Y215" t="inlineStr">
        <is>
          <t>27724201670</t>
        </is>
      </c>
    </row>
    <row r="216">
      <c r="A216" t="inlineStr">
        <is>
          <t>14828076</t>
        </is>
      </c>
      <c r="B216" t="inlineStr">
        <is>
          <t>ac2aa06a-3899-41fe-a011-35383b7a5a4a</t>
        </is>
      </c>
      <c r="D216" t="inlineStr">
        <is>
          <t>111111123</t>
        </is>
      </c>
      <c r="E216" t="inlineStr">
        <is>
          <t>Vodacom Life 20260603</t>
        </is>
      </c>
      <c r="H216" t="inlineStr">
        <is>
          <t>27792716193</t>
        </is>
      </c>
      <c r="J216" t="inlineStr">
        <is>
          <t>CU</t>
        </is>
      </c>
      <c r="K216" t="inlineStr">
        <is>
          <t>Client Hung Up</t>
        </is>
      </c>
      <c r="L216" t="n">
        <v>8</v>
      </c>
      <c r="M216" t="inlineStr">
        <is>
          <t>2026-06-15 07:17:29</t>
        </is>
      </c>
      <c r="N216" t="inlineStr">
        <is>
          <t>bongiwe lushaba</t>
        </is>
      </c>
      <c r="O216" t="inlineStr">
        <is>
          <t>2026-06-08 05:25:27</t>
        </is>
      </c>
      <c r="P216" t="inlineStr">
        <is>
          <t>2026-06-08 05:25:27</t>
        </is>
      </c>
      <c r="Y216" t="inlineStr">
        <is>
          <t>27792716193</t>
        </is>
      </c>
    </row>
    <row r="217">
      <c r="A217" t="inlineStr">
        <is>
          <t>14828183</t>
        </is>
      </c>
      <c r="B217" t="inlineStr">
        <is>
          <t>bce76257-a713-4f5a-bc77-bb32f066360a</t>
        </is>
      </c>
      <c r="D217" t="inlineStr">
        <is>
          <t>111111123</t>
        </is>
      </c>
      <c r="E217" t="inlineStr">
        <is>
          <t>Vodacom Life 20260603</t>
        </is>
      </c>
      <c r="J217" t="inlineStr">
        <is>
          <t>AA</t>
        </is>
      </c>
      <c r="K217" t="inlineStr">
        <is>
          <t>Answering Machine Autodial</t>
        </is>
      </c>
      <c r="L217" t="n">
        <v>7</v>
      </c>
      <c r="M217" t="inlineStr">
        <is>
          <t>2026-06-15 07:17:16</t>
        </is>
      </c>
      <c r="N217" t="inlineStr">
        <is>
          <t>system</t>
        </is>
      </c>
      <c r="O217" t="inlineStr">
        <is>
          <t>2026-06-08 05:25:27</t>
        </is>
      </c>
      <c r="P217" t="inlineStr">
        <is>
          <t>2026-06-08 05:25:27</t>
        </is>
      </c>
      <c r="Y217" t="inlineStr">
        <is>
          <t>27763476392</t>
        </is>
      </c>
    </row>
    <row r="218">
      <c r="A218" t="inlineStr">
        <is>
          <t>14828325</t>
        </is>
      </c>
      <c r="B218" t="inlineStr">
        <is>
          <t>7b5e6bea-09d2-4c89-82dd-29cfd41d2afb</t>
        </is>
      </c>
      <c r="D218" t="inlineStr">
        <is>
          <t>111111123</t>
        </is>
      </c>
      <c r="E218" t="inlineStr">
        <is>
          <t>Vodacom Life 20260603</t>
        </is>
      </c>
      <c r="J218" t="inlineStr">
        <is>
          <t>DROP</t>
        </is>
      </c>
      <c r="K218" t="inlineStr">
        <is>
          <t>Dropped</t>
        </is>
      </c>
      <c r="L218" t="n">
        <v>7</v>
      </c>
      <c r="M218" t="inlineStr">
        <is>
          <t>2026-06-15 07:17:16</t>
        </is>
      </c>
      <c r="N218" t="inlineStr">
        <is>
          <t>system</t>
        </is>
      </c>
      <c r="O218" t="inlineStr">
        <is>
          <t>2026-06-08 05:25:27</t>
        </is>
      </c>
      <c r="P218" t="inlineStr">
        <is>
          <t>2026-06-08 05:25:27</t>
        </is>
      </c>
      <c r="Y218" t="inlineStr">
        <is>
          <t>27769391313</t>
        </is>
      </c>
    </row>
    <row r="219">
      <c r="A219" t="inlineStr">
        <is>
          <t>14828364</t>
        </is>
      </c>
      <c r="B219" t="inlineStr">
        <is>
          <t>bc97be38-d0ed-4b12-9d01-cbbb9aba4bc1</t>
        </is>
      </c>
      <c r="D219" t="inlineStr">
        <is>
          <t>111111123</t>
        </is>
      </c>
      <c r="E219" t="inlineStr">
        <is>
          <t>Vodacom Life 20260603</t>
        </is>
      </c>
      <c r="J219" t="inlineStr">
        <is>
          <t>NA</t>
        </is>
      </c>
      <c r="K219" t="inlineStr">
        <is>
          <t>No Answer Autodial</t>
        </is>
      </c>
      <c r="L219" t="n">
        <v>7</v>
      </c>
      <c r="M219" t="inlineStr">
        <is>
          <t>2026-06-15 07:17:15</t>
        </is>
      </c>
      <c r="N219" t="inlineStr">
        <is>
          <t>system</t>
        </is>
      </c>
      <c r="O219" t="inlineStr">
        <is>
          <t>2026-06-08 05:25:27</t>
        </is>
      </c>
      <c r="P219" t="inlineStr">
        <is>
          <t>2026-06-08 05:25:27</t>
        </is>
      </c>
      <c r="Y219" t="inlineStr">
        <is>
          <t>27825341443</t>
        </is>
      </c>
    </row>
    <row r="220">
      <c r="A220" t="inlineStr">
        <is>
          <t>14828323</t>
        </is>
      </c>
      <c r="B220" t="inlineStr">
        <is>
          <t>a50911f1-0a5f-4002-9172-a4fc23daf8fe</t>
        </is>
      </c>
      <c r="D220" t="inlineStr">
        <is>
          <t>111111123</t>
        </is>
      </c>
      <c r="E220" t="inlineStr">
        <is>
          <t>Vodacom Life 20260603</t>
        </is>
      </c>
      <c r="J220" t="inlineStr">
        <is>
          <t>AA</t>
        </is>
      </c>
      <c r="K220" t="inlineStr">
        <is>
          <t>Answering Machine Autodial</t>
        </is>
      </c>
      <c r="L220" t="n">
        <v>7</v>
      </c>
      <c r="M220" t="inlineStr">
        <is>
          <t>2026-06-15 07:15:30</t>
        </is>
      </c>
      <c r="N220" t="inlineStr">
        <is>
          <t>system</t>
        </is>
      </c>
      <c r="O220" t="inlineStr">
        <is>
          <t>2026-06-08 05:25:27</t>
        </is>
      </c>
      <c r="P220" t="inlineStr">
        <is>
          <t>2026-06-08 05:25:27</t>
        </is>
      </c>
      <c r="Y220" t="inlineStr">
        <is>
          <t>27822970583</t>
        </is>
      </c>
    </row>
    <row r="221">
      <c r="A221" t="inlineStr">
        <is>
          <t>14827984</t>
        </is>
      </c>
      <c r="B221" t="inlineStr">
        <is>
          <t>37a7d174-fc6f-4d89-b413-feb5564e1807</t>
        </is>
      </c>
      <c r="D221" t="inlineStr">
        <is>
          <t>111111123</t>
        </is>
      </c>
      <c r="E221" t="inlineStr">
        <is>
          <t>Vodacom Life 20260603</t>
        </is>
      </c>
      <c r="J221" t="inlineStr">
        <is>
          <t>U</t>
        </is>
      </c>
      <c r="K221" t="inlineStr">
        <is>
          <t>Unemployed</t>
        </is>
      </c>
      <c r="L221" t="n">
        <v>7</v>
      </c>
      <c r="M221" t="inlineStr">
        <is>
          <t>2026-06-15 07:15:10</t>
        </is>
      </c>
      <c r="N221" t="inlineStr">
        <is>
          <t>bongiwe lushaba</t>
        </is>
      </c>
      <c r="O221" t="inlineStr">
        <is>
          <t>2026-06-08 05:25:27</t>
        </is>
      </c>
      <c r="P221" t="inlineStr">
        <is>
          <t>2026-06-08 05:25:27</t>
        </is>
      </c>
      <c r="Y221" t="inlineStr">
        <is>
          <t>27799410784</t>
        </is>
      </c>
    </row>
    <row r="222">
      <c r="A222" t="inlineStr">
        <is>
          <t>14828266</t>
        </is>
      </c>
      <c r="B222" t="inlineStr">
        <is>
          <t>1d207b53-ae6b-47e9-86e3-cd1debc12fdd</t>
        </is>
      </c>
      <c r="D222" t="inlineStr">
        <is>
          <t>111111123</t>
        </is>
      </c>
      <c r="E222" t="inlineStr">
        <is>
          <t>Vodacom Life 20260603</t>
        </is>
      </c>
      <c r="J222" t="inlineStr">
        <is>
          <t>AA</t>
        </is>
      </c>
      <c r="K222" t="inlineStr">
        <is>
          <t>Answering Machine Autodial</t>
        </is>
      </c>
      <c r="L222" t="n">
        <v>7</v>
      </c>
      <c r="M222" t="inlineStr">
        <is>
          <t>2026-06-15 07:14:56</t>
        </is>
      </c>
      <c r="N222" t="inlineStr">
        <is>
          <t>system</t>
        </is>
      </c>
      <c r="O222" t="inlineStr">
        <is>
          <t>2026-06-08 05:25:27</t>
        </is>
      </c>
      <c r="P222" t="inlineStr">
        <is>
          <t>2026-06-08 05:25:27</t>
        </is>
      </c>
      <c r="Y222" t="inlineStr">
        <is>
          <t>27818829673</t>
        </is>
      </c>
    </row>
    <row r="223">
      <c r="A223" t="inlineStr">
        <is>
          <t>14828439</t>
        </is>
      </c>
      <c r="B223" t="inlineStr">
        <is>
          <t>6d71709b-de7a-4b91-a07a-0abe461f6469</t>
        </is>
      </c>
      <c r="D223" t="inlineStr">
        <is>
          <t>111111123</t>
        </is>
      </c>
      <c r="E223" t="inlineStr">
        <is>
          <t>Vodacom Life 20260603</t>
        </is>
      </c>
      <c r="J223" t="inlineStr">
        <is>
          <t>NA</t>
        </is>
      </c>
      <c r="K223" t="inlineStr">
        <is>
          <t>No Answer Autodial</t>
        </is>
      </c>
      <c r="L223" t="n">
        <v>7</v>
      </c>
      <c r="M223" t="inlineStr">
        <is>
          <t>2026-06-15 07:14:35</t>
        </is>
      </c>
      <c r="N223" t="inlineStr">
        <is>
          <t>system</t>
        </is>
      </c>
      <c r="O223" t="inlineStr">
        <is>
          <t>2026-06-08 05:25:27</t>
        </is>
      </c>
      <c r="P223" t="inlineStr">
        <is>
          <t>2026-06-08 05:25:27</t>
        </is>
      </c>
      <c r="Y223" t="inlineStr">
        <is>
          <t>27720414591</t>
        </is>
      </c>
    </row>
    <row r="224">
      <c r="A224" t="inlineStr">
        <is>
          <t>14828345</t>
        </is>
      </c>
      <c r="B224" t="inlineStr">
        <is>
          <t>866285e7-fc4c-4e5e-b5f0-000fed529169</t>
        </is>
      </c>
      <c r="D224" t="inlineStr">
        <is>
          <t>111111123</t>
        </is>
      </c>
      <c r="E224" t="inlineStr">
        <is>
          <t>Vodacom Life 20260603</t>
        </is>
      </c>
      <c r="J224" t="inlineStr">
        <is>
          <t>NA</t>
        </is>
      </c>
      <c r="K224" t="inlineStr">
        <is>
          <t>No Answer Autodial</t>
        </is>
      </c>
      <c r="L224" t="n">
        <v>7</v>
      </c>
      <c r="M224" t="inlineStr">
        <is>
          <t>2026-06-15 07:14:33</t>
        </is>
      </c>
      <c r="N224" t="inlineStr">
        <is>
          <t>system</t>
        </is>
      </c>
      <c r="O224" t="inlineStr">
        <is>
          <t>2026-06-08 05:25:27</t>
        </is>
      </c>
      <c r="P224" t="inlineStr">
        <is>
          <t>2026-06-08 05:25:27</t>
        </is>
      </c>
      <c r="Y224" t="inlineStr">
        <is>
          <t>27729487777</t>
        </is>
      </c>
    </row>
    <row r="225">
      <c r="A225" t="inlineStr">
        <is>
          <t>14828260</t>
        </is>
      </c>
      <c r="B225" t="inlineStr">
        <is>
          <t>6a4b181d-bba2-4f26-a07d-4ce891f4ae68</t>
        </is>
      </c>
      <c r="D225" t="inlineStr">
        <is>
          <t>111111123</t>
        </is>
      </c>
      <c r="E225" t="inlineStr">
        <is>
          <t>Vodacom Life 20260603</t>
        </is>
      </c>
      <c r="J225" t="inlineStr">
        <is>
          <t>AE</t>
        </is>
      </c>
      <c r="K225" t="inlineStr">
        <is>
          <t>Auto Engaged</t>
        </is>
      </c>
      <c r="L225" t="n">
        <v>7</v>
      </c>
      <c r="M225" t="inlineStr">
        <is>
          <t>2026-06-15 07:14:33</t>
        </is>
      </c>
      <c r="N225" t="inlineStr">
        <is>
          <t>system</t>
        </is>
      </c>
      <c r="O225" t="inlineStr">
        <is>
          <t>2026-06-08 05:25:27</t>
        </is>
      </c>
      <c r="P225" t="inlineStr">
        <is>
          <t>2026-06-08 05:25:27</t>
        </is>
      </c>
      <c r="Y225" t="inlineStr">
        <is>
          <t>27795008794</t>
        </is>
      </c>
    </row>
    <row r="226">
      <c r="A226" t="inlineStr">
        <is>
          <t>14828312</t>
        </is>
      </c>
      <c r="B226" t="inlineStr">
        <is>
          <t>8849c716-9461-42fd-a5fc-c45472e02904</t>
        </is>
      </c>
      <c r="D226" t="inlineStr">
        <is>
          <t>111111123</t>
        </is>
      </c>
      <c r="E226" t="inlineStr">
        <is>
          <t>Vodacom Life 20260603</t>
        </is>
      </c>
      <c r="H226" t="inlineStr">
        <is>
          <t>27766684009</t>
        </is>
      </c>
      <c r="J226" t="inlineStr">
        <is>
          <t>AA</t>
        </is>
      </c>
      <c r="K226" t="inlineStr">
        <is>
          <t>Answering Machine Autodial</t>
        </is>
      </c>
      <c r="L226" t="n">
        <v>7</v>
      </c>
      <c r="M226" t="inlineStr">
        <is>
          <t>2026-06-15 07:14:23</t>
        </is>
      </c>
      <c r="N226" t="inlineStr">
        <is>
          <t>system</t>
        </is>
      </c>
      <c r="O226" t="inlineStr">
        <is>
          <t>2026-06-08 05:25:27</t>
        </is>
      </c>
      <c r="P226" t="inlineStr">
        <is>
          <t>2026-06-08 05:25:27</t>
        </is>
      </c>
      <c r="Y226" t="inlineStr">
        <is>
          <t>27766684009</t>
        </is>
      </c>
    </row>
    <row r="227">
      <c r="A227" t="inlineStr">
        <is>
          <t>14828250</t>
        </is>
      </c>
      <c r="B227" t="inlineStr">
        <is>
          <t>44339de1-05dd-47ac-bdbe-7810722bee58</t>
        </is>
      </c>
      <c r="D227" t="inlineStr">
        <is>
          <t>111111123</t>
        </is>
      </c>
      <c r="E227" t="inlineStr">
        <is>
          <t>Vodacom Life 20260603</t>
        </is>
      </c>
      <c r="J227" t="inlineStr">
        <is>
          <t>AE</t>
        </is>
      </c>
      <c r="K227" t="inlineStr">
        <is>
          <t>Auto Engaged</t>
        </is>
      </c>
      <c r="L227" t="n">
        <v>7</v>
      </c>
      <c r="M227" t="inlineStr">
        <is>
          <t>2026-06-15 07:14:21</t>
        </is>
      </c>
      <c r="N227" t="inlineStr">
        <is>
          <t>system</t>
        </is>
      </c>
      <c r="O227" t="inlineStr">
        <is>
          <t>2026-06-08 05:25:27</t>
        </is>
      </c>
      <c r="P227" t="inlineStr">
        <is>
          <t>2026-06-08 05:25:27</t>
        </is>
      </c>
      <c r="Y227" t="inlineStr">
        <is>
          <t>27760405493</t>
        </is>
      </c>
    </row>
    <row r="228">
      <c r="A228" t="inlineStr">
        <is>
          <t>14828346</t>
        </is>
      </c>
      <c r="B228" t="inlineStr">
        <is>
          <t>839cc5a0-880d-4e34-a128-7621f2732c3c</t>
        </is>
      </c>
      <c r="D228" t="inlineStr">
        <is>
          <t>111111123</t>
        </is>
      </c>
      <c r="E228" t="inlineStr">
        <is>
          <t>Vodacom Life 20260603</t>
        </is>
      </c>
      <c r="H228" t="inlineStr">
        <is>
          <t>27726240672</t>
        </is>
      </c>
      <c r="J228" t="inlineStr">
        <is>
          <t>NA</t>
        </is>
      </c>
      <c r="K228" t="inlineStr">
        <is>
          <t>No Answer Autodial</t>
        </is>
      </c>
      <c r="L228" t="n">
        <v>7</v>
      </c>
      <c r="M228" t="inlineStr">
        <is>
          <t>2026-06-15 07:14:01</t>
        </is>
      </c>
      <c r="N228" t="inlineStr">
        <is>
          <t>system</t>
        </is>
      </c>
      <c r="O228" t="inlineStr">
        <is>
          <t>2026-06-08 05:25:27</t>
        </is>
      </c>
      <c r="P228" t="inlineStr">
        <is>
          <t>2026-06-08 05:25:27</t>
        </is>
      </c>
      <c r="Y228" t="inlineStr">
        <is>
          <t>27726240672</t>
        </is>
      </c>
    </row>
    <row r="229">
      <c r="A229" t="inlineStr">
        <is>
          <t>14828229</t>
        </is>
      </c>
      <c r="B229" t="inlineStr">
        <is>
          <t>265ccf3a-f86d-468b-9e4b-fa5cad4af494</t>
        </is>
      </c>
      <c r="D229" t="inlineStr">
        <is>
          <t>111111123</t>
        </is>
      </c>
      <c r="E229" t="inlineStr">
        <is>
          <t>Vodacom Life 20260603</t>
        </is>
      </c>
      <c r="J229" t="inlineStr">
        <is>
          <t>AA</t>
        </is>
      </c>
      <c r="K229" t="inlineStr">
        <is>
          <t>Answering Machine Autodial</t>
        </is>
      </c>
      <c r="L229" t="n">
        <v>7</v>
      </c>
      <c r="M229" t="inlineStr">
        <is>
          <t>2026-06-15 07:14:01</t>
        </is>
      </c>
      <c r="N229" t="inlineStr">
        <is>
          <t>system</t>
        </is>
      </c>
      <c r="O229" t="inlineStr">
        <is>
          <t>2026-06-08 05:25:27</t>
        </is>
      </c>
      <c r="P229" t="inlineStr">
        <is>
          <t>2026-06-08 05:25:27</t>
        </is>
      </c>
      <c r="Y229" t="inlineStr">
        <is>
          <t>27609352664</t>
        </is>
      </c>
    </row>
    <row r="230">
      <c r="A230" t="inlineStr">
        <is>
          <t>14828230</t>
        </is>
      </c>
      <c r="B230" t="inlineStr">
        <is>
          <t>dd1907d5-5dff-4d91-a17c-bcaea6ca37eb</t>
        </is>
      </c>
      <c r="D230" t="inlineStr">
        <is>
          <t>111111123</t>
        </is>
      </c>
      <c r="E230" t="inlineStr">
        <is>
          <t>Vodacom Life 20260603</t>
        </is>
      </c>
      <c r="J230" t="inlineStr">
        <is>
          <t>AA</t>
        </is>
      </c>
      <c r="K230" t="inlineStr">
        <is>
          <t>Answering Machine Autodial</t>
        </is>
      </c>
      <c r="L230" t="n">
        <v>7</v>
      </c>
      <c r="M230" t="inlineStr">
        <is>
          <t>2026-06-15 07:14:01</t>
        </is>
      </c>
      <c r="N230" t="inlineStr">
        <is>
          <t>system</t>
        </is>
      </c>
      <c r="O230" t="inlineStr">
        <is>
          <t>2026-06-08 05:25:27</t>
        </is>
      </c>
      <c r="P230" t="inlineStr">
        <is>
          <t>2026-06-08 05:25:27</t>
        </is>
      </c>
      <c r="Y230" t="inlineStr">
        <is>
          <t>27729672427</t>
        </is>
      </c>
    </row>
    <row r="231">
      <c r="A231" t="inlineStr">
        <is>
          <t>14828369</t>
        </is>
      </c>
      <c r="B231" t="inlineStr">
        <is>
          <t>595a1cfe-461e-447f-b248-d7462b6fa9dc</t>
        </is>
      </c>
      <c r="D231" t="inlineStr">
        <is>
          <t>111111123</t>
        </is>
      </c>
      <c r="E231" t="inlineStr">
        <is>
          <t>Vodacom Life 20260603</t>
        </is>
      </c>
      <c r="J231" t="inlineStr">
        <is>
          <t>AA</t>
        </is>
      </c>
      <c r="K231" t="inlineStr">
        <is>
          <t>Answering Machine Autodial</t>
        </is>
      </c>
      <c r="L231" t="n">
        <v>7</v>
      </c>
      <c r="M231" t="inlineStr">
        <is>
          <t>2026-06-15 07:14:01</t>
        </is>
      </c>
      <c r="N231" t="inlineStr">
        <is>
          <t>system</t>
        </is>
      </c>
      <c r="O231" t="inlineStr">
        <is>
          <t>2026-06-08 05:25:27</t>
        </is>
      </c>
      <c r="P231" t="inlineStr">
        <is>
          <t>2026-06-08 05:25:27</t>
        </is>
      </c>
      <c r="Y231" t="inlineStr">
        <is>
          <t>27673612865</t>
        </is>
      </c>
    </row>
    <row r="232">
      <c r="A232" t="inlineStr">
        <is>
          <t>14827944</t>
        </is>
      </c>
      <c r="B232" t="inlineStr">
        <is>
          <t>6814c912-4e65-4f1a-91b4-3b1f91e52f05</t>
        </is>
      </c>
      <c r="D232" t="inlineStr">
        <is>
          <t>111111123</t>
        </is>
      </c>
      <c r="E232" t="inlineStr">
        <is>
          <t>Vodacom Life 20260603</t>
        </is>
      </c>
      <c r="H232" t="inlineStr">
        <is>
          <t>27670762521</t>
        </is>
      </c>
      <c r="J232" t="inlineStr">
        <is>
          <t>DROP</t>
        </is>
      </c>
      <c r="K232" t="inlineStr">
        <is>
          <t>Dropped</t>
        </is>
      </c>
      <c r="L232" t="n">
        <v>7</v>
      </c>
      <c r="M232" t="inlineStr">
        <is>
          <t>2026-06-15 07:13:00</t>
        </is>
      </c>
      <c r="N232" t="inlineStr">
        <is>
          <t>system</t>
        </is>
      </c>
      <c r="O232" t="inlineStr">
        <is>
          <t>2026-06-08 05:25:27</t>
        </is>
      </c>
      <c r="P232" t="inlineStr">
        <is>
          <t>2026-06-08 05:25:27</t>
        </is>
      </c>
      <c r="Y232" t="inlineStr">
        <is>
          <t>27670762521</t>
        </is>
      </c>
    </row>
    <row r="233">
      <c r="A233" t="inlineStr">
        <is>
          <t>14828275</t>
        </is>
      </c>
      <c r="B233" t="inlineStr">
        <is>
          <t>bcc8c648-e979-4579-8949-a6cce0a2bdf3</t>
        </is>
      </c>
      <c r="D233" t="inlineStr">
        <is>
          <t>111111123</t>
        </is>
      </c>
      <c r="E233" t="inlineStr">
        <is>
          <t>Vodacom Life 20260603</t>
        </is>
      </c>
      <c r="J233" t="inlineStr">
        <is>
          <t>DROP</t>
        </is>
      </c>
      <c r="K233" t="inlineStr">
        <is>
          <t>Dropped</t>
        </is>
      </c>
      <c r="L233" t="n">
        <v>7</v>
      </c>
      <c r="M233" t="inlineStr">
        <is>
          <t>2026-06-15 07:12:52</t>
        </is>
      </c>
      <c r="N233" t="inlineStr">
        <is>
          <t>system</t>
        </is>
      </c>
      <c r="O233" t="inlineStr">
        <is>
          <t>2026-06-08 05:25:27</t>
        </is>
      </c>
      <c r="P233" t="inlineStr">
        <is>
          <t>2026-06-08 05:25:27</t>
        </is>
      </c>
      <c r="Y233" t="inlineStr">
        <is>
          <t>27711301379</t>
        </is>
      </c>
    </row>
    <row r="234">
      <c r="A234" t="inlineStr">
        <is>
          <t>14828331</t>
        </is>
      </c>
      <c r="B234" t="inlineStr">
        <is>
          <t>4302da5c-add3-4a53-87ba-c1e8912ecd3b</t>
        </is>
      </c>
      <c r="D234" t="inlineStr">
        <is>
          <t>111111123</t>
        </is>
      </c>
      <c r="E234" t="inlineStr">
        <is>
          <t>Vodacom Life 20260603</t>
        </is>
      </c>
      <c r="J234" t="inlineStr">
        <is>
          <t>AE</t>
        </is>
      </c>
      <c r="K234" t="inlineStr">
        <is>
          <t>Auto Engaged</t>
        </is>
      </c>
      <c r="L234" t="n">
        <v>7</v>
      </c>
      <c r="M234" t="inlineStr">
        <is>
          <t>2026-06-15 07:12:49</t>
        </is>
      </c>
      <c r="N234" t="inlineStr">
        <is>
          <t>system</t>
        </is>
      </c>
      <c r="O234" t="inlineStr">
        <is>
          <t>2026-06-08 05:25:27</t>
        </is>
      </c>
      <c r="P234" t="inlineStr">
        <is>
          <t>2026-06-08 05:25:27</t>
        </is>
      </c>
      <c r="Y234" t="inlineStr">
        <is>
          <t>27766605565</t>
        </is>
      </c>
    </row>
    <row r="235">
      <c r="A235" t="inlineStr">
        <is>
          <t>14828352</t>
        </is>
      </c>
      <c r="B235" t="inlineStr">
        <is>
          <t>9145d43f-3bc3-4c5c-aeb5-2141a4444523</t>
        </is>
      </c>
      <c r="D235" t="inlineStr">
        <is>
          <t>111111123</t>
        </is>
      </c>
      <c r="E235" t="inlineStr">
        <is>
          <t>Vodacom Life 20260603</t>
        </is>
      </c>
      <c r="J235" t="inlineStr">
        <is>
          <t>CU</t>
        </is>
      </c>
      <c r="K235" t="inlineStr">
        <is>
          <t>Client Hung Up</t>
        </is>
      </c>
      <c r="L235" t="n">
        <v>7</v>
      </c>
      <c r="M235" t="inlineStr">
        <is>
          <t>2026-06-15 07:12:49</t>
        </is>
      </c>
      <c r="N235" t="inlineStr">
        <is>
          <t>bongiwe lushaba</t>
        </is>
      </c>
      <c r="O235" t="inlineStr">
        <is>
          <t>2026-06-08 05:25:27</t>
        </is>
      </c>
      <c r="P235" t="inlineStr">
        <is>
          <t>2026-06-08 05:25:27</t>
        </is>
      </c>
      <c r="Y235" t="inlineStr">
        <is>
          <t>27791800043</t>
        </is>
      </c>
    </row>
    <row r="236">
      <c r="A236" t="inlineStr">
        <is>
          <t>14828272</t>
        </is>
      </c>
      <c r="B236" t="inlineStr">
        <is>
          <t>8ef998fb-9b55-45a5-960c-afc4ed134a74</t>
        </is>
      </c>
      <c r="D236" t="inlineStr">
        <is>
          <t>111111123</t>
        </is>
      </c>
      <c r="E236" t="inlineStr">
        <is>
          <t>Vodacom Life 20260603</t>
        </is>
      </c>
      <c r="J236" t="inlineStr">
        <is>
          <t>AA</t>
        </is>
      </c>
      <c r="K236" t="inlineStr">
        <is>
          <t>Answering Machine Autodial</t>
        </is>
      </c>
      <c r="L236" t="n">
        <v>7</v>
      </c>
      <c r="M236" t="inlineStr">
        <is>
          <t>2026-06-15 07:12:49</t>
        </is>
      </c>
      <c r="N236" t="inlineStr">
        <is>
          <t>system</t>
        </is>
      </c>
      <c r="O236" t="inlineStr">
        <is>
          <t>2026-06-08 05:25:27</t>
        </is>
      </c>
      <c r="P236" t="inlineStr">
        <is>
          <t>2026-06-08 05:25:27</t>
        </is>
      </c>
      <c r="Y236" t="inlineStr">
        <is>
          <t>27726572944</t>
        </is>
      </c>
    </row>
    <row r="237">
      <c r="A237" t="inlineStr">
        <is>
          <t>14828444</t>
        </is>
      </c>
      <c r="B237" t="inlineStr">
        <is>
          <t>64035048-af86-4a9e-a382-282450f2bc44</t>
        </is>
      </c>
      <c r="D237" t="inlineStr">
        <is>
          <t>111111123</t>
        </is>
      </c>
      <c r="E237" t="inlineStr">
        <is>
          <t>Vodacom Life 20260603</t>
        </is>
      </c>
      <c r="J237" t="inlineStr">
        <is>
          <t>AA</t>
        </is>
      </c>
      <c r="K237" t="inlineStr">
        <is>
          <t>Answering Machine Autodial</t>
        </is>
      </c>
      <c r="L237" t="n">
        <v>7</v>
      </c>
      <c r="M237" t="inlineStr">
        <is>
          <t>2026-06-15 07:12:49</t>
        </is>
      </c>
      <c r="N237" t="inlineStr">
        <is>
          <t>system</t>
        </is>
      </c>
      <c r="O237" t="inlineStr">
        <is>
          <t>2026-06-08 05:25:27</t>
        </is>
      </c>
      <c r="P237" t="inlineStr">
        <is>
          <t>2026-06-08 05:25:27</t>
        </is>
      </c>
      <c r="Y237" t="inlineStr">
        <is>
          <t>27791628458</t>
        </is>
      </c>
    </row>
    <row r="238">
      <c r="A238" t="inlineStr">
        <is>
          <t>14828259</t>
        </is>
      </c>
      <c r="B238" t="inlineStr">
        <is>
          <t>d11af917-7eba-43db-9c18-a11f9a05c04f</t>
        </is>
      </c>
      <c r="D238" t="inlineStr">
        <is>
          <t>111111123</t>
        </is>
      </c>
      <c r="E238" t="inlineStr">
        <is>
          <t>Vodacom Life 20260603</t>
        </is>
      </c>
      <c r="J238" t="inlineStr">
        <is>
          <t>DROP</t>
        </is>
      </c>
      <c r="K238" t="inlineStr">
        <is>
          <t>Dropped</t>
        </is>
      </c>
      <c r="L238" t="n">
        <v>7</v>
      </c>
      <c r="M238" t="inlineStr">
        <is>
          <t>2026-06-15 07:12:07</t>
        </is>
      </c>
      <c r="N238" t="inlineStr">
        <is>
          <t>system</t>
        </is>
      </c>
      <c r="O238" t="inlineStr">
        <is>
          <t>2026-06-08 05:25:27</t>
        </is>
      </c>
      <c r="P238" t="inlineStr">
        <is>
          <t>2026-06-08 05:25:27</t>
        </is>
      </c>
      <c r="Y238" t="inlineStr">
        <is>
          <t>27792133984</t>
        </is>
      </c>
    </row>
    <row r="239">
      <c r="A239" t="inlineStr">
        <is>
          <t>14828353</t>
        </is>
      </c>
      <c r="B239" t="inlineStr">
        <is>
          <t>aa462653-760a-46f2-8a39-9b1fe4657807</t>
        </is>
      </c>
      <c r="D239" t="inlineStr">
        <is>
          <t>111111123</t>
        </is>
      </c>
      <c r="E239" t="inlineStr">
        <is>
          <t>Vodacom Life 20260603</t>
        </is>
      </c>
      <c r="J239" t="inlineStr">
        <is>
          <t>AE</t>
        </is>
      </c>
      <c r="K239" t="inlineStr">
        <is>
          <t>Auto Engaged</t>
        </is>
      </c>
      <c r="L239" t="n">
        <v>7</v>
      </c>
      <c r="M239" t="inlineStr">
        <is>
          <t>2026-06-15 07:12:05</t>
        </is>
      </c>
      <c r="N239" t="inlineStr">
        <is>
          <t>system</t>
        </is>
      </c>
      <c r="O239" t="inlineStr">
        <is>
          <t>2026-06-08 05:25:27</t>
        </is>
      </c>
      <c r="P239" t="inlineStr">
        <is>
          <t>2026-06-08 05:25:27</t>
        </is>
      </c>
      <c r="Y239" t="inlineStr">
        <is>
          <t>27636303222</t>
        </is>
      </c>
    </row>
    <row r="240">
      <c r="A240" t="inlineStr">
        <is>
          <t>14828240</t>
        </is>
      </c>
      <c r="B240" t="inlineStr">
        <is>
          <t>a8129589-342b-42a6-a2fc-55d1e35ba0c8</t>
        </is>
      </c>
      <c r="D240" t="inlineStr">
        <is>
          <t>111111123</t>
        </is>
      </c>
      <c r="E240" t="inlineStr">
        <is>
          <t>Vodacom Life 20260603</t>
        </is>
      </c>
      <c r="J240" t="inlineStr">
        <is>
          <t>AA</t>
        </is>
      </c>
      <c r="K240" t="inlineStr">
        <is>
          <t>Answering Machine Autodial</t>
        </is>
      </c>
      <c r="L240" t="n">
        <v>7</v>
      </c>
      <c r="M240" t="inlineStr">
        <is>
          <t>2026-06-15 07:12:05</t>
        </is>
      </c>
      <c r="N240" t="inlineStr">
        <is>
          <t>system</t>
        </is>
      </c>
      <c r="O240" t="inlineStr">
        <is>
          <t>2026-06-08 05:25:27</t>
        </is>
      </c>
      <c r="P240" t="inlineStr">
        <is>
          <t>2026-06-08 05:25:27</t>
        </is>
      </c>
      <c r="Y240" t="inlineStr">
        <is>
          <t>27790571400</t>
        </is>
      </c>
    </row>
    <row r="241">
      <c r="A241" t="inlineStr">
        <is>
          <t>14828242</t>
        </is>
      </c>
      <c r="B241" t="inlineStr">
        <is>
          <t>3184c1ec-b17b-4197-b170-2c44b9c6d0ed</t>
        </is>
      </c>
      <c r="D241" t="inlineStr">
        <is>
          <t>111111123</t>
        </is>
      </c>
      <c r="E241" t="inlineStr">
        <is>
          <t>Vodacom Life 20260603</t>
        </is>
      </c>
      <c r="H241" t="inlineStr">
        <is>
          <t>27712574935</t>
        </is>
      </c>
      <c r="J241" t="inlineStr">
        <is>
          <t>DROP</t>
        </is>
      </c>
      <c r="K241" t="inlineStr">
        <is>
          <t>Dropped</t>
        </is>
      </c>
      <c r="L241" t="n">
        <v>7</v>
      </c>
      <c r="M241" t="inlineStr">
        <is>
          <t>2026-06-15 07:12:04</t>
        </is>
      </c>
      <c r="N241" t="inlineStr">
        <is>
          <t>system</t>
        </is>
      </c>
      <c r="O241" t="inlineStr">
        <is>
          <t>2026-06-08 05:25:27</t>
        </is>
      </c>
      <c r="P241" t="inlineStr">
        <is>
          <t>2026-06-08 05:25:27</t>
        </is>
      </c>
      <c r="Y241" t="inlineStr">
        <is>
          <t>27712574935</t>
        </is>
      </c>
    </row>
    <row r="242">
      <c r="A242" t="inlineStr">
        <is>
          <t>14828368</t>
        </is>
      </c>
      <c r="B242" t="inlineStr">
        <is>
          <t>c733daef-cbe6-48f9-a4f4-7d5f0abf8c21</t>
        </is>
      </c>
      <c r="D242" t="inlineStr">
        <is>
          <t>111111123</t>
        </is>
      </c>
      <c r="E242" t="inlineStr">
        <is>
          <t>Vodacom Life 20260603</t>
        </is>
      </c>
      <c r="J242" t="inlineStr">
        <is>
          <t>AA</t>
        </is>
      </c>
      <c r="K242" t="inlineStr">
        <is>
          <t>Answering Machine Autodial</t>
        </is>
      </c>
      <c r="L242" t="n">
        <v>7</v>
      </c>
      <c r="M242" t="inlineStr">
        <is>
          <t>2026-06-15 07:11:10</t>
        </is>
      </c>
      <c r="N242" t="inlineStr">
        <is>
          <t>system</t>
        </is>
      </c>
      <c r="O242" t="inlineStr">
        <is>
          <t>2026-06-08 05:25:27</t>
        </is>
      </c>
      <c r="P242" t="inlineStr">
        <is>
          <t>2026-06-08 05:25:27</t>
        </is>
      </c>
      <c r="Y242" t="inlineStr">
        <is>
          <t>27818047877</t>
        </is>
      </c>
    </row>
    <row r="243">
      <c r="A243" t="inlineStr">
        <is>
          <t>14828269</t>
        </is>
      </c>
      <c r="B243" t="inlineStr">
        <is>
          <t>e3f25cf5-d7bd-44ff-bdd4-3cc07a5060c8</t>
        </is>
      </c>
      <c r="D243" t="inlineStr">
        <is>
          <t>111111123</t>
        </is>
      </c>
      <c r="E243" t="inlineStr">
        <is>
          <t>Vodacom Life 20260603</t>
        </is>
      </c>
      <c r="J243" t="inlineStr">
        <is>
          <t>AC</t>
        </is>
      </c>
      <c r="K243" t="inlineStr">
        <is>
          <t>Already Contacted</t>
        </is>
      </c>
      <c r="L243" t="n">
        <v>7</v>
      </c>
      <c r="M243" t="inlineStr">
        <is>
          <t>2026-06-15 07:11:10</t>
        </is>
      </c>
      <c r="N243" t="inlineStr">
        <is>
          <t>Maureen Ntsoko</t>
        </is>
      </c>
      <c r="O243" t="inlineStr">
        <is>
          <t>2026-06-08 05:25:27</t>
        </is>
      </c>
      <c r="P243" t="inlineStr">
        <is>
          <t>2026-06-08 05:25:27</t>
        </is>
      </c>
      <c r="Y243" t="inlineStr">
        <is>
          <t>27673130438</t>
        </is>
      </c>
    </row>
    <row r="244">
      <c r="A244" t="inlineStr">
        <is>
          <t>14828428</t>
        </is>
      </c>
      <c r="B244" t="inlineStr">
        <is>
          <t>d1a9bdd2-6f9e-483d-b18f-6c2e977484c1</t>
        </is>
      </c>
      <c r="D244" t="inlineStr">
        <is>
          <t>111111123</t>
        </is>
      </c>
      <c r="E244" t="inlineStr">
        <is>
          <t>Vodacom Life 20260603</t>
        </is>
      </c>
      <c r="J244" t="inlineStr">
        <is>
          <t>AA</t>
        </is>
      </c>
      <c r="K244" t="inlineStr">
        <is>
          <t>Answering Machine Autodial</t>
        </is>
      </c>
      <c r="L244" t="n">
        <v>7</v>
      </c>
      <c r="M244" t="inlineStr">
        <is>
          <t>2026-06-15 07:11:10</t>
        </is>
      </c>
      <c r="N244" t="inlineStr">
        <is>
          <t>system</t>
        </is>
      </c>
      <c r="O244" t="inlineStr">
        <is>
          <t>2026-06-08 05:25:27</t>
        </is>
      </c>
      <c r="P244" t="inlineStr">
        <is>
          <t>2026-06-08 05:25:27</t>
        </is>
      </c>
      <c r="Y244" t="inlineStr">
        <is>
          <t>27729678306</t>
        </is>
      </c>
    </row>
    <row r="245">
      <c r="A245" t="inlineStr">
        <is>
          <t>14828432</t>
        </is>
      </c>
      <c r="B245" t="inlineStr">
        <is>
          <t>22b6d5da-e818-4251-87b6-95b2d406b8f5</t>
        </is>
      </c>
      <c r="D245" t="inlineStr">
        <is>
          <t>111111123</t>
        </is>
      </c>
      <c r="E245" t="inlineStr">
        <is>
          <t>Vodacom Life 20260603</t>
        </is>
      </c>
      <c r="J245" t="inlineStr">
        <is>
          <t>DROP</t>
        </is>
      </c>
      <c r="K245" t="inlineStr">
        <is>
          <t>Dropped</t>
        </is>
      </c>
      <c r="L245" t="n">
        <v>7</v>
      </c>
      <c r="M245" t="inlineStr">
        <is>
          <t>2026-06-15 07:11:10</t>
        </is>
      </c>
      <c r="N245" t="inlineStr">
        <is>
          <t>system</t>
        </is>
      </c>
      <c r="O245" t="inlineStr">
        <is>
          <t>2026-06-08 05:25:27</t>
        </is>
      </c>
      <c r="P245" t="inlineStr">
        <is>
          <t>2026-06-08 05:25:27</t>
        </is>
      </c>
      <c r="Y245" t="inlineStr">
        <is>
          <t>27674981226</t>
        </is>
      </c>
    </row>
    <row r="246">
      <c r="A246" t="inlineStr">
        <is>
          <t>14828021</t>
        </is>
      </c>
      <c r="B246" t="inlineStr">
        <is>
          <t>37620113-43ef-4245-8af4-b3033641dc85</t>
        </is>
      </c>
      <c r="D246" t="inlineStr">
        <is>
          <t>111111123</t>
        </is>
      </c>
      <c r="E246" t="inlineStr">
        <is>
          <t>Vodacom Life 20260603</t>
        </is>
      </c>
      <c r="J246" t="inlineStr">
        <is>
          <t>DROP</t>
        </is>
      </c>
      <c r="K246" t="inlineStr">
        <is>
          <t>Dropped</t>
        </is>
      </c>
      <c r="L246" t="n">
        <v>7</v>
      </c>
      <c r="M246" t="inlineStr">
        <is>
          <t>2026-06-15 07:10:08</t>
        </is>
      </c>
      <c r="N246" t="inlineStr">
        <is>
          <t>system</t>
        </is>
      </c>
      <c r="O246" t="inlineStr">
        <is>
          <t>2026-06-08 05:25:27</t>
        </is>
      </c>
      <c r="P246" t="inlineStr">
        <is>
          <t>2026-06-08 05:25:27</t>
        </is>
      </c>
      <c r="Y246" t="inlineStr">
        <is>
          <t>27720503978</t>
        </is>
      </c>
    </row>
    <row r="247">
      <c r="A247" t="inlineStr">
        <is>
          <t>14828315</t>
        </is>
      </c>
      <c r="B247" t="inlineStr">
        <is>
          <t>0f4f125d-2334-4407-87f0-72ca1c6fae60</t>
        </is>
      </c>
      <c r="D247" t="inlineStr">
        <is>
          <t>111111123</t>
        </is>
      </c>
      <c r="E247" t="inlineStr">
        <is>
          <t>Vodacom Life 20260603</t>
        </is>
      </c>
      <c r="J247" t="inlineStr">
        <is>
          <t>DROP</t>
        </is>
      </c>
      <c r="K247" t="inlineStr">
        <is>
          <t>Dropped</t>
        </is>
      </c>
      <c r="L247" t="n">
        <v>7</v>
      </c>
      <c r="M247" t="inlineStr">
        <is>
          <t>2026-06-15 07:10:06</t>
        </is>
      </c>
      <c r="N247" t="inlineStr">
        <is>
          <t>system</t>
        </is>
      </c>
      <c r="O247" t="inlineStr">
        <is>
          <t>2026-06-08 05:25:27</t>
        </is>
      </c>
      <c r="P247" t="inlineStr">
        <is>
          <t>2026-06-08 05:25:27</t>
        </is>
      </c>
      <c r="Y247" t="inlineStr">
        <is>
          <t>27646114867</t>
        </is>
      </c>
    </row>
    <row r="248">
      <c r="A248" t="inlineStr">
        <is>
          <t>14828396</t>
        </is>
      </c>
      <c r="B248" t="inlineStr">
        <is>
          <t>59ef3684-a87a-4710-93b6-d2a419b4f44d</t>
        </is>
      </c>
      <c r="D248" t="inlineStr">
        <is>
          <t>111111123</t>
        </is>
      </c>
      <c r="E248" t="inlineStr">
        <is>
          <t>Vodacom Life 20260603</t>
        </is>
      </c>
      <c r="H248" t="inlineStr">
        <is>
          <t>27713890712</t>
        </is>
      </c>
      <c r="J248" t="inlineStr">
        <is>
          <t>DROP</t>
        </is>
      </c>
      <c r="K248" t="inlineStr">
        <is>
          <t>Dropped</t>
        </is>
      </c>
      <c r="L248" t="n">
        <v>7</v>
      </c>
      <c r="M248" t="inlineStr">
        <is>
          <t>2026-06-15 07:10:06</t>
        </is>
      </c>
      <c r="N248" t="inlineStr">
        <is>
          <t>system</t>
        </is>
      </c>
      <c r="O248" t="inlineStr">
        <is>
          <t>2026-06-08 05:25:27</t>
        </is>
      </c>
      <c r="P248" t="inlineStr">
        <is>
          <t>2026-06-08 05:25:27</t>
        </is>
      </c>
      <c r="Y248" t="inlineStr">
        <is>
          <t>27713890712</t>
        </is>
      </c>
    </row>
    <row r="249">
      <c r="A249" t="inlineStr">
        <is>
          <t>14828498</t>
        </is>
      </c>
      <c r="B249" t="inlineStr">
        <is>
          <t>ba901dfb-f509-4a2d-8482-95463dc3087a</t>
        </is>
      </c>
      <c r="D249" t="inlineStr">
        <is>
          <t>111111123</t>
        </is>
      </c>
      <c r="E249" t="inlineStr">
        <is>
          <t>Vodacom Life 20260603</t>
        </is>
      </c>
      <c r="H249" t="inlineStr">
        <is>
          <t>27723362453</t>
        </is>
      </c>
      <c r="J249" t="inlineStr">
        <is>
          <t>AA</t>
        </is>
      </c>
      <c r="K249" t="inlineStr">
        <is>
          <t>Answering Machine Autodial</t>
        </is>
      </c>
      <c r="L249" t="n">
        <v>7</v>
      </c>
      <c r="M249" t="inlineStr">
        <is>
          <t>2026-06-15 07:10:06</t>
        </is>
      </c>
      <c r="N249" t="inlineStr">
        <is>
          <t>system</t>
        </is>
      </c>
      <c r="O249" t="inlineStr">
        <is>
          <t>2026-06-08 05:25:27</t>
        </is>
      </c>
      <c r="P249" t="inlineStr">
        <is>
          <t>2026-06-08 05:25:27</t>
        </is>
      </c>
      <c r="Y249" t="inlineStr">
        <is>
          <t>27723362453</t>
        </is>
      </c>
    </row>
    <row r="250">
      <c r="A250" t="inlineStr">
        <is>
          <t>14828282</t>
        </is>
      </c>
      <c r="B250" t="inlineStr">
        <is>
          <t>15d815b0-e88d-45bc-ad3a-9fa8913a0a8d</t>
        </is>
      </c>
      <c r="D250" t="inlineStr">
        <is>
          <t>111111123</t>
        </is>
      </c>
      <c r="E250" t="inlineStr">
        <is>
          <t>Vodacom Life 20260603</t>
        </is>
      </c>
      <c r="J250" t="inlineStr">
        <is>
          <t>ADC</t>
        </is>
      </c>
      <c r="K250" t="inlineStr">
        <is>
          <t>Auto Dial Disconnected</t>
        </is>
      </c>
      <c r="L250" t="n">
        <v>7</v>
      </c>
      <c r="M250" t="inlineStr">
        <is>
          <t>2026-06-15 07:10:05</t>
        </is>
      </c>
      <c r="N250" t="inlineStr">
        <is>
          <t>system</t>
        </is>
      </c>
      <c r="O250" t="inlineStr">
        <is>
          <t>2026-06-08 05:25:27</t>
        </is>
      </c>
      <c r="P250" t="inlineStr">
        <is>
          <t>2026-06-08 05:25:27</t>
        </is>
      </c>
      <c r="Y250" t="inlineStr">
        <is>
          <t>27675370537</t>
        </is>
      </c>
    </row>
    <row r="251">
      <c r="A251" t="inlineStr">
        <is>
          <t>14828283</t>
        </is>
      </c>
      <c r="B251" t="inlineStr">
        <is>
          <t>2251d1c3-4b48-40d9-bbd1-d0edae1109d2</t>
        </is>
      </c>
      <c r="D251" t="inlineStr">
        <is>
          <t>111111123</t>
        </is>
      </c>
      <c r="E251" t="inlineStr">
        <is>
          <t>Vodacom Life 20260603</t>
        </is>
      </c>
      <c r="J251" t="inlineStr">
        <is>
          <t>AA</t>
        </is>
      </c>
      <c r="K251" t="inlineStr">
        <is>
          <t>Answering Machine Autodial</t>
        </is>
      </c>
      <c r="L251" t="n">
        <v>7</v>
      </c>
      <c r="M251" t="inlineStr">
        <is>
          <t>2026-06-15 07:10:05</t>
        </is>
      </c>
      <c r="N251" t="inlineStr">
        <is>
          <t>system</t>
        </is>
      </c>
      <c r="O251" t="inlineStr">
        <is>
          <t>2026-06-08 05:25:27</t>
        </is>
      </c>
      <c r="P251" t="inlineStr">
        <is>
          <t>2026-06-08 05:25:27</t>
        </is>
      </c>
      <c r="Y251" t="inlineStr">
        <is>
          <t>27765795543</t>
        </is>
      </c>
    </row>
    <row r="252">
      <c r="A252" t="inlineStr">
        <is>
          <t>14828284</t>
        </is>
      </c>
      <c r="B252" t="inlineStr">
        <is>
          <t>c65abee0-e839-4625-aaa0-fac3c0a344f8</t>
        </is>
      </c>
      <c r="D252" t="inlineStr">
        <is>
          <t>111111123</t>
        </is>
      </c>
      <c r="E252" t="inlineStr">
        <is>
          <t>Vodacom Life 20260603</t>
        </is>
      </c>
      <c r="J252" t="inlineStr">
        <is>
          <t>AE</t>
        </is>
      </c>
      <c r="K252" t="inlineStr">
        <is>
          <t>Auto Engaged</t>
        </is>
      </c>
      <c r="L252" t="n">
        <v>7</v>
      </c>
      <c r="M252" t="inlineStr">
        <is>
          <t>2026-06-15 07:10:05</t>
        </is>
      </c>
      <c r="N252" t="inlineStr">
        <is>
          <t>system</t>
        </is>
      </c>
      <c r="O252" t="inlineStr">
        <is>
          <t>2026-06-08 05:25:27</t>
        </is>
      </c>
      <c r="P252" t="inlineStr">
        <is>
          <t>2026-06-08 05:25:27</t>
        </is>
      </c>
      <c r="Y252" t="inlineStr">
        <is>
          <t>27664228526</t>
        </is>
      </c>
    </row>
    <row r="253">
      <c r="A253" t="inlineStr">
        <is>
          <t>14828365</t>
        </is>
      </c>
      <c r="B253" t="inlineStr">
        <is>
          <t>185a019f-42db-47c8-9a5b-adb09b5f637d</t>
        </is>
      </c>
      <c r="D253" t="inlineStr">
        <is>
          <t>111111123</t>
        </is>
      </c>
      <c r="E253" t="inlineStr">
        <is>
          <t>Vodacom Life 20260603</t>
        </is>
      </c>
      <c r="J253" t="inlineStr">
        <is>
          <t>AE</t>
        </is>
      </c>
      <c r="K253" t="inlineStr">
        <is>
          <t>Auto Engaged</t>
        </is>
      </c>
      <c r="L253" t="n">
        <v>7</v>
      </c>
      <c r="M253" t="inlineStr">
        <is>
          <t>2026-06-15 07:10:01</t>
        </is>
      </c>
      <c r="N253" t="inlineStr">
        <is>
          <t>system</t>
        </is>
      </c>
      <c r="O253" t="inlineStr">
        <is>
          <t>2026-06-08 05:25:27</t>
        </is>
      </c>
      <c r="P253" t="inlineStr">
        <is>
          <t>2026-06-08 05:25:27</t>
        </is>
      </c>
      <c r="Y253" t="inlineStr">
        <is>
          <t>27636733652</t>
        </is>
      </c>
    </row>
    <row r="254">
      <c r="A254" t="inlineStr">
        <is>
          <t>14828297</t>
        </is>
      </c>
      <c r="B254" t="inlineStr">
        <is>
          <t>028eb5bb-5c61-424c-9d21-5f49d1a61bb4</t>
        </is>
      </c>
      <c r="D254" t="inlineStr">
        <is>
          <t>111111123</t>
        </is>
      </c>
      <c r="E254" t="inlineStr">
        <is>
          <t>Vodacom Life 20260603</t>
        </is>
      </c>
      <c r="H254" t="inlineStr">
        <is>
          <t>27727268393</t>
        </is>
      </c>
      <c r="J254" t="inlineStr">
        <is>
          <t>DROP</t>
        </is>
      </c>
      <c r="K254" t="inlineStr">
        <is>
          <t>Dropped</t>
        </is>
      </c>
      <c r="L254" t="n">
        <v>7</v>
      </c>
      <c r="M254" t="inlineStr">
        <is>
          <t>2026-06-15 07:09:55</t>
        </is>
      </c>
      <c r="N254" t="inlineStr">
        <is>
          <t>system</t>
        </is>
      </c>
      <c r="O254" t="inlineStr">
        <is>
          <t>2026-06-08 05:25:27</t>
        </is>
      </c>
      <c r="P254" t="inlineStr">
        <is>
          <t>2026-06-08 05:25:27</t>
        </is>
      </c>
      <c r="Y254" t="inlineStr">
        <is>
          <t>27727268393</t>
        </is>
      </c>
    </row>
    <row r="255">
      <c r="A255" t="inlineStr">
        <is>
          <t>14800000</t>
        </is>
      </c>
      <c r="B255" t="inlineStr">
        <is>
          <t>1e4092c2-1eb9-48ca-9678-9c09ee2cbb78</t>
        </is>
      </c>
      <c r="D255" t="inlineStr">
        <is>
          <t>111111123</t>
        </is>
      </c>
      <c r="E255" t="inlineStr">
        <is>
          <t>Vodacom Life 20260603</t>
        </is>
      </c>
      <c r="H255" t="inlineStr">
        <is>
          <t>27720702583</t>
        </is>
      </c>
      <c r="J255" t="inlineStr">
        <is>
          <t>AA</t>
        </is>
      </c>
      <c r="K255" t="inlineStr">
        <is>
          <t>Answering Machine Autodial</t>
        </is>
      </c>
      <c r="L255" t="n">
        <v>7</v>
      </c>
      <c r="M255" t="inlineStr">
        <is>
          <t>2026-06-15 07:09:50</t>
        </is>
      </c>
      <c r="N255" t="inlineStr">
        <is>
          <t>system</t>
        </is>
      </c>
      <c r="O255" t="inlineStr">
        <is>
          <t>2026-06-08 05:25:27</t>
        </is>
      </c>
      <c r="P255" t="inlineStr">
        <is>
          <t>2026-06-08 05:25:27</t>
        </is>
      </c>
      <c r="Y255" t="inlineStr">
        <is>
          <t>27720702583</t>
        </is>
      </c>
    </row>
    <row r="256">
      <c r="A256" t="inlineStr">
        <is>
          <t>14828292</t>
        </is>
      </c>
      <c r="B256" t="inlineStr">
        <is>
          <t>97494ee6-2155-412b-8763-8888068d5141</t>
        </is>
      </c>
      <c r="D256" t="inlineStr">
        <is>
          <t>111111123</t>
        </is>
      </c>
      <c r="E256" t="inlineStr">
        <is>
          <t>Vodacom Life 20260603</t>
        </is>
      </c>
      <c r="J256" t="inlineStr">
        <is>
          <t>AE</t>
        </is>
      </c>
      <c r="K256" t="inlineStr">
        <is>
          <t>Auto Engaged</t>
        </is>
      </c>
      <c r="L256" t="n">
        <v>7</v>
      </c>
      <c r="M256" t="inlineStr">
        <is>
          <t>2026-06-15 07:09:49</t>
        </is>
      </c>
      <c r="N256" t="inlineStr">
        <is>
          <t>system</t>
        </is>
      </c>
      <c r="O256" t="inlineStr">
        <is>
          <t>2026-06-08 05:25:27</t>
        </is>
      </c>
      <c r="P256" t="inlineStr">
        <is>
          <t>2026-06-08 05:25:27</t>
        </is>
      </c>
      <c r="Y256" t="inlineStr">
        <is>
          <t>27793464318</t>
        </is>
      </c>
    </row>
    <row r="257">
      <c r="A257" t="inlineStr">
        <is>
          <t>14828264</t>
        </is>
      </c>
      <c r="B257" t="inlineStr">
        <is>
          <t>34016bf3-e670-423a-99ea-856875117b1d</t>
        </is>
      </c>
      <c r="D257" t="inlineStr">
        <is>
          <t>111111123</t>
        </is>
      </c>
      <c r="E257" t="inlineStr">
        <is>
          <t>Vodacom Life 20260603</t>
        </is>
      </c>
      <c r="J257" t="inlineStr">
        <is>
          <t>AA</t>
        </is>
      </c>
      <c r="K257" t="inlineStr">
        <is>
          <t>Answering Machine Autodial</t>
        </is>
      </c>
      <c r="L257" t="n">
        <v>7</v>
      </c>
      <c r="M257" t="inlineStr">
        <is>
          <t>2026-06-15 07:09:49</t>
        </is>
      </c>
      <c r="N257" t="inlineStr">
        <is>
          <t>system</t>
        </is>
      </c>
      <c r="O257" t="inlineStr">
        <is>
          <t>2026-06-08 05:25:27</t>
        </is>
      </c>
      <c r="P257" t="inlineStr">
        <is>
          <t>2026-06-08 05:25:27</t>
        </is>
      </c>
      <c r="Y257" t="inlineStr">
        <is>
          <t>27607868963</t>
        </is>
      </c>
    </row>
    <row r="258">
      <c r="A258" t="inlineStr">
        <is>
          <t>14828496</t>
        </is>
      </c>
      <c r="B258" t="inlineStr">
        <is>
          <t>b77df79b-d516-4194-9d93-a742ed6d16af</t>
        </is>
      </c>
      <c r="D258" t="inlineStr">
        <is>
          <t>111111123</t>
        </is>
      </c>
      <c r="E258" t="inlineStr">
        <is>
          <t>Vodacom Life 20260603</t>
        </is>
      </c>
      <c r="J258" t="inlineStr">
        <is>
          <t>CU</t>
        </is>
      </c>
      <c r="K258" t="inlineStr">
        <is>
          <t>Client Hung Up</t>
        </is>
      </c>
      <c r="L258" t="n">
        <v>7</v>
      </c>
      <c r="M258" t="inlineStr">
        <is>
          <t>2026-06-15 07:09:49</t>
        </is>
      </c>
      <c r="N258" t="inlineStr">
        <is>
          <t>bongiwe lushaba</t>
        </is>
      </c>
      <c r="O258" t="inlineStr">
        <is>
          <t>2026-06-08 05:25:27</t>
        </is>
      </c>
      <c r="P258" t="inlineStr">
        <is>
          <t>2026-06-08 05:25:27</t>
        </is>
      </c>
      <c r="Y258" t="inlineStr">
        <is>
          <t>27795774678</t>
        </is>
      </c>
    </row>
    <row r="259">
      <c r="A259" t="inlineStr">
        <is>
          <t>14800000</t>
        </is>
      </c>
      <c r="B259" t="inlineStr">
        <is>
          <t>7987e607-53dc-4dcf-b93e-357cc2486e32</t>
        </is>
      </c>
      <c r="D259" t="inlineStr">
        <is>
          <t>111111123</t>
        </is>
      </c>
      <c r="E259" t="inlineStr">
        <is>
          <t>Vodacom Life 20260603</t>
        </is>
      </c>
      <c r="J259" t="inlineStr">
        <is>
          <t>DROP</t>
        </is>
      </c>
      <c r="K259" t="inlineStr">
        <is>
          <t>Dropped</t>
        </is>
      </c>
      <c r="L259" t="n">
        <v>7</v>
      </c>
      <c r="M259" t="inlineStr">
        <is>
          <t>2026-06-15 07:08:07</t>
        </is>
      </c>
      <c r="N259" t="inlineStr">
        <is>
          <t>system</t>
        </is>
      </c>
      <c r="O259" t="inlineStr">
        <is>
          <t>2026-06-08 05:25:27</t>
        </is>
      </c>
      <c r="P259" t="inlineStr">
        <is>
          <t>2026-06-08 05:25:27</t>
        </is>
      </c>
      <c r="Y259" t="inlineStr">
        <is>
          <t>27721050581</t>
        </is>
      </c>
    </row>
    <row r="260">
      <c r="A260" t="inlineStr">
        <is>
          <t>14828328</t>
        </is>
      </c>
      <c r="B260" t="inlineStr">
        <is>
          <t>b72b2816-307a-483d-88b9-5ed2266f2af3</t>
        </is>
      </c>
      <c r="D260" t="inlineStr">
        <is>
          <t>111111123</t>
        </is>
      </c>
      <c r="E260" t="inlineStr">
        <is>
          <t>Vodacom Life 20260603</t>
        </is>
      </c>
      <c r="J260" t="inlineStr">
        <is>
          <t>AA</t>
        </is>
      </c>
      <c r="K260" t="inlineStr">
        <is>
          <t>Answering Machine Autodial</t>
        </is>
      </c>
      <c r="L260" t="n">
        <v>7</v>
      </c>
      <c r="M260" t="inlineStr">
        <is>
          <t>2026-06-15 07:08:04</t>
        </is>
      </c>
      <c r="N260" t="inlineStr">
        <is>
          <t>system</t>
        </is>
      </c>
      <c r="O260" t="inlineStr">
        <is>
          <t>2026-06-08 05:25:27</t>
        </is>
      </c>
      <c r="P260" t="inlineStr">
        <is>
          <t>2026-06-08 05:25:27</t>
        </is>
      </c>
      <c r="Y260" t="inlineStr">
        <is>
          <t>27793890257</t>
        </is>
      </c>
    </row>
    <row r="261">
      <c r="A261" t="inlineStr">
        <is>
          <t>14828363</t>
        </is>
      </c>
      <c r="B261" t="inlineStr">
        <is>
          <t>1f9e9833-7b52-47cb-a696-86d74e7ded9d</t>
        </is>
      </c>
      <c r="D261" t="inlineStr">
        <is>
          <t>111111123</t>
        </is>
      </c>
      <c r="E261" t="inlineStr">
        <is>
          <t>Vodacom Life 20260603</t>
        </is>
      </c>
      <c r="J261" t="inlineStr">
        <is>
          <t>DROP</t>
        </is>
      </c>
      <c r="K261" t="inlineStr">
        <is>
          <t>Dropped</t>
        </is>
      </c>
      <c r="L261" t="n">
        <v>7</v>
      </c>
      <c r="M261" t="inlineStr">
        <is>
          <t>2026-06-15 07:08:04</t>
        </is>
      </c>
      <c r="N261" t="inlineStr">
        <is>
          <t>system</t>
        </is>
      </c>
      <c r="O261" t="inlineStr">
        <is>
          <t>2026-06-08 05:25:27</t>
        </is>
      </c>
      <c r="P261" t="inlineStr">
        <is>
          <t>2026-06-08 05:25:27</t>
        </is>
      </c>
      <c r="Y261" t="inlineStr">
        <is>
          <t>27824474936</t>
        </is>
      </c>
    </row>
    <row r="262">
      <c r="A262" t="inlineStr">
        <is>
          <t>14828370</t>
        </is>
      </c>
      <c r="B262" t="inlineStr">
        <is>
          <t>a5cfaf93-4a49-4986-ac47-4c2576734130</t>
        </is>
      </c>
      <c r="D262" t="inlineStr">
        <is>
          <t>111111123</t>
        </is>
      </c>
      <c r="E262" t="inlineStr">
        <is>
          <t>Vodacom Life 20260603</t>
        </is>
      </c>
      <c r="H262" t="inlineStr">
        <is>
          <t>27711256201</t>
        </is>
      </c>
      <c r="J262" t="inlineStr">
        <is>
          <t>NA</t>
        </is>
      </c>
      <c r="K262" t="inlineStr">
        <is>
          <t>No Answer Autodial</t>
        </is>
      </c>
      <c r="L262" t="n">
        <v>7</v>
      </c>
      <c r="M262" t="inlineStr">
        <is>
          <t>2026-06-15 07:08:04</t>
        </is>
      </c>
      <c r="N262" t="inlineStr">
        <is>
          <t>system</t>
        </is>
      </c>
      <c r="O262" t="inlineStr">
        <is>
          <t>2026-06-08 05:25:27</t>
        </is>
      </c>
      <c r="P262" t="inlineStr">
        <is>
          <t>2026-06-08 05:25:27</t>
        </is>
      </c>
      <c r="Y262" t="inlineStr">
        <is>
          <t>27711256201</t>
        </is>
      </c>
    </row>
    <row r="263">
      <c r="A263" t="inlineStr">
        <is>
          <t>14828393</t>
        </is>
      </c>
      <c r="B263" t="inlineStr">
        <is>
          <t>a76dbe12-429d-4958-8529-db1ef6b04b99</t>
        </is>
      </c>
      <c r="D263" t="inlineStr">
        <is>
          <t>111111123</t>
        </is>
      </c>
      <c r="E263" t="inlineStr">
        <is>
          <t>Vodacom Life 20260603</t>
        </is>
      </c>
      <c r="H263" t="inlineStr">
        <is>
          <t>27728028379</t>
        </is>
      </c>
      <c r="J263" t="inlineStr">
        <is>
          <t>AA</t>
        </is>
      </c>
      <c r="K263" t="inlineStr">
        <is>
          <t>Answering Machine Autodial</t>
        </is>
      </c>
      <c r="L263" t="n">
        <v>7</v>
      </c>
      <c r="M263" t="inlineStr">
        <is>
          <t>2026-06-15 07:07:34</t>
        </is>
      </c>
      <c r="N263" t="inlineStr">
        <is>
          <t>system</t>
        </is>
      </c>
      <c r="O263" t="inlineStr">
        <is>
          <t>2026-06-08 05:25:27</t>
        </is>
      </c>
      <c r="P263" t="inlineStr">
        <is>
          <t>2026-06-08 05:25:27</t>
        </is>
      </c>
      <c r="Y263" t="inlineStr">
        <is>
          <t>27728028379</t>
        </is>
      </c>
    </row>
    <row r="264">
      <c r="A264" t="inlineStr">
        <is>
          <t>14800000</t>
        </is>
      </c>
      <c r="B264" t="inlineStr">
        <is>
          <t>e0918101-cfa6-47e0-8e7a-0765bcdaf489</t>
        </is>
      </c>
      <c r="D264" t="inlineStr">
        <is>
          <t>111111123</t>
        </is>
      </c>
      <c r="E264" t="inlineStr">
        <is>
          <t>Vodacom Life 20260603</t>
        </is>
      </c>
      <c r="J264" t="inlineStr">
        <is>
          <t>AE</t>
        </is>
      </c>
      <c r="K264" t="inlineStr">
        <is>
          <t>Auto Engaged</t>
        </is>
      </c>
      <c r="L264" t="n">
        <v>7</v>
      </c>
      <c r="M264" t="inlineStr">
        <is>
          <t>2026-06-15 07:07:31</t>
        </is>
      </c>
      <c r="N264" t="inlineStr">
        <is>
          <t>system</t>
        </is>
      </c>
      <c r="O264" t="inlineStr">
        <is>
          <t>2026-06-08 05:25:27</t>
        </is>
      </c>
      <c r="P264" t="inlineStr">
        <is>
          <t>2026-06-08 05:25:27</t>
        </is>
      </c>
      <c r="Y264" t="inlineStr">
        <is>
          <t>27823947904</t>
        </is>
      </c>
    </row>
    <row r="265">
      <c r="A265" t="inlineStr">
        <is>
          <t>14828430</t>
        </is>
      </c>
      <c r="B265" t="inlineStr">
        <is>
          <t>a6cca23b-f57d-4fe9-bee8-cb7ae8bd24c0</t>
        </is>
      </c>
      <c r="D265" t="inlineStr">
        <is>
          <t>111111123</t>
        </is>
      </c>
      <c r="E265" t="inlineStr">
        <is>
          <t>Vodacom Life 20260603</t>
        </is>
      </c>
      <c r="J265" t="inlineStr">
        <is>
          <t>AE</t>
        </is>
      </c>
      <c r="K265" t="inlineStr">
        <is>
          <t>Auto Engaged</t>
        </is>
      </c>
      <c r="L265" t="n">
        <v>7</v>
      </c>
      <c r="M265" t="inlineStr">
        <is>
          <t>2026-06-15 07:07:28</t>
        </is>
      </c>
      <c r="N265" t="inlineStr">
        <is>
          <t>system</t>
        </is>
      </c>
      <c r="O265" t="inlineStr">
        <is>
          <t>2026-06-08 05:25:27</t>
        </is>
      </c>
      <c r="P265" t="inlineStr">
        <is>
          <t>2026-06-08 05:25:27</t>
        </is>
      </c>
      <c r="Y265" t="inlineStr">
        <is>
          <t>27824284030</t>
        </is>
      </c>
    </row>
    <row r="266">
      <c r="A266" t="inlineStr">
        <is>
          <t>14827963</t>
        </is>
      </c>
      <c r="B266" t="inlineStr">
        <is>
          <t>0dee5e83-8ca0-4683-adb6-1446e6c7af71</t>
        </is>
      </c>
      <c r="D266" t="inlineStr">
        <is>
          <t>111111123</t>
        </is>
      </c>
      <c r="E266" t="inlineStr">
        <is>
          <t>Vodacom Life 20260603</t>
        </is>
      </c>
      <c r="J266" t="inlineStr">
        <is>
          <t>AA</t>
        </is>
      </c>
      <c r="K266" t="inlineStr">
        <is>
          <t>Answering Machine Autodial</t>
        </is>
      </c>
      <c r="L266" t="n">
        <v>7</v>
      </c>
      <c r="M266" t="inlineStr">
        <is>
          <t>2026-06-15 07:07:25</t>
        </is>
      </c>
      <c r="N266" t="inlineStr">
        <is>
          <t>system</t>
        </is>
      </c>
      <c r="O266" t="inlineStr">
        <is>
          <t>2026-06-08 05:25:27</t>
        </is>
      </c>
      <c r="P266" t="inlineStr">
        <is>
          <t>2026-06-08 05:25:27</t>
        </is>
      </c>
      <c r="Y266" t="inlineStr">
        <is>
          <t>27729685310</t>
        </is>
      </c>
    </row>
    <row r="267">
      <c r="A267" t="inlineStr">
        <is>
          <t>14828349</t>
        </is>
      </c>
      <c r="B267" t="inlineStr">
        <is>
          <t>f4707586-c909-4c23-9578-a373ace2a738</t>
        </is>
      </c>
      <c r="D267" t="inlineStr">
        <is>
          <t>111111123</t>
        </is>
      </c>
      <c r="E267" t="inlineStr">
        <is>
          <t>Vodacom Life 20260603</t>
        </is>
      </c>
      <c r="J267" t="inlineStr">
        <is>
          <t>AE</t>
        </is>
      </c>
      <c r="K267" t="inlineStr">
        <is>
          <t>Auto Engaged</t>
        </is>
      </c>
      <c r="L267" t="n">
        <v>7</v>
      </c>
      <c r="M267" t="inlineStr">
        <is>
          <t>2026-06-15 07:07:25</t>
        </is>
      </c>
      <c r="N267" t="inlineStr">
        <is>
          <t>system</t>
        </is>
      </c>
      <c r="O267" t="inlineStr">
        <is>
          <t>2026-06-08 05:25:27</t>
        </is>
      </c>
      <c r="P267" t="inlineStr">
        <is>
          <t>2026-06-08 05:25:27</t>
        </is>
      </c>
      <c r="Y267" t="inlineStr">
        <is>
          <t>27729213006</t>
        </is>
      </c>
    </row>
    <row r="268">
      <c r="A268" t="inlineStr">
        <is>
          <t>14828464</t>
        </is>
      </c>
      <c r="B268" t="inlineStr">
        <is>
          <t>b500bc07-3116-44dc-ba2c-102e68ad9035</t>
        </is>
      </c>
      <c r="D268" t="inlineStr">
        <is>
          <t>111111123</t>
        </is>
      </c>
      <c r="E268" t="inlineStr">
        <is>
          <t>Vodacom Life 20260603</t>
        </is>
      </c>
      <c r="J268" t="inlineStr">
        <is>
          <t>AE</t>
        </is>
      </c>
      <c r="K268" t="inlineStr">
        <is>
          <t>Auto Engaged</t>
        </is>
      </c>
      <c r="L268" t="n">
        <v>7</v>
      </c>
      <c r="M268" t="inlineStr">
        <is>
          <t>2026-06-15 07:07:25</t>
        </is>
      </c>
      <c r="N268" t="inlineStr">
        <is>
          <t>system</t>
        </is>
      </c>
      <c r="O268" t="inlineStr">
        <is>
          <t>2026-06-08 05:25:27</t>
        </is>
      </c>
      <c r="P268" t="inlineStr">
        <is>
          <t>2026-06-08 05:25:27</t>
        </is>
      </c>
      <c r="Y268" t="inlineStr">
        <is>
          <t>27793841912</t>
        </is>
      </c>
    </row>
    <row r="269">
      <c r="A269" t="inlineStr">
        <is>
          <t>14827710</t>
        </is>
      </c>
      <c r="B269" t="inlineStr">
        <is>
          <t>da001df8-c0ba-4762-bc04-17f4479d49a1</t>
        </is>
      </c>
      <c r="D269" t="inlineStr">
        <is>
          <t>111111123</t>
        </is>
      </c>
      <c r="E269" t="inlineStr">
        <is>
          <t>Vodacom Life 20260603</t>
        </is>
      </c>
      <c r="H269" t="inlineStr">
        <is>
          <t>27792475678</t>
        </is>
      </c>
      <c r="J269" t="inlineStr">
        <is>
          <t>CU</t>
        </is>
      </c>
      <c r="K269" t="inlineStr">
        <is>
          <t>Client Hung Up</t>
        </is>
      </c>
      <c r="L269" t="n">
        <v>7</v>
      </c>
      <c r="M269" t="inlineStr">
        <is>
          <t>2026-06-15 07:07:25</t>
        </is>
      </c>
      <c r="N269" t="inlineStr">
        <is>
          <t>Maureen Ntsoko</t>
        </is>
      </c>
      <c r="O269" t="inlineStr">
        <is>
          <t>2026-06-08 05:25:27</t>
        </is>
      </c>
      <c r="P269" t="inlineStr">
        <is>
          <t>2026-06-08 05:25:27</t>
        </is>
      </c>
      <c r="Y269" t="inlineStr">
        <is>
          <t>27792475678</t>
        </is>
      </c>
    </row>
    <row r="270">
      <c r="A270" t="inlineStr">
        <is>
          <t>14828380</t>
        </is>
      </c>
      <c r="B270" t="inlineStr">
        <is>
          <t>28d3ca55-39bd-4319-9497-9e6c5eefce2d</t>
        </is>
      </c>
      <c r="D270" t="inlineStr">
        <is>
          <t>111111123</t>
        </is>
      </c>
      <c r="E270" t="inlineStr">
        <is>
          <t>Vodacom Life 20260603</t>
        </is>
      </c>
      <c r="H270" t="inlineStr">
        <is>
          <t>27728911367</t>
        </is>
      </c>
      <c r="J270" t="inlineStr">
        <is>
          <t>IABDN</t>
        </is>
      </c>
      <c r="K270" t="inlineStr">
        <is>
          <t>Inbound Abandon</t>
        </is>
      </c>
      <c r="L270" t="n">
        <v>7</v>
      </c>
      <c r="M270" t="inlineStr">
        <is>
          <t>2026-06-15 07:06:58</t>
        </is>
      </c>
      <c r="N270" t="inlineStr">
        <is>
          <t>system</t>
        </is>
      </c>
      <c r="O270" t="inlineStr">
        <is>
          <t>2026-06-08 05:25:27</t>
        </is>
      </c>
      <c r="P270" t="inlineStr">
        <is>
          <t>2026-06-08 05:25:27</t>
        </is>
      </c>
      <c r="Y270" t="inlineStr">
        <is>
          <t>27728911367</t>
        </is>
      </c>
    </row>
    <row r="271">
      <c r="A271" t="inlineStr">
        <is>
          <t>14828306</t>
        </is>
      </c>
      <c r="B271" t="inlineStr">
        <is>
          <t>4e8ccb1b-f012-4315-bb13-4f84db22ad2d</t>
        </is>
      </c>
      <c r="D271" t="inlineStr">
        <is>
          <t>111111123</t>
        </is>
      </c>
      <c r="E271" t="inlineStr">
        <is>
          <t>Vodacom Life 20260603</t>
        </is>
      </c>
      <c r="H271" t="inlineStr">
        <is>
          <t>27824722131</t>
        </is>
      </c>
      <c r="J271" t="inlineStr">
        <is>
          <t>AA</t>
        </is>
      </c>
      <c r="K271" t="inlineStr">
        <is>
          <t>Answering Machine Autodial</t>
        </is>
      </c>
      <c r="L271" t="n">
        <v>7</v>
      </c>
      <c r="M271" t="inlineStr">
        <is>
          <t>2026-06-15 07:06:39</t>
        </is>
      </c>
      <c r="N271" t="inlineStr">
        <is>
          <t>system</t>
        </is>
      </c>
      <c r="O271" t="inlineStr">
        <is>
          <t>2026-06-08 05:25:27</t>
        </is>
      </c>
      <c r="P271" t="inlineStr">
        <is>
          <t>2026-06-08 05:25:27</t>
        </is>
      </c>
      <c r="Y271" t="inlineStr">
        <is>
          <t>27824722131</t>
        </is>
      </c>
    </row>
    <row r="272">
      <c r="A272" t="inlineStr">
        <is>
          <t>14827976</t>
        </is>
      </c>
      <c r="B272" t="inlineStr">
        <is>
          <t>1c0e2158-3bdf-4437-b7b0-d945b30927d0</t>
        </is>
      </c>
      <c r="D272" t="inlineStr">
        <is>
          <t>111111123</t>
        </is>
      </c>
      <c r="E272" t="inlineStr">
        <is>
          <t>Vodacom Life 20260603</t>
        </is>
      </c>
      <c r="H272" t="inlineStr">
        <is>
          <t>27726423723</t>
        </is>
      </c>
      <c r="J272" t="inlineStr">
        <is>
          <t>AA</t>
        </is>
      </c>
      <c r="K272" t="inlineStr">
        <is>
          <t>Answering Machine Autodial</t>
        </is>
      </c>
      <c r="L272" t="n">
        <v>7</v>
      </c>
      <c r="M272" t="inlineStr">
        <is>
          <t>2026-06-15 07:06:28</t>
        </is>
      </c>
      <c r="N272" t="inlineStr">
        <is>
          <t>system</t>
        </is>
      </c>
      <c r="O272" t="inlineStr">
        <is>
          <t>2026-06-08 05:25:27</t>
        </is>
      </c>
      <c r="P272" t="inlineStr">
        <is>
          <t>2026-06-08 05:25:27</t>
        </is>
      </c>
      <c r="Y272" t="inlineStr">
        <is>
          <t>27726423723</t>
        </is>
      </c>
    </row>
    <row r="273">
      <c r="A273" t="inlineStr">
        <is>
          <t>14828308</t>
        </is>
      </c>
      <c r="B273" t="inlineStr">
        <is>
          <t>af191df9-6d4d-45e0-8299-2dd40646aa95</t>
        </is>
      </c>
      <c r="D273" t="inlineStr">
        <is>
          <t>111111123</t>
        </is>
      </c>
      <c r="E273" t="inlineStr">
        <is>
          <t>Vodacom Life 20260603</t>
        </is>
      </c>
      <c r="J273" t="inlineStr">
        <is>
          <t>AA</t>
        </is>
      </c>
      <c r="K273" t="inlineStr">
        <is>
          <t>Answering Machine Autodial</t>
        </is>
      </c>
      <c r="L273" t="n">
        <v>7</v>
      </c>
      <c r="M273" t="inlineStr">
        <is>
          <t>2026-06-15 07:06:28</t>
        </is>
      </c>
      <c r="N273" t="inlineStr">
        <is>
          <t>system</t>
        </is>
      </c>
      <c r="O273" t="inlineStr">
        <is>
          <t>2026-06-08 05:25:27</t>
        </is>
      </c>
      <c r="P273" t="inlineStr">
        <is>
          <t>2026-06-08 05:25:27</t>
        </is>
      </c>
      <c r="Y273" t="inlineStr">
        <is>
          <t>27714357790</t>
        </is>
      </c>
    </row>
    <row r="274">
      <c r="A274" t="inlineStr">
        <is>
          <t>14828324</t>
        </is>
      </c>
      <c r="B274" t="inlineStr">
        <is>
          <t>6fed08c3-531d-436c-b2b3-ff0d4b358c57</t>
        </is>
      </c>
      <c r="D274" t="inlineStr">
        <is>
          <t>111111123</t>
        </is>
      </c>
      <c r="E274" t="inlineStr">
        <is>
          <t>Vodacom Life 20260603</t>
        </is>
      </c>
      <c r="J274" t="inlineStr">
        <is>
          <t>AE</t>
        </is>
      </c>
      <c r="K274" t="inlineStr">
        <is>
          <t>Auto Engaged</t>
        </is>
      </c>
      <c r="L274" t="n">
        <v>7</v>
      </c>
      <c r="M274" t="inlineStr">
        <is>
          <t>2026-06-15 07:06:28</t>
        </is>
      </c>
      <c r="N274" t="inlineStr">
        <is>
          <t>system</t>
        </is>
      </c>
      <c r="O274" t="inlineStr">
        <is>
          <t>2026-06-08 05:25:27</t>
        </is>
      </c>
      <c r="P274" t="inlineStr">
        <is>
          <t>2026-06-08 05:25:27</t>
        </is>
      </c>
      <c r="Y274" t="inlineStr">
        <is>
          <t>27726016136</t>
        </is>
      </c>
    </row>
    <row r="275">
      <c r="A275" t="inlineStr">
        <is>
          <t>14828384</t>
        </is>
      </c>
      <c r="B275" t="inlineStr">
        <is>
          <t>2ad39156-be09-4869-bce4-e9093ea8643a</t>
        </is>
      </c>
      <c r="D275" t="inlineStr">
        <is>
          <t>111111123</t>
        </is>
      </c>
      <c r="E275" t="inlineStr">
        <is>
          <t>Vodacom Life 20260603</t>
        </is>
      </c>
      <c r="J275" t="inlineStr">
        <is>
          <t>DROP</t>
        </is>
      </c>
      <c r="K275" t="inlineStr">
        <is>
          <t>Dropped</t>
        </is>
      </c>
      <c r="L275" t="n">
        <v>7</v>
      </c>
      <c r="M275" t="inlineStr">
        <is>
          <t>2026-06-15 07:06:28</t>
        </is>
      </c>
      <c r="N275" t="inlineStr">
        <is>
          <t>system</t>
        </is>
      </c>
      <c r="O275" t="inlineStr">
        <is>
          <t>2026-06-08 05:25:27</t>
        </is>
      </c>
      <c r="P275" t="inlineStr">
        <is>
          <t>2026-06-08 05:25:27</t>
        </is>
      </c>
      <c r="Y275" t="inlineStr">
        <is>
          <t>27762390619</t>
        </is>
      </c>
    </row>
    <row r="276">
      <c r="A276" t="inlineStr">
        <is>
          <t>14828285</t>
        </is>
      </c>
      <c r="B276" t="inlineStr">
        <is>
          <t>befbe358-f557-404e-b6f8-a4fafab1f261</t>
        </is>
      </c>
      <c r="D276" t="inlineStr">
        <is>
          <t>111111123</t>
        </is>
      </c>
      <c r="E276" t="inlineStr">
        <is>
          <t>Vodacom Life 20260603</t>
        </is>
      </c>
      <c r="J276" t="inlineStr">
        <is>
          <t>AE</t>
        </is>
      </c>
      <c r="K276" t="inlineStr">
        <is>
          <t>Auto Engaged</t>
        </is>
      </c>
      <c r="L276" t="n">
        <v>7</v>
      </c>
      <c r="M276" t="inlineStr">
        <is>
          <t>2026-06-15 07:05:54</t>
        </is>
      </c>
      <c r="N276" t="inlineStr">
        <is>
          <t>system</t>
        </is>
      </c>
      <c r="O276" t="inlineStr">
        <is>
          <t>2026-06-08 05:25:27</t>
        </is>
      </c>
      <c r="P276" t="inlineStr">
        <is>
          <t>2026-06-08 05:25:27</t>
        </is>
      </c>
      <c r="Y276" t="inlineStr">
        <is>
          <t>27767689836</t>
        </is>
      </c>
    </row>
    <row r="277">
      <c r="A277" t="inlineStr">
        <is>
          <t>14828316</t>
        </is>
      </c>
      <c r="B277" t="inlineStr">
        <is>
          <t>6b1b6687-1f47-4afe-bc4d-f8b8e94133cc</t>
        </is>
      </c>
      <c r="D277" t="inlineStr">
        <is>
          <t>111111123</t>
        </is>
      </c>
      <c r="E277" t="inlineStr">
        <is>
          <t>Vodacom Life 20260603</t>
        </is>
      </c>
      <c r="H277" t="inlineStr">
        <is>
          <t>27660560254</t>
        </is>
      </c>
      <c r="J277" t="inlineStr">
        <is>
          <t>AA</t>
        </is>
      </c>
      <c r="K277" t="inlineStr">
        <is>
          <t>Answering Machine Autodial</t>
        </is>
      </c>
      <c r="L277" t="n">
        <v>7</v>
      </c>
      <c r="M277" t="inlineStr">
        <is>
          <t>2026-06-15 07:05:54</t>
        </is>
      </c>
      <c r="N277" t="inlineStr">
        <is>
          <t>system</t>
        </is>
      </c>
      <c r="O277" t="inlineStr">
        <is>
          <t>2026-06-08 05:25:27</t>
        </is>
      </c>
      <c r="P277" t="inlineStr">
        <is>
          <t>2026-06-08 05:25:27</t>
        </is>
      </c>
      <c r="Y277" t="inlineStr">
        <is>
          <t>27660560254</t>
        </is>
      </c>
    </row>
    <row r="278">
      <c r="A278" t="inlineStr">
        <is>
          <t>14828522</t>
        </is>
      </c>
      <c r="B278" t="inlineStr">
        <is>
          <t>26038f33-ddfb-48cd-b608-14f9f4d52a00</t>
        </is>
      </c>
      <c r="D278" t="inlineStr">
        <is>
          <t>111111123</t>
        </is>
      </c>
      <c r="E278" t="inlineStr">
        <is>
          <t>Vodacom Life 20260603</t>
        </is>
      </c>
      <c r="J278" t="inlineStr">
        <is>
          <t>DROP</t>
        </is>
      </c>
      <c r="K278" t="inlineStr">
        <is>
          <t>Dropped</t>
        </is>
      </c>
      <c r="L278" t="n">
        <v>7</v>
      </c>
      <c r="M278" t="inlineStr">
        <is>
          <t>2026-06-15 07:05:54</t>
        </is>
      </c>
      <c r="N278" t="inlineStr">
        <is>
          <t>system</t>
        </is>
      </c>
      <c r="O278" t="inlineStr">
        <is>
          <t>2026-06-08 05:25:27</t>
        </is>
      </c>
      <c r="P278" t="inlineStr">
        <is>
          <t>2026-06-08 05:25:27</t>
        </is>
      </c>
      <c r="Y278" t="inlineStr">
        <is>
          <t>27827006971</t>
        </is>
      </c>
    </row>
    <row r="279">
      <c r="A279" t="inlineStr">
        <is>
          <t>14828286</t>
        </is>
      </c>
      <c r="B279" t="inlineStr">
        <is>
          <t>e9fd4fe5-f63d-4cdc-97a8-bfeee656e613</t>
        </is>
      </c>
      <c r="D279" t="inlineStr">
        <is>
          <t>111111123</t>
        </is>
      </c>
      <c r="E279" t="inlineStr">
        <is>
          <t>Vodacom Life 20260603</t>
        </is>
      </c>
      <c r="J279" t="inlineStr">
        <is>
          <t>AE</t>
        </is>
      </c>
      <c r="K279" t="inlineStr">
        <is>
          <t>Auto Engaged</t>
        </is>
      </c>
      <c r="L279" t="n">
        <v>7</v>
      </c>
      <c r="M279" t="inlineStr">
        <is>
          <t>2026-06-15 07:05:10</t>
        </is>
      </c>
      <c r="N279" t="inlineStr">
        <is>
          <t>system</t>
        </is>
      </c>
      <c r="O279" t="inlineStr">
        <is>
          <t>2026-06-08 05:25:27</t>
        </is>
      </c>
      <c r="P279" t="inlineStr">
        <is>
          <t>2026-06-08 05:25:27</t>
        </is>
      </c>
      <c r="Y279" t="inlineStr">
        <is>
          <t>27794796825</t>
        </is>
      </c>
    </row>
    <row r="280">
      <c r="A280" t="inlineStr">
        <is>
          <t>14828319</t>
        </is>
      </c>
      <c r="B280" t="inlineStr">
        <is>
          <t>4048a675-17b2-4f3d-a96e-aa1ec8fcb10d</t>
        </is>
      </c>
      <c r="D280" t="inlineStr">
        <is>
          <t>111111123</t>
        </is>
      </c>
      <c r="E280" t="inlineStr">
        <is>
          <t>Vodacom Life 20260603</t>
        </is>
      </c>
      <c r="J280" t="inlineStr">
        <is>
          <t>AA</t>
        </is>
      </c>
      <c r="K280" t="inlineStr">
        <is>
          <t>Answering Machine Autodial</t>
        </is>
      </c>
      <c r="L280" t="n">
        <v>7</v>
      </c>
      <c r="M280" t="inlineStr">
        <is>
          <t>2026-06-15 07:05:04</t>
        </is>
      </c>
      <c r="N280" t="inlineStr">
        <is>
          <t>system</t>
        </is>
      </c>
      <c r="O280" t="inlineStr">
        <is>
          <t>2026-06-08 05:25:27</t>
        </is>
      </c>
      <c r="P280" t="inlineStr">
        <is>
          <t>2026-06-08 05:25:27</t>
        </is>
      </c>
      <c r="Y280" t="inlineStr">
        <is>
          <t>27713058360</t>
        </is>
      </c>
    </row>
    <row r="281">
      <c r="A281" t="inlineStr">
        <is>
          <t>14828320</t>
        </is>
      </c>
      <c r="B281" t="inlineStr">
        <is>
          <t>34abd712-69d0-4f0f-af8c-bc1d366d8e10</t>
        </is>
      </c>
      <c r="D281" t="inlineStr">
        <is>
          <t>111111123</t>
        </is>
      </c>
      <c r="E281" t="inlineStr">
        <is>
          <t>Vodacom Life 20260603</t>
        </is>
      </c>
      <c r="H281" t="inlineStr">
        <is>
          <t>27723908355</t>
        </is>
      </c>
      <c r="J281" t="inlineStr">
        <is>
          <t>CU</t>
        </is>
      </c>
      <c r="K281" t="inlineStr">
        <is>
          <t>Client Hung Up</t>
        </is>
      </c>
      <c r="L281" t="n">
        <v>7</v>
      </c>
      <c r="M281" t="inlineStr">
        <is>
          <t>2026-06-15 07:05:01</t>
        </is>
      </c>
      <c r="N281" t="inlineStr">
        <is>
          <t>Maureen Ntsoko</t>
        </is>
      </c>
      <c r="O281" t="inlineStr">
        <is>
          <t>2026-06-08 05:25:27</t>
        </is>
      </c>
      <c r="P281" t="inlineStr">
        <is>
          <t>2026-06-08 05:25:27</t>
        </is>
      </c>
      <c r="Y281" t="inlineStr">
        <is>
          <t>27723908355</t>
        </is>
      </c>
    </row>
    <row r="282">
      <c r="A282" t="inlineStr">
        <is>
          <t>14828322</t>
        </is>
      </c>
      <c r="B282" t="inlineStr">
        <is>
          <t>c0d62a59-a23b-468d-8a59-9d4db6c89dea</t>
        </is>
      </c>
      <c r="D282" t="inlineStr">
        <is>
          <t>111111123</t>
        </is>
      </c>
      <c r="E282" t="inlineStr">
        <is>
          <t>Vodacom Life 20260603</t>
        </is>
      </c>
      <c r="J282" t="inlineStr">
        <is>
          <t>AE</t>
        </is>
      </c>
      <c r="K282" t="inlineStr">
        <is>
          <t>Auto Engaged</t>
        </is>
      </c>
      <c r="L282" t="n">
        <v>7</v>
      </c>
      <c r="M282" t="inlineStr">
        <is>
          <t>2026-06-15 07:05:01</t>
        </is>
      </c>
      <c r="N282" t="inlineStr">
        <is>
          <t>system</t>
        </is>
      </c>
      <c r="O282" t="inlineStr">
        <is>
          <t>2026-06-08 05:25:27</t>
        </is>
      </c>
      <c r="P282" t="inlineStr">
        <is>
          <t>2026-06-08 05:25:27</t>
        </is>
      </c>
      <c r="Y282" t="inlineStr">
        <is>
          <t>27712550226</t>
        </is>
      </c>
    </row>
    <row r="283">
      <c r="A283" t="inlineStr">
        <is>
          <t>14828340</t>
        </is>
      </c>
      <c r="B283" t="inlineStr">
        <is>
          <t>4f6bc344-134e-4647-a558-6724882ba928</t>
        </is>
      </c>
      <c r="D283" t="inlineStr">
        <is>
          <t>111111123</t>
        </is>
      </c>
      <c r="E283" t="inlineStr">
        <is>
          <t>Vodacom Life 20260603</t>
        </is>
      </c>
      <c r="J283" t="inlineStr">
        <is>
          <t>AA</t>
        </is>
      </c>
      <c r="K283" t="inlineStr">
        <is>
          <t>Answering Machine Autodial</t>
        </is>
      </c>
      <c r="L283" t="n">
        <v>7</v>
      </c>
      <c r="M283" t="inlineStr">
        <is>
          <t>2026-06-15 07:05:01</t>
        </is>
      </c>
      <c r="N283" t="inlineStr">
        <is>
          <t>system</t>
        </is>
      </c>
      <c r="O283" t="inlineStr">
        <is>
          <t>2026-06-08 05:25:27</t>
        </is>
      </c>
      <c r="P283" t="inlineStr">
        <is>
          <t>2026-06-08 05:25:27</t>
        </is>
      </c>
      <c r="Y283" t="inlineStr">
        <is>
          <t>27606969113</t>
        </is>
      </c>
    </row>
    <row r="284">
      <c r="A284" t="inlineStr">
        <is>
          <t>14828394</t>
        </is>
      </c>
      <c r="B284" t="inlineStr">
        <is>
          <t>f6e12474-477b-40b6-a997-eb5931741e55</t>
        </is>
      </c>
      <c r="D284" t="inlineStr">
        <is>
          <t>111111123</t>
        </is>
      </c>
      <c r="E284" t="inlineStr">
        <is>
          <t>Vodacom Life 20260603</t>
        </is>
      </c>
      <c r="J284" t="inlineStr">
        <is>
          <t>AE</t>
        </is>
      </c>
      <c r="K284" t="inlineStr">
        <is>
          <t>Auto Engaged</t>
        </is>
      </c>
      <c r="L284" t="n">
        <v>7</v>
      </c>
      <c r="M284" t="inlineStr">
        <is>
          <t>2026-06-15 07:05:01</t>
        </is>
      </c>
      <c r="N284" t="inlineStr">
        <is>
          <t>system</t>
        </is>
      </c>
      <c r="O284" t="inlineStr">
        <is>
          <t>2026-06-08 05:25:27</t>
        </is>
      </c>
      <c r="P284" t="inlineStr">
        <is>
          <t>2026-06-08 05:25:27</t>
        </is>
      </c>
      <c r="Y284" t="inlineStr">
        <is>
          <t>27798966614</t>
        </is>
      </c>
    </row>
    <row r="285">
      <c r="A285" t="inlineStr">
        <is>
          <t>14828462</t>
        </is>
      </c>
      <c r="B285" t="inlineStr">
        <is>
          <t>df768179-04b7-4cbb-8b92-aea414df593e</t>
        </is>
      </c>
      <c r="D285" t="inlineStr">
        <is>
          <t>111111123</t>
        </is>
      </c>
      <c r="E285" t="inlineStr">
        <is>
          <t>Vodacom Life 20260603</t>
        </is>
      </c>
      <c r="H285" t="inlineStr">
        <is>
          <t>27765004064</t>
        </is>
      </c>
      <c r="J285" t="inlineStr">
        <is>
          <t>IABDN</t>
        </is>
      </c>
      <c r="K285" t="inlineStr">
        <is>
          <t>Inbound Abandon</t>
        </is>
      </c>
      <c r="L285" t="n">
        <v>7</v>
      </c>
      <c r="M285" t="inlineStr">
        <is>
          <t>2026-06-15 07:04:31</t>
        </is>
      </c>
      <c r="N285" t="inlineStr">
        <is>
          <t>system</t>
        </is>
      </c>
      <c r="O285" t="inlineStr">
        <is>
          <t>2026-06-08 05:25:27</t>
        </is>
      </c>
      <c r="P285" t="inlineStr">
        <is>
          <t>2026-06-08 05:25:27</t>
        </is>
      </c>
      <c r="Y285" t="inlineStr">
        <is>
          <t>27765004064</t>
        </is>
      </c>
    </row>
    <row r="286">
      <c r="A286" t="inlineStr">
        <is>
          <t>14828298</t>
        </is>
      </c>
      <c r="B286" t="inlineStr">
        <is>
          <t>f365eea7-9950-4235-a630-219647da165e</t>
        </is>
      </c>
      <c r="D286" t="inlineStr">
        <is>
          <t>111111123</t>
        </is>
      </c>
      <c r="E286" t="inlineStr">
        <is>
          <t>Vodacom Life 20260603</t>
        </is>
      </c>
      <c r="H286" t="inlineStr">
        <is>
          <t>27765628908</t>
        </is>
      </c>
      <c r="J286" t="inlineStr">
        <is>
          <t>IABDN</t>
        </is>
      </c>
      <c r="K286" t="inlineStr">
        <is>
          <t>Inbound Abandon</t>
        </is>
      </c>
      <c r="L286" t="n">
        <v>7</v>
      </c>
      <c r="M286" t="inlineStr">
        <is>
          <t>2026-06-15 07:04:05</t>
        </is>
      </c>
      <c r="N286" t="inlineStr">
        <is>
          <t>system</t>
        </is>
      </c>
      <c r="O286" t="inlineStr">
        <is>
          <t>2026-06-08 05:25:27</t>
        </is>
      </c>
      <c r="P286" t="inlineStr">
        <is>
          <t>2026-06-08 05:25:27</t>
        </is>
      </c>
      <c r="Y286" t="inlineStr">
        <is>
          <t>27765628908</t>
        </is>
      </c>
    </row>
    <row r="287">
      <c r="A287" t="inlineStr">
        <is>
          <t>14800000</t>
        </is>
      </c>
      <c r="B287" t="inlineStr">
        <is>
          <t>08e4606e-39fb-4673-9df5-7b23da587925</t>
        </is>
      </c>
      <c r="D287" t="inlineStr">
        <is>
          <t>111111123</t>
        </is>
      </c>
      <c r="E287" t="inlineStr">
        <is>
          <t>Vodacom Life 20260603</t>
        </is>
      </c>
      <c r="J287" t="inlineStr">
        <is>
          <t>AA</t>
        </is>
      </c>
      <c r="K287" t="inlineStr">
        <is>
          <t>Answering Machine Autodial</t>
        </is>
      </c>
      <c r="L287" t="n">
        <v>7</v>
      </c>
      <c r="M287" t="inlineStr">
        <is>
          <t>2026-06-15 07:03:18</t>
        </is>
      </c>
      <c r="N287" t="inlineStr">
        <is>
          <t>system</t>
        </is>
      </c>
      <c r="O287" t="inlineStr">
        <is>
          <t>2026-06-08 05:25:27</t>
        </is>
      </c>
      <c r="P287" t="inlineStr">
        <is>
          <t>2026-06-08 05:25:27</t>
        </is>
      </c>
      <c r="Y287" t="inlineStr">
        <is>
          <t>27609377108</t>
        </is>
      </c>
    </row>
    <row r="288">
      <c r="A288" t="inlineStr">
        <is>
          <t>14828360</t>
        </is>
      </c>
      <c r="B288" t="inlineStr">
        <is>
          <t>42d703e2-13b3-4c23-848c-85004324103c</t>
        </is>
      </c>
      <c r="D288" t="inlineStr">
        <is>
          <t>111111123</t>
        </is>
      </c>
      <c r="E288" t="inlineStr">
        <is>
          <t>Vodacom Life 20260603</t>
        </is>
      </c>
      <c r="H288" t="inlineStr">
        <is>
          <t>27797723822</t>
        </is>
      </c>
      <c r="J288" t="inlineStr">
        <is>
          <t>IABDN</t>
        </is>
      </c>
      <c r="K288" t="inlineStr">
        <is>
          <t>Inbound Abandon</t>
        </is>
      </c>
      <c r="L288" t="n">
        <v>7</v>
      </c>
      <c r="M288" t="inlineStr">
        <is>
          <t>2026-06-15 07:03:14</t>
        </is>
      </c>
      <c r="N288" t="inlineStr">
        <is>
          <t>system</t>
        </is>
      </c>
      <c r="O288" t="inlineStr">
        <is>
          <t>2026-06-08 05:25:27</t>
        </is>
      </c>
      <c r="P288" t="inlineStr">
        <is>
          <t>2026-06-08 05:25:27</t>
        </is>
      </c>
      <c r="Y288" t="inlineStr">
        <is>
          <t>27797723822</t>
        </is>
      </c>
    </row>
    <row r="289">
      <c r="A289" t="inlineStr">
        <is>
          <t>14828457</t>
        </is>
      </c>
      <c r="B289" t="inlineStr">
        <is>
          <t>4eccad69-8943-480d-aac9-a56138babc05</t>
        </is>
      </c>
      <c r="D289" t="inlineStr">
        <is>
          <t>111111123</t>
        </is>
      </c>
      <c r="E289" t="inlineStr">
        <is>
          <t>Vodacom Life 20260603</t>
        </is>
      </c>
      <c r="H289" t="inlineStr">
        <is>
          <t>27761646140</t>
        </is>
      </c>
      <c r="J289" t="inlineStr">
        <is>
          <t>IABDN</t>
        </is>
      </c>
      <c r="K289" t="inlineStr">
        <is>
          <t>Inbound Abandon</t>
        </is>
      </c>
      <c r="L289" t="n">
        <v>7</v>
      </c>
      <c r="M289" t="inlineStr">
        <is>
          <t>2026-06-15 07:02:56</t>
        </is>
      </c>
      <c r="N289" t="inlineStr">
        <is>
          <t>system</t>
        </is>
      </c>
      <c r="O289" t="inlineStr">
        <is>
          <t>2026-06-08 05:25:27</t>
        </is>
      </c>
      <c r="P289" t="inlineStr">
        <is>
          <t>2026-06-08 05:25:27</t>
        </is>
      </c>
      <c r="Y289" t="inlineStr">
        <is>
          <t>27761646140</t>
        </is>
      </c>
    </row>
    <row r="290">
      <c r="A290" t="inlineStr">
        <is>
          <t>14828330</t>
        </is>
      </c>
      <c r="B290" t="inlineStr">
        <is>
          <t>236f7b2f-0bc7-4906-ae1e-6809d7a17653</t>
        </is>
      </c>
      <c r="D290" t="inlineStr">
        <is>
          <t>111111123</t>
        </is>
      </c>
      <c r="E290" t="inlineStr">
        <is>
          <t>Vodacom Life 20260603</t>
        </is>
      </c>
      <c r="H290" t="inlineStr">
        <is>
          <t>27724497159</t>
        </is>
      </c>
      <c r="J290" t="inlineStr">
        <is>
          <t>NA</t>
        </is>
      </c>
      <c r="K290" t="inlineStr">
        <is>
          <t>No Answer Autodial</t>
        </is>
      </c>
      <c r="L290" t="n">
        <v>7</v>
      </c>
      <c r="M290" t="inlineStr">
        <is>
          <t>2026-06-15 07:02:18</t>
        </is>
      </c>
      <c r="N290" t="inlineStr">
        <is>
          <t>system</t>
        </is>
      </c>
      <c r="O290" t="inlineStr">
        <is>
          <t>2026-06-08 05:25:27</t>
        </is>
      </c>
      <c r="P290" t="inlineStr">
        <is>
          <t>2026-06-08 05:25:27</t>
        </is>
      </c>
      <c r="Y290" t="inlineStr">
        <is>
          <t>27724497159</t>
        </is>
      </c>
    </row>
    <row r="291">
      <c r="A291" t="inlineStr">
        <is>
          <t>14828300</t>
        </is>
      </c>
      <c r="B291" t="inlineStr">
        <is>
          <t>cc00dbca-6ffe-43fc-a14e-0854ffa0f9ce</t>
        </is>
      </c>
      <c r="D291" t="inlineStr">
        <is>
          <t>111111123</t>
        </is>
      </c>
      <c r="E291" t="inlineStr">
        <is>
          <t>Vodacom Life 20260603</t>
        </is>
      </c>
      <c r="J291" t="inlineStr">
        <is>
          <t>NA</t>
        </is>
      </c>
      <c r="K291" t="inlineStr">
        <is>
          <t>No Answer Autodial</t>
        </is>
      </c>
      <c r="L291" t="n">
        <v>7</v>
      </c>
      <c r="M291" t="inlineStr">
        <is>
          <t>2026-06-15 07:02:17</t>
        </is>
      </c>
      <c r="N291" t="inlineStr">
        <is>
          <t>system</t>
        </is>
      </c>
      <c r="O291" t="inlineStr">
        <is>
          <t>2026-06-08 05:25:27</t>
        </is>
      </c>
      <c r="P291" t="inlineStr">
        <is>
          <t>2026-06-08 05:25:27</t>
        </is>
      </c>
      <c r="Y291" t="inlineStr">
        <is>
          <t>27792436478</t>
        </is>
      </c>
    </row>
    <row r="292">
      <c r="A292" t="inlineStr">
        <is>
          <t>14828366</t>
        </is>
      </c>
      <c r="B292" t="inlineStr">
        <is>
          <t>bfef1f30-f51d-4748-989b-7c0620acac27</t>
        </is>
      </c>
      <c r="D292" t="inlineStr">
        <is>
          <t>111111123</t>
        </is>
      </c>
      <c r="E292" t="inlineStr">
        <is>
          <t>Vodacom Life 20260603</t>
        </is>
      </c>
      <c r="J292" t="inlineStr">
        <is>
          <t>CU</t>
        </is>
      </c>
      <c r="K292" t="inlineStr">
        <is>
          <t>Client Hung Up</t>
        </is>
      </c>
      <c r="L292" t="n">
        <v>7</v>
      </c>
      <c r="M292" t="inlineStr">
        <is>
          <t>2026-06-15 07:02:14</t>
        </is>
      </c>
      <c r="N292" t="inlineStr">
        <is>
          <t>Maureen Ntsoko</t>
        </is>
      </c>
      <c r="O292" t="inlineStr">
        <is>
          <t>2026-06-08 05:25:27</t>
        </is>
      </c>
      <c r="P292" t="inlineStr">
        <is>
          <t>2026-06-08 05:25:27</t>
        </is>
      </c>
      <c r="Y292" t="inlineStr">
        <is>
          <t>27716147220</t>
        </is>
      </c>
    </row>
    <row r="293">
      <c r="A293" t="inlineStr">
        <is>
          <t>14828391</t>
        </is>
      </c>
      <c r="B293" t="inlineStr">
        <is>
          <t>16a1cbe8-27c1-4bad-85fd-65a523104f4f</t>
        </is>
      </c>
      <c r="D293" t="inlineStr">
        <is>
          <t>111111123</t>
        </is>
      </c>
      <c r="E293" t="inlineStr">
        <is>
          <t>Vodacom Life 20260603</t>
        </is>
      </c>
      <c r="J293" t="inlineStr">
        <is>
          <t>AE</t>
        </is>
      </c>
      <c r="K293" t="inlineStr">
        <is>
          <t>Auto Engaged</t>
        </is>
      </c>
      <c r="L293" t="n">
        <v>7</v>
      </c>
      <c r="M293" t="inlineStr">
        <is>
          <t>2026-06-15 07:02:14</t>
        </is>
      </c>
      <c r="N293" t="inlineStr">
        <is>
          <t>system</t>
        </is>
      </c>
      <c r="O293" t="inlineStr">
        <is>
          <t>2026-06-08 05:25:27</t>
        </is>
      </c>
      <c r="P293" t="inlineStr">
        <is>
          <t>2026-06-08 05:25:27</t>
        </is>
      </c>
      <c r="Y293" t="inlineStr">
        <is>
          <t>27727023785</t>
        </is>
      </c>
    </row>
    <row r="294">
      <c r="A294" t="inlineStr">
        <is>
          <t>14828413</t>
        </is>
      </c>
      <c r="B294" t="inlineStr">
        <is>
          <t>e18f0c4c-49bf-4a5b-8d21-72e9ddded397</t>
        </is>
      </c>
      <c r="D294" t="inlineStr">
        <is>
          <t>111111123</t>
        </is>
      </c>
      <c r="E294" t="inlineStr">
        <is>
          <t>Vodacom Life 20260603</t>
        </is>
      </c>
      <c r="H294" t="inlineStr">
        <is>
          <t>27825596533</t>
        </is>
      </c>
      <c r="J294" t="inlineStr">
        <is>
          <t>DROP</t>
        </is>
      </c>
      <c r="K294" t="inlineStr">
        <is>
          <t>Dropped</t>
        </is>
      </c>
      <c r="L294" t="n">
        <v>7</v>
      </c>
      <c r="M294" t="inlineStr">
        <is>
          <t>2026-06-15 07:02:14</t>
        </is>
      </c>
      <c r="N294" t="inlineStr">
        <is>
          <t>system</t>
        </is>
      </c>
      <c r="O294" t="inlineStr">
        <is>
          <t>2026-06-08 05:25:27</t>
        </is>
      </c>
      <c r="P294" t="inlineStr">
        <is>
          <t>2026-06-08 05:25:27</t>
        </is>
      </c>
      <c r="Y294" t="inlineStr">
        <is>
          <t>27825596533</t>
        </is>
      </c>
    </row>
    <row r="295">
      <c r="A295" t="inlineStr">
        <is>
          <t>14828359</t>
        </is>
      </c>
      <c r="B295" t="inlineStr">
        <is>
          <t>dc9c8120-7da6-4687-854b-091f08f4d72b</t>
        </is>
      </c>
      <c r="D295" t="inlineStr">
        <is>
          <t>111111123</t>
        </is>
      </c>
      <c r="E295" t="inlineStr">
        <is>
          <t>Vodacom Life 20260603</t>
        </is>
      </c>
      <c r="H295" t="inlineStr">
        <is>
          <t>27795592657</t>
        </is>
      </c>
      <c r="J295" t="inlineStr">
        <is>
          <t>IABDN</t>
        </is>
      </c>
      <c r="K295" t="inlineStr">
        <is>
          <t>Inbound Abandon</t>
        </is>
      </c>
      <c r="L295" t="n">
        <v>7</v>
      </c>
      <c r="M295" t="inlineStr">
        <is>
          <t>2026-06-15 07:01:59</t>
        </is>
      </c>
      <c r="N295" t="inlineStr">
        <is>
          <t>system</t>
        </is>
      </c>
      <c r="O295" t="inlineStr">
        <is>
          <t>2026-06-08 05:25:27</t>
        </is>
      </c>
      <c r="P295" t="inlineStr">
        <is>
          <t>2026-06-08 05:25:27</t>
        </is>
      </c>
      <c r="Y295" t="inlineStr">
        <is>
          <t>27795592657</t>
        </is>
      </c>
    </row>
    <row r="296">
      <c r="A296" t="inlineStr">
        <is>
          <t>14828441</t>
        </is>
      </c>
      <c r="B296" t="inlineStr">
        <is>
          <t>7b1f2de2-7aae-486c-8777-7c9a446311ed</t>
        </is>
      </c>
      <c r="D296" t="inlineStr">
        <is>
          <t>111111123</t>
        </is>
      </c>
      <c r="E296" t="inlineStr">
        <is>
          <t>Vodacom Life 20260603</t>
        </is>
      </c>
      <c r="J296" t="inlineStr">
        <is>
          <t>NA</t>
        </is>
      </c>
      <c r="K296" t="inlineStr">
        <is>
          <t>No Answer Autodial</t>
        </is>
      </c>
      <c r="L296" t="n">
        <v>7</v>
      </c>
      <c r="M296" t="inlineStr">
        <is>
          <t>2026-06-15 07:00:49</t>
        </is>
      </c>
      <c r="N296" t="inlineStr">
        <is>
          <t>system</t>
        </is>
      </c>
      <c r="O296" t="inlineStr">
        <is>
          <t>2026-06-08 05:25:27</t>
        </is>
      </c>
      <c r="P296" t="inlineStr">
        <is>
          <t>2026-06-08 05:25:27</t>
        </is>
      </c>
      <c r="Y296" t="inlineStr">
        <is>
          <t>27721896730</t>
        </is>
      </c>
    </row>
    <row r="297">
      <c r="A297" t="inlineStr">
        <is>
          <t>14828341</t>
        </is>
      </c>
      <c r="B297" t="inlineStr">
        <is>
          <t>cae521dc-5614-4159-b44a-4f223970538b</t>
        </is>
      </c>
      <c r="D297" t="inlineStr">
        <is>
          <t>111111123</t>
        </is>
      </c>
      <c r="E297" t="inlineStr">
        <is>
          <t>Vodacom Life 20260603</t>
        </is>
      </c>
      <c r="J297" t="inlineStr">
        <is>
          <t>AE</t>
        </is>
      </c>
      <c r="K297" t="inlineStr">
        <is>
          <t>Auto Engaged</t>
        </is>
      </c>
      <c r="L297" t="n">
        <v>7</v>
      </c>
      <c r="M297" t="inlineStr">
        <is>
          <t>2026-06-15 07:00:46</t>
        </is>
      </c>
      <c r="N297" t="inlineStr">
        <is>
          <t>system</t>
        </is>
      </c>
      <c r="O297" t="inlineStr">
        <is>
          <t>2026-06-08 05:25:27</t>
        </is>
      </c>
      <c r="P297" t="inlineStr">
        <is>
          <t>2026-06-08 05:25:27</t>
        </is>
      </c>
      <c r="Y297" t="inlineStr">
        <is>
          <t>27792162349</t>
        </is>
      </c>
    </row>
    <row r="298">
      <c r="A298" t="inlineStr">
        <is>
          <t>14828342</t>
        </is>
      </c>
      <c r="B298" t="inlineStr">
        <is>
          <t>7805ca6c-d87d-4eab-b5a7-b5a10d95c3ff</t>
        </is>
      </c>
      <c r="D298" t="inlineStr">
        <is>
          <t>111111123</t>
        </is>
      </c>
      <c r="E298" t="inlineStr">
        <is>
          <t>Vodacom Life 20260603</t>
        </is>
      </c>
      <c r="J298" t="inlineStr">
        <is>
          <t>AE</t>
        </is>
      </c>
      <c r="K298" t="inlineStr">
        <is>
          <t>Auto Engaged</t>
        </is>
      </c>
      <c r="L298" t="n">
        <v>7</v>
      </c>
      <c r="M298" t="inlineStr">
        <is>
          <t>2026-06-15 07:00:40</t>
        </is>
      </c>
      <c r="N298" t="inlineStr">
        <is>
          <t>system</t>
        </is>
      </c>
      <c r="O298" t="inlineStr">
        <is>
          <t>2026-06-08 05:25:27</t>
        </is>
      </c>
      <c r="P298" t="inlineStr">
        <is>
          <t>2026-06-08 05:25:27</t>
        </is>
      </c>
      <c r="Y298" t="inlineStr">
        <is>
          <t>27636531643</t>
        </is>
      </c>
    </row>
    <row r="299">
      <c r="A299" t="inlineStr">
        <is>
          <t>14828343</t>
        </is>
      </c>
      <c r="B299" t="inlineStr">
        <is>
          <t>4bbd7175-6840-4da8-b007-5cfe9f664c87</t>
        </is>
      </c>
      <c r="D299" t="inlineStr">
        <is>
          <t>111111123</t>
        </is>
      </c>
      <c r="E299" t="inlineStr">
        <is>
          <t>Vodacom Life 20260603</t>
        </is>
      </c>
      <c r="J299" t="inlineStr">
        <is>
          <t>NI</t>
        </is>
      </c>
      <c r="K299" t="inlineStr">
        <is>
          <t>Not Interested</t>
        </is>
      </c>
      <c r="L299" t="n">
        <v>7</v>
      </c>
      <c r="M299" t="inlineStr">
        <is>
          <t>2026-06-15 07:00:26</t>
        </is>
      </c>
      <c r="N299" t="inlineStr">
        <is>
          <t>Maureen Ntsoko</t>
        </is>
      </c>
      <c r="O299" t="inlineStr">
        <is>
          <t>2026-06-08 05:25:27</t>
        </is>
      </c>
      <c r="P299" t="inlineStr">
        <is>
          <t>2026-06-08 05:25:27</t>
        </is>
      </c>
      <c r="Y299" t="inlineStr">
        <is>
          <t>27720736435</t>
        </is>
      </c>
    </row>
    <row r="300">
      <c r="A300" t="inlineStr">
        <is>
          <t>14827646</t>
        </is>
      </c>
      <c r="B300" t="inlineStr">
        <is>
          <t>6fca127e-f65c-4740-a4d7-1f9d275e251a</t>
        </is>
      </c>
      <c r="D300" t="inlineStr">
        <is>
          <t>111111123</t>
        </is>
      </c>
      <c r="E300" t="inlineStr">
        <is>
          <t>Vodacom Life 20260603</t>
        </is>
      </c>
      <c r="H300" t="inlineStr">
        <is>
          <t>27767117320</t>
        </is>
      </c>
      <c r="J300" t="inlineStr">
        <is>
          <t>AC</t>
        </is>
      </c>
      <c r="K300" t="inlineStr">
        <is>
          <t>Already Contacted</t>
        </is>
      </c>
      <c r="L300" t="n">
        <v>7</v>
      </c>
      <c r="M300" t="inlineStr">
        <is>
          <t>2026-06-15 06:59:53</t>
        </is>
      </c>
      <c r="N300" t="inlineStr">
        <is>
          <t>Maureen Ntsoko</t>
        </is>
      </c>
      <c r="O300" t="inlineStr">
        <is>
          <t>2026-06-08 05:25:27</t>
        </is>
      </c>
      <c r="P300" t="inlineStr">
        <is>
          <t>2026-06-08 05:25:27</t>
        </is>
      </c>
      <c r="Y300" t="inlineStr">
        <is>
          <t>27767117320</t>
        </is>
      </c>
    </row>
    <row r="301">
      <c r="A301" t="inlineStr">
        <is>
          <t>14828075</t>
        </is>
      </c>
      <c r="B301" t="inlineStr">
        <is>
          <t>e1fccd53-44cb-4c33-b649-1f35fd81f57f</t>
        </is>
      </c>
      <c r="D301" t="inlineStr">
        <is>
          <t>111111123</t>
        </is>
      </c>
      <c r="E301" t="inlineStr">
        <is>
          <t>Vodacom Life 20260603</t>
        </is>
      </c>
      <c r="J301" t="inlineStr">
        <is>
          <t>NA</t>
        </is>
      </c>
      <c r="K301" t="inlineStr">
        <is>
          <t>No Answer Autodial</t>
        </is>
      </c>
      <c r="L301" t="n">
        <v>7</v>
      </c>
      <c r="M301" t="inlineStr">
        <is>
          <t>2026-06-15 06:59:49</t>
        </is>
      </c>
      <c r="N301" t="inlineStr">
        <is>
          <t>system</t>
        </is>
      </c>
      <c r="O301" t="inlineStr">
        <is>
          <t>2026-06-08 05:25:27</t>
        </is>
      </c>
      <c r="P301" t="inlineStr">
        <is>
          <t>2026-06-08 05:25:27</t>
        </is>
      </c>
      <c r="Y301" t="inlineStr">
        <is>
          <t>27764832393</t>
        </is>
      </c>
    </row>
    <row r="302">
      <c r="A302" t="inlineStr">
        <is>
          <t>14828407</t>
        </is>
      </c>
      <c r="B302" t="inlineStr">
        <is>
          <t>21c14495-bb51-4304-92df-3fc4c2b37b0b</t>
        </is>
      </c>
      <c r="D302" t="inlineStr">
        <is>
          <t>111111123</t>
        </is>
      </c>
      <c r="E302" t="inlineStr">
        <is>
          <t>Vodacom Life 20260603</t>
        </is>
      </c>
      <c r="J302" t="inlineStr">
        <is>
          <t>NA</t>
        </is>
      </c>
      <c r="K302" t="inlineStr">
        <is>
          <t>No Answer Autodial</t>
        </is>
      </c>
      <c r="L302" t="n">
        <v>7</v>
      </c>
      <c r="M302" t="inlineStr">
        <is>
          <t>2026-06-15 06:59:49</t>
        </is>
      </c>
      <c r="N302" t="inlineStr">
        <is>
          <t>system</t>
        </is>
      </c>
      <c r="O302" t="inlineStr">
        <is>
          <t>2026-06-08 05:25:27</t>
        </is>
      </c>
      <c r="P302" t="inlineStr">
        <is>
          <t>2026-06-08 05:25:27</t>
        </is>
      </c>
      <c r="Y302" t="inlineStr">
        <is>
          <t>27721017392</t>
        </is>
      </c>
    </row>
    <row r="303">
      <c r="A303" t="inlineStr">
        <is>
          <t>14827637</t>
        </is>
      </c>
      <c r="B303" t="inlineStr">
        <is>
          <t>cdcdd09b-37d4-454a-ae47-b7cf639d4af5</t>
        </is>
      </c>
      <c r="D303" t="inlineStr">
        <is>
          <t>111111123</t>
        </is>
      </c>
      <c r="E303" t="inlineStr">
        <is>
          <t>Vodacom Life 20260603</t>
        </is>
      </c>
      <c r="J303" t="inlineStr">
        <is>
          <t>DROP</t>
        </is>
      </c>
      <c r="K303" t="inlineStr">
        <is>
          <t>Dropped</t>
        </is>
      </c>
      <c r="L303" t="n">
        <v>7</v>
      </c>
      <c r="M303" t="inlineStr">
        <is>
          <t>2026-06-15 06:59:49</t>
        </is>
      </c>
      <c r="N303" t="inlineStr">
        <is>
          <t>system</t>
        </is>
      </c>
      <c r="O303" t="inlineStr">
        <is>
          <t>2026-06-08 05:25:27</t>
        </is>
      </c>
      <c r="P303" t="inlineStr">
        <is>
          <t>2026-06-08 05:25:27</t>
        </is>
      </c>
      <c r="Y303" t="inlineStr">
        <is>
          <t>27647823121</t>
        </is>
      </c>
    </row>
    <row r="304">
      <c r="A304" t="inlineStr">
        <is>
          <t>14828354</t>
        </is>
      </c>
      <c r="B304" t="inlineStr">
        <is>
          <t>8753f864-b562-4cd5-89c5-39d628469bc6</t>
        </is>
      </c>
      <c r="D304" t="inlineStr">
        <is>
          <t>111111123</t>
        </is>
      </c>
      <c r="E304" t="inlineStr">
        <is>
          <t>Vodacom Life 20260603</t>
        </is>
      </c>
      <c r="J304" t="inlineStr">
        <is>
          <t>DROP</t>
        </is>
      </c>
      <c r="K304" t="inlineStr">
        <is>
          <t>Dropped</t>
        </is>
      </c>
      <c r="L304" t="n">
        <v>7</v>
      </c>
      <c r="M304" t="inlineStr">
        <is>
          <t>2026-06-15 06:59:26</t>
        </is>
      </c>
      <c r="N304" t="inlineStr">
        <is>
          <t>system</t>
        </is>
      </c>
      <c r="O304" t="inlineStr">
        <is>
          <t>2026-06-08 05:25:27</t>
        </is>
      </c>
      <c r="P304" t="inlineStr">
        <is>
          <t>2026-06-08 05:25:27</t>
        </is>
      </c>
      <c r="Y304" t="inlineStr">
        <is>
          <t>27674317605</t>
        </is>
      </c>
    </row>
    <row r="305">
      <c r="A305" t="inlineStr">
        <is>
          <t>14828317</t>
        </is>
      </c>
      <c r="B305" t="inlineStr">
        <is>
          <t>fb13e2f0-e576-4507-8661-350aae435452</t>
        </is>
      </c>
      <c r="D305" t="inlineStr">
        <is>
          <t>111111123</t>
        </is>
      </c>
      <c r="E305" t="inlineStr">
        <is>
          <t>Vodacom Life 20260603</t>
        </is>
      </c>
      <c r="H305" t="inlineStr">
        <is>
          <t>27661032768</t>
        </is>
      </c>
      <c r="J305" t="inlineStr">
        <is>
          <t>NA</t>
        </is>
      </c>
      <c r="K305" t="inlineStr">
        <is>
          <t>No Answer Autodial</t>
        </is>
      </c>
      <c r="L305" t="n">
        <v>7</v>
      </c>
      <c r="M305" t="inlineStr">
        <is>
          <t>2026-06-15 06:59:11</t>
        </is>
      </c>
      <c r="N305" t="inlineStr">
        <is>
          <t>system</t>
        </is>
      </c>
      <c r="O305" t="inlineStr">
        <is>
          <t>2026-06-08 05:25:27</t>
        </is>
      </c>
      <c r="P305" t="inlineStr">
        <is>
          <t>2026-06-08 05:25:27</t>
        </is>
      </c>
      <c r="Y305" t="inlineStr">
        <is>
          <t>27661032768</t>
        </is>
      </c>
    </row>
    <row r="306">
      <c r="A306" t="inlineStr">
        <is>
          <t>14828318</t>
        </is>
      </c>
      <c r="B306" t="inlineStr">
        <is>
          <t>850bb676-dd3b-468e-a17b-ff2255dd73d1</t>
        </is>
      </c>
      <c r="D306" t="inlineStr">
        <is>
          <t>111111123</t>
        </is>
      </c>
      <c r="E306" t="inlineStr">
        <is>
          <t>Vodacom Life 20260603</t>
        </is>
      </c>
      <c r="J306" t="inlineStr">
        <is>
          <t>CU</t>
        </is>
      </c>
      <c r="K306" t="inlineStr">
        <is>
          <t>Client Hung Up</t>
        </is>
      </c>
      <c r="L306" t="n">
        <v>7</v>
      </c>
      <c r="M306" t="inlineStr">
        <is>
          <t>2026-06-15 06:59:11</t>
        </is>
      </c>
      <c r="N306" t="inlineStr">
        <is>
          <t>Maureen Ntsoko</t>
        </is>
      </c>
      <c r="O306" t="inlineStr">
        <is>
          <t>2026-06-08 05:25:27</t>
        </is>
      </c>
      <c r="P306" t="inlineStr">
        <is>
          <t>2026-06-08 05:25:27</t>
        </is>
      </c>
      <c r="Y306" t="inlineStr">
        <is>
          <t>27798087175</t>
        </is>
      </c>
    </row>
    <row r="307">
      <c r="A307" t="inlineStr">
        <is>
          <t>14828425</t>
        </is>
      </c>
      <c r="B307" t="inlineStr">
        <is>
          <t>933345cd-3b93-4b05-ad38-2de228490fff</t>
        </is>
      </c>
      <c r="D307" t="inlineStr">
        <is>
          <t>111111123</t>
        </is>
      </c>
      <c r="E307" t="inlineStr">
        <is>
          <t>Vodacom Life 20260603</t>
        </is>
      </c>
      <c r="J307" t="inlineStr">
        <is>
          <t>AE</t>
        </is>
      </c>
      <c r="K307" t="inlineStr">
        <is>
          <t>Auto Engaged</t>
        </is>
      </c>
      <c r="L307" t="n">
        <v>7</v>
      </c>
      <c r="M307" t="inlineStr">
        <is>
          <t>2026-06-15 06:59:10</t>
        </is>
      </c>
      <c r="N307" t="inlineStr">
        <is>
          <t>system</t>
        </is>
      </c>
      <c r="O307" t="inlineStr">
        <is>
          <t>2026-06-08 05:25:27</t>
        </is>
      </c>
      <c r="P307" t="inlineStr">
        <is>
          <t>2026-06-08 05:25:27</t>
        </is>
      </c>
      <c r="Y307" t="inlineStr">
        <is>
          <t>27721574388</t>
        </is>
      </c>
    </row>
    <row r="308">
      <c r="A308" t="inlineStr">
        <is>
          <t>14828351</t>
        </is>
      </c>
      <c r="B308" t="inlineStr">
        <is>
          <t>b4ba8076-2320-4b90-8dd2-5b07578a36c7</t>
        </is>
      </c>
      <c r="D308" t="inlineStr">
        <is>
          <t>111111123</t>
        </is>
      </c>
      <c r="E308" t="inlineStr">
        <is>
          <t>Vodacom Life 20260603</t>
        </is>
      </c>
      <c r="J308" t="inlineStr">
        <is>
          <t>AA</t>
        </is>
      </c>
      <c r="K308" t="inlineStr">
        <is>
          <t>Answering Machine Autodial</t>
        </is>
      </c>
      <c r="L308" t="n">
        <v>7</v>
      </c>
      <c r="M308" t="inlineStr">
        <is>
          <t>2026-06-15 06:58:19</t>
        </is>
      </c>
      <c r="N308" t="inlineStr">
        <is>
          <t>system</t>
        </is>
      </c>
      <c r="O308" t="inlineStr">
        <is>
          <t>2026-06-08 05:25:27</t>
        </is>
      </c>
      <c r="P308" t="inlineStr">
        <is>
          <t>2026-06-08 05:25:27</t>
        </is>
      </c>
      <c r="Y308" t="inlineStr">
        <is>
          <t>27766037295</t>
        </is>
      </c>
    </row>
    <row r="309">
      <c r="A309" t="inlineStr">
        <is>
          <t>14828381</t>
        </is>
      </c>
      <c r="B309" t="inlineStr">
        <is>
          <t>b06b437d-93df-4e9b-96c8-868293d0c56b</t>
        </is>
      </c>
      <c r="D309" t="inlineStr">
        <is>
          <t>111111123</t>
        </is>
      </c>
      <c r="E309" t="inlineStr">
        <is>
          <t>Vodacom Life 20260603</t>
        </is>
      </c>
      <c r="J309" t="inlineStr">
        <is>
          <t>AA</t>
        </is>
      </c>
      <c r="K309" t="inlineStr">
        <is>
          <t>Answering Machine Autodial</t>
        </is>
      </c>
      <c r="L309" t="n">
        <v>7</v>
      </c>
      <c r="M309" t="inlineStr">
        <is>
          <t>2026-06-15 06:58:19</t>
        </is>
      </c>
      <c r="N309" t="inlineStr">
        <is>
          <t>system</t>
        </is>
      </c>
      <c r="O309" t="inlineStr">
        <is>
          <t>2026-06-08 05:25:27</t>
        </is>
      </c>
      <c r="P309" t="inlineStr">
        <is>
          <t>2026-06-08 05:25:27</t>
        </is>
      </c>
      <c r="Y309" t="inlineStr">
        <is>
          <t>27636673381</t>
        </is>
      </c>
    </row>
    <row r="310">
      <c r="A310" t="inlineStr">
        <is>
          <t>14828335</t>
        </is>
      </c>
      <c r="B310" t="inlineStr">
        <is>
          <t>78a71d9a-ca4d-4921-9de8-2e4c3770b1f6</t>
        </is>
      </c>
      <c r="D310" t="inlineStr">
        <is>
          <t>111111123</t>
        </is>
      </c>
      <c r="E310" t="inlineStr">
        <is>
          <t>Vodacom Life 20260603</t>
        </is>
      </c>
      <c r="J310" t="inlineStr">
        <is>
          <t>AA</t>
        </is>
      </c>
      <c r="K310" t="inlineStr">
        <is>
          <t>Answering Machine Autodial</t>
        </is>
      </c>
      <c r="L310" t="n">
        <v>7</v>
      </c>
      <c r="M310" t="inlineStr">
        <is>
          <t>2026-06-15 06:58:11</t>
        </is>
      </c>
      <c r="N310" t="inlineStr">
        <is>
          <t>system</t>
        </is>
      </c>
      <c r="O310" t="inlineStr">
        <is>
          <t>2026-06-08 05:25:27</t>
        </is>
      </c>
      <c r="P310" t="inlineStr">
        <is>
          <t>2026-06-08 05:25:27</t>
        </is>
      </c>
      <c r="Y310" t="inlineStr">
        <is>
          <t>27764155726</t>
        </is>
      </c>
    </row>
    <row r="311">
      <c r="A311" t="inlineStr">
        <is>
          <t>14828387</t>
        </is>
      </c>
      <c r="B311" t="inlineStr">
        <is>
          <t>91faa7a2-eb53-4d72-a0bc-cef0c1088a5d</t>
        </is>
      </c>
      <c r="D311" t="inlineStr">
        <is>
          <t>111111123</t>
        </is>
      </c>
      <c r="E311" t="inlineStr">
        <is>
          <t>Vodacom Life 20260603</t>
        </is>
      </c>
      <c r="J311" t="inlineStr">
        <is>
          <t>NA</t>
        </is>
      </c>
      <c r="K311" t="inlineStr">
        <is>
          <t>No Answer Autodial</t>
        </is>
      </c>
      <c r="L311" t="n">
        <v>7</v>
      </c>
      <c r="M311" t="inlineStr">
        <is>
          <t>2026-06-15 06:58:11</t>
        </is>
      </c>
      <c r="N311" t="inlineStr">
        <is>
          <t>system</t>
        </is>
      </c>
      <c r="O311" t="inlineStr">
        <is>
          <t>2026-06-08 05:25:27</t>
        </is>
      </c>
      <c r="P311" t="inlineStr">
        <is>
          <t>2026-06-08 05:25:27</t>
        </is>
      </c>
      <c r="Y311" t="inlineStr">
        <is>
          <t>27608315995</t>
        </is>
      </c>
    </row>
    <row r="312">
      <c r="A312" t="inlineStr">
        <is>
          <t>14828397</t>
        </is>
      </c>
      <c r="B312" t="inlineStr">
        <is>
          <t>8318459c-2ccb-4ce2-802b-7d2df6ac94bc</t>
        </is>
      </c>
      <c r="D312" t="inlineStr">
        <is>
          <t>111111123</t>
        </is>
      </c>
      <c r="E312" t="inlineStr">
        <is>
          <t>Vodacom Life 20260603</t>
        </is>
      </c>
      <c r="J312" t="inlineStr">
        <is>
          <t>AA</t>
        </is>
      </c>
      <c r="K312" t="inlineStr">
        <is>
          <t>Answering Machine Autodial</t>
        </is>
      </c>
      <c r="L312" t="n">
        <v>7</v>
      </c>
      <c r="M312" t="inlineStr">
        <is>
          <t>2026-06-15 06:58:11</t>
        </is>
      </c>
      <c r="N312" t="inlineStr">
        <is>
          <t>system</t>
        </is>
      </c>
      <c r="O312" t="inlineStr">
        <is>
          <t>2026-06-08 05:25:27</t>
        </is>
      </c>
      <c r="P312" t="inlineStr">
        <is>
          <t>2026-06-08 05:25:27</t>
        </is>
      </c>
      <c r="Y312" t="inlineStr">
        <is>
          <t>27797324508</t>
        </is>
      </c>
    </row>
    <row r="313">
      <c r="A313" t="inlineStr">
        <is>
          <t>14828062</t>
        </is>
      </c>
      <c r="B313" t="inlineStr">
        <is>
          <t>3a3f27dc-f07e-4d12-894d-2c1186a39576</t>
        </is>
      </c>
      <c r="D313" t="inlineStr">
        <is>
          <t>111111123</t>
        </is>
      </c>
      <c r="E313" t="inlineStr">
        <is>
          <t>Vodacom Life 20260603</t>
        </is>
      </c>
      <c r="J313" t="inlineStr">
        <is>
          <t>NA</t>
        </is>
      </c>
      <c r="K313" t="inlineStr">
        <is>
          <t>No Answer Autodial</t>
        </is>
      </c>
      <c r="L313" t="n">
        <v>7</v>
      </c>
      <c r="M313" t="inlineStr">
        <is>
          <t>2026-06-15 06:57:19</t>
        </is>
      </c>
      <c r="N313" t="inlineStr">
        <is>
          <t>system</t>
        </is>
      </c>
      <c r="O313" t="inlineStr">
        <is>
          <t>2026-06-08 05:25:27</t>
        </is>
      </c>
      <c r="P313" t="inlineStr">
        <is>
          <t>2026-06-08 05:25:27</t>
        </is>
      </c>
      <c r="Y313" t="inlineStr">
        <is>
          <t>27665408533</t>
        </is>
      </c>
    </row>
    <row r="314">
      <c r="A314" t="inlineStr">
        <is>
          <t>14828533</t>
        </is>
      </c>
      <c r="B314" t="inlineStr">
        <is>
          <t>aa16172f-c20a-4c55-9bd1-44a9e9eb995e</t>
        </is>
      </c>
      <c r="D314" t="inlineStr">
        <is>
          <t>111111123</t>
        </is>
      </c>
      <c r="E314" t="inlineStr">
        <is>
          <t>Vodacom Life 20260603</t>
        </is>
      </c>
      <c r="J314" t="inlineStr">
        <is>
          <t>AE</t>
        </is>
      </c>
      <c r="K314" t="inlineStr">
        <is>
          <t>Auto Engaged</t>
        </is>
      </c>
      <c r="L314" t="n">
        <v>7</v>
      </c>
      <c r="M314" t="inlineStr">
        <is>
          <t>2026-06-15 06:57:16</t>
        </is>
      </c>
      <c r="N314" t="inlineStr">
        <is>
          <t>system</t>
        </is>
      </c>
      <c r="O314" t="inlineStr">
        <is>
          <t>2026-06-08 05:25:27</t>
        </is>
      </c>
      <c r="P314" t="inlineStr">
        <is>
          <t>2026-06-08 05:25:27</t>
        </is>
      </c>
      <c r="Y314" t="inlineStr">
        <is>
          <t>27768499141</t>
        </is>
      </c>
    </row>
    <row r="315">
      <c r="A315" t="inlineStr">
        <is>
          <t>14828433</t>
        </is>
      </c>
      <c r="B315" t="inlineStr">
        <is>
          <t>b95a1793-e68a-4384-bb26-ade7841c4468</t>
        </is>
      </c>
      <c r="D315" t="inlineStr">
        <is>
          <t>111111123</t>
        </is>
      </c>
      <c r="E315" t="inlineStr">
        <is>
          <t>Vodacom Life 20260603</t>
        </is>
      </c>
      <c r="J315" t="inlineStr">
        <is>
          <t>CBACK</t>
        </is>
      </c>
      <c r="K315" t="inlineStr">
        <is>
          <t>Callback</t>
        </is>
      </c>
      <c r="L315" t="n">
        <v>7</v>
      </c>
      <c r="M315" t="inlineStr">
        <is>
          <t>2026-06-15 06:57:14</t>
        </is>
      </c>
      <c r="N315" t="inlineStr">
        <is>
          <t>Maureen Ntsoko</t>
        </is>
      </c>
      <c r="O315" t="inlineStr">
        <is>
          <t>2026-06-08 05:25:27</t>
        </is>
      </c>
      <c r="P315" t="inlineStr">
        <is>
          <t>2026-06-08 05:25:27</t>
        </is>
      </c>
      <c r="Y315" t="inlineStr">
        <is>
          <t>27715229892</t>
        </is>
      </c>
    </row>
    <row r="316">
      <c r="A316" t="inlineStr">
        <is>
          <t>14828361</t>
        </is>
      </c>
      <c r="B316" t="inlineStr">
        <is>
          <t>3cdb9b9a-3bcf-4d90-9b87-d7081eda1cb1</t>
        </is>
      </c>
      <c r="D316" t="inlineStr">
        <is>
          <t>111111123</t>
        </is>
      </c>
      <c r="E316" t="inlineStr">
        <is>
          <t>Vodacom Life 20260603</t>
        </is>
      </c>
      <c r="H316" t="inlineStr">
        <is>
          <t>27714580584</t>
        </is>
      </c>
      <c r="J316" t="inlineStr">
        <is>
          <t>AE</t>
        </is>
      </c>
      <c r="K316" t="inlineStr">
        <is>
          <t>Auto Engaged</t>
        </is>
      </c>
      <c r="L316" t="n">
        <v>7</v>
      </c>
      <c r="M316" t="inlineStr">
        <is>
          <t>2026-06-15 06:57:13</t>
        </is>
      </c>
      <c r="N316" t="inlineStr">
        <is>
          <t>system</t>
        </is>
      </c>
      <c r="O316" t="inlineStr">
        <is>
          <t>2026-06-08 05:25:27</t>
        </is>
      </c>
      <c r="P316" t="inlineStr">
        <is>
          <t>2026-06-08 05:25:27</t>
        </is>
      </c>
      <c r="Y316" t="inlineStr">
        <is>
          <t>27714580584</t>
        </is>
      </c>
    </row>
    <row r="317">
      <c r="A317" t="inlineStr">
        <is>
          <t>14827584</t>
        </is>
      </c>
      <c r="B317" t="inlineStr">
        <is>
          <t>85bc5271-05d7-49f3-b04d-8a1a6d6ed3bd</t>
        </is>
      </c>
      <c r="D317" t="inlineStr">
        <is>
          <t>111111123</t>
        </is>
      </c>
      <c r="E317" t="inlineStr">
        <is>
          <t>Vodacom Life 20260603</t>
        </is>
      </c>
      <c r="J317" t="inlineStr">
        <is>
          <t>NA</t>
        </is>
      </c>
      <c r="K317" t="inlineStr">
        <is>
          <t>No Answer Autodial</t>
        </is>
      </c>
      <c r="L317" t="n">
        <v>7</v>
      </c>
      <c r="M317" t="inlineStr">
        <is>
          <t>2026-06-15 06:56:31</t>
        </is>
      </c>
      <c r="N317" t="inlineStr">
        <is>
          <t>system</t>
        </is>
      </c>
      <c r="O317" t="inlineStr">
        <is>
          <t>2026-06-08 05:25:27</t>
        </is>
      </c>
      <c r="P317" t="inlineStr">
        <is>
          <t>2026-06-08 05:25:27</t>
        </is>
      </c>
      <c r="Y317" t="inlineStr">
        <is>
          <t>27798507928</t>
        </is>
      </c>
    </row>
    <row r="318">
      <c r="A318" t="inlineStr">
        <is>
          <t>14828411</t>
        </is>
      </c>
      <c r="B318" t="inlineStr">
        <is>
          <t>1f3006ea-b13e-4a94-94bc-f638c3f68454</t>
        </is>
      </c>
      <c r="D318" t="inlineStr">
        <is>
          <t>111111123</t>
        </is>
      </c>
      <c r="E318" t="inlineStr">
        <is>
          <t>Vodacom Life 20260603</t>
        </is>
      </c>
      <c r="J318" t="inlineStr">
        <is>
          <t>DROP</t>
        </is>
      </c>
      <c r="K318" t="inlineStr">
        <is>
          <t>Dropped</t>
        </is>
      </c>
      <c r="L318" t="n">
        <v>7</v>
      </c>
      <c r="M318" t="inlineStr">
        <is>
          <t>2026-06-15 06:56:18</t>
        </is>
      </c>
      <c r="N318" t="inlineStr">
        <is>
          <t>system</t>
        </is>
      </c>
      <c r="O318" t="inlineStr">
        <is>
          <t>2026-06-08 05:25:27</t>
        </is>
      </c>
      <c r="P318" t="inlineStr">
        <is>
          <t>2026-06-08 05:25:27</t>
        </is>
      </c>
      <c r="Y318" t="inlineStr">
        <is>
          <t>27768982428</t>
        </is>
      </c>
    </row>
    <row r="319">
      <c r="A319" t="inlineStr">
        <is>
          <t>14828356</t>
        </is>
      </c>
      <c r="B319" t="inlineStr">
        <is>
          <t>cd631eae-afa1-4adc-a5cd-d5f19c346560</t>
        </is>
      </c>
      <c r="D319" t="inlineStr">
        <is>
          <t>111111123</t>
        </is>
      </c>
      <c r="E319" t="inlineStr">
        <is>
          <t>Vodacom Life 20260603</t>
        </is>
      </c>
      <c r="J319" t="inlineStr">
        <is>
          <t>AE</t>
        </is>
      </c>
      <c r="K319" t="inlineStr">
        <is>
          <t>Auto Engaged</t>
        </is>
      </c>
      <c r="L319" t="n">
        <v>7</v>
      </c>
      <c r="M319" t="inlineStr">
        <is>
          <t>2026-06-15 06:56:13</t>
        </is>
      </c>
      <c r="N319" t="inlineStr">
        <is>
          <t>system</t>
        </is>
      </c>
      <c r="O319" t="inlineStr">
        <is>
          <t>2026-06-08 05:25:27</t>
        </is>
      </c>
      <c r="P319" t="inlineStr">
        <is>
          <t>2026-06-08 05:25:27</t>
        </is>
      </c>
      <c r="Y319" t="inlineStr">
        <is>
          <t>27790683326</t>
        </is>
      </c>
    </row>
    <row r="320">
      <c r="A320" t="inlineStr">
        <is>
          <t>14827543</t>
        </is>
      </c>
      <c r="B320" t="inlineStr">
        <is>
          <t>1a454158-322a-4808-a130-bee976e8d44f</t>
        </is>
      </c>
      <c r="D320" t="inlineStr">
        <is>
          <t>111111123</t>
        </is>
      </c>
      <c r="E320" t="inlineStr">
        <is>
          <t>Vodacom Life 20260603</t>
        </is>
      </c>
      <c r="J320" t="inlineStr">
        <is>
          <t>AA</t>
        </is>
      </c>
      <c r="K320" t="inlineStr">
        <is>
          <t>Answering Machine Autodial</t>
        </is>
      </c>
      <c r="L320" t="n">
        <v>7</v>
      </c>
      <c r="M320" t="inlineStr">
        <is>
          <t>2026-06-15 06:56:09</t>
        </is>
      </c>
      <c r="N320" t="inlineStr">
        <is>
          <t>system</t>
        </is>
      </c>
      <c r="O320" t="inlineStr">
        <is>
          <t>2026-06-08 05:25:27</t>
        </is>
      </c>
      <c r="P320" t="inlineStr">
        <is>
          <t>2026-06-08 05:25:27</t>
        </is>
      </c>
      <c r="Y320" t="inlineStr">
        <is>
          <t>27829647727</t>
        </is>
      </c>
    </row>
    <row r="321">
      <c r="A321" t="inlineStr">
        <is>
          <t>14828463</t>
        </is>
      </c>
      <c r="B321" t="inlineStr">
        <is>
          <t>f54df726-343c-49af-a84a-4056458da912</t>
        </is>
      </c>
      <c r="D321" t="inlineStr">
        <is>
          <t>111111123</t>
        </is>
      </c>
      <c r="E321" t="inlineStr">
        <is>
          <t>Vodacom Life 20260603</t>
        </is>
      </c>
      <c r="J321" t="inlineStr">
        <is>
          <t>AA</t>
        </is>
      </c>
      <c r="K321" t="inlineStr">
        <is>
          <t>Answering Machine Autodial</t>
        </is>
      </c>
      <c r="L321" t="n">
        <v>7</v>
      </c>
      <c r="M321" t="inlineStr">
        <is>
          <t>2026-06-15 06:55:49</t>
        </is>
      </c>
      <c r="N321" t="inlineStr">
        <is>
          <t>system</t>
        </is>
      </c>
      <c r="O321" t="inlineStr">
        <is>
          <t>2026-06-08 05:25:27</t>
        </is>
      </c>
      <c r="P321" t="inlineStr">
        <is>
          <t>2026-06-08 05:25:27</t>
        </is>
      </c>
      <c r="Y321" t="inlineStr">
        <is>
          <t>27780413981</t>
        </is>
      </c>
    </row>
    <row r="322">
      <c r="A322" t="inlineStr">
        <is>
          <t>14828142</t>
        </is>
      </c>
      <c r="B322" t="inlineStr">
        <is>
          <t>982141e8-4ad8-48c6-a30f-4398d0389144</t>
        </is>
      </c>
      <c r="D322" t="inlineStr">
        <is>
          <t>111111123</t>
        </is>
      </c>
      <c r="E322" t="inlineStr">
        <is>
          <t>Vodacom Life 20260603</t>
        </is>
      </c>
      <c r="J322" t="inlineStr">
        <is>
          <t>NA</t>
        </is>
      </c>
      <c r="K322" t="inlineStr">
        <is>
          <t>No Answer Autodial</t>
        </is>
      </c>
      <c r="L322" t="n">
        <v>7</v>
      </c>
      <c r="M322" t="inlineStr">
        <is>
          <t>2026-06-15 06:55:40</t>
        </is>
      </c>
      <c r="N322" t="inlineStr">
        <is>
          <t>system</t>
        </is>
      </c>
      <c r="O322" t="inlineStr">
        <is>
          <t>2026-06-08 05:25:27</t>
        </is>
      </c>
      <c r="P322" t="inlineStr">
        <is>
          <t>2026-06-08 05:25:27</t>
        </is>
      </c>
      <c r="Y322" t="inlineStr">
        <is>
          <t>27828764876</t>
        </is>
      </c>
    </row>
    <row r="323">
      <c r="A323" t="inlineStr">
        <is>
          <t>14827760</t>
        </is>
      </c>
      <c r="B323" t="inlineStr">
        <is>
          <t>70f40d06-04ff-4fba-8a05-43fc7c69d620</t>
        </is>
      </c>
      <c r="D323" t="inlineStr">
        <is>
          <t>111111123</t>
        </is>
      </c>
      <c r="E323" t="inlineStr">
        <is>
          <t>Vodacom Life 20260603</t>
        </is>
      </c>
      <c r="H323" t="inlineStr">
        <is>
          <t>27793004908</t>
        </is>
      </c>
      <c r="J323" t="inlineStr">
        <is>
          <t>CCB</t>
        </is>
      </c>
      <c r="K323" t="inlineStr">
        <is>
          <t>Call Dropped</t>
        </is>
      </c>
      <c r="L323" t="n">
        <v>7</v>
      </c>
      <c r="M323" t="inlineStr">
        <is>
          <t>2026-06-15 06:55:39</t>
        </is>
      </c>
      <c r="N323" t="inlineStr">
        <is>
          <t>Maureen Ntsoko</t>
        </is>
      </c>
      <c r="O323" t="inlineStr">
        <is>
          <t>2026-06-08 05:25:27</t>
        </is>
      </c>
      <c r="P323" t="inlineStr">
        <is>
          <t>2026-06-08 05:25:27</t>
        </is>
      </c>
      <c r="Y323" t="inlineStr">
        <is>
          <t>27793004908</t>
        </is>
      </c>
    </row>
    <row r="324">
      <c r="A324" t="inlineStr">
        <is>
          <t>14828362</t>
        </is>
      </c>
      <c r="B324" t="inlineStr">
        <is>
          <t>311fae6b-25e2-452a-b22b-42fd6dcd71ee</t>
        </is>
      </c>
      <c r="D324" t="inlineStr">
        <is>
          <t>111111123</t>
        </is>
      </c>
      <c r="E324" t="inlineStr">
        <is>
          <t>Vodacom Life 20260603</t>
        </is>
      </c>
      <c r="J324" t="inlineStr">
        <is>
          <t>AA</t>
        </is>
      </c>
      <c r="K324" t="inlineStr">
        <is>
          <t>Answering Machine Autodial</t>
        </is>
      </c>
      <c r="L324" t="n">
        <v>7</v>
      </c>
      <c r="M324" t="inlineStr">
        <is>
          <t>2026-06-15 06:55:21</t>
        </is>
      </c>
      <c r="N324" t="inlineStr">
        <is>
          <t>system</t>
        </is>
      </c>
      <c r="O324" t="inlineStr">
        <is>
          <t>2026-06-08 05:25:27</t>
        </is>
      </c>
      <c r="P324" t="inlineStr">
        <is>
          <t>2026-06-08 05:25:27</t>
        </is>
      </c>
      <c r="Y324" t="inlineStr">
        <is>
          <t>27790543789</t>
        </is>
      </c>
    </row>
    <row r="325">
      <c r="A325" t="inlineStr">
        <is>
          <t>14827729</t>
        </is>
      </c>
      <c r="B325" t="inlineStr">
        <is>
          <t>524d9cb2-e985-4deb-b206-ea619a5ac7cc</t>
        </is>
      </c>
      <c r="D325" t="inlineStr">
        <is>
          <t>111111123</t>
        </is>
      </c>
      <c r="E325" t="inlineStr">
        <is>
          <t>Vodacom Life 20260603</t>
        </is>
      </c>
      <c r="J325" t="inlineStr">
        <is>
          <t>AA</t>
        </is>
      </c>
      <c r="K325" t="inlineStr">
        <is>
          <t>Answering Machine Autodial</t>
        </is>
      </c>
      <c r="L325" t="n">
        <v>7</v>
      </c>
      <c r="M325" t="inlineStr">
        <is>
          <t>2026-06-15 06:55:21</t>
        </is>
      </c>
      <c r="N325" t="inlineStr">
        <is>
          <t>system</t>
        </is>
      </c>
      <c r="O325" t="inlineStr">
        <is>
          <t>2026-06-08 05:25:27</t>
        </is>
      </c>
      <c r="P325" t="inlineStr">
        <is>
          <t>2026-06-08 05:25:27</t>
        </is>
      </c>
      <c r="Y325" t="inlineStr">
        <is>
          <t>27728513560</t>
        </is>
      </c>
    </row>
    <row r="326">
      <c r="A326" t="inlineStr">
        <is>
          <t>14827604</t>
        </is>
      </c>
      <c r="B326" t="inlineStr">
        <is>
          <t>8d600ddc-aeb3-49aa-b3c5-d530cad2e9b2</t>
        </is>
      </c>
      <c r="D326" t="inlineStr">
        <is>
          <t>111111123</t>
        </is>
      </c>
      <c r="E326" t="inlineStr">
        <is>
          <t>Vodacom Life 20260603</t>
        </is>
      </c>
      <c r="H326" t="inlineStr">
        <is>
          <t>27767011414</t>
        </is>
      </c>
      <c r="J326" t="inlineStr">
        <is>
          <t>IABDN</t>
        </is>
      </c>
      <c r="K326" t="inlineStr">
        <is>
          <t>Inbound Abandon</t>
        </is>
      </c>
      <c r="L326" t="n">
        <v>7</v>
      </c>
      <c r="M326" t="inlineStr">
        <is>
          <t>2026-06-15 06:55:12</t>
        </is>
      </c>
      <c r="N326" t="inlineStr">
        <is>
          <t>system</t>
        </is>
      </c>
      <c r="O326" t="inlineStr">
        <is>
          <t>2026-06-08 05:25:27</t>
        </is>
      </c>
      <c r="P326" t="inlineStr">
        <is>
          <t>2026-06-08 05:25:27</t>
        </is>
      </c>
      <c r="Y326" t="inlineStr">
        <is>
          <t>27767011414</t>
        </is>
      </c>
    </row>
    <row r="327">
      <c r="A327" t="inlineStr">
        <is>
          <t>14828509</t>
        </is>
      </c>
      <c r="B327" t="inlineStr">
        <is>
          <t>e37d4961-5811-4664-a0a5-440b2e1f44a9</t>
        </is>
      </c>
      <c r="D327" t="inlineStr">
        <is>
          <t>111111123</t>
        </is>
      </c>
      <c r="E327" t="inlineStr">
        <is>
          <t>Vodacom Life 20260603</t>
        </is>
      </c>
      <c r="J327" t="inlineStr">
        <is>
          <t>AA</t>
        </is>
      </c>
      <c r="K327" t="inlineStr">
        <is>
          <t>Answering Machine Autodial</t>
        </is>
      </c>
      <c r="L327" t="n">
        <v>7</v>
      </c>
      <c r="M327" t="inlineStr">
        <is>
          <t>2026-06-15 06:54:55</t>
        </is>
      </c>
      <c r="N327" t="inlineStr">
        <is>
          <t>system</t>
        </is>
      </c>
      <c r="O327" t="inlineStr">
        <is>
          <t>2026-06-08 05:25:27</t>
        </is>
      </c>
      <c r="P327" t="inlineStr">
        <is>
          <t>2026-06-08 05:25:27</t>
        </is>
      </c>
      <c r="Y327" t="inlineStr">
        <is>
          <t>27664944337</t>
        </is>
      </c>
    </row>
    <row r="328">
      <c r="A328" t="inlineStr">
        <is>
          <t>14828375</t>
        </is>
      </c>
      <c r="B328" t="inlineStr">
        <is>
          <t>9214a34a-7f8c-4f5b-a711-f6e65458d99f</t>
        </is>
      </c>
      <c r="D328" t="inlineStr">
        <is>
          <t>111111123</t>
        </is>
      </c>
      <c r="E328" t="inlineStr">
        <is>
          <t>Vodacom Life 20260603</t>
        </is>
      </c>
      <c r="J328" t="inlineStr">
        <is>
          <t>AA</t>
        </is>
      </c>
      <c r="K328" t="inlineStr">
        <is>
          <t>Answering Machine Autodial</t>
        </is>
      </c>
      <c r="L328" t="n">
        <v>7</v>
      </c>
      <c r="M328" t="inlineStr">
        <is>
          <t>2026-06-15 06:54:54</t>
        </is>
      </c>
      <c r="N328" t="inlineStr">
        <is>
          <t>system</t>
        </is>
      </c>
      <c r="O328" t="inlineStr">
        <is>
          <t>2026-06-08 05:25:27</t>
        </is>
      </c>
      <c r="P328" t="inlineStr">
        <is>
          <t>2026-06-08 05:25:27</t>
        </is>
      </c>
      <c r="Y328" t="inlineStr">
        <is>
          <t>27782979006</t>
        </is>
      </c>
    </row>
    <row r="329">
      <c r="A329" t="inlineStr">
        <is>
          <t>14828051</t>
        </is>
      </c>
      <c r="B329" t="inlineStr">
        <is>
          <t>90d30647-2291-4754-ba52-45ed87583633</t>
        </is>
      </c>
      <c r="D329" t="inlineStr">
        <is>
          <t>111111123</t>
        </is>
      </c>
      <c r="E329" t="inlineStr">
        <is>
          <t>Vodacom Life 20260603</t>
        </is>
      </c>
      <c r="H329" t="inlineStr">
        <is>
          <t>27799472039</t>
        </is>
      </c>
      <c r="J329" t="inlineStr">
        <is>
          <t>AA</t>
        </is>
      </c>
      <c r="K329" t="inlineStr">
        <is>
          <t>Answering Machine Autodial</t>
        </is>
      </c>
      <c r="L329" t="n">
        <v>7</v>
      </c>
      <c r="M329" t="inlineStr">
        <is>
          <t>2026-06-15 06:54:51</t>
        </is>
      </c>
      <c r="N329" t="inlineStr">
        <is>
          <t>system</t>
        </is>
      </c>
      <c r="O329" t="inlineStr">
        <is>
          <t>2026-06-08 05:25:27</t>
        </is>
      </c>
      <c r="P329" t="inlineStr">
        <is>
          <t>2026-06-08 05:25:27</t>
        </is>
      </c>
      <c r="Y329" t="inlineStr">
        <is>
          <t>27799472039</t>
        </is>
      </c>
    </row>
    <row r="330">
      <c r="A330" t="inlineStr">
        <is>
          <t>14828373</t>
        </is>
      </c>
      <c r="B330" t="inlineStr">
        <is>
          <t>c25bc7e9-bf56-4bc6-8a46-8be85e5116df</t>
        </is>
      </c>
      <c r="D330" t="inlineStr">
        <is>
          <t>111111123</t>
        </is>
      </c>
      <c r="E330" t="inlineStr">
        <is>
          <t>Vodacom Life 20260603</t>
        </is>
      </c>
      <c r="J330" t="inlineStr">
        <is>
          <t>ADC</t>
        </is>
      </c>
      <c r="K330" t="inlineStr">
        <is>
          <t>Auto Dial Disconnected</t>
        </is>
      </c>
      <c r="L330" t="n">
        <v>7</v>
      </c>
      <c r="M330" t="inlineStr">
        <is>
          <t>2026-06-15 06:54:49</t>
        </is>
      </c>
      <c r="N330" t="inlineStr">
        <is>
          <t>system</t>
        </is>
      </c>
      <c r="O330" t="inlineStr">
        <is>
          <t>2026-06-08 05:25:27</t>
        </is>
      </c>
      <c r="P330" t="inlineStr">
        <is>
          <t>2026-06-08 05:25:27</t>
        </is>
      </c>
      <c r="Y330" t="inlineStr">
        <is>
          <t>27768269817</t>
        </is>
      </c>
    </row>
    <row r="331">
      <c r="A331" t="inlineStr">
        <is>
          <t>14828412</t>
        </is>
      </c>
      <c r="B331" t="inlineStr">
        <is>
          <t>05e37be4-28de-4dd3-bd1f-368f51bff3fe</t>
        </is>
      </c>
      <c r="D331" t="inlineStr">
        <is>
          <t>111111123</t>
        </is>
      </c>
      <c r="E331" t="inlineStr">
        <is>
          <t>Vodacom Life 20260603</t>
        </is>
      </c>
      <c r="H331" t="inlineStr">
        <is>
          <t>27790628243</t>
        </is>
      </c>
      <c r="J331" t="inlineStr">
        <is>
          <t>AE</t>
        </is>
      </c>
      <c r="K331" t="inlineStr">
        <is>
          <t>Auto Engaged</t>
        </is>
      </c>
      <c r="L331" t="n">
        <v>7</v>
      </c>
      <c r="M331" t="inlineStr">
        <is>
          <t>2026-06-15 06:54:49</t>
        </is>
      </c>
      <c r="N331" t="inlineStr">
        <is>
          <t>system</t>
        </is>
      </c>
      <c r="O331" t="inlineStr">
        <is>
          <t>2026-06-08 05:25:27</t>
        </is>
      </c>
      <c r="P331" t="inlineStr">
        <is>
          <t>2026-06-08 05:25:27</t>
        </is>
      </c>
      <c r="Y331" t="inlineStr">
        <is>
          <t>27790628243</t>
        </is>
      </c>
    </row>
    <row r="332">
      <c r="A332" t="inlineStr">
        <is>
          <t>14828040</t>
        </is>
      </c>
      <c r="B332" t="inlineStr">
        <is>
          <t>612d61c4-1352-48bc-88e1-11b1ea018b59</t>
        </is>
      </c>
      <c r="D332" t="inlineStr">
        <is>
          <t>111111123</t>
        </is>
      </c>
      <c r="E332" t="inlineStr">
        <is>
          <t>Vodacom Life 20260603</t>
        </is>
      </c>
      <c r="J332" t="inlineStr">
        <is>
          <t>DROP</t>
        </is>
      </c>
      <c r="K332" t="inlineStr">
        <is>
          <t>Dropped</t>
        </is>
      </c>
      <c r="L332" t="n">
        <v>7</v>
      </c>
      <c r="M332" t="inlineStr">
        <is>
          <t>2026-06-15 06:54:48</t>
        </is>
      </c>
      <c r="N332" t="inlineStr">
        <is>
          <t>system</t>
        </is>
      </c>
      <c r="O332" t="inlineStr">
        <is>
          <t>2026-06-08 05:25:27</t>
        </is>
      </c>
      <c r="P332" t="inlineStr">
        <is>
          <t>2026-06-08 05:25:27</t>
        </is>
      </c>
      <c r="Y332" t="inlineStr">
        <is>
          <t>27606636279</t>
        </is>
      </c>
    </row>
    <row r="333">
      <c r="A333" t="inlineStr">
        <is>
          <t>14827727</t>
        </is>
      </c>
      <c r="B333" t="inlineStr">
        <is>
          <t>087fdbf9-f985-431e-963b-06620283c733</t>
        </is>
      </c>
      <c r="D333" t="inlineStr">
        <is>
          <t>111111123</t>
        </is>
      </c>
      <c r="E333" t="inlineStr">
        <is>
          <t>Vodacom Life 20260603</t>
        </is>
      </c>
      <c r="J333" t="inlineStr">
        <is>
          <t>CU</t>
        </is>
      </c>
      <c r="K333" t="inlineStr">
        <is>
          <t>Client Hung Up</t>
        </is>
      </c>
      <c r="L333" t="n">
        <v>7</v>
      </c>
      <c r="M333" t="inlineStr">
        <is>
          <t>2026-06-15 06:54:48</t>
        </is>
      </c>
      <c r="N333" t="inlineStr">
        <is>
          <t>Maureen Ntsoko</t>
        </is>
      </c>
      <c r="O333" t="inlineStr">
        <is>
          <t>2026-06-08 05:25:27</t>
        </is>
      </c>
      <c r="P333" t="inlineStr">
        <is>
          <t>2026-06-08 05:25:27</t>
        </is>
      </c>
      <c r="Y333" t="inlineStr">
        <is>
          <t>27660614055</t>
        </is>
      </c>
    </row>
    <row r="334">
      <c r="A334" t="inlineStr">
        <is>
          <t>14828467</t>
        </is>
      </c>
      <c r="B334" t="inlineStr">
        <is>
          <t>eee99e17-2e77-498d-ae8b-4c1719535ae9</t>
        </is>
      </c>
      <c r="D334" t="inlineStr">
        <is>
          <t>111111123</t>
        </is>
      </c>
      <c r="E334" t="inlineStr">
        <is>
          <t>Vodacom Life 20260603</t>
        </is>
      </c>
      <c r="J334" t="inlineStr">
        <is>
          <t>AA</t>
        </is>
      </c>
      <c r="K334" t="inlineStr">
        <is>
          <t>Answering Machine Autodial</t>
        </is>
      </c>
      <c r="L334" t="n">
        <v>7</v>
      </c>
      <c r="M334" t="inlineStr">
        <is>
          <t>2026-06-15 06:54:43</t>
        </is>
      </c>
      <c r="N334" t="inlineStr">
        <is>
          <t>system</t>
        </is>
      </c>
      <c r="O334" t="inlineStr">
        <is>
          <t>2026-06-08 05:25:27</t>
        </is>
      </c>
      <c r="P334" t="inlineStr">
        <is>
          <t>2026-06-08 05:25:27</t>
        </is>
      </c>
      <c r="Y334" t="inlineStr">
        <is>
          <t>27792665613</t>
        </is>
      </c>
    </row>
    <row r="335">
      <c r="A335" t="inlineStr">
        <is>
          <t>14828376</t>
        </is>
      </c>
      <c r="B335" t="inlineStr">
        <is>
          <t>ad2ea82d-9ea5-42fa-94aa-df0810bc80c4</t>
        </is>
      </c>
      <c r="D335" t="inlineStr">
        <is>
          <t>111111123</t>
        </is>
      </c>
      <c r="E335" t="inlineStr">
        <is>
          <t>Vodacom Life 20260603</t>
        </is>
      </c>
      <c r="J335" t="inlineStr">
        <is>
          <t>CU</t>
        </is>
      </c>
      <c r="K335" t="inlineStr">
        <is>
          <t>Client Hung Up</t>
        </is>
      </c>
      <c r="L335" t="n">
        <v>7</v>
      </c>
      <c r="M335" t="inlineStr">
        <is>
          <t>2026-06-15 06:54:40</t>
        </is>
      </c>
      <c r="N335" t="inlineStr">
        <is>
          <t>bongiwe lushaba</t>
        </is>
      </c>
      <c r="O335" t="inlineStr">
        <is>
          <t>2026-06-08 05:25:27</t>
        </is>
      </c>
      <c r="P335" t="inlineStr">
        <is>
          <t>2026-06-08 05:25:27</t>
        </is>
      </c>
      <c r="Y335" t="inlineStr">
        <is>
          <t>27721575957</t>
        </is>
      </c>
    </row>
    <row r="336">
      <c r="A336" t="inlineStr">
        <is>
          <t>14828468</t>
        </is>
      </c>
      <c r="B336" t="inlineStr">
        <is>
          <t>de9df768-662d-4c55-984f-528fbd8e7d04</t>
        </is>
      </c>
      <c r="D336" t="inlineStr">
        <is>
          <t>111111123</t>
        </is>
      </c>
      <c r="E336" t="inlineStr">
        <is>
          <t>Vodacom Life 20260603</t>
        </is>
      </c>
      <c r="J336" t="inlineStr">
        <is>
          <t>NA</t>
        </is>
      </c>
      <c r="K336" t="inlineStr">
        <is>
          <t>No Answer Autodial</t>
        </is>
      </c>
      <c r="L336" t="n">
        <v>7</v>
      </c>
      <c r="M336" t="inlineStr">
        <is>
          <t>2026-06-15 06:54:40</t>
        </is>
      </c>
      <c r="N336" t="inlineStr">
        <is>
          <t>system</t>
        </is>
      </c>
      <c r="O336" t="inlineStr">
        <is>
          <t>2026-06-08 05:25:27</t>
        </is>
      </c>
      <c r="P336" t="inlineStr">
        <is>
          <t>2026-06-08 05:25:27</t>
        </is>
      </c>
      <c r="Y336" t="inlineStr">
        <is>
          <t>27636417007</t>
        </is>
      </c>
    </row>
    <row r="337">
      <c r="A337" t="inlineStr">
        <is>
          <t>14828392</t>
        </is>
      </c>
      <c r="B337" t="inlineStr">
        <is>
          <t>41898c7c-d804-447c-8e82-538994ed6ee6</t>
        </is>
      </c>
      <c r="D337" t="inlineStr">
        <is>
          <t>111111123</t>
        </is>
      </c>
      <c r="E337" t="inlineStr">
        <is>
          <t>Vodacom Life 20260603</t>
        </is>
      </c>
      <c r="J337" t="inlineStr">
        <is>
          <t>NA</t>
        </is>
      </c>
      <c r="K337" t="inlineStr">
        <is>
          <t>No Answer Autodial</t>
        </is>
      </c>
      <c r="L337" t="n">
        <v>7</v>
      </c>
      <c r="M337" t="inlineStr">
        <is>
          <t>2026-06-15 06:54:40</t>
        </is>
      </c>
      <c r="N337" t="inlineStr">
        <is>
          <t>system</t>
        </is>
      </c>
      <c r="O337" t="inlineStr">
        <is>
          <t>2026-06-08 05:25:27</t>
        </is>
      </c>
      <c r="P337" t="inlineStr">
        <is>
          <t>2026-06-08 05:25:27</t>
        </is>
      </c>
      <c r="Y337" t="inlineStr">
        <is>
          <t>27764058934</t>
        </is>
      </c>
    </row>
    <row r="338">
      <c r="A338" t="inlineStr">
        <is>
          <t>14828388</t>
        </is>
      </c>
      <c r="B338" t="inlineStr">
        <is>
          <t>0ae95226-d7a0-42f5-824f-d07981067e3d</t>
        </is>
      </c>
      <c r="D338" t="inlineStr">
        <is>
          <t>111111123</t>
        </is>
      </c>
      <c r="E338" t="inlineStr">
        <is>
          <t>Vodacom Life 20260603</t>
        </is>
      </c>
      <c r="J338" t="inlineStr">
        <is>
          <t>AA</t>
        </is>
      </c>
      <c r="K338" t="inlineStr">
        <is>
          <t>Answering Machine Autodial</t>
        </is>
      </c>
      <c r="L338" t="n">
        <v>7</v>
      </c>
      <c r="M338" t="inlineStr">
        <is>
          <t>2026-06-15 06:54:10</t>
        </is>
      </c>
      <c r="N338" t="inlineStr">
        <is>
          <t>system</t>
        </is>
      </c>
      <c r="O338" t="inlineStr">
        <is>
          <t>2026-06-08 05:25:27</t>
        </is>
      </c>
      <c r="P338" t="inlineStr">
        <is>
          <t>2026-06-08 05:25:27</t>
        </is>
      </c>
      <c r="Y338" t="inlineStr">
        <is>
          <t>27827512992</t>
        </is>
      </c>
    </row>
    <row r="339">
      <c r="A339" t="inlineStr">
        <is>
          <t>14828420</t>
        </is>
      </c>
      <c r="B339" t="inlineStr">
        <is>
          <t>ff5cd961-f80a-40a7-8204-cd875f3fec9b</t>
        </is>
      </c>
      <c r="D339" t="inlineStr">
        <is>
          <t>111111123</t>
        </is>
      </c>
      <c r="E339" t="inlineStr">
        <is>
          <t>Vodacom Life 20260603</t>
        </is>
      </c>
      <c r="H339" t="inlineStr">
        <is>
          <t>27791801999</t>
        </is>
      </c>
      <c r="J339" t="inlineStr">
        <is>
          <t>CU</t>
        </is>
      </c>
      <c r="K339" t="inlineStr">
        <is>
          <t>Client Hung Up</t>
        </is>
      </c>
      <c r="L339" t="n">
        <v>7</v>
      </c>
      <c r="M339" t="inlineStr">
        <is>
          <t>2026-06-15 06:54:10</t>
        </is>
      </c>
      <c r="N339" t="inlineStr">
        <is>
          <t>Maureen Ntsoko</t>
        </is>
      </c>
      <c r="O339" t="inlineStr">
        <is>
          <t>2026-06-08 05:25:27</t>
        </is>
      </c>
      <c r="P339" t="inlineStr">
        <is>
          <t>2026-06-08 05:25:27</t>
        </is>
      </c>
      <c r="Y339" t="inlineStr">
        <is>
          <t>27791801999</t>
        </is>
      </c>
    </row>
    <row r="340">
      <c r="A340" t="inlineStr">
        <is>
          <t>14828443</t>
        </is>
      </c>
      <c r="B340" t="inlineStr">
        <is>
          <t>152c7ad5-c08f-4abd-bb4e-b2af45810c8d</t>
        </is>
      </c>
      <c r="D340" t="inlineStr">
        <is>
          <t>111111123</t>
        </is>
      </c>
      <c r="E340" t="inlineStr">
        <is>
          <t>Vodacom Life 20260603</t>
        </is>
      </c>
      <c r="J340" t="inlineStr">
        <is>
          <t>AE</t>
        </is>
      </c>
      <c r="K340" t="inlineStr">
        <is>
          <t>Auto Engaged</t>
        </is>
      </c>
      <c r="L340" t="n">
        <v>7</v>
      </c>
      <c r="M340" t="inlineStr">
        <is>
          <t>2026-06-15 06:54:10</t>
        </is>
      </c>
      <c r="N340" t="inlineStr">
        <is>
          <t>system</t>
        </is>
      </c>
      <c r="O340" t="inlineStr">
        <is>
          <t>2026-06-08 05:25:27</t>
        </is>
      </c>
      <c r="P340" t="inlineStr">
        <is>
          <t>2026-06-08 05:25:27</t>
        </is>
      </c>
      <c r="Y340" t="inlineStr">
        <is>
          <t>27822543963</t>
        </is>
      </c>
    </row>
    <row r="341">
      <c r="A341" t="inlineStr">
        <is>
          <t>14828386</t>
        </is>
      </c>
      <c r="B341" t="inlineStr">
        <is>
          <t>a07a4d53-8bed-4e3e-89d0-0b9039f84695</t>
        </is>
      </c>
      <c r="D341" t="inlineStr">
        <is>
          <t>111111123</t>
        </is>
      </c>
      <c r="E341" t="inlineStr">
        <is>
          <t>Vodacom Life 20260603</t>
        </is>
      </c>
      <c r="H341" t="inlineStr">
        <is>
          <t>27663943607</t>
        </is>
      </c>
      <c r="J341" t="inlineStr">
        <is>
          <t>DC</t>
        </is>
      </c>
      <c r="K341" t="inlineStr">
        <is>
          <t>Disconnected</t>
        </is>
      </c>
      <c r="L341" t="n">
        <v>7</v>
      </c>
      <c r="M341" t="inlineStr">
        <is>
          <t>2026-06-15 06:53:46</t>
        </is>
      </c>
      <c r="N341" t="inlineStr">
        <is>
          <t>Maureen Ntsoko</t>
        </is>
      </c>
      <c r="O341" t="inlineStr">
        <is>
          <t>2026-06-08 05:25:27</t>
        </is>
      </c>
      <c r="P341" t="inlineStr">
        <is>
          <t>2026-06-08 05:25:27</t>
        </is>
      </c>
      <c r="Y341" t="inlineStr">
        <is>
          <t>27663943607</t>
        </is>
      </c>
    </row>
    <row r="342">
      <c r="A342" t="inlineStr">
        <is>
          <t>14828500</t>
        </is>
      </c>
      <c r="B342" t="inlineStr">
        <is>
          <t>7279cf60-5557-4747-9311-56157db83645</t>
        </is>
      </c>
      <c r="D342" t="inlineStr">
        <is>
          <t>111111123</t>
        </is>
      </c>
      <c r="E342" t="inlineStr">
        <is>
          <t>Vodacom Life 20260603</t>
        </is>
      </c>
      <c r="H342" t="inlineStr">
        <is>
          <t>27767199947</t>
        </is>
      </c>
      <c r="J342" t="inlineStr">
        <is>
          <t>IABDN</t>
        </is>
      </c>
      <c r="K342" t="inlineStr">
        <is>
          <t>Inbound Abandon</t>
        </is>
      </c>
      <c r="L342" t="n">
        <v>7</v>
      </c>
      <c r="M342" t="inlineStr">
        <is>
          <t>2026-06-15 06:53:21</t>
        </is>
      </c>
      <c r="N342" t="inlineStr">
        <is>
          <t>system</t>
        </is>
      </c>
      <c r="O342" t="inlineStr">
        <is>
          <t>2026-06-08 05:25:27</t>
        </is>
      </c>
      <c r="P342" t="inlineStr">
        <is>
          <t>2026-06-08 05:25:27</t>
        </is>
      </c>
      <c r="Y342" t="inlineStr">
        <is>
          <t>27767199947</t>
        </is>
      </c>
    </row>
    <row r="343">
      <c r="A343" t="inlineStr">
        <is>
          <t>14828358</t>
        </is>
      </c>
      <c r="B343" t="inlineStr">
        <is>
          <t>a14fa43e-c3d0-435d-9ae6-18b1d917a7b2</t>
        </is>
      </c>
      <c r="D343" t="inlineStr">
        <is>
          <t>111111123</t>
        </is>
      </c>
      <c r="E343" t="inlineStr">
        <is>
          <t>Vodacom Life 20260603</t>
        </is>
      </c>
      <c r="J343" t="inlineStr">
        <is>
          <t>AE</t>
        </is>
      </c>
      <c r="K343" t="inlineStr">
        <is>
          <t>Auto Engaged</t>
        </is>
      </c>
      <c r="L343" t="n">
        <v>7</v>
      </c>
      <c r="M343" t="inlineStr">
        <is>
          <t>2026-06-15 06:53:04</t>
        </is>
      </c>
      <c r="N343" t="inlineStr">
        <is>
          <t>system</t>
        </is>
      </c>
      <c r="O343" t="inlineStr">
        <is>
          <t>2026-06-08 05:25:27</t>
        </is>
      </c>
      <c r="P343" t="inlineStr">
        <is>
          <t>2026-06-08 05:25:27</t>
        </is>
      </c>
      <c r="Y343" t="inlineStr">
        <is>
          <t>27636069033</t>
        </is>
      </c>
    </row>
    <row r="344">
      <c r="A344" t="inlineStr">
        <is>
          <t>14828427</t>
        </is>
      </c>
      <c r="B344" t="inlineStr">
        <is>
          <t>685f6143-b3c3-489d-8c88-89c02093acd3</t>
        </is>
      </c>
      <c r="D344" t="inlineStr">
        <is>
          <t>111111123</t>
        </is>
      </c>
      <c r="E344" t="inlineStr">
        <is>
          <t>Vodacom Life 20260603</t>
        </is>
      </c>
      <c r="H344" t="inlineStr">
        <is>
          <t>27724558499</t>
        </is>
      </c>
      <c r="J344" t="inlineStr">
        <is>
          <t>DROP</t>
        </is>
      </c>
      <c r="K344" t="inlineStr">
        <is>
          <t>Dropped</t>
        </is>
      </c>
      <c r="L344" t="n">
        <v>7</v>
      </c>
      <c r="M344" t="inlineStr">
        <is>
          <t>2026-06-15 06:52:59</t>
        </is>
      </c>
      <c r="N344" t="inlineStr">
        <is>
          <t>system</t>
        </is>
      </c>
      <c r="O344" t="inlineStr">
        <is>
          <t>2026-06-08 05:25:27</t>
        </is>
      </c>
      <c r="P344" t="inlineStr">
        <is>
          <t>2026-06-08 05:25:27</t>
        </is>
      </c>
      <c r="Y344" t="inlineStr">
        <is>
          <t>27724558499</t>
        </is>
      </c>
    </row>
    <row r="345">
      <c r="A345" t="inlineStr">
        <is>
          <t>14828525</t>
        </is>
      </c>
      <c r="B345" t="inlineStr">
        <is>
          <t>da51d638-5d56-4bc8-b223-c912904e3770</t>
        </is>
      </c>
      <c r="D345" t="inlineStr">
        <is>
          <t>111111123</t>
        </is>
      </c>
      <c r="E345" t="inlineStr">
        <is>
          <t>Vodacom Life 20260603</t>
        </is>
      </c>
      <c r="J345" t="inlineStr">
        <is>
          <t>AE</t>
        </is>
      </c>
      <c r="K345" t="inlineStr">
        <is>
          <t>Auto Engaged</t>
        </is>
      </c>
      <c r="L345" t="n">
        <v>7</v>
      </c>
      <c r="M345" t="inlineStr">
        <is>
          <t>2026-06-15 06:52:59</t>
        </is>
      </c>
      <c r="N345" t="inlineStr">
        <is>
          <t>system</t>
        </is>
      </c>
      <c r="O345" t="inlineStr">
        <is>
          <t>2026-06-08 05:25:27</t>
        </is>
      </c>
      <c r="P345" t="inlineStr">
        <is>
          <t>2026-06-08 05:25:27</t>
        </is>
      </c>
      <c r="Y345" t="inlineStr">
        <is>
          <t>27762938775</t>
        </is>
      </c>
    </row>
    <row r="346">
      <c r="A346" t="inlineStr">
        <is>
          <t>14828377</t>
        </is>
      </c>
      <c r="B346" t="inlineStr">
        <is>
          <t>c2565061-5895-40f9-ac0a-153a61e95360</t>
        </is>
      </c>
      <c r="D346" t="inlineStr">
        <is>
          <t>111111123</t>
        </is>
      </c>
      <c r="E346" t="inlineStr">
        <is>
          <t>Vodacom Life 20260603</t>
        </is>
      </c>
      <c r="H346" t="inlineStr">
        <is>
          <t>27675401135</t>
        </is>
      </c>
      <c r="J346" t="inlineStr">
        <is>
          <t>CU</t>
        </is>
      </c>
      <c r="K346" t="inlineStr">
        <is>
          <t>Client Hung Up</t>
        </is>
      </c>
      <c r="L346" t="n">
        <v>7</v>
      </c>
      <c r="M346" t="inlineStr">
        <is>
          <t>2026-06-15 06:52:20</t>
        </is>
      </c>
      <c r="N346" t="inlineStr">
        <is>
          <t>Maureen Ntsoko</t>
        </is>
      </c>
      <c r="O346" t="inlineStr">
        <is>
          <t>2026-06-08 05:25:27</t>
        </is>
      </c>
      <c r="P346" t="inlineStr">
        <is>
          <t>2026-06-08 05:25:27</t>
        </is>
      </c>
      <c r="Y346" t="inlineStr">
        <is>
          <t>27675401135</t>
        </is>
      </c>
    </row>
    <row r="347">
      <c r="A347" t="inlineStr">
        <is>
          <t>14828426</t>
        </is>
      </c>
      <c r="B347" t="inlineStr">
        <is>
          <t>280b5272-01fc-4e18-b541-c104b44ef5f7</t>
        </is>
      </c>
      <c r="D347" t="inlineStr">
        <is>
          <t>111111123</t>
        </is>
      </c>
      <c r="E347" t="inlineStr">
        <is>
          <t>Vodacom Life 20260603</t>
        </is>
      </c>
      <c r="H347" t="inlineStr">
        <is>
          <t>27731304729</t>
        </is>
      </c>
      <c r="J347" t="inlineStr">
        <is>
          <t>AA</t>
        </is>
      </c>
      <c r="K347" t="inlineStr">
        <is>
          <t>Answering Machine Autodial</t>
        </is>
      </c>
      <c r="L347" t="n">
        <v>7</v>
      </c>
      <c r="M347" t="inlineStr">
        <is>
          <t>2026-06-15 06:52:18</t>
        </is>
      </c>
      <c r="N347" t="inlineStr">
        <is>
          <t>system</t>
        </is>
      </c>
      <c r="O347" t="inlineStr">
        <is>
          <t>2026-06-08 05:25:27</t>
        </is>
      </c>
      <c r="P347" t="inlineStr">
        <is>
          <t>2026-06-08 05:25:27</t>
        </is>
      </c>
      <c r="Y347" t="inlineStr">
        <is>
          <t>27731304729</t>
        </is>
      </c>
    </row>
    <row r="348">
      <c r="A348" t="inlineStr">
        <is>
          <t>14828501</t>
        </is>
      </c>
      <c r="B348" t="inlineStr">
        <is>
          <t>1365a097-dae3-4f50-a8d8-37df99fff645</t>
        </is>
      </c>
      <c r="D348" t="inlineStr">
        <is>
          <t>111111123</t>
        </is>
      </c>
      <c r="E348" t="inlineStr">
        <is>
          <t>Vodacom Life 20260603</t>
        </is>
      </c>
      <c r="H348" t="inlineStr">
        <is>
          <t>27726138028</t>
        </is>
      </c>
      <c r="J348" t="inlineStr">
        <is>
          <t>NA</t>
        </is>
      </c>
      <c r="K348" t="inlineStr">
        <is>
          <t>No Answer Autodial</t>
        </is>
      </c>
      <c r="L348" t="n">
        <v>7</v>
      </c>
      <c r="M348" t="inlineStr">
        <is>
          <t>2026-06-15 06:51:35</t>
        </is>
      </c>
      <c r="N348" t="inlineStr">
        <is>
          <t>system</t>
        </is>
      </c>
      <c r="O348" t="inlineStr">
        <is>
          <t>2026-06-08 05:25:27</t>
        </is>
      </c>
      <c r="P348" t="inlineStr">
        <is>
          <t>2026-06-08 05:25:27</t>
        </is>
      </c>
      <c r="Y348" t="inlineStr">
        <is>
          <t>27726138028</t>
        </is>
      </c>
    </row>
    <row r="349">
      <c r="A349" t="inlineStr">
        <is>
          <t>14828165</t>
        </is>
      </c>
      <c r="B349" t="inlineStr">
        <is>
          <t>ddf222dc-c5d6-48a1-872c-23b6771e504a</t>
        </is>
      </c>
      <c r="D349" t="inlineStr">
        <is>
          <t>111111123</t>
        </is>
      </c>
      <c r="E349" t="inlineStr">
        <is>
          <t>Vodacom Life 20260603</t>
        </is>
      </c>
      <c r="J349" t="inlineStr">
        <is>
          <t>AA</t>
        </is>
      </c>
      <c r="K349" t="inlineStr">
        <is>
          <t>Answering Machine Autodial</t>
        </is>
      </c>
      <c r="L349" t="n">
        <v>7</v>
      </c>
      <c r="M349" t="inlineStr">
        <is>
          <t>2026-06-15 06:51:34</t>
        </is>
      </c>
      <c r="N349" t="inlineStr">
        <is>
          <t>system</t>
        </is>
      </c>
      <c r="O349" t="inlineStr">
        <is>
          <t>2026-06-08 05:25:27</t>
        </is>
      </c>
      <c r="P349" t="inlineStr">
        <is>
          <t>2026-06-08 05:25:27</t>
        </is>
      </c>
      <c r="Y349" t="inlineStr">
        <is>
          <t>27660454030</t>
        </is>
      </c>
    </row>
    <row r="350">
      <c r="A350" t="inlineStr">
        <is>
          <t>14828389</t>
        </is>
      </c>
      <c r="B350" t="inlineStr">
        <is>
          <t>e4a835bb-3600-48df-ae59-d41bba9929f2</t>
        </is>
      </c>
      <c r="D350" t="inlineStr">
        <is>
          <t>111111123</t>
        </is>
      </c>
      <c r="E350" t="inlineStr">
        <is>
          <t>Vodacom Life 20260603</t>
        </is>
      </c>
      <c r="H350" t="inlineStr">
        <is>
          <t>27725334449</t>
        </is>
      </c>
      <c r="J350" t="inlineStr">
        <is>
          <t>CU</t>
        </is>
      </c>
      <c r="K350" t="inlineStr">
        <is>
          <t>Client Hung Up</t>
        </is>
      </c>
      <c r="L350" t="n">
        <v>7</v>
      </c>
      <c r="M350" t="inlineStr">
        <is>
          <t>2026-06-15 06:51:34</t>
        </is>
      </c>
      <c r="N350" t="inlineStr">
        <is>
          <t>bongiwe lushaba</t>
        </is>
      </c>
      <c r="O350" t="inlineStr">
        <is>
          <t>2026-06-08 05:25:27</t>
        </is>
      </c>
      <c r="P350" t="inlineStr">
        <is>
          <t>2026-06-08 05:25:27</t>
        </is>
      </c>
      <c r="Y350" t="inlineStr">
        <is>
          <t>27725334449</t>
        </is>
      </c>
    </row>
    <row r="351">
      <c r="A351" t="inlineStr">
        <is>
          <t>14827751</t>
        </is>
      </c>
      <c r="B351" t="inlineStr">
        <is>
          <t>00f93f83-f134-45c5-86f2-4e0a7dbc930e</t>
        </is>
      </c>
      <c r="D351" t="inlineStr">
        <is>
          <t>111111123</t>
        </is>
      </c>
      <c r="E351" t="inlineStr">
        <is>
          <t>Vodacom Life 20260603</t>
        </is>
      </c>
      <c r="J351" t="inlineStr">
        <is>
          <t>AA</t>
        </is>
      </c>
      <c r="K351" t="inlineStr">
        <is>
          <t>Answering Machine Autodial</t>
        </is>
      </c>
      <c r="L351" t="n">
        <v>7</v>
      </c>
      <c r="M351" t="inlineStr">
        <is>
          <t>2026-06-15 06:51:01</t>
        </is>
      </c>
      <c r="N351" t="inlineStr">
        <is>
          <t>system</t>
        </is>
      </c>
      <c r="O351" t="inlineStr">
        <is>
          <t>2026-06-08 05:25:27</t>
        </is>
      </c>
      <c r="P351" t="inlineStr">
        <is>
          <t>2026-06-08 05:25:27</t>
        </is>
      </c>
      <c r="Y351" t="inlineStr">
        <is>
          <t>27711528777</t>
        </is>
      </c>
    </row>
    <row r="352">
      <c r="A352" t="inlineStr">
        <is>
          <t>14828402</t>
        </is>
      </c>
      <c r="B352" t="inlineStr">
        <is>
          <t>5f762115-4c18-4fdc-8d73-4ebdb6b60566</t>
        </is>
      </c>
      <c r="D352" t="inlineStr">
        <is>
          <t>111111123</t>
        </is>
      </c>
      <c r="E352" t="inlineStr">
        <is>
          <t>Vodacom Life 20260603</t>
        </is>
      </c>
      <c r="J352" t="inlineStr">
        <is>
          <t>AE</t>
        </is>
      </c>
      <c r="K352" t="inlineStr">
        <is>
          <t>Auto Engaged</t>
        </is>
      </c>
      <c r="L352" t="n">
        <v>7</v>
      </c>
      <c r="M352" t="inlineStr">
        <is>
          <t>2026-06-15 06:50:51</t>
        </is>
      </c>
      <c r="N352" t="inlineStr">
        <is>
          <t>system</t>
        </is>
      </c>
      <c r="O352" t="inlineStr">
        <is>
          <t>2026-06-08 05:25:27</t>
        </is>
      </c>
      <c r="P352" t="inlineStr">
        <is>
          <t>2026-06-08 05:25:27</t>
        </is>
      </c>
      <c r="Y352" t="inlineStr">
        <is>
          <t>27660897203</t>
        </is>
      </c>
    </row>
    <row r="353">
      <c r="A353" t="inlineStr">
        <is>
          <t>14828536</t>
        </is>
      </c>
      <c r="B353" t="inlineStr">
        <is>
          <t>48a09ab1-1158-43ce-92bb-19a674d07026</t>
        </is>
      </c>
      <c r="D353" t="inlineStr">
        <is>
          <t>111111123</t>
        </is>
      </c>
      <c r="E353" t="inlineStr">
        <is>
          <t>Vodacom Life 20260603</t>
        </is>
      </c>
      <c r="J353" t="inlineStr">
        <is>
          <t>NA</t>
        </is>
      </c>
      <c r="K353" t="inlineStr">
        <is>
          <t>No Answer Autodial</t>
        </is>
      </c>
      <c r="L353" t="n">
        <v>7</v>
      </c>
      <c r="M353" t="inlineStr">
        <is>
          <t>2026-06-15 06:50:51</t>
        </is>
      </c>
      <c r="N353" t="inlineStr">
        <is>
          <t>system</t>
        </is>
      </c>
      <c r="O353" t="inlineStr">
        <is>
          <t>2026-06-08 05:25:27</t>
        </is>
      </c>
      <c r="P353" t="inlineStr">
        <is>
          <t>2026-06-08 05:25:27</t>
        </is>
      </c>
      <c r="Y353" t="inlineStr">
        <is>
          <t>27765301663</t>
        </is>
      </c>
    </row>
    <row r="354">
      <c r="A354" t="inlineStr">
        <is>
          <t>14800000</t>
        </is>
      </c>
      <c r="B354" t="inlineStr">
        <is>
          <t>6e6533c9-9510-4cbc-87cc-224a1e6bd6a2</t>
        </is>
      </c>
      <c r="D354" t="inlineStr">
        <is>
          <t>111111123</t>
        </is>
      </c>
      <c r="E354" t="inlineStr">
        <is>
          <t>Vodacom Life 20260603</t>
        </is>
      </c>
      <c r="J354" t="inlineStr">
        <is>
          <t>AE</t>
        </is>
      </c>
      <c r="K354" t="inlineStr">
        <is>
          <t>Auto Engaged</t>
        </is>
      </c>
      <c r="L354" t="n">
        <v>7</v>
      </c>
      <c r="M354" t="inlineStr">
        <is>
          <t>2026-06-15 06:50:49</t>
        </is>
      </c>
      <c r="N354" t="inlineStr">
        <is>
          <t>system</t>
        </is>
      </c>
      <c r="O354" t="inlineStr">
        <is>
          <t>2026-06-08 05:25:27</t>
        </is>
      </c>
      <c r="P354" t="inlineStr">
        <is>
          <t>2026-06-08 05:25:27</t>
        </is>
      </c>
      <c r="Y354" t="inlineStr">
        <is>
          <t>27812323679</t>
        </is>
      </c>
    </row>
    <row r="355">
      <c r="A355" t="inlineStr">
        <is>
          <t>14828401</t>
        </is>
      </c>
      <c r="B355" t="inlineStr">
        <is>
          <t>f2f01a94-8488-46e3-991f-f7bd73dbb976</t>
        </is>
      </c>
      <c r="D355" t="inlineStr">
        <is>
          <t>111111123</t>
        </is>
      </c>
      <c r="E355" t="inlineStr">
        <is>
          <t>Vodacom Life 20260603</t>
        </is>
      </c>
      <c r="J355" t="inlineStr">
        <is>
          <t>AA</t>
        </is>
      </c>
      <c r="K355" t="inlineStr">
        <is>
          <t>Answering Machine Autodial</t>
        </is>
      </c>
      <c r="L355" t="n">
        <v>7</v>
      </c>
      <c r="M355" t="inlineStr">
        <is>
          <t>2026-06-15 06:50:18</t>
        </is>
      </c>
      <c r="N355" t="inlineStr">
        <is>
          <t>system</t>
        </is>
      </c>
      <c r="O355" t="inlineStr">
        <is>
          <t>2026-06-08 05:25:27</t>
        </is>
      </c>
      <c r="P355" t="inlineStr">
        <is>
          <t>2026-06-08 05:25:27</t>
        </is>
      </c>
      <c r="Y355" t="inlineStr">
        <is>
          <t>27797768940</t>
        </is>
      </c>
    </row>
    <row r="356">
      <c r="A356" t="inlineStr">
        <is>
          <t>14828497</t>
        </is>
      </c>
      <c r="B356" t="inlineStr">
        <is>
          <t>42c3f7ff-8d6a-40b3-883c-31fd77d729d2</t>
        </is>
      </c>
      <c r="D356" t="inlineStr">
        <is>
          <t>111111123</t>
        </is>
      </c>
      <c r="E356" t="inlineStr">
        <is>
          <t>Vodacom Life 20260603</t>
        </is>
      </c>
      <c r="J356" t="inlineStr">
        <is>
          <t>AE</t>
        </is>
      </c>
      <c r="K356" t="inlineStr">
        <is>
          <t>Auto Engaged</t>
        </is>
      </c>
      <c r="L356" t="n">
        <v>7</v>
      </c>
      <c r="M356" t="inlineStr">
        <is>
          <t>2026-06-15 06:50:15</t>
        </is>
      </c>
      <c r="N356" t="inlineStr">
        <is>
          <t>system</t>
        </is>
      </c>
      <c r="O356" t="inlineStr">
        <is>
          <t>2026-06-08 05:25:27</t>
        </is>
      </c>
      <c r="P356" t="inlineStr">
        <is>
          <t>2026-06-08 05:25:27</t>
        </is>
      </c>
      <c r="Y356" t="inlineStr">
        <is>
          <t>27713696147</t>
        </is>
      </c>
    </row>
    <row r="357">
      <c r="A357" t="inlineStr">
        <is>
          <t>14828460</t>
        </is>
      </c>
      <c r="B357" t="inlineStr">
        <is>
          <t>a9246261-4b52-478d-be9d-a819fb2dcdab</t>
        </is>
      </c>
      <c r="D357" t="inlineStr">
        <is>
          <t>111111123</t>
        </is>
      </c>
      <c r="E357" t="inlineStr">
        <is>
          <t>Vodacom Life 20260603</t>
        </is>
      </c>
      <c r="H357" t="inlineStr">
        <is>
          <t>27762569918</t>
        </is>
      </c>
      <c r="J357" t="inlineStr">
        <is>
          <t>CU</t>
        </is>
      </c>
      <c r="K357" t="inlineStr">
        <is>
          <t>Client Hung Up</t>
        </is>
      </c>
      <c r="L357" t="n">
        <v>7</v>
      </c>
      <c r="M357" t="inlineStr">
        <is>
          <t>2026-06-15 06:49:51</t>
        </is>
      </c>
      <c r="N357" t="inlineStr">
        <is>
          <t>bongiwe lushaba</t>
        </is>
      </c>
      <c r="O357" t="inlineStr">
        <is>
          <t>2026-06-08 05:25:27</t>
        </is>
      </c>
      <c r="P357" t="inlineStr">
        <is>
          <t>2026-06-08 05:25:27</t>
        </is>
      </c>
      <c r="Y357" t="inlineStr">
        <is>
          <t>27762569918</t>
        </is>
      </c>
    </row>
    <row r="358">
      <c r="A358" t="inlineStr">
        <is>
          <t>14828163</t>
        </is>
      </c>
      <c r="B358" t="inlineStr">
        <is>
          <t>ece74498-cf83-4079-bfbe-8120332f8dab</t>
        </is>
      </c>
      <c r="D358" t="inlineStr">
        <is>
          <t>111111123</t>
        </is>
      </c>
      <c r="E358" t="inlineStr">
        <is>
          <t>Vodacom Life 20260603</t>
        </is>
      </c>
      <c r="J358" t="inlineStr">
        <is>
          <t>AA</t>
        </is>
      </c>
      <c r="K358" t="inlineStr">
        <is>
          <t>Answering Machine Autodial</t>
        </is>
      </c>
      <c r="L358" t="n">
        <v>7</v>
      </c>
      <c r="M358" t="inlineStr">
        <is>
          <t>2026-06-15 06:49:44</t>
        </is>
      </c>
      <c r="N358" t="inlineStr">
        <is>
          <t>system</t>
        </is>
      </c>
      <c r="O358" t="inlineStr">
        <is>
          <t>2026-06-08 05:25:27</t>
        </is>
      </c>
      <c r="P358" t="inlineStr">
        <is>
          <t>2026-06-08 05:25:27</t>
        </is>
      </c>
      <c r="Y358" t="inlineStr">
        <is>
          <t>27716365342</t>
        </is>
      </c>
    </row>
    <row r="359">
      <c r="A359" t="inlineStr">
        <is>
          <t>14827731</t>
        </is>
      </c>
      <c r="B359" t="inlineStr">
        <is>
          <t>4825a43f-afe7-4a57-9ef8-5b5d68cc1b44</t>
        </is>
      </c>
      <c r="D359" t="inlineStr">
        <is>
          <t>111111123</t>
        </is>
      </c>
      <c r="E359" t="inlineStr">
        <is>
          <t>Vodacom Life 20260603</t>
        </is>
      </c>
      <c r="J359" t="inlineStr">
        <is>
          <t>AA</t>
        </is>
      </c>
      <c r="K359" t="inlineStr">
        <is>
          <t>Answering Machine Autodial</t>
        </is>
      </c>
      <c r="L359" t="n">
        <v>7</v>
      </c>
      <c r="M359" t="inlineStr">
        <is>
          <t>2026-06-15 06:49:44</t>
        </is>
      </c>
      <c r="N359" t="inlineStr">
        <is>
          <t>system</t>
        </is>
      </c>
      <c r="O359" t="inlineStr">
        <is>
          <t>2026-06-08 05:25:27</t>
        </is>
      </c>
      <c r="P359" t="inlineStr">
        <is>
          <t>2026-06-08 05:25:27</t>
        </is>
      </c>
      <c r="Y359" t="inlineStr">
        <is>
          <t>27712402727</t>
        </is>
      </c>
    </row>
    <row r="360">
      <c r="A360" t="inlineStr">
        <is>
          <t>14828403</t>
        </is>
      </c>
      <c r="B360" t="inlineStr">
        <is>
          <t>525c590f-36f7-4857-a81c-6e30ab68c68b</t>
        </is>
      </c>
      <c r="D360" t="inlineStr">
        <is>
          <t>111111123</t>
        </is>
      </c>
      <c r="E360" t="inlineStr">
        <is>
          <t>Vodacom Life 20260603</t>
        </is>
      </c>
      <c r="J360" t="inlineStr">
        <is>
          <t>DROP</t>
        </is>
      </c>
      <c r="K360" t="inlineStr">
        <is>
          <t>Dropped</t>
        </is>
      </c>
      <c r="L360" t="n">
        <v>7</v>
      </c>
      <c r="M360" t="inlineStr">
        <is>
          <t>2026-06-15 06:49:43</t>
        </is>
      </c>
      <c r="N360" t="inlineStr">
        <is>
          <t>system</t>
        </is>
      </c>
      <c r="O360" t="inlineStr">
        <is>
          <t>2026-06-08 05:25:27</t>
        </is>
      </c>
      <c r="P360" t="inlineStr">
        <is>
          <t>2026-06-08 05:25:27</t>
        </is>
      </c>
      <c r="Y360" t="inlineStr">
        <is>
          <t>27715653170</t>
        </is>
      </c>
    </row>
    <row r="361">
      <c r="A361" t="inlineStr">
        <is>
          <t>14828514</t>
        </is>
      </c>
      <c r="B361" t="inlineStr">
        <is>
          <t>da9f5789-7bd0-4597-875e-e3470f3d052f</t>
        </is>
      </c>
      <c r="D361" t="inlineStr">
        <is>
          <t>111111123</t>
        </is>
      </c>
      <c r="E361" t="inlineStr">
        <is>
          <t>Vodacom Life 20260603</t>
        </is>
      </c>
      <c r="J361" t="inlineStr">
        <is>
          <t>DROP</t>
        </is>
      </c>
      <c r="K361" t="inlineStr">
        <is>
          <t>Dropped</t>
        </is>
      </c>
      <c r="L361" t="n">
        <v>7</v>
      </c>
      <c r="M361" t="inlineStr">
        <is>
          <t>2026-06-15 06:49:43</t>
        </is>
      </c>
      <c r="N361" t="inlineStr">
        <is>
          <t>system</t>
        </is>
      </c>
      <c r="O361" t="inlineStr">
        <is>
          <t>2026-06-08 05:25:27</t>
        </is>
      </c>
      <c r="P361" t="inlineStr">
        <is>
          <t>2026-06-08 05:25:27</t>
        </is>
      </c>
      <c r="Y361" t="inlineStr">
        <is>
          <t>27636325007</t>
        </is>
      </c>
    </row>
    <row r="362">
      <c r="A362" t="inlineStr">
        <is>
          <t>14828424</t>
        </is>
      </c>
      <c r="B362" t="inlineStr">
        <is>
          <t>741fe58c-b97b-4fc7-9a92-fe51dabddf1d</t>
        </is>
      </c>
      <c r="D362" t="inlineStr">
        <is>
          <t>111111123</t>
        </is>
      </c>
      <c r="E362" t="inlineStr">
        <is>
          <t>Vodacom Life 20260603</t>
        </is>
      </c>
      <c r="H362" t="inlineStr">
        <is>
          <t>27791831991</t>
        </is>
      </c>
      <c r="J362" t="inlineStr">
        <is>
          <t>NA</t>
        </is>
      </c>
      <c r="K362" t="inlineStr">
        <is>
          <t>No Answer Autodial</t>
        </is>
      </c>
      <c r="L362" t="n">
        <v>7</v>
      </c>
      <c r="M362" t="inlineStr">
        <is>
          <t>2026-06-15 06:49:43</t>
        </is>
      </c>
      <c r="N362" t="inlineStr">
        <is>
          <t>system</t>
        </is>
      </c>
      <c r="O362" t="inlineStr">
        <is>
          <t>2026-06-08 05:25:27</t>
        </is>
      </c>
      <c r="P362" t="inlineStr">
        <is>
          <t>2026-06-08 05:25:27</t>
        </is>
      </c>
      <c r="Y362" t="inlineStr">
        <is>
          <t>27791831991</t>
        </is>
      </c>
    </row>
    <row r="363">
      <c r="A363" t="inlineStr">
        <is>
          <t>14828515</t>
        </is>
      </c>
      <c r="B363" t="inlineStr">
        <is>
          <t>8b3660b6-100f-4886-9c07-1c5d8679227f</t>
        </is>
      </c>
      <c r="D363" t="inlineStr">
        <is>
          <t>111111123</t>
        </is>
      </c>
      <c r="E363" t="inlineStr">
        <is>
          <t>Vodacom Life 20260603</t>
        </is>
      </c>
      <c r="J363" t="inlineStr">
        <is>
          <t>CU</t>
        </is>
      </c>
      <c r="K363" t="inlineStr">
        <is>
          <t>Client Hung Up</t>
        </is>
      </c>
      <c r="L363" t="n">
        <v>7</v>
      </c>
      <c r="M363" t="inlineStr">
        <is>
          <t>2026-06-15 06:49:33</t>
        </is>
      </c>
      <c r="N363" t="inlineStr">
        <is>
          <t>Maureen Ntsoko</t>
        </is>
      </c>
      <c r="O363" t="inlineStr">
        <is>
          <t>2026-06-08 05:25:27</t>
        </is>
      </c>
      <c r="P363" t="inlineStr">
        <is>
          <t>2026-06-08 05:25:27</t>
        </is>
      </c>
      <c r="Y363" t="inlineStr">
        <is>
          <t>27799806203</t>
        </is>
      </c>
    </row>
    <row r="364">
      <c r="A364" t="inlineStr">
        <is>
          <t>14828447</t>
        </is>
      </c>
      <c r="B364" t="inlineStr">
        <is>
          <t>0134946f-27aa-431c-bff6-9a0b4a80e80e</t>
        </is>
      </c>
      <c r="D364" t="inlineStr">
        <is>
          <t>111111123</t>
        </is>
      </c>
      <c r="E364" t="inlineStr">
        <is>
          <t>Vodacom Life 20260603</t>
        </is>
      </c>
      <c r="H364" t="inlineStr">
        <is>
          <t>27791459597</t>
        </is>
      </c>
      <c r="J364" t="inlineStr">
        <is>
          <t>AA</t>
        </is>
      </c>
      <c r="K364" t="inlineStr">
        <is>
          <t>Answering Machine Autodial</t>
        </is>
      </c>
      <c r="L364" t="n">
        <v>7</v>
      </c>
      <c r="M364" t="inlineStr">
        <is>
          <t>2026-06-15 06:49:31</t>
        </is>
      </c>
      <c r="N364" t="inlineStr">
        <is>
          <t>system</t>
        </is>
      </c>
      <c r="O364" t="inlineStr">
        <is>
          <t>2026-06-08 05:25:27</t>
        </is>
      </c>
      <c r="P364" t="inlineStr">
        <is>
          <t>2026-06-08 05:25:27</t>
        </is>
      </c>
      <c r="Y364" t="inlineStr">
        <is>
          <t>27791459597</t>
        </is>
      </c>
    </row>
    <row r="365">
      <c r="A365" t="inlineStr">
        <is>
          <t>14828476</t>
        </is>
      </c>
      <c r="B365" t="inlineStr">
        <is>
          <t>f2b04e33-ebef-4513-b56a-b98ef640a8ca</t>
        </is>
      </c>
      <c r="D365" t="inlineStr">
        <is>
          <t>111111123</t>
        </is>
      </c>
      <c r="E365" t="inlineStr">
        <is>
          <t>Vodacom Life 20260603</t>
        </is>
      </c>
      <c r="J365" t="inlineStr">
        <is>
          <t>AE</t>
        </is>
      </c>
      <c r="K365" t="inlineStr">
        <is>
          <t>Auto Engaged</t>
        </is>
      </c>
      <c r="L365" t="n">
        <v>7</v>
      </c>
      <c r="M365" t="inlineStr">
        <is>
          <t>2026-06-15 06:49:25</t>
        </is>
      </c>
      <c r="N365" t="inlineStr">
        <is>
          <t>system</t>
        </is>
      </c>
      <c r="O365" t="inlineStr">
        <is>
          <t>2026-06-08 05:25:27</t>
        </is>
      </c>
      <c r="P365" t="inlineStr">
        <is>
          <t>2026-06-08 05:25:27</t>
        </is>
      </c>
      <c r="Y365" t="inlineStr">
        <is>
          <t>27795731239</t>
        </is>
      </c>
    </row>
    <row r="366">
      <c r="A366" t="inlineStr">
        <is>
          <t>14828385</t>
        </is>
      </c>
      <c r="B366" t="inlineStr">
        <is>
          <t>69c22c92-39c4-434e-b8fd-d6851ec52dbe</t>
        </is>
      </c>
      <c r="D366" t="inlineStr">
        <is>
          <t>111111123</t>
        </is>
      </c>
      <c r="E366" t="inlineStr">
        <is>
          <t>Vodacom Life 20260603</t>
        </is>
      </c>
      <c r="J366" t="inlineStr">
        <is>
          <t>NA</t>
        </is>
      </c>
      <c r="K366" t="inlineStr">
        <is>
          <t>No Answer Autodial</t>
        </is>
      </c>
      <c r="L366" t="n">
        <v>7</v>
      </c>
      <c r="M366" t="inlineStr">
        <is>
          <t>2026-06-15 06:49:20</t>
        </is>
      </c>
      <c r="N366" t="inlineStr">
        <is>
          <t>system</t>
        </is>
      </c>
      <c r="O366" t="inlineStr">
        <is>
          <t>2026-06-08 05:25:27</t>
        </is>
      </c>
      <c r="P366" t="inlineStr">
        <is>
          <t>2026-06-08 05:25:27</t>
        </is>
      </c>
      <c r="Y366" t="inlineStr">
        <is>
          <t>27795018375</t>
        </is>
      </c>
    </row>
    <row r="367">
      <c r="A367" t="inlineStr">
        <is>
          <t>14800000</t>
        </is>
      </c>
      <c r="B367" t="inlineStr">
        <is>
          <t>73e93074-f0c9-43a2-a49f-1b90643efb3a</t>
        </is>
      </c>
      <c r="D367" t="inlineStr">
        <is>
          <t>111111123</t>
        </is>
      </c>
      <c r="E367" t="inlineStr">
        <is>
          <t>Vodacom Life 20260603</t>
        </is>
      </c>
      <c r="J367" t="inlineStr">
        <is>
          <t>AA</t>
        </is>
      </c>
      <c r="K367" t="inlineStr">
        <is>
          <t>Answering Machine Autodial</t>
        </is>
      </c>
      <c r="L367" t="n">
        <v>7</v>
      </c>
      <c r="M367" t="inlineStr">
        <is>
          <t>2026-06-15 06:49:20</t>
        </is>
      </c>
      <c r="N367" t="inlineStr">
        <is>
          <t>system</t>
        </is>
      </c>
      <c r="O367" t="inlineStr">
        <is>
          <t>2026-06-08 05:25:27</t>
        </is>
      </c>
      <c r="P367" t="inlineStr">
        <is>
          <t>2026-06-08 05:25:27</t>
        </is>
      </c>
      <c r="Y367" t="inlineStr">
        <is>
          <t>27609229627</t>
        </is>
      </c>
    </row>
    <row r="368">
      <c r="A368" t="inlineStr">
        <is>
          <t>14827583</t>
        </is>
      </c>
      <c r="B368" t="inlineStr">
        <is>
          <t>fb20ce86-ac15-41d8-ab97-278899bf47d5</t>
        </is>
      </c>
      <c r="D368" t="inlineStr">
        <is>
          <t>111111123</t>
        </is>
      </c>
      <c r="E368" t="inlineStr">
        <is>
          <t>Vodacom Life 20260603</t>
        </is>
      </c>
      <c r="J368" t="inlineStr">
        <is>
          <t>AE</t>
        </is>
      </c>
      <c r="K368" t="inlineStr">
        <is>
          <t>Auto Engaged</t>
        </is>
      </c>
      <c r="L368" t="n">
        <v>7</v>
      </c>
      <c r="M368" t="inlineStr">
        <is>
          <t>2026-06-15 06:49:10</t>
        </is>
      </c>
      <c r="N368" t="inlineStr">
        <is>
          <t>system</t>
        </is>
      </c>
      <c r="O368" t="inlineStr">
        <is>
          <t>2026-06-08 05:25:27</t>
        </is>
      </c>
      <c r="P368" t="inlineStr">
        <is>
          <t>2026-06-08 05:25:27</t>
        </is>
      </c>
      <c r="Y368" t="inlineStr">
        <is>
          <t>27729018744</t>
        </is>
      </c>
    </row>
    <row r="369">
      <c r="A369" t="inlineStr">
        <is>
          <t>14828404</t>
        </is>
      </c>
      <c r="B369" t="inlineStr">
        <is>
          <t>8bd7af13-cd80-49d3-bbdc-ac9de4ed8f23</t>
        </is>
      </c>
      <c r="D369" t="inlineStr">
        <is>
          <t>111111123</t>
        </is>
      </c>
      <c r="E369" t="inlineStr">
        <is>
          <t>Vodacom Life 20260603</t>
        </is>
      </c>
      <c r="J369" t="inlineStr">
        <is>
          <t>AA</t>
        </is>
      </c>
      <c r="K369" t="inlineStr">
        <is>
          <t>Answering Machine Autodial</t>
        </is>
      </c>
      <c r="L369" t="n">
        <v>7</v>
      </c>
      <c r="M369" t="inlineStr">
        <is>
          <t>2026-06-15 06:48:54</t>
        </is>
      </c>
      <c r="N369" t="inlineStr">
        <is>
          <t>system</t>
        </is>
      </c>
      <c r="O369" t="inlineStr">
        <is>
          <t>2026-06-08 05:25:27</t>
        </is>
      </c>
      <c r="P369" t="inlineStr">
        <is>
          <t>2026-06-08 05:25:27</t>
        </is>
      </c>
      <c r="Y369" t="inlineStr">
        <is>
          <t>27762592065</t>
        </is>
      </c>
    </row>
    <row r="370">
      <c r="A370" t="inlineStr">
        <is>
          <t>14828453</t>
        </is>
      </c>
      <c r="B370" t="inlineStr">
        <is>
          <t>479f525b-991c-45dc-ba95-0acb8a102b2a</t>
        </is>
      </c>
      <c r="D370" t="inlineStr">
        <is>
          <t>111111123</t>
        </is>
      </c>
      <c r="E370" t="inlineStr">
        <is>
          <t>Vodacom Life 20260603</t>
        </is>
      </c>
      <c r="J370" t="inlineStr">
        <is>
          <t>ADC</t>
        </is>
      </c>
      <c r="K370" t="inlineStr">
        <is>
          <t>Auto Dial Disconnected</t>
        </is>
      </c>
      <c r="L370" t="n">
        <v>7</v>
      </c>
      <c r="M370" t="inlineStr">
        <is>
          <t>2026-06-15 06:48:54</t>
        </is>
      </c>
      <c r="N370" t="inlineStr">
        <is>
          <t>system</t>
        </is>
      </c>
      <c r="O370" t="inlineStr">
        <is>
          <t>2026-06-08 05:25:27</t>
        </is>
      </c>
      <c r="P370" t="inlineStr">
        <is>
          <t>2026-06-08 05:25:27</t>
        </is>
      </c>
      <c r="Y370" t="inlineStr">
        <is>
          <t>27799983008</t>
        </is>
      </c>
    </row>
    <row r="371">
      <c r="A371" t="inlineStr">
        <is>
          <t>14828451</t>
        </is>
      </c>
      <c r="B371" t="inlineStr">
        <is>
          <t>47b605dd-6867-4ca0-974b-f5d693274244</t>
        </is>
      </c>
      <c r="D371" t="inlineStr">
        <is>
          <t>111111123</t>
        </is>
      </c>
      <c r="E371" t="inlineStr">
        <is>
          <t>Vodacom Life 20260603</t>
        </is>
      </c>
      <c r="J371" t="inlineStr">
        <is>
          <t>AA</t>
        </is>
      </c>
      <c r="K371" t="inlineStr">
        <is>
          <t>Answering Machine Autodial</t>
        </is>
      </c>
      <c r="L371" t="n">
        <v>7</v>
      </c>
      <c r="M371" t="inlineStr">
        <is>
          <t>2026-06-15 06:48:53</t>
        </is>
      </c>
      <c r="N371" t="inlineStr">
        <is>
          <t>system</t>
        </is>
      </c>
      <c r="O371" t="inlineStr">
        <is>
          <t>2026-06-08 05:25:27</t>
        </is>
      </c>
      <c r="P371" t="inlineStr">
        <is>
          <t>2026-06-08 05:25:27</t>
        </is>
      </c>
      <c r="Y371" t="inlineStr">
        <is>
          <t>27768564111</t>
        </is>
      </c>
    </row>
    <row r="372">
      <c r="A372" t="inlineStr">
        <is>
          <t>14828421</t>
        </is>
      </c>
      <c r="B372" t="inlineStr">
        <is>
          <t>83122206-a20f-45fb-a6d0-e1549ee73fb1</t>
        </is>
      </c>
      <c r="D372" t="inlineStr">
        <is>
          <t>111111123</t>
        </is>
      </c>
      <c r="E372" t="inlineStr">
        <is>
          <t>Vodacom Life 20260603</t>
        </is>
      </c>
      <c r="H372" t="inlineStr">
        <is>
          <t>27793769717</t>
        </is>
      </c>
      <c r="J372" t="inlineStr">
        <is>
          <t>IABDN</t>
        </is>
      </c>
      <c r="K372" t="inlineStr">
        <is>
          <t>Inbound Abandon</t>
        </is>
      </c>
      <c r="L372" t="n">
        <v>7</v>
      </c>
      <c r="M372" t="inlineStr">
        <is>
          <t>2026-06-15 06:48:16</t>
        </is>
      </c>
      <c r="N372" t="inlineStr">
        <is>
          <t>system</t>
        </is>
      </c>
      <c r="O372" t="inlineStr">
        <is>
          <t>2026-06-08 05:25:27</t>
        </is>
      </c>
      <c r="P372" t="inlineStr">
        <is>
          <t>2026-06-08 05:25:27</t>
        </is>
      </c>
      <c r="Y372" t="inlineStr">
        <is>
          <t>27793769717</t>
        </is>
      </c>
    </row>
    <row r="373">
      <c r="A373" t="inlineStr">
        <is>
          <t>14827607</t>
        </is>
      </c>
      <c r="B373" t="inlineStr">
        <is>
          <t>2fad338d-f00c-4475-bf98-d9936496f9cb</t>
        </is>
      </c>
      <c r="D373" t="inlineStr">
        <is>
          <t>111111123</t>
        </is>
      </c>
      <c r="E373" t="inlineStr">
        <is>
          <t>Vodacom Life 20260603</t>
        </is>
      </c>
      <c r="H373" t="inlineStr">
        <is>
          <t>27715326697</t>
        </is>
      </c>
      <c r="J373" t="inlineStr">
        <is>
          <t>NI</t>
        </is>
      </c>
      <c r="K373" t="inlineStr">
        <is>
          <t>Not Interested</t>
        </is>
      </c>
      <c r="L373" t="n">
        <v>8</v>
      </c>
      <c r="M373" t="inlineStr">
        <is>
          <t>2026-06-15 06:47:52</t>
        </is>
      </c>
      <c r="N373" t="inlineStr">
        <is>
          <t>Maureen Ntsoko</t>
        </is>
      </c>
      <c r="O373" t="inlineStr">
        <is>
          <t>2026-06-08 05:25:27</t>
        </is>
      </c>
      <c r="P373" t="inlineStr">
        <is>
          <t>2026-06-08 05:25:27</t>
        </is>
      </c>
      <c r="Y373" t="inlineStr">
        <is>
          <t>27715326697</t>
        </is>
      </c>
    </row>
    <row r="374">
      <c r="A374" t="inlineStr">
        <is>
          <t>14827874</t>
        </is>
      </c>
      <c r="B374" t="inlineStr">
        <is>
          <t>e2f86efb-2a6b-4af9-b661-468ab618ffb5</t>
        </is>
      </c>
      <c r="D374" t="inlineStr">
        <is>
          <t>111111123</t>
        </is>
      </c>
      <c r="E374" t="inlineStr">
        <is>
          <t>Vodacom Life 20260603</t>
        </is>
      </c>
      <c r="J374" t="inlineStr">
        <is>
          <t>NA</t>
        </is>
      </c>
      <c r="K374" t="inlineStr">
        <is>
          <t>No Answer Autodial</t>
        </is>
      </c>
      <c r="L374" t="n">
        <v>7</v>
      </c>
      <c r="M374" t="inlineStr">
        <is>
          <t>2026-06-15 06:47:50</t>
        </is>
      </c>
      <c r="N374" t="inlineStr">
        <is>
          <t>system</t>
        </is>
      </c>
      <c r="O374" t="inlineStr">
        <is>
          <t>2026-06-08 05:25:27</t>
        </is>
      </c>
      <c r="P374" t="inlineStr">
        <is>
          <t>2026-06-08 05:25:27</t>
        </is>
      </c>
      <c r="Y374" t="inlineStr">
        <is>
          <t>27660424440</t>
        </is>
      </c>
    </row>
    <row r="375">
      <c r="A375" t="inlineStr">
        <is>
          <t>14827748</t>
        </is>
      </c>
      <c r="B375" t="inlineStr">
        <is>
          <t>56c241e4-c7b7-4dc9-8d0a-225a669820d4</t>
        </is>
      </c>
      <c r="D375" t="inlineStr">
        <is>
          <t>111111123</t>
        </is>
      </c>
      <c r="E375" t="inlineStr">
        <is>
          <t>Vodacom Life 20260603</t>
        </is>
      </c>
      <c r="J375" t="inlineStr">
        <is>
          <t>NA</t>
        </is>
      </c>
      <c r="K375" t="inlineStr">
        <is>
          <t>No Answer Autodial</t>
        </is>
      </c>
      <c r="L375" t="n">
        <v>7</v>
      </c>
      <c r="M375" t="inlineStr">
        <is>
          <t>2026-06-15 06:47:14</t>
        </is>
      </c>
      <c r="N375" t="inlineStr">
        <is>
          <t>system</t>
        </is>
      </c>
      <c r="O375" t="inlineStr">
        <is>
          <t>2026-06-08 05:25:27</t>
        </is>
      </c>
      <c r="P375" t="inlineStr">
        <is>
          <t>2026-06-08 05:25:27</t>
        </is>
      </c>
      <c r="Y375" t="inlineStr">
        <is>
          <t>27818217319</t>
        </is>
      </c>
    </row>
    <row r="376">
      <c r="A376" t="inlineStr">
        <is>
          <t>14828527</t>
        </is>
      </c>
      <c r="B376" t="inlineStr">
        <is>
          <t>a897374b-6187-49e7-927f-daa6191c0c58</t>
        </is>
      </c>
      <c r="D376" t="inlineStr">
        <is>
          <t>111111123</t>
        </is>
      </c>
      <c r="E376" t="inlineStr">
        <is>
          <t>Vodacom Life 20260603</t>
        </is>
      </c>
      <c r="J376" t="inlineStr">
        <is>
          <t>NA</t>
        </is>
      </c>
      <c r="K376" t="inlineStr">
        <is>
          <t>No Answer Autodial</t>
        </is>
      </c>
      <c r="L376" t="n">
        <v>7</v>
      </c>
      <c r="M376" t="inlineStr">
        <is>
          <t>2026-06-15 06:47:13</t>
        </is>
      </c>
      <c r="N376" t="inlineStr">
        <is>
          <t>system</t>
        </is>
      </c>
      <c r="O376" t="inlineStr">
        <is>
          <t>2026-06-08 05:25:27</t>
        </is>
      </c>
      <c r="P376" t="inlineStr">
        <is>
          <t>2026-06-08 05:25:27</t>
        </is>
      </c>
      <c r="Y376" t="inlineStr">
        <is>
          <t>27767871968</t>
        </is>
      </c>
    </row>
    <row r="377">
      <c r="A377" t="inlineStr">
        <is>
          <t>14828502</t>
        </is>
      </c>
      <c r="B377" t="inlineStr">
        <is>
          <t>17c137eb-3f36-4552-ac01-78d557f0a308</t>
        </is>
      </c>
      <c r="D377" t="inlineStr">
        <is>
          <t>111111123</t>
        </is>
      </c>
      <c r="E377" t="inlineStr">
        <is>
          <t>Vodacom Life 20260603</t>
        </is>
      </c>
      <c r="J377" t="inlineStr">
        <is>
          <t>NA</t>
        </is>
      </c>
      <c r="K377" t="inlineStr">
        <is>
          <t>No Answer Autodial</t>
        </is>
      </c>
      <c r="L377" t="n">
        <v>7</v>
      </c>
      <c r="M377" t="inlineStr">
        <is>
          <t>2026-06-15 06:47:07</t>
        </is>
      </c>
      <c r="N377" t="inlineStr">
        <is>
          <t>system</t>
        </is>
      </c>
      <c r="O377" t="inlineStr">
        <is>
          <t>2026-06-08 05:25:27</t>
        </is>
      </c>
      <c r="P377" t="inlineStr">
        <is>
          <t>2026-06-08 05:25:27</t>
        </is>
      </c>
      <c r="Y377" t="inlineStr">
        <is>
          <t>27797328956</t>
        </is>
      </c>
    </row>
    <row r="378">
      <c r="A378" t="inlineStr">
        <is>
          <t>14828436</t>
        </is>
      </c>
      <c r="B378" t="inlineStr">
        <is>
          <t>872c5c46-2e1a-4a9e-8777-00b045a11a45</t>
        </is>
      </c>
      <c r="D378" t="inlineStr">
        <is>
          <t>111111123</t>
        </is>
      </c>
      <c r="E378" t="inlineStr">
        <is>
          <t>Vodacom Life 20260603</t>
        </is>
      </c>
      <c r="J378" t="inlineStr">
        <is>
          <t>AA</t>
        </is>
      </c>
      <c r="K378" t="inlineStr">
        <is>
          <t>Answering Machine Autodial</t>
        </is>
      </c>
      <c r="L378" t="n">
        <v>7</v>
      </c>
      <c r="M378" t="inlineStr">
        <is>
          <t>2026-06-15 06:47:07</t>
        </is>
      </c>
      <c r="N378" t="inlineStr">
        <is>
          <t>system</t>
        </is>
      </c>
      <c r="O378" t="inlineStr">
        <is>
          <t>2026-06-08 05:25:27</t>
        </is>
      </c>
      <c r="P378" t="inlineStr">
        <is>
          <t>2026-06-08 05:25:27</t>
        </is>
      </c>
      <c r="Y378" t="inlineStr">
        <is>
          <t>27825006204</t>
        </is>
      </c>
    </row>
    <row r="379">
      <c r="A379" t="inlineStr">
        <is>
          <t>14828532</t>
        </is>
      </c>
      <c r="B379" t="inlineStr">
        <is>
          <t>e1d8ae39-f2f1-4ce2-9317-1239e8f920c7</t>
        </is>
      </c>
      <c r="D379" t="inlineStr">
        <is>
          <t>111111123</t>
        </is>
      </c>
      <c r="E379" t="inlineStr">
        <is>
          <t>Vodacom Life 20260603</t>
        </is>
      </c>
      <c r="H379" t="inlineStr">
        <is>
          <t>27763579015</t>
        </is>
      </c>
      <c r="J379" t="inlineStr">
        <is>
          <t>AE</t>
        </is>
      </c>
      <c r="K379" t="inlineStr">
        <is>
          <t>Auto Engaged</t>
        </is>
      </c>
      <c r="L379" t="n">
        <v>7</v>
      </c>
      <c r="M379" t="inlineStr">
        <is>
          <t>2026-06-15 06:47:07</t>
        </is>
      </c>
      <c r="N379" t="inlineStr">
        <is>
          <t>system</t>
        </is>
      </c>
      <c r="O379" t="inlineStr">
        <is>
          <t>2026-06-08 05:25:27</t>
        </is>
      </c>
      <c r="P379" t="inlineStr">
        <is>
          <t>2026-06-08 05:25:27</t>
        </is>
      </c>
      <c r="Y379" t="inlineStr">
        <is>
          <t>27763579015</t>
        </is>
      </c>
    </row>
    <row r="380">
      <c r="A380" t="inlineStr">
        <is>
          <t>14828466</t>
        </is>
      </c>
      <c r="B380" t="inlineStr">
        <is>
          <t>068e0f72-679a-4de5-be3d-edf791765fcc</t>
        </is>
      </c>
      <c r="D380" t="inlineStr">
        <is>
          <t>111111123</t>
        </is>
      </c>
      <c r="E380" t="inlineStr">
        <is>
          <t>Vodacom Life 20260603</t>
        </is>
      </c>
      <c r="H380" t="inlineStr">
        <is>
          <t>27724256685</t>
        </is>
      </c>
      <c r="J380" t="inlineStr">
        <is>
          <t>CU</t>
        </is>
      </c>
      <c r="K380" t="inlineStr">
        <is>
          <t>Client Hung Up</t>
        </is>
      </c>
      <c r="L380" t="n">
        <v>7</v>
      </c>
      <c r="M380" t="inlineStr">
        <is>
          <t>2026-06-15 06:47:07</t>
        </is>
      </c>
      <c r="N380" t="inlineStr">
        <is>
          <t>bongiwe lushaba</t>
        </is>
      </c>
      <c r="O380" t="inlineStr">
        <is>
          <t>2026-06-08 05:25:27</t>
        </is>
      </c>
      <c r="P380" t="inlineStr">
        <is>
          <t>2026-06-08 05:25:27</t>
        </is>
      </c>
      <c r="Y380" t="inlineStr">
        <is>
          <t>27724256685</t>
        </is>
      </c>
    </row>
    <row r="381">
      <c r="A381" t="inlineStr">
        <is>
          <t>14828398</t>
        </is>
      </c>
      <c r="B381" t="inlineStr">
        <is>
          <t>5dfbb548-4042-4221-888c-e6d72e89e76b</t>
        </is>
      </c>
      <c r="D381" t="inlineStr">
        <is>
          <t>111111123</t>
        </is>
      </c>
      <c r="E381" t="inlineStr">
        <is>
          <t>Vodacom Life 20260603</t>
        </is>
      </c>
      <c r="J381" t="inlineStr">
        <is>
          <t>AE</t>
        </is>
      </c>
      <c r="K381" t="inlineStr">
        <is>
          <t>Auto Engaged</t>
        </is>
      </c>
      <c r="L381" t="n">
        <v>7</v>
      </c>
      <c r="M381" t="inlineStr">
        <is>
          <t>2026-06-15 06:47:00</t>
        </is>
      </c>
      <c r="N381" t="inlineStr">
        <is>
          <t>system</t>
        </is>
      </c>
      <c r="O381" t="inlineStr">
        <is>
          <t>2026-06-08 05:25:27</t>
        </is>
      </c>
      <c r="P381" t="inlineStr">
        <is>
          <t>2026-06-08 05:25:27</t>
        </is>
      </c>
      <c r="Y381" t="inlineStr">
        <is>
          <t>27607446187</t>
        </is>
      </c>
    </row>
    <row r="382">
      <c r="A382" t="inlineStr">
        <is>
          <t>14828431</t>
        </is>
      </c>
      <c r="B382" t="inlineStr">
        <is>
          <t>2f989af3-94f9-46b5-97f3-d642052bac8f</t>
        </is>
      </c>
      <c r="D382" t="inlineStr">
        <is>
          <t>111111123</t>
        </is>
      </c>
      <c r="E382" t="inlineStr">
        <is>
          <t>Vodacom Life 20260603</t>
        </is>
      </c>
      <c r="J382" t="inlineStr">
        <is>
          <t>AA</t>
        </is>
      </c>
      <c r="K382" t="inlineStr">
        <is>
          <t>Answering Machine Autodial</t>
        </is>
      </c>
      <c r="L382" t="n">
        <v>7</v>
      </c>
      <c r="M382" t="inlineStr">
        <is>
          <t>2026-06-15 06:47:00</t>
        </is>
      </c>
      <c r="N382" t="inlineStr">
        <is>
          <t>system</t>
        </is>
      </c>
      <c r="O382" t="inlineStr">
        <is>
          <t>2026-06-08 05:25:27</t>
        </is>
      </c>
      <c r="P382" t="inlineStr">
        <is>
          <t>2026-06-08 05:25:27</t>
        </is>
      </c>
      <c r="Y382" t="inlineStr">
        <is>
          <t>27647445886</t>
        </is>
      </c>
    </row>
    <row r="383">
      <c r="A383" t="inlineStr">
        <is>
          <t>14827867</t>
        </is>
      </c>
      <c r="B383" t="inlineStr">
        <is>
          <t>9272bc59-af8a-4a75-97e2-7dacc5466814</t>
        </is>
      </c>
      <c r="D383" t="inlineStr">
        <is>
          <t>111111123</t>
        </is>
      </c>
      <c r="E383" t="inlineStr">
        <is>
          <t>Vodacom Life 20260603</t>
        </is>
      </c>
      <c r="J383" t="inlineStr">
        <is>
          <t>AA</t>
        </is>
      </c>
      <c r="K383" t="inlineStr">
        <is>
          <t>Answering Machine Autodial</t>
        </is>
      </c>
      <c r="L383" t="n">
        <v>7</v>
      </c>
      <c r="M383" t="inlineStr">
        <is>
          <t>2026-06-15 06:46:59</t>
        </is>
      </c>
      <c r="N383" t="inlineStr">
        <is>
          <t>system</t>
        </is>
      </c>
      <c r="O383" t="inlineStr">
        <is>
          <t>2026-06-08 05:25:27</t>
        </is>
      </c>
      <c r="P383" t="inlineStr">
        <is>
          <t>2026-06-08 05:25:27</t>
        </is>
      </c>
      <c r="Y383" t="inlineStr">
        <is>
          <t>27728236508</t>
        </is>
      </c>
    </row>
    <row r="384">
      <c r="A384" t="inlineStr">
        <is>
          <t>14828399</t>
        </is>
      </c>
      <c r="B384" t="inlineStr">
        <is>
          <t>3fdb1e60-5361-4996-af50-72402d5179c7</t>
        </is>
      </c>
      <c r="D384" t="inlineStr">
        <is>
          <t>111111123</t>
        </is>
      </c>
      <c r="E384" t="inlineStr">
        <is>
          <t>Vodacom Life 20260603</t>
        </is>
      </c>
      <c r="J384" t="inlineStr">
        <is>
          <t>AA</t>
        </is>
      </c>
      <c r="K384" t="inlineStr">
        <is>
          <t>Answering Machine Autodial</t>
        </is>
      </c>
      <c r="L384" t="n">
        <v>7</v>
      </c>
      <c r="M384" t="inlineStr">
        <is>
          <t>2026-06-15 06:46:58</t>
        </is>
      </c>
      <c r="N384" t="inlineStr">
        <is>
          <t>system</t>
        </is>
      </c>
      <c r="O384" t="inlineStr">
        <is>
          <t>2026-06-08 05:25:27</t>
        </is>
      </c>
      <c r="P384" t="inlineStr">
        <is>
          <t>2026-06-08 05:25:27</t>
        </is>
      </c>
      <c r="Y384" t="inlineStr">
        <is>
          <t>27822264923</t>
        </is>
      </c>
    </row>
    <row r="385">
      <c r="A385" t="inlineStr">
        <is>
          <t>14828473</t>
        </is>
      </c>
      <c r="B385" t="inlineStr">
        <is>
          <t>da9cceb8-9b69-4cd5-9306-9706c66932b9</t>
        </is>
      </c>
      <c r="D385" t="inlineStr">
        <is>
          <t>111111123</t>
        </is>
      </c>
      <c r="E385" t="inlineStr">
        <is>
          <t>Vodacom Life 20260603</t>
        </is>
      </c>
      <c r="J385" t="inlineStr">
        <is>
          <t>ADC</t>
        </is>
      </c>
      <c r="K385" t="inlineStr">
        <is>
          <t>Auto Dial Disconnected</t>
        </is>
      </c>
      <c r="L385" t="n">
        <v>7</v>
      </c>
      <c r="M385" t="inlineStr">
        <is>
          <t>2026-06-15 06:46:57</t>
        </is>
      </c>
      <c r="N385" t="inlineStr">
        <is>
          <t>system</t>
        </is>
      </c>
      <c r="O385" t="inlineStr">
        <is>
          <t>2026-06-08 05:25:27</t>
        </is>
      </c>
      <c r="P385" t="inlineStr">
        <is>
          <t>2026-06-08 05:25:27</t>
        </is>
      </c>
      <c r="Y385" t="inlineStr">
        <is>
          <t>27729377989</t>
        </is>
      </c>
    </row>
    <row r="386">
      <c r="A386" t="inlineStr">
        <is>
          <t>14828422</t>
        </is>
      </c>
      <c r="B386" t="inlineStr">
        <is>
          <t>68f7f729-3bb4-4578-bf2a-1d5dc5d1cdd0</t>
        </is>
      </c>
      <c r="D386" t="inlineStr">
        <is>
          <t>111111123</t>
        </is>
      </c>
      <c r="E386" t="inlineStr">
        <is>
          <t>Vodacom Life 20260603</t>
        </is>
      </c>
      <c r="J386" t="inlineStr">
        <is>
          <t>ADC</t>
        </is>
      </c>
      <c r="K386" t="inlineStr">
        <is>
          <t>Auto Dial Disconnected</t>
        </is>
      </c>
      <c r="L386" t="n">
        <v>7</v>
      </c>
      <c r="M386" t="inlineStr">
        <is>
          <t>2026-06-15 06:46:57</t>
        </is>
      </c>
      <c r="N386" t="inlineStr">
        <is>
          <t>system</t>
        </is>
      </c>
      <c r="O386" t="inlineStr">
        <is>
          <t>2026-06-08 05:25:27</t>
        </is>
      </c>
      <c r="P386" t="inlineStr">
        <is>
          <t>2026-06-08 05:25:27</t>
        </is>
      </c>
      <c r="Y386" t="inlineStr">
        <is>
          <t>27608439877</t>
        </is>
      </c>
    </row>
    <row r="387">
      <c r="A387" t="inlineStr">
        <is>
          <t>14827589</t>
        </is>
      </c>
      <c r="B387" t="inlineStr">
        <is>
          <t>7cb97c3a-ac09-4dc9-ab2d-a4222443edeb</t>
        </is>
      </c>
      <c r="D387" t="inlineStr">
        <is>
          <t>111111123</t>
        </is>
      </c>
      <c r="E387" t="inlineStr">
        <is>
          <t>Vodacom Life 20260603</t>
        </is>
      </c>
      <c r="H387" t="inlineStr">
        <is>
          <t>27714180061</t>
        </is>
      </c>
      <c r="J387" t="inlineStr">
        <is>
          <t>AA</t>
        </is>
      </c>
      <c r="K387" t="inlineStr">
        <is>
          <t>Answering Machine Autodial</t>
        </is>
      </c>
      <c r="L387" t="n">
        <v>7</v>
      </c>
      <c r="M387" t="inlineStr">
        <is>
          <t>2026-06-15 06:46:57</t>
        </is>
      </c>
      <c r="N387" t="inlineStr">
        <is>
          <t>system</t>
        </is>
      </c>
      <c r="O387" t="inlineStr">
        <is>
          <t>2026-06-08 05:25:27</t>
        </is>
      </c>
      <c r="P387" t="inlineStr">
        <is>
          <t>2026-06-08 05:25:27</t>
        </is>
      </c>
      <c r="Y387" t="inlineStr">
        <is>
          <t>27714180061</t>
        </is>
      </c>
    </row>
    <row r="388">
      <c r="A388" t="inlineStr">
        <is>
          <t>14827625</t>
        </is>
      </c>
      <c r="B388" t="inlineStr">
        <is>
          <t>69fdda3b-6ff9-4dc5-b7c2-7b649ee1a6f5</t>
        </is>
      </c>
      <c r="D388" t="inlineStr">
        <is>
          <t>111111123</t>
        </is>
      </c>
      <c r="E388" t="inlineStr">
        <is>
          <t>Vodacom Life 20260603</t>
        </is>
      </c>
      <c r="J388" t="inlineStr">
        <is>
          <t>NA</t>
        </is>
      </c>
      <c r="K388" t="inlineStr">
        <is>
          <t>No Answer Autodial</t>
        </is>
      </c>
      <c r="L388" t="n">
        <v>7</v>
      </c>
      <c r="M388" t="inlineStr">
        <is>
          <t>2026-06-15 06:45:38</t>
        </is>
      </c>
      <c r="N388" t="inlineStr">
        <is>
          <t>system</t>
        </is>
      </c>
      <c r="O388" t="inlineStr">
        <is>
          <t>2026-06-08 05:25:27</t>
        </is>
      </c>
      <c r="P388" t="inlineStr">
        <is>
          <t>2026-06-08 05:25:27</t>
        </is>
      </c>
      <c r="Y388" t="inlineStr">
        <is>
          <t>27661727646</t>
        </is>
      </c>
    </row>
    <row r="389">
      <c r="A389" t="inlineStr">
        <is>
          <t>14828505</t>
        </is>
      </c>
      <c r="B389" t="inlineStr">
        <is>
          <t>99802ce0-7d16-4360-991f-e0e6634c42c1</t>
        </is>
      </c>
      <c r="D389" t="inlineStr">
        <is>
          <t>111111123</t>
        </is>
      </c>
      <c r="E389" t="inlineStr">
        <is>
          <t>Vodacom Life 20260603</t>
        </is>
      </c>
      <c r="J389" t="inlineStr">
        <is>
          <t>AE</t>
        </is>
      </c>
      <c r="K389" t="inlineStr">
        <is>
          <t>Auto Engaged</t>
        </is>
      </c>
      <c r="L389" t="n">
        <v>7</v>
      </c>
      <c r="M389" t="inlineStr">
        <is>
          <t>2026-06-15 06:45:34</t>
        </is>
      </c>
      <c r="N389" t="inlineStr">
        <is>
          <t>system</t>
        </is>
      </c>
      <c r="O389" t="inlineStr">
        <is>
          <t>2026-06-08 05:25:27</t>
        </is>
      </c>
      <c r="P389" t="inlineStr">
        <is>
          <t>2026-06-08 05:25:27</t>
        </is>
      </c>
      <c r="Y389" t="inlineStr">
        <is>
          <t>27794761491</t>
        </is>
      </c>
    </row>
    <row r="390">
      <c r="A390" t="inlineStr">
        <is>
          <t>14827644</t>
        </is>
      </c>
      <c r="B390" t="inlineStr">
        <is>
          <t>851cd4f8-c28f-41ec-9a36-cdba8a6e8837</t>
        </is>
      </c>
      <c r="D390" t="inlineStr">
        <is>
          <t>111111123</t>
        </is>
      </c>
      <c r="E390" t="inlineStr">
        <is>
          <t>Vodacom Life 20260603</t>
        </is>
      </c>
      <c r="H390" t="inlineStr">
        <is>
          <t>27729339584</t>
        </is>
      </c>
      <c r="J390" t="inlineStr">
        <is>
          <t>NA</t>
        </is>
      </c>
      <c r="K390" t="inlineStr">
        <is>
          <t>No Answer Autodial</t>
        </is>
      </c>
      <c r="L390" t="n">
        <v>7</v>
      </c>
      <c r="M390" t="inlineStr">
        <is>
          <t>2026-06-15 06:45:31</t>
        </is>
      </c>
      <c r="N390" t="inlineStr">
        <is>
          <t>system</t>
        </is>
      </c>
      <c r="O390" t="inlineStr">
        <is>
          <t>2026-06-08 05:25:27</t>
        </is>
      </c>
      <c r="P390" t="inlineStr">
        <is>
          <t>2026-06-08 05:25:27</t>
        </is>
      </c>
      <c r="Y390" t="inlineStr">
        <is>
          <t>27729339584</t>
        </is>
      </c>
    </row>
    <row r="391">
      <c r="A391" t="inlineStr">
        <is>
          <t>14827566</t>
        </is>
      </c>
      <c r="B391" t="inlineStr">
        <is>
          <t>2f92f105-de5d-40dc-a90c-f5b27521e11c</t>
        </is>
      </c>
      <c r="D391" t="inlineStr">
        <is>
          <t>111111123</t>
        </is>
      </c>
      <c r="E391" t="inlineStr">
        <is>
          <t>Vodacom Life 20260603</t>
        </is>
      </c>
      <c r="J391" t="inlineStr">
        <is>
          <t>NA</t>
        </is>
      </c>
      <c r="K391" t="inlineStr">
        <is>
          <t>No Answer Autodial</t>
        </is>
      </c>
      <c r="L391" t="n">
        <v>7</v>
      </c>
      <c r="M391" t="inlineStr">
        <is>
          <t>2026-06-15 06:45:29</t>
        </is>
      </c>
      <c r="N391" t="inlineStr">
        <is>
          <t>system</t>
        </is>
      </c>
      <c r="O391" t="inlineStr">
        <is>
          <t>2026-06-08 05:25:27</t>
        </is>
      </c>
      <c r="P391" t="inlineStr">
        <is>
          <t>2026-06-08 05:25:27</t>
        </is>
      </c>
      <c r="Y391" t="inlineStr">
        <is>
          <t>27729064269</t>
        </is>
      </c>
    </row>
    <row r="392">
      <c r="A392" t="inlineStr">
        <is>
          <t>14827602</t>
        </is>
      </c>
      <c r="B392" t="inlineStr">
        <is>
          <t>aeeeab5a-56a4-4b93-89f8-d73d24ff907a</t>
        </is>
      </c>
      <c r="D392" t="inlineStr">
        <is>
          <t>111111123</t>
        </is>
      </c>
      <c r="E392" t="inlineStr">
        <is>
          <t>Vodacom Life 20260603</t>
        </is>
      </c>
      <c r="J392" t="inlineStr">
        <is>
          <t>AE</t>
        </is>
      </c>
      <c r="K392" t="inlineStr">
        <is>
          <t>Auto Engaged</t>
        </is>
      </c>
      <c r="L392" t="n">
        <v>7</v>
      </c>
      <c r="M392" t="inlineStr">
        <is>
          <t>2026-06-15 06:45:29</t>
        </is>
      </c>
      <c r="N392" t="inlineStr">
        <is>
          <t>system</t>
        </is>
      </c>
      <c r="O392" t="inlineStr">
        <is>
          <t>2026-06-08 05:25:27</t>
        </is>
      </c>
      <c r="P392" t="inlineStr">
        <is>
          <t>2026-06-08 05:25:27</t>
        </is>
      </c>
      <c r="Y392" t="inlineStr">
        <is>
          <t>27765110807</t>
        </is>
      </c>
    </row>
    <row r="393">
      <c r="A393" t="inlineStr">
        <is>
          <t>14828458</t>
        </is>
      </c>
      <c r="B393" t="inlineStr">
        <is>
          <t>64a57003-d627-4bc4-8d1a-e2f7bee5afd2</t>
        </is>
      </c>
      <c r="D393" t="inlineStr">
        <is>
          <t>111111123</t>
        </is>
      </c>
      <c r="E393" t="inlineStr">
        <is>
          <t>Vodacom Life 20260603</t>
        </is>
      </c>
      <c r="H393" t="inlineStr">
        <is>
          <t>27790602100</t>
        </is>
      </c>
      <c r="J393" t="inlineStr">
        <is>
          <t>CU</t>
        </is>
      </c>
      <c r="K393" t="inlineStr">
        <is>
          <t>Client Hung Up</t>
        </is>
      </c>
      <c r="L393" t="n">
        <v>7</v>
      </c>
      <c r="M393" t="inlineStr">
        <is>
          <t>2026-06-15 06:45:29</t>
        </is>
      </c>
      <c r="N393" t="inlineStr">
        <is>
          <t>bongiwe lushaba</t>
        </is>
      </c>
      <c r="O393" t="inlineStr">
        <is>
          <t>2026-06-08 05:25:27</t>
        </is>
      </c>
      <c r="P393" t="inlineStr">
        <is>
          <t>2026-06-08 05:25:27</t>
        </is>
      </c>
      <c r="Y393" t="inlineStr">
        <is>
          <t>27790602100</t>
        </is>
      </c>
    </row>
    <row r="394">
      <c r="A394" t="inlineStr">
        <is>
          <t>14827642</t>
        </is>
      </c>
      <c r="B394" t="inlineStr">
        <is>
          <t>df940fcc-ef80-41e6-b417-80023180bd14</t>
        </is>
      </c>
      <c r="D394" t="inlineStr">
        <is>
          <t>111111123</t>
        </is>
      </c>
      <c r="E394" t="inlineStr">
        <is>
          <t>Vodacom Life 20260603</t>
        </is>
      </c>
      <c r="J394" t="inlineStr">
        <is>
          <t>NA</t>
        </is>
      </c>
      <c r="K394" t="inlineStr">
        <is>
          <t>No Answer Autodial</t>
        </is>
      </c>
      <c r="L394" t="n">
        <v>7</v>
      </c>
      <c r="M394" t="inlineStr">
        <is>
          <t>2026-06-15 06:45:29</t>
        </is>
      </c>
      <c r="N394" t="inlineStr">
        <is>
          <t>system</t>
        </is>
      </c>
      <c r="O394" t="inlineStr">
        <is>
          <t>2026-06-08 05:25:27</t>
        </is>
      </c>
      <c r="P394" t="inlineStr">
        <is>
          <t>2026-06-08 05:25:27</t>
        </is>
      </c>
      <c r="Y394" t="inlineStr">
        <is>
          <t>27820884912</t>
        </is>
      </c>
    </row>
    <row r="395">
      <c r="A395" t="inlineStr">
        <is>
          <t>14827894</t>
        </is>
      </c>
      <c r="B395" t="inlineStr">
        <is>
          <t>f7d894df-d1ac-4b2a-aff2-e70602f0b3f3</t>
        </is>
      </c>
      <c r="D395" t="inlineStr">
        <is>
          <t>111111123</t>
        </is>
      </c>
      <c r="E395" t="inlineStr">
        <is>
          <t>Vodacom Life 20260603</t>
        </is>
      </c>
      <c r="J395" t="inlineStr">
        <is>
          <t>AA</t>
        </is>
      </c>
      <c r="K395" t="inlineStr">
        <is>
          <t>Answering Machine Autodial</t>
        </is>
      </c>
      <c r="L395" t="n">
        <v>7</v>
      </c>
      <c r="M395" t="inlineStr">
        <is>
          <t>2026-06-15 06:45:27</t>
        </is>
      </c>
      <c r="N395" t="inlineStr">
        <is>
          <t>system</t>
        </is>
      </c>
      <c r="O395" t="inlineStr">
        <is>
          <t>2026-06-08 05:25:27</t>
        </is>
      </c>
      <c r="P395" t="inlineStr">
        <is>
          <t>2026-06-08 05:25:27</t>
        </is>
      </c>
      <c r="Y395" t="inlineStr">
        <is>
          <t>27826421465</t>
        </is>
      </c>
    </row>
    <row r="396">
      <c r="A396" t="inlineStr">
        <is>
          <t>14828516</t>
        </is>
      </c>
      <c r="B396" t="inlineStr">
        <is>
          <t>bda5db06-47f3-4002-a46c-bd2d75672894</t>
        </is>
      </c>
      <c r="D396" t="inlineStr">
        <is>
          <t>111111123</t>
        </is>
      </c>
      <c r="E396" t="inlineStr">
        <is>
          <t>Vodacom Life 20260603</t>
        </is>
      </c>
      <c r="J396" t="inlineStr">
        <is>
          <t>AA</t>
        </is>
      </c>
      <c r="K396" t="inlineStr">
        <is>
          <t>Answering Machine Autodial</t>
        </is>
      </c>
      <c r="L396" t="n">
        <v>7</v>
      </c>
      <c r="M396" t="inlineStr">
        <is>
          <t>2026-06-15 06:45:02</t>
        </is>
      </c>
      <c r="N396" t="inlineStr">
        <is>
          <t>system</t>
        </is>
      </c>
      <c r="O396" t="inlineStr">
        <is>
          <t>2026-06-08 05:25:27</t>
        </is>
      </c>
      <c r="P396" t="inlineStr">
        <is>
          <t>2026-06-08 05:25:27</t>
        </is>
      </c>
      <c r="Y396" t="inlineStr">
        <is>
          <t>27799918019</t>
        </is>
      </c>
    </row>
    <row r="397">
      <c r="A397" t="inlineStr">
        <is>
          <t>14828521</t>
        </is>
      </c>
      <c r="B397" t="inlineStr">
        <is>
          <t>7550cdea-6056-4625-a1e6-388c030057fe</t>
        </is>
      </c>
      <c r="D397" t="inlineStr">
        <is>
          <t>111111123</t>
        </is>
      </c>
      <c r="E397" t="inlineStr">
        <is>
          <t>Vodacom Life 20260603</t>
        </is>
      </c>
      <c r="J397" t="inlineStr">
        <is>
          <t>AA</t>
        </is>
      </c>
      <c r="K397" t="inlineStr">
        <is>
          <t>Answering Machine Autodial</t>
        </is>
      </c>
      <c r="L397" t="n">
        <v>7</v>
      </c>
      <c r="M397" t="inlineStr">
        <is>
          <t>2026-06-15 06:44:59</t>
        </is>
      </c>
      <c r="N397" t="inlineStr">
        <is>
          <t>system</t>
        </is>
      </c>
      <c r="O397" t="inlineStr">
        <is>
          <t>2026-06-08 05:25:27</t>
        </is>
      </c>
      <c r="P397" t="inlineStr">
        <is>
          <t>2026-06-08 05:25:27</t>
        </is>
      </c>
      <c r="Y397" t="inlineStr">
        <is>
          <t>27794389001</t>
        </is>
      </c>
    </row>
    <row r="398">
      <c r="A398" t="inlineStr">
        <is>
          <t>14828475</t>
        </is>
      </c>
      <c r="B398" t="inlineStr">
        <is>
          <t>0a96dd22-8628-42f3-a39a-1dbef7719fcd</t>
        </is>
      </c>
      <c r="D398" t="inlineStr">
        <is>
          <t>111111123</t>
        </is>
      </c>
      <c r="E398" t="inlineStr">
        <is>
          <t>Vodacom Life 20260603</t>
        </is>
      </c>
      <c r="H398" t="inlineStr">
        <is>
          <t>27793939338</t>
        </is>
      </c>
      <c r="J398" t="inlineStr">
        <is>
          <t>AA</t>
        </is>
      </c>
      <c r="K398" t="inlineStr">
        <is>
          <t>Answering Machine Autodial</t>
        </is>
      </c>
      <c r="L398" t="n">
        <v>7</v>
      </c>
      <c r="M398" t="inlineStr">
        <is>
          <t>2026-06-15 06:44:58</t>
        </is>
      </c>
      <c r="N398" t="inlineStr">
        <is>
          <t>system</t>
        </is>
      </c>
      <c r="O398" t="inlineStr">
        <is>
          <t>2026-06-08 05:25:27</t>
        </is>
      </c>
      <c r="P398" t="inlineStr">
        <is>
          <t>2026-06-08 05:25:27</t>
        </is>
      </c>
      <c r="Y398" t="inlineStr">
        <is>
          <t>27793939338</t>
        </is>
      </c>
    </row>
    <row r="399">
      <c r="A399" t="inlineStr">
        <is>
          <t>14828538</t>
        </is>
      </c>
      <c r="B399" t="inlineStr">
        <is>
          <t>1381ea39-c96d-4750-94cb-2133f2dd9f09</t>
        </is>
      </c>
      <c r="D399" t="inlineStr">
        <is>
          <t>111111123</t>
        </is>
      </c>
      <c r="E399" t="inlineStr">
        <is>
          <t>Vodacom Life 20260603</t>
        </is>
      </c>
      <c r="J399" t="inlineStr">
        <is>
          <t>NA</t>
        </is>
      </c>
      <c r="K399" t="inlineStr">
        <is>
          <t>No Answer Autodial</t>
        </is>
      </c>
      <c r="L399" t="n">
        <v>7</v>
      </c>
      <c r="M399" t="inlineStr">
        <is>
          <t>2026-06-15 06:44:58</t>
        </is>
      </c>
      <c r="N399" t="inlineStr">
        <is>
          <t>system</t>
        </is>
      </c>
      <c r="O399" t="inlineStr">
        <is>
          <t>2026-06-08 05:25:27</t>
        </is>
      </c>
      <c r="P399" t="inlineStr">
        <is>
          <t>2026-06-08 05:25:27</t>
        </is>
      </c>
      <c r="Y399" t="inlineStr">
        <is>
          <t>27736466481</t>
        </is>
      </c>
    </row>
    <row r="400">
      <c r="A400" t="inlineStr">
        <is>
          <t>14827730</t>
        </is>
      </c>
      <c r="B400" t="inlineStr">
        <is>
          <t>4957580b-c57f-4e70-82f0-a2582d9ad4e0</t>
        </is>
      </c>
      <c r="D400" t="inlineStr">
        <is>
          <t>111111123</t>
        </is>
      </c>
      <c r="E400" t="inlineStr">
        <is>
          <t>Vodacom Life 20260603</t>
        </is>
      </c>
      <c r="J400" t="inlineStr">
        <is>
          <t>AE</t>
        </is>
      </c>
      <c r="K400" t="inlineStr">
        <is>
          <t>Auto Engaged</t>
        </is>
      </c>
      <c r="L400" t="n">
        <v>7</v>
      </c>
      <c r="M400" t="inlineStr">
        <is>
          <t>2026-06-15 06:44:41</t>
        </is>
      </c>
      <c r="N400" t="inlineStr">
        <is>
          <t>system</t>
        </is>
      </c>
      <c r="O400" t="inlineStr">
        <is>
          <t>2026-06-08 05:25:27</t>
        </is>
      </c>
      <c r="P400" t="inlineStr">
        <is>
          <t>2026-06-08 05:25:27</t>
        </is>
      </c>
      <c r="Y400" t="inlineStr">
        <is>
          <t>27797248056</t>
        </is>
      </c>
    </row>
    <row r="401">
      <c r="A401" t="inlineStr">
        <is>
          <t>14828472</t>
        </is>
      </c>
      <c r="B401" t="inlineStr">
        <is>
          <t>3bf8a7d5-5613-477f-bc58-fc8ed2eabc52</t>
        </is>
      </c>
      <c r="D401" t="inlineStr">
        <is>
          <t>111111123</t>
        </is>
      </c>
      <c r="E401" t="inlineStr">
        <is>
          <t>Vodacom Life 20260603</t>
        </is>
      </c>
      <c r="J401" t="inlineStr">
        <is>
          <t>AA</t>
        </is>
      </c>
      <c r="K401" t="inlineStr">
        <is>
          <t>Answering Machine Autodial</t>
        </is>
      </c>
      <c r="L401" t="n">
        <v>7</v>
      </c>
      <c r="M401" t="inlineStr">
        <is>
          <t>2026-06-15 06:44:36</t>
        </is>
      </c>
      <c r="N401" t="inlineStr">
        <is>
          <t>system</t>
        </is>
      </c>
      <c r="O401" t="inlineStr">
        <is>
          <t>2026-06-08 05:25:27</t>
        </is>
      </c>
      <c r="P401" t="inlineStr">
        <is>
          <t>2026-06-08 05:25:27</t>
        </is>
      </c>
      <c r="Y401" t="inlineStr">
        <is>
          <t>27723487440</t>
        </is>
      </c>
    </row>
    <row r="402">
      <c r="A402" t="inlineStr">
        <is>
          <t>14828434</t>
        </is>
      </c>
      <c r="B402" t="inlineStr">
        <is>
          <t>f5d0616e-8f23-4e11-a03b-a665368fe85c</t>
        </is>
      </c>
      <c r="D402" t="inlineStr">
        <is>
          <t>111111123</t>
        </is>
      </c>
      <c r="E402" t="inlineStr">
        <is>
          <t>Vodacom Life 20260603</t>
        </is>
      </c>
      <c r="J402" t="inlineStr">
        <is>
          <t>AA</t>
        </is>
      </c>
      <c r="K402" t="inlineStr">
        <is>
          <t>Answering Machine Autodial</t>
        </is>
      </c>
      <c r="L402" t="n">
        <v>7</v>
      </c>
      <c r="M402" t="inlineStr">
        <is>
          <t>2026-06-15 06:44:36</t>
        </is>
      </c>
      <c r="N402" t="inlineStr">
        <is>
          <t>system</t>
        </is>
      </c>
      <c r="O402" t="inlineStr">
        <is>
          <t>2026-06-08 05:25:27</t>
        </is>
      </c>
      <c r="P402" t="inlineStr">
        <is>
          <t>2026-06-08 05:25:27</t>
        </is>
      </c>
      <c r="Y402" t="inlineStr">
        <is>
          <t>27742887986</t>
        </is>
      </c>
    </row>
    <row r="403">
      <c r="A403" t="inlineStr">
        <is>
          <t>14828435</t>
        </is>
      </c>
      <c r="B403" t="inlineStr">
        <is>
          <t>22ed0250-7fe2-4398-b965-bde669b162fa</t>
        </is>
      </c>
      <c r="D403" t="inlineStr">
        <is>
          <t>111111123</t>
        </is>
      </c>
      <c r="E403" t="inlineStr">
        <is>
          <t>Vodacom Life 20260603</t>
        </is>
      </c>
      <c r="H403" t="inlineStr">
        <is>
          <t>27824206348</t>
        </is>
      </c>
      <c r="J403" t="inlineStr">
        <is>
          <t>AA</t>
        </is>
      </c>
      <c r="K403" t="inlineStr">
        <is>
          <t>Answering Machine Autodial</t>
        </is>
      </c>
      <c r="L403" t="n">
        <v>7</v>
      </c>
      <c r="M403" t="inlineStr">
        <is>
          <t>2026-06-15 06:44:36</t>
        </is>
      </c>
      <c r="N403" t="inlineStr">
        <is>
          <t>system</t>
        </is>
      </c>
      <c r="O403" t="inlineStr">
        <is>
          <t>2026-06-08 05:25:27</t>
        </is>
      </c>
      <c r="P403" t="inlineStr">
        <is>
          <t>2026-06-08 05:25:27</t>
        </is>
      </c>
      <c r="Y403" t="inlineStr">
        <is>
          <t>27824206348</t>
        </is>
      </c>
    </row>
    <row r="404">
      <c r="A404" t="inlineStr">
        <is>
          <t>14827617</t>
        </is>
      </c>
      <c r="B404" t="inlineStr">
        <is>
          <t>4718d57b-a04c-4cfa-8496-d35cb26fbb75</t>
        </is>
      </c>
      <c r="D404" t="inlineStr">
        <is>
          <t>111111123</t>
        </is>
      </c>
      <c r="E404" t="inlineStr">
        <is>
          <t>Vodacom Life 20260603</t>
        </is>
      </c>
      <c r="J404" t="inlineStr">
        <is>
          <t>CU</t>
        </is>
      </c>
      <c r="K404" t="inlineStr">
        <is>
          <t>Client Hung Up</t>
        </is>
      </c>
      <c r="L404" t="n">
        <v>7</v>
      </c>
      <c r="M404" t="inlineStr">
        <is>
          <t>2026-06-15 06:44:36</t>
        </is>
      </c>
      <c r="N404" t="inlineStr">
        <is>
          <t>Maureen Ntsoko</t>
        </is>
      </c>
      <c r="O404" t="inlineStr">
        <is>
          <t>2026-06-08 05:25:27</t>
        </is>
      </c>
      <c r="P404" t="inlineStr">
        <is>
          <t>2026-06-08 05:25:27</t>
        </is>
      </c>
      <c r="Y404" t="inlineStr">
        <is>
          <t>27792367292</t>
        </is>
      </c>
    </row>
    <row r="405">
      <c r="A405" t="inlineStr">
        <is>
          <t>14827690</t>
        </is>
      </c>
      <c r="B405" t="inlineStr">
        <is>
          <t>29693207-3da0-42f7-a342-48d924ccea6f</t>
        </is>
      </c>
      <c r="D405" t="inlineStr">
        <is>
          <t>111111123</t>
        </is>
      </c>
      <c r="E405" t="inlineStr">
        <is>
          <t>Vodacom Life 20260603</t>
        </is>
      </c>
      <c r="H405" t="inlineStr">
        <is>
          <t>27647235225</t>
        </is>
      </c>
      <c r="J405" t="inlineStr">
        <is>
          <t>IABDN</t>
        </is>
      </c>
      <c r="K405" t="inlineStr">
        <is>
          <t>Inbound Abandon</t>
        </is>
      </c>
      <c r="L405" t="n">
        <v>7</v>
      </c>
      <c r="M405" t="inlineStr">
        <is>
          <t>2026-06-15 06:43:59</t>
        </is>
      </c>
      <c r="N405" t="inlineStr">
        <is>
          <t>system</t>
        </is>
      </c>
      <c r="O405" t="inlineStr">
        <is>
          <t>2026-06-08 05:25:27</t>
        </is>
      </c>
      <c r="P405" t="inlineStr">
        <is>
          <t>2026-06-08 05:25:27</t>
        </is>
      </c>
      <c r="Y405" t="inlineStr">
        <is>
          <t>27647235225</t>
        </is>
      </c>
    </row>
    <row r="406">
      <c r="A406" t="inlineStr">
        <is>
          <t>14827883</t>
        </is>
      </c>
      <c r="B406" t="inlineStr">
        <is>
          <t>2f004aed-d076-4faf-980d-4b0b20563666</t>
        </is>
      </c>
      <c r="D406" t="inlineStr">
        <is>
          <t>111111123</t>
        </is>
      </c>
      <c r="E406" t="inlineStr">
        <is>
          <t>Vodacom Life 20260603</t>
        </is>
      </c>
      <c r="H406" t="inlineStr">
        <is>
          <t>27826241395</t>
        </is>
      </c>
      <c r="J406" t="inlineStr">
        <is>
          <t>IABDN</t>
        </is>
      </c>
      <c r="K406" t="inlineStr">
        <is>
          <t>Inbound Abandon</t>
        </is>
      </c>
      <c r="L406" t="n">
        <v>7</v>
      </c>
      <c r="M406" t="inlineStr">
        <is>
          <t>2026-06-15 06:43:51</t>
        </is>
      </c>
      <c r="N406" t="inlineStr">
        <is>
          <t>system</t>
        </is>
      </c>
      <c r="O406" t="inlineStr">
        <is>
          <t>2026-06-08 05:25:27</t>
        </is>
      </c>
      <c r="P406" t="inlineStr">
        <is>
          <t>2026-06-08 05:25:27</t>
        </is>
      </c>
      <c r="Y406" t="inlineStr">
        <is>
          <t>27826241395</t>
        </is>
      </c>
    </row>
    <row r="407">
      <c r="A407" t="inlineStr">
        <is>
          <t>14828518</t>
        </is>
      </c>
      <c r="B407" t="inlineStr">
        <is>
          <t>b488f6b3-1bf1-4729-844e-7db80d090198</t>
        </is>
      </c>
      <c r="D407" t="inlineStr">
        <is>
          <t>111111123</t>
        </is>
      </c>
      <c r="E407" t="inlineStr">
        <is>
          <t>Vodacom Life 20260603</t>
        </is>
      </c>
      <c r="J407" t="inlineStr">
        <is>
          <t>AA</t>
        </is>
      </c>
      <c r="K407" t="inlineStr">
        <is>
          <t>Answering Machine Autodial</t>
        </is>
      </c>
      <c r="L407" t="n">
        <v>7</v>
      </c>
      <c r="M407" t="inlineStr">
        <is>
          <t>2026-06-15 06:43:35</t>
        </is>
      </c>
      <c r="N407" t="inlineStr">
        <is>
          <t>system</t>
        </is>
      </c>
      <c r="O407" t="inlineStr">
        <is>
          <t>2026-06-08 05:25:27</t>
        </is>
      </c>
      <c r="P407" t="inlineStr">
        <is>
          <t>2026-06-08 05:25:27</t>
        </is>
      </c>
      <c r="Y407" t="inlineStr">
        <is>
          <t>27782087746</t>
        </is>
      </c>
    </row>
    <row r="408">
      <c r="A408" t="inlineStr">
        <is>
          <t>14828459</t>
        </is>
      </c>
      <c r="B408" t="inlineStr">
        <is>
          <t>2a936687-99fb-4da0-be7c-97909c702a24</t>
        </is>
      </c>
      <c r="D408" t="inlineStr">
        <is>
          <t>111111123</t>
        </is>
      </c>
      <c r="E408" t="inlineStr">
        <is>
          <t>Vodacom Life 20260603</t>
        </is>
      </c>
      <c r="J408" t="inlineStr">
        <is>
          <t>AE</t>
        </is>
      </c>
      <c r="K408" t="inlineStr">
        <is>
          <t>Auto Engaged</t>
        </is>
      </c>
      <c r="L408" t="n">
        <v>7</v>
      </c>
      <c r="M408" t="inlineStr">
        <is>
          <t>2026-06-15 06:43:32</t>
        </is>
      </c>
      <c r="N408" t="inlineStr">
        <is>
          <t>system</t>
        </is>
      </c>
      <c r="O408" t="inlineStr">
        <is>
          <t>2026-06-08 05:25:27</t>
        </is>
      </c>
      <c r="P408" t="inlineStr">
        <is>
          <t>2026-06-08 05:25:27</t>
        </is>
      </c>
      <c r="Y408" t="inlineStr">
        <is>
          <t>27728639380</t>
        </is>
      </c>
    </row>
    <row r="409">
      <c r="A409" t="inlineStr">
        <is>
          <t>14828517</t>
        </is>
      </c>
      <c r="B409" t="inlineStr">
        <is>
          <t>6290bc7e-9b8f-479d-926b-9c96e2acfd9d</t>
        </is>
      </c>
      <c r="D409" t="inlineStr">
        <is>
          <t>111111123</t>
        </is>
      </c>
      <c r="E409" t="inlineStr">
        <is>
          <t>Vodacom Life 20260603</t>
        </is>
      </c>
      <c r="J409" t="inlineStr">
        <is>
          <t>AA</t>
        </is>
      </c>
      <c r="K409" t="inlineStr">
        <is>
          <t>Answering Machine Autodial</t>
        </is>
      </c>
      <c r="L409" t="n">
        <v>7</v>
      </c>
      <c r="M409" t="inlineStr">
        <is>
          <t>2026-06-15 06:43:26</t>
        </is>
      </c>
      <c r="N409" t="inlineStr">
        <is>
          <t>system</t>
        </is>
      </c>
      <c r="O409" t="inlineStr">
        <is>
          <t>2026-06-08 05:25:27</t>
        </is>
      </c>
      <c r="P409" t="inlineStr">
        <is>
          <t>2026-06-08 05:25:27</t>
        </is>
      </c>
      <c r="Y409" t="inlineStr">
        <is>
          <t>27673099381</t>
        </is>
      </c>
    </row>
    <row r="410">
      <c r="A410" t="inlineStr">
        <is>
          <t>14828499</t>
        </is>
      </c>
      <c r="B410" t="inlineStr">
        <is>
          <t>4eed0dac-c539-4730-8c49-21a5235cb63d</t>
        </is>
      </c>
      <c r="D410" t="inlineStr">
        <is>
          <t>111111123</t>
        </is>
      </c>
      <c r="E410" t="inlineStr">
        <is>
          <t>Vodacom Life 20260603</t>
        </is>
      </c>
      <c r="J410" t="inlineStr">
        <is>
          <t>AA</t>
        </is>
      </c>
      <c r="K410" t="inlineStr">
        <is>
          <t>Answering Machine Autodial</t>
        </is>
      </c>
      <c r="L410" t="n">
        <v>7</v>
      </c>
      <c r="M410" t="inlineStr">
        <is>
          <t>2026-06-15 06:43:14</t>
        </is>
      </c>
      <c r="N410" t="inlineStr">
        <is>
          <t>system</t>
        </is>
      </c>
      <c r="O410" t="inlineStr">
        <is>
          <t>2026-06-08 05:25:27</t>
        </is>
      </c>
      <c r="P410" t="inlineStr">
        <is>
          <t>2026-06-08 05:25:27</t>
        </is>
      </c>
      <c r="Y410" t="inlineStr">
        <is>
          <t>27724482041</t>
        </is>
      </c>
    </row>
    <row r="411">
      <c r="A411" t="inlineStr">
        <is>
          <t>14827747</t>
        </is>
      </c>
      <c r="B411" t="inlineStr">
        <is>
          <t>fc7eb915-c6bf-4c5e-8df1-e6fa83fbdf58</t>
        </is>
      </c>
      <c r="D411" t="inlineStr">
        <is>
          <t>111111123</t>
        </is>
      </c>
      <c r="E411" t="inlineStr">
        <is>
          <t>Vodacom Life 20260603</t>
        </is>
      </c>
      <c r="H411" t="inlineStr">
        <is>
          <t>27793088338</t>
        </is>
      </c>
      <c r="J411" t="inlineStr">
        <is>
          <t>AE</t>
        </is>
      </c>
      <c r="K411" t="inlineStr">
        <is>
          <t>Auto Engaged</t>
        </is>
      </c>
      <c r="L411" t="n">
        <v>7</v>
      </c>
      <c r="M411" t="inlineStr">
        <is>
          <t>2026-06-15 06:43:14</t>
        </is>
      </c>
      <c r="N411" t="inlineStr">
        <is>
          <t>system</t>
        </is>
      </c>
      <c r="O411" t="inlineStr">
        <is>
          <t>2026-06-08 05:25:27</t>
        </is>
      </c>
      <c r="P411" t="inlineStr">
        <is>
          <t>2026-06-08 05:25:27</t>
        </is>
      </c>
      <c r="Y411" t="inlineStr">
        <is>
          <t>27793088338</t>
        </is>
      </c>
    </row>
    <row r="412">
      <c r="A412" t="inlineStr">
        <is>
          <t>14827544</t>
        </is>
      </c>
      <c r="B412" t="inlineStr">
        <is>
          <t>493c8e1a-ddcf-4af1-a84d-519282a210f7</t>
        </is>
      </c>
      <c r="D412" t="inlineStr">
        <is>
          <t>111111123</t>
        </is>
      </c>
      <c r="E412" t="inlineStr">
        <is>
          <t>Vodacom Life 20260603</t>
        </is>
      </c>
      <c r="J412" t="inlineStr">
        <is>
          <t>AA</t>
        </is>
      </c>
      <c r="K412" t="inlineStr">
        <is>
          <t>Answering Machine Autodial</t>
        </is>
      </c>
      <c r="L412" t="n">
        <v>7</v>
      </c>
      <c r="M412" t="inlineStr">
        <is>
          <t>2026-06-15 06:42:26</t>
        </is>
      </c>
      <c r="N412" t="inlineStr">
        <is>
          <t>system</t>
        </is>
      </c>
      <c r="O412" t="inlineStr">
        <is>
          <t>2026-06-08 05:25:27</t>
        </is>
      </c>
      <c r="P412" t="inlineStr">
        <is>
          <t>2026-06-08 05:25:27</t>
        </is>
      </c>
      <c r="Y412" t="inlineStr">
        <is>
          <t>27843899769</t>
        </is>
      </c>
    </row>
    <row r="413">
      <c r="A413" t="inlineStr">
        <is>
          <t>14827764</t>
        </is>
      </c>
      <c r="B413" t="inlineStr">
        <is>
          <t>50e97e1e-d6d0-4c8d-88d5-8f72c563a246</t>
        </is>
      </c>
      <c r="D413" t="inlineStr">
        <is>
          <t>111111123</t>
        </is>
      </c>
      <c r="E413" t="inlineStr">
        <is>
          <t>Vodacom Life 20260603</t>
        </is>
      </c>
      <c r="J413" t="inlineStr">
        <is>
          <t>AA</t>
        </is>
      </c>
      <c r="K413" t="inlineStr">
        <is>
          <t>Answering Machine Autodial</t>
        </is>
      </c>
      <c r="L413" t="n">
        <v>7</v>
      </c>
      <c r="M413" t="inlineStr">
        <is>
          <t>2026-06-15 06:42:26</t>
        </is>
      </c>
      <c r="N413" t="inlineStr">
        <is>
          <t>system</t>
        </is>
      </c>
      <c r="O413" t="inlineStr">
        <is>
          <t>2026-06-08 05:25:27</t>
        </is>
      </c>
      <c r="P413" t="inlineStr">
        <is>
          <t>2026-06-08 05:25:27</t>
        </is>
      </c>
      <c r="Y413" t="inlineStr">
        <is>
          <t>27606080431</t>
        </is>
      </c>
    </row>
    <row r="414">
      <c r="A414" t="inlineStr">
        <is>
          <t>14827766</t>
        </is>
      </c>
      <c r="B414" t="inlineStr">
        <is>
          <t>f4b04597-4589-4edb-a3ab-b4d84cb8b1d9</t>
        </is>
      </c>
      <c r="D414" t="inlineStr">
        <is>
          <t>111111123</t>
        </is>
      </c>
      <c r="E414" t="inlineStr">
        <is>
          <t>Vodacom Life 20260603</t>
        </is>
      </c>
      <c r="J414" t="inlineStr">
        <is>
          <t>AA</t>
        </is>
      </c>
      <c r="K414" t="inlineStr">
        <is>
          <t>Answering Machine Autodial</t>
        </is>
      </c>
      <c r="L414" t="n">
        <v>7</v>
      </c>
      <c r="M414" t="inlineStr">
        <is>
          <t>2026-06-15 06:41:49</t>
        </is>
      </c>
      <c r="N414" t="inlineStr">
        <is>
          <t>system</t>
        </is>
      </c>
      <c r="O414" t="inlineStr">
        <is>
          <t>2026-06-08 05:25:27</t>
        </is>
      </c>
      <c r="P414" t="inlineStr">
        <is>
          <t>2026-06-08 05:25:27</t>
        </is>
      </c>
      <c r="Y414" t="inlineStr">
        <is>
          <t>27714991107</t>
        </is>
      </c>
    </row>
    <row r="415">
      <c r="A415" t="inlineStr">
        <is>
          <t>14828480</t>
        </is>
      </c>
      <c r="B415" t="inlineStr">
        <is>
          <t>ea6d5782-5f95-43e5-929f-e0fd02cae78d</t>
        </is>
      </c>
      <c r="D415" t="inlineStr">
        <is>
          <t>111111123</t>
        </is>
      </c>
      <c r="E415" t="inlineStr">
        <is>
          <t>Vodacom Life 20260603</t>
        </is>
      </c>
      <c r="H415" t="inlineStr">
        <is>
          <t>27797153063</t>
        </is>
      </c>
      <c r="J415" t="inlineStr">
        <is>
          <t>AE</t>
        </is>
      </c>
      <c r="K415" t="inlineStr">
        <is>
          <t>Auto Engaged</t>
        </is>
      </c>
      <c r="L415" t="n">
        <v>7</v>
      </c>
      <c r="M415" t="inlineStr">
        <is>
          <t>2026-06-15 06:41:46</t>
        </is>
      </c>
      <c r="N415" t="inlineStr">
        <is>
          <t>system</t>
        </is>
      </c>
      <c r="O415" t="inlineStr">
        <is>
          <t>2026-06-08 05:25:27</t>
        </is>
      </c>
      <c r="P415" t="inlineStr">
        <is>
          <t>2026-06-08 05:25:27</t>
        </is>
      </c>
      <c r="Y415" t="inlineStr">
        <is>
          <t>27797153063</t>
        </is>
      </c>
    </row>
    <row r="416">
      <c r="A416" t="inlineStr">
        <is>
          <t>14827557</t>
        </is>
      </c>
      <c r="B416" t="inlineStr">
        <is>
          <t>9845b15f-642f-4829-b5be-55f521cbf258</t>
        </is>
      </c>
      <c r="D416" t="inlineStr">
        <is>
          <t>111111123</t>
        </is>
      </c>
      <c r="E416" t="inlineStr">
        <is>
          <t>Vodacom Life 20260603</t>
        </is>
      </c>
      <c r="H416" t="inlineStr">
        <is>
          <t>27723875270</t>
        </is>
      </c>
      <c r="J416" t="inlineStr">
        <is>
          <t>AE</t>
        </is>
      </c>
      <c r="K416" t="inlineStr">
        <is>
          <t>Auto Engaged</t>
        </is>
      </c>
      <c r="L416" t="n">
        <v>7</v>
      </c>
      <c r="M416" t="inlineStr">
        <is>
          <t>2026-06-15 06:41:42</t>
        </is>
      </c>
      <c r="N416" t="inlineStr">
        <is>
          <t>system</t>
        </is>
      </c>
      <c r="O416" t="inlineStr">
        <is>
          <t>2026-06-08 05:25:27</t>
        </is>
      </c>
      <c r="P416" t="inlineStr">
        <is>
          <t>2026-06-08 05:25:27</t>
        </is>
      </c>
      <c r="Y416" t="inlineStr">
        <is>
          <t>27723875270</t>
        </is>
      </c>
    </row>
    <row r="417">
      <c r="A417" t="inlineStr">
        <is>
          <t>14827559</t>
        </is>
      </c>
      <c r="B417" t="inlineStr">
        <is>
          <t>d9b16906-980e-48a0-9ed5-4bce6c15f254</t>
        </is>
      </c>
      <c r="D417" t="inlineStr">
        <is>
          <t>111111123</t>
        </is>
      </c>
      <c r="E417" t="inlineStr">
        <is>
          <t>Vodacom Life 20260603</t>
        </is>
      </c>
      <c r="J417" t="inlineStr">
        <is>
          <t>CU</t>
        </is>
      </c>
      <c r="K417" t="inlineStr">
        <is>
          <t>Client Hung Up</t>
        </is>
      </c>
      <c r="L417" t="n">
        <v>7</v>
      </c>
      <c r="M417" t="inlineStr">
        <is>
          <t>2026-06-15 06:41:38</t>
        </is>
      </c>
      <c r="N417" t="inlineStr">
        <is>
          <t>bongiwe lushaba</t>
        </is>
      </c>
      <c r="O417" t="inlineStr">
        <is>
          <t>2026-06-08 05:25:27</t>
        </is>
      </c>
      <c r="P417" t="inlineStr">
        <is>
          <t>2026-06-08 05:25:27</t>
        </is>
      </c>
      <c r="Y417" t="inlineStr">
        <is>
          <t>27720321085</t>
        </is>
      </c>
    </row>
    <row r="418">
      <c r="A418" t="inlineStr">
        <is>
          <t>14828482</t>
        </is>
      </c>
      <c r="B418" t="inlineStr">
        <is>
          <t>02dc4daf-c8fc-4679-8646-091c973b7920</t>
        </is>
      </c>
      <c r="D418" t="inlineStr">
        <is>
          <t>111111123</t>
        </is>
      </c>
      <c r="E418" t="inlineStr">
        <is>
          <t>Vodacom Life 20260603</t>
        </is>
      </c>
      <c r="H418" t="inlineStr">
        <is>
          <t>27765599513</t>
        </is>
      </c>
      <c r="J418" t="inlineStr">
        <is>
          <t>ADC</t>
        </is>
      </c>
      <c r="K418" t="inlineStr">
        <is>
          <t>Auto Dial Disconnected</t>
        </is>
      </c>
      <c r="L418" t="n">
        <v>7</v>
      </c>
      <c r="M418" t="inlineStr">
        <is>
          <t>2026-06-15 06:41:37</t>
        </is>
      </c>
      <c r="N418" t="inlineStr">
        <is>
          <t>system</t>
        </is>
      </c>
      <c r="O418" t="inlineStr">
        <is>
          <t>2026-06-08 05:25:27</t>
        </is>
      </c>
      <c r="P418" t="inlineStr">
        <is>
          <t>2026-06-08 05:25:27</t>
        </is>
      </c>
      <c r="Y418" t="inlineStr">
        <is>
          <t>27765599513</t>
        </is>
      </c>
    </row>
    <row r="419">
      <c r="A419" t="inlineStr">
        <is>
          <t>14828484</t>
        </is>
      </c>
      <c r="B419" t="inlineStr">
        <is>
          <t>f02635e2-680b-44a8-896a-cd1b7d94ae15</t>
        </is>
      </c>
      <c r="D419" t="inlineStr">
        <is>
          <t>111111123</t>
        </is>
      </c>
      <c r="E419" t="inlineStr">
        <is>
          <t>Vodacom Life 20260603</t>
        </is>
      </c>
      <c r="J419" t="inlineStr">
        <is>
          <t>AA</t>
        </is>
      </c>
      <c r="K419" t="inlineStr">
        <is>
          <t>Answering Machine Autodial</t>
        </is>
      </c>
      <c r="L419" t="n">
        <v>7</v>
      </c>
      <c r="M419" t="inlineStr">
        <is>
          <t>2026-06-15 06:41:37</t>
        </is>
      </c>
      <c r="N419" t="inlineStr">
        <is>
          <t>system</t>
        </is>
      </c>
      <c r="O419" t="inlineStr">
        <is>
          <t>2026-06-08 05:25:27</t>
        </is>
      </c>
      <c r="P419" t="inlineStr">
        <is>
          <t>2026-06-08 05:25:27</t>
        </is>
      </c>
      <c r="Y419" t="inlineStr">
        <is>
          <t>27606926817</t>
        </is>
      </c>
    </row>
    <row r="420">
      <c r="A420" t="inlineStr">
        <is>
          <t>14828485</t>
        </is>
      </c>
      <c r="B420" t="inlineStr">
        <is>
          <t>4c628b33-61c3-410b-b1d8-774809958bf6</t>
        </is>
      </c>
      <c r="D420" t="inlineStr">
        <is>
          <t>111111123</t>
        </is>
      </c>
      <c r="E420" t="inlineStr">
        <is>
          <t>Vodacom Life 20260603</t>
        </is>
      </c>
      <c r="J420" t="inlineStr">
        <is>
          <t>AE</t>
        </is>
      </c>
      <c r="K420" t="inlineStr">
        <is>
          <t>Auto Engaged</t>
        </is>
      </c>
      <c r="L420" t="n">
        <v>7</v>
      </c>
      <c r="M420" t="inlineStr">
        <is>
          <t>2026-06-15 06:41:37</t>
        </is>
      </c>
      <c r="N420" t="inlineStr">
        <is>
          <t>system</t>
        </is>
      </c>
      <c r="O420" t="inlineStr">
        <is>
          <t>2026-06-08 05:25:27</t>
        </is>
      </c>
      <c r="P420" t="inlineStr">
        <is>
          <t>2026-06-08 05:25:27</t>
        </is>
      </c>
      <c r="Y420" t="inlineStr">
        <is>
          <t>27760784633</t>
        </is>
      </c>
    </row>
    <row r="421">
      <c r="A421" t="inlineStr">
        <is>
          <t>14828490</t>
        </is>
      </c>
      <c r="B421" t="inlineStr">
        <is>
          <t>c142a527-5284-4a5c-88c8-de26a9d8bb31</t>
        </is>
      </c>
      <c r="D421" t="inlineStr">
        <is>
          <t>111111123</t>
        </is>
      </c>
      <c r="E421" t="inlineStr">
        <is>
          <t>Vodacom Life 20260603</t>
        </is>
      </c>
      <c r="J421" t="inlineStr">
        <is>
          <t>AA</t>
        </is>
      </c>
      <c r="K421" t="inlineStr">
        <is>
          <t>Answering Machine Autodial</t>
        </is>
      </c>
      <c r="L421" t="n">
        <v>7</v>
      </c>
      <c r="M421" t="inlineStr">
        <is>
          <t>2026-06-15 06:41:37</t>
        </is>
      </c>
      <c r="N421" t="inlineStr">
        <is>
          <t>system</t>
        </is>
      </c>
      <c r="O421" t="inlineStr">
        <is>
          <t>2026-06-08 05:25:27</t>
        </is>
      </c>
      <c r="P421" t="inlineStr">
        <is>
          <t>2026-06-08 05:25:27</t>
        </is>
      </c>
      <c r="Y421" t="inlineStr">
        <is>
          <t>27772807463</t>
        </is>
      </c>
    </row>
    <row r="422">
      <c r="A422" t="inlineStr">
        <is>
          <t>14828491</t>
        </is>
      </c>
      <c r="B422" t="inlineStr">
        <is>
          <t>1323799e-55c7-4bcd-95bc-01de64c334a5</t>
        </is>
      </c>
      <c r="D422" t="inlineStr">
        <is>
          <t>111111123</t>
        </is>
      </c>
      <c r="E422" t="inlineStr">
        <is>
          <t>Vodacom Life 20260603</t>
        </is>
      </c>
      <c r="J422" t="inlineStr">
        <is>
          <t>AA</t>
        </is>
      </c>
      <c r="K422" t="inlineStr">
        <is>
          <t>Answering Machine Autodial</t>
        </is>
      </c>
      <c r="L422" t="n">
        <v>7</v>
      </c>
      <c r="M422" t="inlineStr">
        <is>
          <t>2026-06-15 06:41:37</t>
        </is>
      </c>
      <c r="N422" t="inlineStr">
        <is>
          <t>system</t>
        </is>
      </c>
      <c r="O422" t="inlineStr">
        <is>
          <t>2026-06-08 05:25:27</t>
        </is>
      </c>
      <c r="P422" t="inlineStr">
        <is>
          <t>2026-06-08 05:25:27</t>
        </is>
      </c>
      <c r="Y422" t="inlineStr">
        <is>
          <t>27713782766</t>
        </is>
      </c>
    </row>
    <row r="423">
      <c r="A423" t="inlineStr">
        <is>
          <t>14828492</t>
        </is>
      </c>
      <c r="B423" t="inlineStr">
        <is>
          <t>11ad55a7-c322-49b4-a044-b04c0ea78d48</t>
        </is>
      </c>
      <c r="D423" t="inlineStr">
        <is>
          <t>111111123</t>
        </is>
      </c>
      <c r="E423" t="inlineStr">
        <is>
          <t>Vodacom Life 20260603</t>
        </is>
      </c>
      <c r="J423" t="inlineStr">
        <is>
          <t>AA</t>
        </is>
      </c>
      <c r="K423" t="inlineStr">
        <is>
          <t>Answering Machine Autodial</t>
        </is>
      </c>
      <c r="L423" t="n">
        <v>7</v>
      </c>
      <c r="M423" t="inlineStr">
        <is>
          <t>2026-06-15 06:41:36</t>
        </is>
      </c>
      <c r="N423" t="inlineStr">
        <is>
          <t>system</t>
        </is>
      </c>
      <c r="O423" t="inlineStr">
        <is>
          <t>2026-06-08 05:25:27</t>
        </is>
      </c>
      <c r="P423" t="inlineStr">
        <is>
          <t>2026-06-08 05:25:27</t>
        </is>
      </c>
      <c r="Y423" t="inlineStr">
        <is>
          <t>27607427552</t>
        </is>
      </c>
    </row>
    <row r="424">
      <c r="A424" t="inlineStr">
        <is>
          <t>14828493</t>
        </is>
      </c>
      <c r="B424" t="inlineStr">
        <is>
          <t>c845c685-129e-4254-92b0-aa48b6258369</t>
        </is>
      </c>
      <c r="D424" t="inlineStr">
        <is>
          <t>111111123</t>
        </is>
      </c>
      <c r="E424" t="inlineStr">
        <is>
          <t>Vodacom Life 20260603</t>
        </is>
      </c>
      <c r="J424" t="inlineStr">
        <is>
          <t>AE</t>
        </is>
      </c>
      <c r="K424" t="inlineStr">
        <is>
          <t>Auto Engaged</t>
        </is>
      </c>
      <c r="L424" t="n">
        <v>7</v>
      </c>
      <c r="M424" t="inlineStr">
        <is>
          <t>2026-06-15 06:41:32</t>
        </is>
      </c>
      <c r="N424" t="inlineStr">
        <is>
          <t>system</t>
        </is>
      </c>
      <c r="O424" t="inlineStr">
        <is>
          <t>2026-06-08 05:25:27</t>
        </is>
      </c>
      <c r="P424" t="inlineStr">
        <is>
          <t>2026-06-08 05:25:27</t>
        </is>
      </c>
      <c r="Y424" t="inlineStr">
        <is>
          <t>27649873926</t>
        </is>
      </c>
    </row>
    <row r="425">
      <c r="A425" t="inlineStr">
        <is>
          <t>14827627</t>
        </is>
      </c>
      <c r="B425" t="inlineStr">
        <is>
          <t>c86507e5-3e5d-4320-9db9-60134223c8a6</t>
        </is>
      </c>
      <c r="D425" t="inlineStr">
        <is>
          <t>111111123</t>
        </is>
      </c>
      <c r="E425" t="inlineStr">
        <is>
          <t>Vodacom Life 20260603</t>
        </is>
      </c>
      <c r="J425" t="inlineStr">
        <is>
          <t>NA</t>
        </is>
      </c>
      <c r="K425" t="inlineStr">
        <is>
          <t>No Answer Autodial</t>
        </is>
      </c>
      <c r="L425" t="n">
        <v>7</v>
      </c>
      <c r="M425" t="inlineStr">
        <is>
          <t>2026-06-15 06:41:32</t>
        </is>
      </c>
      <c r="N425" t="inlineStr">
        <is>
          <t>system</t>
        </is>
      </c>
      <c r="O425" t="inlineStr">
        <is>
          <t>2026-06-08 05:25:27</t>
        </is>
      </c>
      <c r="P425" t="inlineStr">
        <is>
          <t>2026-06-08 05:25:27</t>
        </is>
      </c>
      <c r="Y425" t="inlineStr">
        <is>
          <t>27760582275</t>
        </is>
      </c>
    </row>
    <row r="426">
      <c r="A426" t="inlineStr">
        <is>
          <t>14827632</t>
        </is>
      </c>
      <c r="B426" t="inlineStr">
        <is>
          <t>f0214568-b4c8-44c3-ab44-0c6f55689344</t>
        </is>
      </c>
      <c r="D426" t="inlineStr">
        <is>
          <t>111111123</t>
        </is>
      </c>
      <c r="E426" t="inlineStr">
        <is>
          <t>Vodacom Life 20260603</t>
        </is>
      </c>
      <c r="J426" t="inlineStr">
        <is>
          <t>AA</t>
        </is>
      </c>
      <c r="K426" t="inlineStr">
        <is>
          <t>Answering Machine Autodial</t>
        </is>
      </c>
      <c r="L426" t="n">
        <v>7</v>
      </c>
      <c r="M426" t="inlineStr">
        <is>
          <t>2026-06-15 06:41:32</t>
        </is>
      </c>
      <c r="N426" t="inlineStr">
        <is>
          <t>system</t>
        </is>
      </c>
      <c r="O426" t="inlineStr">
        <is>
          <t>2026-06-08 05:25:27</t>
        </is>
      </c>
      <c r="P426" t="inlineStr">
        <is>
          <t>2026-06-08 05:25:27</t>
        </is>
      </c>
      <c r="Y426" t="inlineStr">
        <is>
          <t>27761174296</t>
        </is>
      </c>
    </row>
    <row r="427">
      <c r="A427" t="inlineStr">
        <is>
          <t>14827865</t>
        </is>
      </c>
      <c r="B427" t="inlineStr">
        <is>
          <t>9b3c6eec-62c5-4e88-acdf-61e86ff0b494</t>
        </is>
      </c>
      <c r="D427" t="inlineStr">
        <is>
          <t>111111123</t>
        </is>
      </c>
      <c r="E427" t="inlineStr">
        <is>
          <t>Vodacom Life 20260603</t>
        </is>
      </c>
      <c r="J427" t="inlineStr">
        <is>
          <t>DROP</t>
        </is>
      </c>
      <c r="K427" t="inlineStr">
        <is>
          <t>Dropped</t>
        </is>
      </c>
      <c r="L427" t="n">
        <v>7</v>
      </c>
      <c r="M427" t="inlineStr">
        <is>
          <t>2026-06-15 06:41:31</t>
        </is>
      </c>
      <c r="N427" t="inlineStr">
        <is>
          <t>system</t>
        </is>
      </c>
      <c r="O427" t="inlineStr">
        <is>
          <t>2026-06-08 05:25:27</t>
        </is>
      </c>
      <c r="P427" t="inlineStr">
        <is>
          <t>2026-06-08 05:25:27</t>
        </is>
      </c>
      <c r="Y427" t="inlineStr">
        <is>
          <t>27762740480</t>
        </is>
      </c>
    </row>
    <row r="428">
      <c r="A428" t="inlineStr">
        <is>
          <t>14827603</t>
        </is>
      </c>
      <c r="B428" t="inlineStr">
        <is>
          <t>248414d1-2e1c-4206-9f14-42981db9bbff</t>
        </is>
      </c>
      <c r="D428" t="inlineStr">
        <is>
          <t>111111123</t>
        </is>
      </c>
      <c r="E428" t="inlineStr">
        <is>
          <t>Vodacom Life 20260603</t>
        </is>
      </c>
      <c r="H428" t="inlineStr">
        <is>
          <t>27647908381</t>
        </is>
      </c>
      <c r="J428" t="inlineStr">
        <is>
          <t>IABDN</t>
        </is>
      </c>
      <c r="K428" t="inlineStr">
        <is>
          <t>Inbound Abandon</t>
        </is>
      </c>
      <c r="L428" t="n">
        <v>7</v>
      </c>
      <c r="M428" t="inlineStr">
        <is>
          <t>2026-06-15 06:40:55</t>
        </is>
      </c>
      <c r="N428" t="inlineStr">
        <is>
          <t>system</t>
        </is>
      </c>
      <c r="O428" t="inlineStr">
        <is>
          <t>2026-06-08 05:25:27</t>
        </is>
      </c>
      <c r="P428" t="inlineStr">
        <is>
          <t>2026-06-08 05:25:27</t>
        </is>
      </c>
      <c r="Y428" t="inlineStr">
        <is>
          <t>27647908381</t>
        </is>
      </c>
    </row>
    <row r="429">
      <c r="A429" t="inlineStr">
        <is>
          <t>14827560</t>
        </is>
      </c>
      <c r="B429" t="inlineStr">
        <is>
          <t>234e5f9e-1d83-42ae-81a9-99b05cfdd8af</t>
        </is>
      </c>
      <c r="D429" t="inlineStr">
        <is>
          <t>111111123</t>
        </is>
      </c>
      <c r="E429" t="inlineStr">
        <is>
          <t>Vodacom Life 20260603</t>
        </is>
      </c>
      <c r="J429" t="inlineStr">
        <is>
          <t>TDN</t>
        </is>
      </c>
      <c r="K429" t="inlineStr">
        <is>
          <t>Temporary Disconnected Number</t>
        </is>
      </c>
      <c r="L429" t="n">
        <v>7</v>
      </c>
      <c r="M429" t="inlineStr">
        <is>
          <t>2026-06-15 06:40:05</t>
        </is>
      </c>
      <c r="N429" t="inlineStr">
        <is>
          <t>system</t>
        </is>
      </c>
      <c r="O429" t="inlineStr">
        <is>
          <t>2026-06-08 05:25:27</t>
        </is>
      </c>
      <c r="P429" t="inlineStr">
        <is>
          <t>2026-06-08 05:25:27</t>
        </is>
      </c>
      <c r="Y429" t="inlineStr">
        <is>
          <t>27637297086</t>
        </is>
      </c>
    </row>
    <row r="430">
      <c r="A430" t="inlineStr">
        <is>
          <t>14828508</t>
        </is>
      </c>
      <c r="B430" t="inlineStr">
        <is>
          <t>edc933f9-2fc8-4703-a797-dd04ac7b1e1a</t>
        </is>
      </c>
      <c r="D430" t="inlineStr">
        <is>
          <t>111111123</t>
        </is>
      </c>
      <c r="E430" t="inlineStr">
        <is>
          <t>Vodacom Life 20260603</t>
        </is>
      </c>
      <c r="H430" t="inlineStr">
        <is>
          <t>27716334711</t>
        </is>
      </c>
      <c r="J430" t="inlineStr">
        <is>
          <t>CU</t>
        </is>
      </c>
      <c r="K430" t="inlineStr">
        <is>
          <t>Client Hung Up</t>
        </is>
      </c>
      <c r="L430" t="n">
        <v>8</v>
      </c>
      <c r="M430" t="inlineStr">
        <is>
          <t>2026-06-15 06:39:30</t>
        </is>
      </c>
      <c r="N430" t="inlineStr">
        <is>
          <t>bongiwe lushaba</t>
        </is>
      </c>
      <c r="O430" t="inlineStr">
        <is>
          <t>2026-06-08 05:25:27</t>
        </is>
      </c>
      <c r="P430" t="inlineStr">
        <is>
          <t>2026-06-08 05:25:27</t>
        </is>
      </c>
      <c r="Y430" t="inlineStr">
        <is>
          <t>27716334711</t>
        </is>
      </c>
    </row>
    <row r="431">
      <c r="A431" t="inlineStr">
        <is>
          <t>14827565</t>
        </is>
      </c>
      <c r="B431" t="inlineStr">
        <is>
          <t>ede16842-f831-4f6f-9892-592afa7ecb69</t>
        </is>
      </c>
      <c r="D431" t="inlineStr">
        <is>
          <t>111111123</t>
        </is>
      </c>
      <c r="E431" t="inlineStr">
        <is>
          <t>Vodacom Life 20260603</t>
        </is>
      </c>
      <c r="J431" t="inlineStr">
        <is>
          <t>AE</t>
        </is>
      </c>
      <c r="K431" t="inlineStr">
        <is>
          <t>Auto Engaged</t>
        </is>
      </c>
      <c r="L431" t="n">
        <v>7</v>
      </c>
      <c r="M431" t="inlineStr">
        <is>
          <t>2026-06-15 06:39:26</t>
        </is>
      </c>
      <c r="N431" t="inlineStr">
        <is>
          <t>system</t>
        </is>
      </c>
      <c r="O431" t="inlineStr">
        <is>
          <t>2026-06-08 05:25:27</t>
        </is>
      </c>
      <c r="P431" t="inlineStr">
        <is>
          <t>2026-06-08 05:25:27</t>
        </is>
      </c>
      <c r="Y431" t="inlineStr">
        <is>
          <t>27713585349</t>
        </is>
      </c>
    </row>
    <row r="432">
      <c r="A432" t="inlineStr">
        <is>
          <t>14828523</t>
        </is>
      </c>
      <c r="B432" t="inlineStr">
        <is>
          <t>4031ab94-f9f7-4036-8dc5-bee05952801b</t>
        </is>
      </c>
      <c r="D432" t="inlineStr">
        <is>
          <t>111111123</t>
        </is>
      </c>
      <c r="E432" t="inlineStr">
        <is>
          <t>Vodacom Life 20260603</t>
        </is>
      </c>
      <c r="J432" t="inlineStr">
        <is>
          <t>AA</t>
        </is>
      </c>
      <c r="K432" t="inlineStr">
        <is>
          <t>Answering Machine Autodial</t>
        </is>
      </c>
      <c r="L432" t="n">
        <v>7</v>
      </c>
      <c r="M432" t="inlineStr">
        <is>
          <t>2026-06-15 06:39:26</t>
        </is>
      </c>
      <c r="N432" t="inlineStr">
        <is>
          <t>system</t>
        </is>
      </c>
      <c r="O432" t="inlineStr">
        <is>
          <t>2026-06-08 05:25:27</t>
        </is>
      </c>
      <c r="P432" t="inlineStr">
        <is>
          <t>2026-06-08 05:25:27</t>
        </is>
      </c>
      <c r="Y432" t="inlineStr">
        <is>
          <t>27837213663</t>
        </is>
      </c>
    </row>
    <row r="433">
      <c r="A433" t="inlineStr">
        <is>
          <t>14827749</t>
        </is>
      </c>
      <c r="B433" t="inlineStr">
        <is>
          <t>0ef1c513-035a-4908-813f-af2285be591d</t>
        </is>
      </c>
      <c r="D433" t="inlineStr">
        <is>
          <t>111111123</t>
        </is>
      </c>
      <c r="E433" t="inlineStr">
        <is>
          <t>Vodacom Life 20260603</t>
        </is>
      </c>
      <c r="J433" t="inlineStr">
        <is>
          <t>NA</t>
        </is>
      </c>
      <c r="K433" t="inlineStr">
        <is>
          <t>No Answer Autodial</t>
        </is>
      </c>
      <c r="L433" t="n">
        <v>7</v>
      </c>
      <c r="M433" t="inlineStr">
        <is>
          <t>2026-06-15 06:39:26</t>
        </is>
      </c>
      <c r="N433" t="inlineStr">
        <is>
          <t>system</t>
        </is>
      </c>
      <c r="O433" t="inlineStr">
        <is>
          <t>2026-06-08 05:25:27</t>
        </is>
      </c>
      <c r="P433" t="inlineStr">
        <is>
          <t>2026-06-08 05:25:27</t>
        </is>
      </c>
      <c r="Y433" t="inlineStr">
        <is>
          <t>27827387912</t>
        </is>
      </c>
    </row>
    <row r="434">
      <c r="A434" t="inlineStr">
        <is>
          <t>14828503</t>
        </is>
      </c>
      <c r="B434" t="inlineStr">
        <is>
          <t>2cfa6784-39f0-43bd-8e31-14c4fdac0b56</t>
        </is>
      </c>
      <c r="D434" t="inlineStr">
        <is>
          <t>111111123</t>
        </is>
      </c>
      <c r="E434" t="inlineStr">
        <is>
          <t>Vodacom Life 20260603</t>
        </is>
      </c>
      <c r="J434" t="inlineStr">
        <is>
          <t>NA</t>
        </is>
      </c>
      <c r="K434" t="inlineStr">
        <is>
          <t>No Answer Autodial</t>
        </is>
      </c>
      <c r="L434" t="n">
        <v>7</v>
      </c>
      <c r="M434" t="inlineStr">
        <is>
          <t>2026-06-15 06:39:08</t>
        </is>
      </c>
      <c r="N434" t="inlineStr">
        <is>
          <t>system</t>
        </is>
      </c>
      <c r="O434" t="inlineStr">
        <is>
          <t>2026-06-08 05:25:27</t>
        </is>
      </c>
      <c r="P434" t="inlineStr">
        <is>
          <t>2026-06-08 05:25:27</t>
        </is>
      </c>
      <c r="Y434" t="inlineStr">
        <is>
          <t>27648550415</t>
        </is>
      </c>
    </row>
    <row r="435">
      <c r="A435" t="inlineStr">
        <is>
          <t>14828486</t>
        </is>
      </c>
      <c r="B435" t="inlineStr">
        <is>
          <t>28aad2f9-b4fe-447a-a264-647f9e093bdb</t>
        </is>
      </c>
      <c r="D435" t="inlineStr">
        <is>
          <t>111111123</t>
        </is>
      </c>
      <c r="E435" t="inlineStr">
        <is>
          <t>Vodacom Life 20260603</t>
        </is>
      </c>
      <c r="J435" t="inlineStr">
        <is>
          <t>AE</t>
        </is>
      </c>
      <c r="K435" t="inlineStr">
        <is>
          <t>Auto Engaged</t>
        </is>
      </c>
      <c r="L435" t="n">
        <v>7</v>
      </c>
      <c r="M435" t="inlineStr">
        <is>
          <t>2026-06-15 06:39:06</t>
        </is>
      </c>
      <c r="N435" t="inlineStr">
        <is>
          <t>system</t>
        </is>
      </c>
      <c r="O435" t="inlineStr">
        <is>
          <t>2026-06-08 05:25:27</t>
        </is>
      </c>
      <c r="P435" t="inlineStr">
        <is>
          <t>2026-06-08 05:25:27</t>
        </is>
      </c>
      <c r="Y435" t="inlineStr">
        <is>
          <t>27760901875</t>
        </is>
      </c>
    </row>
    <row r="436">
      <c r="A436" t="inlineStr">
        <is>
          <t>14828520</t>
        </is>
      </c>
      <c r="B436" t="inlineStr">
        <is>
          <t>76dd9351-b6b4-444d-b7c7-1ad153ab1abd</t>
        </is>
      </c>
      <c r="D436" t="inlineStr">
        <is>
          <t>111111123</t>
        </is>
      </c>
      <c r="E436" t="inlineStr">
        <is>
          <t>Vodacom Life 20260603</t>
        </is>
      </c>
      <c r="H436" t="inlineStr">
        <is>
          <t>27790628185</t>
        </is>
      </c>
      <c r="J436" t="inlineStr">
        <is>
          <t>AA</t>
        </is>
      </c>
      <c r="K436" t="inlineStr">
        <is>
          <t>Answering Machine Autodial</t>
        </is>
      </c>
      <c r="L436" t="n">
        <v>7</v>
      </c>
      <c r="M436" t="inlineStr">
        <is>
          <t>2026-06-15 06:39:00</t>
        </is>
      </c>
      <c r="N436" t="inlineStr">
        <is>
          <t>system</t>
        </is>
      </c>
      <c r="O436" t="inlineStr">
        <is>
          <t>2026-06-08 05:25:27</t>
        </is>
      </c>
      <c r="P436" t="inlineStr">
        <is>
          <t>2026-06-08 05:25:27</t>
        </is>
      </c>
      <c r="Y436" t="inlineStr">
        <is>
          <t>27790628185</t>
        </is>
      </c>
    </row>
    <row r="437">
      <c r="A437" t="inlineStr">
        <is>
          <t>14828487</t>
        </is>
      </c>
      <c r="B437" t="inlineStr">
        <is>
          <t>4174af2d-b1ff-462b-a5c2-b0a71d46556b</t>
        </is>
      </c>
      <c r="D437" t="inlineStr">
        <is>
          <t>111111123</t>
        </is>
      </c>
      <c r="E437" t="inlineStr">
        <is>
          <t>Vodacom Life 20260603</t>
        </is>
      </c>
      <c r="J437" t="inlineStr">
        <is>
          <t>AA</t>
        </is>
      </c>
      <c r="K437" t="inlineStr">
        <is>
          <t>Answering Machine Autodial</t>
        </is>
      </c>
      <c r="L437" t="n">
        <v>7</v>
      </c>
      <c r="M437" t="inlineStr">
        <is>
          <t>2026-06-15 06:38:45</t>
        </is>
      </c>
      <c r="N437" t="inlineStr">
        <is>
          <t>system</t>
        </is>
      </c>
      <c r="O437" t="inlineStr">
        <is>
          <t>2026-06-08 05:25:27</t>
        </is>
      </c>
      <c r="P437" t="inlineStr">
        <is>
          <t>2026-06-08 05:25:27</t>
        </is>
      </c>
      <c r="Y437" t="inlineStr">
        <is>
          <t>27832377967</t>
        </is>
      </c>
    </row>
    <row r="438">
      <c r="A438" t="inlineStr">
        <is>
          <t>14827564</t>
        </is>
      </c>
      <c r="B438" t="inlineStr">
        <is>
          <t>67ef1417-c00c-4c80-93e7-aba403f35d6b</t>
        </is>
      </c>
      <c r="D438" t="inlineStr">
        <is>
          <t>111111123</t>
        </is>
      </c>
      <c r="E438" t="inlineStr">
        <is>
          <t>Vodacom Life 20260603</t>
        </is>
      </c>
      <c r="J438" t="inlineStr">
        <is>
          <t>DROP</t>
        </is>
      </c>
      <c r="K438" t="inlineStr">
        <is>
          <t>Dropped</t>
        </is>
      </c>
      <c r="L438" t="n">
        <v>7</v>
      </c>
      <c r="M438" t="inlineStr">
        <is>
          <t>2026-06-15 06:38:41</t>
        </is>
      </c>
      <c r="N438" t="inlineStr">
        <is>
          <t>system</t>
        </is>
      </c>
      <c r="O438" t="inlineStr">
        <is>
          <t>2026-06-08 05:25:27</t>
        </is>
      </c>
      <c r="P438" t="inlineStr">
        <is>
          <t>2026-06-08 05:25:27</t>
        </is>
      </c>
      <c r="Y438" t="inlineStr">
        <is>
          <t>27683198494</t>
        </is>
      </c>
    </row>
    <row r="439">
      <c r="A439" t="inlineStr">
        <is>
          <t>14827892</t>
        </is>
      </c>
      <c r="B439" t="inlineStr">
        <is>
          <t>e175a6f1-0e00-40e3-9ab2-23c04a7c9bd1</t>
        </is>
      </c>
      <c r="D439" t="inlineStr">
        <is>
          <t>111111123</t>
        </is>
      </c>
      <c r="E439" t="inlineStr">
        <is>
          <t>Vodacom Life 20260603</t>
        </is>
      </c>
      <c r="H439" t="inlineStr">
        <is>
          <t>27818522802</t>
        </is>
      </c>
      <c r="J439" t="inlineStr">
        <is>
          <t>CU</t>
        </is>
      </c>
      <c r="K439" t="inlineStr">
        <is>
          <t>Client Hung Up</t>
        </is>
      </c>
      <c r="L439" t="n">
        <v>7</v>
      </c>
      <c r="M439" t="inlineStr">
        <is>
          <t>2026-06-15 06:38:40</t>
        </is>
      </c>
      <c r="N439" t="inlineStr">
        <is>
          <t>Maureen Ntsoko</t>
        </is>
      </c>
      <c r="O439" t="inlineStr">
        <is>
          <t>2026-06-08 05:25:27</t>
        </is>
      </c>
      <c r="P439" t="inlineStr">
        <is>
          <t>2026-06-08 05:25:27</t>
        </is>
      </c>
      <c r="Y439" t="inlineStr">
        <is>
          <t>27818522802</t>
        </is>
      </c>
    </row>
    <row r="440">
      <c r="A440" t="inlineStr">
        <is>
          <t>14827561</t>
        </is>
      </c>
      <c r="B440" t="inlineStr">
        <is>
          <t>4e83e50e-27a0-482f-aa5f-dbe59cc044a9</t>
        </is>
      </c>
      <c r="D440" t="inlineStr">
        <is>
          <t>111111123</t>
        </is>
      </c>
      <c r="E440" t="inlineStr">
        <is>
          <t>Vodacom Life 20260603</t>
        </is>
      </c>
      <c r="J440" t="inlineStr">
        <is>
          <t>AA</t>
        </is>
      </c>
      <c r="K440" t="inlineStr">
        <is>
          <t>Answering Machine Autodial</t>
        </is>
      </c>
      <c r="L440" t="n">
        <v>7</v>
      </c>
      <c r="M440" t="inlineStr">
        <is>
          <t>2026-06-15 06:38:28</t>
        </is>
      </c>
      <c r="N440" t="inlineStr">
        <is>
          <t>system</t>
        </is>
      </c>
      <c r="O440" t="inlineStr">
        <is>
          <t>2026-06-08 05:25:27</t>
        </is>
      </c>
      <c r="P440" t="inlineStr">
        <is>
          <t>2026-06-08 05:25:27</t>
        </is>
      </c>
      <c r="Y440" t="inlineStr">
        <is>
          <t>27822863719</t>
        </is>
      </c>
    </row>
    <row r="441">
      <c r="A441" t="inlineStr">
        <is>
          <t>14827567</t>
        </is>
      </c>
      <c r="B441" t="inlineStr">
        <is>
          <t>605b1822-1ac9-4d12-a010-c8dd756aee32</t>
        </is>
      </c>
      <c r="D441" t="inlineStr">
        <is>
          <t>111111123</t>
        </is>
      </c>
      <c r="E441" t="inlineStr">
        <is>
          <t>Vodacom Life 20260603</t>
        </is>
      </c>
      <c r="H441" t="inlineStr">
        <is>
          <t>27769317684</t>
        </is>
      </c>
      <c r="J441" t="inlineStr">
        <is>
          <t>CU</t>
        </is>
      </c>
      <c r="K441" t="inlineStr">
        <is>
          <t>Client Hung Up</t>
        </is>
      </c>
      <c r="L441" t="n">
        <v>7</v>
      </c>
      <c r="M441" t="inlineStr">
        <is>
          <t>2026-06-15 06:38:24</t>
        </is>
      </c>
      <c r="N441" t="inlineStr">
        <is>
          <t>Maureen Ntsoko</t>
        </is>
      </c>
      <c r="O441" t="inlineStr">
        <is>
          <t>2026-06-08 05:25:27</t>
        </is>
      </c>
      <c r="P441" t="inlineStr">
        <is>
          <t>2026-06-08 05:25:27</t>
        </is>
      </c>
      <c r="Y441" t="inlineStr">
        <is>
          <t>27769317684</t>
        </is>
      </c>
    </row>
    <row r="442">
      <c r="A442" t="inlineStr">
        <is>
          <t>14828506</t>
        </is>
      </c>
      <c r="B442" t="inlineStr">
        <is>
          <t>c9aee7d2-3123-45e7-94c0-95597e9d6651</t>
        </is>
      </c>
      <c r="D442" t="inlineStr">
        <is>
          <t>111111123</t>
        </is>
      </c>
      <c r="E442" t="inlineStr">
        <is>
          <t>Vodacom Life 20260603</t>
        </is>
      </c>
      <c r="J442" t="inlineStr">
        <is>
          <t>AA</t>
        </is>
      </c>
      <c r="K442" t="inlineStr">
        <is>
          <t>Answering Machine Autodial</t>
        </is>
      </c>
      <c r="L442" t="n">
        <v>7</v>
      </c>
      <c r="M442" t="inlineStr">
        <is>
          <t>2026-06-15 06:38:24</t>
        </is>
      </c>
      <c r="N442" t="inlineStr">
        <is>
          <t>system</t>
        </is>
      </c>
      <c r="O442" t="inlineStr">
        <is>
          <t>2026-06-08 05:25:27</t>
        </is>
      </c>
      <c r="P442" t="inlineStr">
        <is>
          <t>2026-06-08 05:25:27</t>
        </is>
      </c>
      <c r="Y442" t="inlineStr">
        <is>
          <t>27826355593</t>
        </is>
      </c>
    </row>
    <row r="443">
      <c r="A443" t="inlineStr">
        <is>
          <t>14828534</t>
        </is>
      </c>
      <c r="B443" t="inlineStr">
        <is>
          <t>9e6ccc4b-4667-48c8-9378-3044bf1fcaa2</t>
        </is>
      </c>
      <c r="D443" t="inlineStr">
        <is>
          <t>111111123</t>
        </is>
      </c>
      <c r="E443" t="inlineStr">
        <is>
          <t>Vodacom Life 20260603</t>
        </is>
      </c>
      <c r="H443" t="inlineStr">
        <is>
          <t>27793357576</t>
        </is>
      </c>
      <c r="J443" t="inlineStr">
        <is>
          <t>AA</t>
        </is>
      </c>
      <c r="K443" t="inlineStr">
        <is>
          <t>Answering Machine Autodial</t>
        </is>
      </c>
      <c r="L443" t="n">
        <v>7</v>
      </c>
      <c r="M443" t="inlineStr">
        <is>
          <t>2026-06-15 06:38:24</t>
        </is>
      </c>
      <c r="N443" t="inlineStr">
        <is>
          <t>system</t>
        </is>
      </c>
      <c r="O443" t="inlineStr">
        <is>
          <t>2026-06-08 05:25:27</t>
        </is>
      </c>
      <c r="P443" t="inlineStr">
        <is>
          <t>2026-06-08 05:25:27</t>
        </is>
      </c>
      <c r="Y443" t="inlineStr">
        <is>
          <t>27793357576</t>
        </is>
      </c>
    </row>
    <row r="444">
      <c r="A444" t="inlineStr">
        <is>
          <t>14828535</t>
        </is>
      </c>
      <c r="B444" t="inlineStr">
        <is>
          <t>710bc666-2f29-4b26-bf0a-7878fd8533e9</t>
        </is>
      </c>
      <c r="D444" t="inlineStr">
        <is>
          <t>111111123</t>
        </is>
      </c>
      <c r="E444" t="inlineStr">
        <is>
          <t>Vodacom Life 20260603</t>
        </is>
      </c>
      <c r="J444" t="inlineStr">
        <is>
          <t>AA</t>
        </is>
      </c>
      <c r="K444" t="inlineStr">
        <is>
          <t>Answering Machine Autodial</t>
        </is>
      </c>
      <c r="L444" t="n">
        <v>7</v>
      </c>
      <c r="M444" t="inlineStr">
        <is>
          <t>2026-06-15 06:38:24</t>
        </is>
      </c>
      <c r="N444" t="inlineStr">
        <is>
          <t>system</t>
        </is>
      </c>
      <c r="O444" t="inlineStr">
        <is>
          <t>2026-06-08 05:25:27</t>
        </is>
      </c>
      <c r="P444" t="inlineStr">
        <is>
          <t>2026-06-08 05:25:27</t>
        </is>
      </c>
      <c r="Y444" t="inlineStr">
        <is>
          <t>27762348643</t>
        </is>
      </c>
    </row>
    <row r="445">
      <c r="A445" t="inlineStr">
        <is>
          <t>14827891</t>
        </is>
      </c>
      <c r="B445" t="inlineStr">
        <is>
          <t>92115b75-5928-43cc-82f9-5e0230df945e</t>
        </is>
      </c>
      <c r="D445" t="inlineStr">
        <is>
          <t>111111123</t>
        </is>
      </c>
      <c r="E445" t="inlineStr">
        <is>
          <t>Vodacom Life 20260603</t>
        </is>
      </c>
      <c r="J445" t="inlineStr">
        <is>
          <t>AA</t>
        </is>
      </c>
      <c r="K445" t="inlineStr">
        <is>
          <t>Answering Machine Autodial</t>
        </is>
      </c>
      <c r="L445" t="n">
        <v>7</v>
      </c>
      <c r="M445" t="inlineStr">
        <is>
          <t>2026-06-15 06:38:18</t>
        </is>
      </c>
      <c r="N445" t="inlineStr">
        <is>
          <t>system</t>
        </is>
      </c>
      <c r="O445" t="inlineStr">
        <is>
          <t>2026-06-08 05:25:27</t>
        </is>
      </c>
      <c r="P445" t="inlineStr">
        <is>
          <t>2026-06-08 05:25:27</t>
        </is>
      </c>
      <c r="Y445" t="inlineStr">
        <is>
          <t>27793263266</t>
        </is>
      </c>
    </row>
    <row r="446">
      <c r="A446" t="inlineStr">
        <is>
          <t>14828529</t>
        </is>
      </c>
      <c r="B446" t="inlineStr">
        <is>
          <t>70aac71e-cfc9-446d-aedd-0797554998be</t>
        </is>
      </c>
      <c r="D446" t="inlineStr">
        <is>
          <t>111111123</t>
        </is>
      </c>
      <c r="E446" t="inlineStr">
        <is>
          <t>Vodacom Life 20260603</t>
        </is>
      </c>
      <c r="H446" t="inlineStr">
        <is>
          <t>27727817419</t>
        </is>
      </c>
      <c r="J446" t="inlineStr">
        <is>
          <t>AA</t>
        </is>
      </c>
      <c r="K446" t="inlineStr">
        <is>
          <t>Answering Machine Autodial</t>
        </is>
      </c>
      <c r="L446" t="n">
        <v>7</v>
      </c>
      <c r="M446" t="inlineStr">
        <is>
          <t>2026-06-15 06:38:18</t>
        </is>
      </c>
      <c r="N446" t="inlineStr">
        <is>
          <t>system</t>
        </is>
      </c>
      <c r="O446" t="inlineStr">
        <is>
          <t>2026-06-08 05:25:27</t>
        </is>
      </c>
      <c r="P446" t="inlineStr">
        <is>
          <t>2026-06-08 05:25:27</t>
        </is>
      </c>
      <c r="Y446" t="inlineStr">
        <is>
          <t>27727817419</t>
        </is>
      </c>
    </row>
    <row r="447">
      <c r="A447" t="inlineStr">
        <is>
          <t>14827889</t>
        </is>
      </c>
      <c r="B447" t="inlineStr">
        <is>
          <t>6d43cb09-c588-472a-9954-d197e3abae53</t>
        </is>
      </c>
      <c r="D447" t="inlineStr">
        <is>
          <t>111111123</t>
        </is>
      </c>
      <c r="E447" t="inlineStr">
        <is>
          <t>Vodacom Life 20260603</t>
        </is>
      </c>
      <c r="H447" t="inlineStr">
        <is>
          <t>27791325496</t>
        </is>
      </c>
      <c r="J447" t="inlineStr">
        <is>
          <t>CU</t>
        </is>
      </c>
      <c r="K447" t="inlineStr">
        <is>
          <t>Client Hung Up</t>
        </is>
      </c>
      <c r="L447" t="n">
        <v>7</v>
      </c>
      <c r="M447" t="inlineStr">
        <is>
          <t>2026-06-15 06:37:44</t>
        </is>
      </c>
      <c r="N447" t="inlineStr">
        <is>
          <t>Maureen Ntsoko</t>
        </is>
      </c>
      <c r="O447" t="inlineStr">
        <is>
          <t>2026-06-08 05:25:27</t>
        </is>
      </c>
      <c r="P447" t="inlineStr">
        <is>
          <t>2026-06-08 05:25:27</t>
        </is>
      </c>
      <c r="Y447" t="inlineStr">
        <is>
          <t>27791325496</t>
        </is>
      </c>
    </row>
    <row r="448">
      <c r="A448" t="inlineStr">
        <is>
          <t>14827585</t>
        </is>
      </c>
      <c r="B448" t="inlineStr">
        <is>
          <t>5110b977-f8f2-4570-a666-85d3f97f0273</t>
        </is>
      </c>
      <c r="D448" t="inlineStr">
        <is>
          <t>111111123</t>
        </is>
      </c>
      <c r="E448" t="inlineStr">
        <is>
          <t>Vodacom Life 20260603</t>
        </is>
      </c>
      <c r="H448" t="inlineStr">
        <is>
          <t>27827917195</t>
        </is>
      </c>
      <c r="J448" t="inlineStr">
        <is>
          <t>AA</t>
        </is>
      </c>
      <c r="K448" t="inlineStr">
        <is>
          <t>Answering Machine Autodial</t>
        </is>
      </c>
      <c r="L448" t="n">
        <v>7</v>
      </c>
      <c r="M448" t="inlineStr">
        <is>
          <t>2026-06-15 06:37:44</t>
        </is>
      </c>
      <c r="N448" t="inlineStr">
        <is>
          <t>system</t>
        </is>
      </c>
      <c r="O448" t="inlineStr">
        <is>
          <t>2026-06-08 05:25:27</t>
        </is>
      </c>
      <c r="P448" t="inlineStr">
        <is>
          <t>2026-06-08 05:25:27</t>
        </is>
      </c>
      <c r="Y448" t="inlineStr">
        <is>
          <t>27827917195</t>
        </is>
      </c>
    </row>
    <row r="449">
      <c r="A449" t="inlineStr">
        <is>
          <t>14827588</t>
        </is>
      </c>
      <c r="B449" t="inlineStr">
        <is>
          <t>aac8424e-f4ac-4f5b-ad0a-9100b664d93c</t>
        </is>
      </c>
      <c r="D449" t="inlineStr">
        <is>
          <t>111111123</t>
        </is>
      </c>
      <c r="E449" t="inlineStr">
        <is>
          <t>Vodacom Life 20260603</t>
        </is>
      </c>
      <c r="H449" t="inlineStr">
        <is>
          <t>27791691555</t>
        </is>
      </c>
      <c r="J449" t="inlineStr">
        <is>
          <t>NA</t>
        </is>
      </c>
      <c r="K449" t="inlineStr">
        <is>
          <t>No Answer Autodial</t>
        </is>
      </c>
      <c r="L449" t="n">
        <v>7</v>
      </c>
      <c r="M449" t="inlineStr">
        <is>
          <t>2026-06-15 06:37:44</t>
        </is>
      </c>
      <c r="N449" t="inlineStr">
        <is>
          <t>system</t>
        </is>
      </c>
      <c r="O449" t="inlineStr">
        <is>
          <t>2026-06-08 05:25:27</t>
        </is>
      </c>
      <c r="P449" t="inlineStr">
        <is>
          <t>2026-06-08 05:25:27</t>
        </is>
      </c>
      <c r="Y449" t="inlineStr">
        <is>
          <t>27791691555</t>
        </is>
      </c>
    </row>
    <row r="450">
      <c r="A450" t="inlineStr">
        <is>
          <t>14827608</t>
        </is>
      </c>
      <c r="B450" t="inlineStr">
        <is>
          <t>ca97e23b-3ed6-486f-86f3-10d4f40e9a6f</t>
        </is>
      </c>
      <c r="D450" t="inlineStr">
        <is>
          <t>111111123</t>
        </is>
      </c>
      <c r="E450" t="inlineStr">
        <is>
          <t>Vodacom Life 20260603</t>
        </is>
      </c>
      <c r="H450" t="inlineStr">
        <is>
          <t>27714966823</t>
        </is>
      </c>
      <c r="J450" t="inlineStr">
        <is>
          <t>DROP</t>
        </is>
      </c>
      <c r="K450" t="inlineStr">
        <is>
          <t>Dropped</t>
        </is>
      </c>
      <c r="L450" t="n">
        <v>7</v>
      </c>
      <c r="M450" t="inlineStr">
        <is>
          <t>2026-06-15 06:37:44</t>
        </is>
      </c>
      <c r="N450" t="inlineStr">
        <is>
          <t>system</t>
        </is>
      </c>
      <c r="O450" t="inlineStr">
        <is>
          <t>2026-06-08 05:25:27</t>
        </is>
      </c>
      <c r="P450" t="inlineStr">
        <is>
          <t>2026-06-08 05:25:27</t>
        </is>
      </c>
      <c r="Y450" t="inlineStr">
        <is>
          <t>27714966823</t>
        </is>
      </c>
    </row>
    <row r="451">
      <c r="A451" t="inlineStr">
        <is>
          <t>14827545</t>
        </is>
      </c>
      <c r="B451" t="inlineStr">
        <is>
          <t>c66cda2b-9551-444c-afce-da8d8012f952</t>
        </is>
      </c>
      <c r="D451" t="inlineStr">
        <is>
          <t>111111123</t>
        </is>
      </c>
      <c r="E451" t="inlineStr">
        <is>
          <t>Vodacom Life 20260603</t>
        </is>
      </c>
      <c r="H451" t="inlineStr">
        <is>
          <t>27646049158</t>
        </is>
      </c>
      <c r="J451" t="inlineStr">
        <is>
          <t>AA</t>
        </is>
      </c>
      <c r="K451" t="inlineStr">
        <is>
          <t>Answering Machine Autodial</t>
        </is>
      </c>
      <c r="L451" t="n">
        <v>7</v>
      </c>
      <c r="M451" t="inlineStr">
        <is>
          <t>2026-06-15 06:37:44</t>
        </is>
      </c>
      <c r="N451" t="inlineStr">
        <is>
          <t>system</t>
        </is>
      </c>
      <c r="O451" t="inlineStr">
        <is>
          <t>2026-06-08 05:25:27</t>
        </is>
      </c>
      <c r="P451" t="inlineStr">
        <is>
          <t>2026-06-08 05:25:27</t>
        </is>
      </c>
      <c r="Y451" t="inlineStr">
        <is>
          <t>27646049158</t>
        </is>
      </c>
    </row>
    <row r="452">
      <c r="A452" t="inlineStr">
        <is>
          <t>14827754</t>
        </is>
      </c>
      <c r="B452" t="inlineStr">
        <is>
          <t>56db8f72-4c00-4c02-be6a-0d0d37cb1f33</t>
        </is>
      </c>
      <c r="D452" t="inlineStr">
        <is>
          <t>111111123</t>
        </is>
      </c>
      <c r="E452" t="inlineStr">
        <is>
          <t>Vodacom Life 20260603</t>
        </is>
      </c>
      <c r="H452" t="inlineStr">
        <is>
          <t>27828005910</t>
        </is>
      </c>
      <c r="J452" t="inlineStr">
        <is>
          <t>CU</t>
        </is>
      </c>
      <c r="K452" t="inlineStr">
        <is>
          <t>Client Hung Up</t>
        </is>
      </c>
      <c r="L452" t="n">
        <v>7</v>
      </c>
      <c r="M452" t="inlineStr">
        <is>
          <t>2026-06-15 06:37:44</t>
        </is>
      </c>
      <c r="N452" t="inlineStr">
        <is>
          <t>Maureen Ntsoko</t>
        </is>
      </c>
      <c r="O452" t="inlineStr">
        <is>
          <t>2026-06-08 05:25:27</t>
        </is>
      </c>
      <c r="P452" t="inlineStr">
        <is>
          <t>2026-06-08 05:25:27</t>
        </is>
      </c>
      <c r="Y452" t="inlineStr">
        <is>
          <t>27828005910</t>
        </is>
      </c>
    </row>
    <row r="453">
      <c r="A453" t="inlineStr">
        <is>
          <t>14828528</t>
        </is>
      </c>
      <c r="B453" t="inlineStr">
        <is>
          <t>dd7e6381-1069-4a46-bb74-752c2a2f380d</t>
        </is>
      </c>
      <c r="D453" t="inlineStr">
        <is>
          <t>111111123</t>
        </is>
      </c>
      <c r="E453" t="inlineStr">
        <is>
          <t>Vodacom Life 20260603</t>
        </is>
      </c>
      <c r="J453" t="inlineStr">
        <is>
          <t>CU</t>
        </is>
      </c>
      <c r="K453" t="inlineStr">
        <is>
          <t>Client Hung Up</t>
        </is>
      </c>
      <c r="L453" t="n">
        <v>7</v>
      </c>
      <c r="M453" t="inlineStr">
        <is>
          <t>2026-06-15 06:37:28</t>
        </is>
      </c>
      <c r="N453" t="inlineStr">
        <is>
          <t>bongiwe lushaba</t>
        </is>
      </c>
      <c r="O453" t="inlineStr">
        <is>
          <t>2026-06-08 05:25:27</t>
        </is>
      </c>
      <c r="P453" t="inlineStr">
        <is>
          <t>2026-06-08 05:25:27</t>
        </is>
      </c>
      <c r="Y453" t="inlineStr">
        <is>
          <t>27723731622</t>
        </is>
      </c>
    </row>
    <row r="454">
      <c r="A454" t="inlineStr">
        <is>
          <t>14827970</t>
        </is>
      </c>
      <c r="B454" t="inlineStr">
        <is>
          <t>024b342a-6991-4252-aec0-d0a0ac80c654</t>
        </is>
      </c>
      <c r="D454" t="inlineStr">
        <is>
          <t>111111123</t>
        </is>
      </c>
      <c r="E454" t="inlineStr">
        <is>
          <t>Vodacom Life 20260603</t>
        </is>
      </c>
      <c r="J454" t="inlineStr">
        <is>
          <t>ADC</t>
        </is>
      </c>
      <c r="K454" t="inlineStr">
        <is>
          <t>Auto Dial Disconnected</t>
        </is>
      </c>
      <c r="L454" t="n">
        <v>7</v>
      </c>
      <c r="M454" t="inlineStr">
        <is>
          <t>2026-06-15 06:37:28</t>
        </is>
      </c>
      <c r="N454" t="inlineStr">
        <is>
          <t>system</t>
        </is>
      </c>
      <c r="O454" t="inlineStr">
        <is>
          <t>2026-06-08 05:25:27</t>
        </is>
      </c>
      <c r="P454" t="inlineStr">
        <is>
          <t>2026-06-08 05:25:27</t>
        </is>
      </c>
      <c r="Y454" t="inlineStr">
        <is>
          <t>27796559776</t>
        </is>
      </c>
    </row>
    <row r="455">
      <c r="A455" t="inlineStr">
        <is>
          <t>14828512</t>
        </is>
      </c>
      <c r="B455" t="inlineStr">
        <is>
          <t>46b898f9-81ac-4d9d-bcc7-7c9c5c231aaf</t>
        </is>
      </c>
      <c r="D455" t="inlineStr">
        <is>
          <t>111111123</t>
        </is>
      </c>
      <c r="E455" t="inlineStr">
        <is>
          <t>Vodacom Life 20260603</t>
        </is>
      </c>
      <c r="H455" t="inlineStr">
        <is>
          <t>27766901064</t>
        </is>
      </c>
      <c r="J455" t="inlineStr">
        <is>
          <t>CU</t>
        </is>
      </c>
      <c r="K455" t="inlineStr">
        <is>
          <t>Client Hung Up</t>
        </is>
      </c>
      <c r="L455" t="n">
        <v>7</v>
      </c>
      <c r="M455" t="inlineStr">
        <is>
          <t>2026-06-15 06:37:00</t>
        </is>
      </c>
      <c r="N455" t="inlineStr">
        <is>
          <t>Maureen Ntsoko</t>
        </is>
      </c>
      <c r="O455" t="inlineStr">
        <is>
          <t>2026-06-08 05:25:27</t>
        </is>
      </c>
      <c r="P455" t="inlineStr">
        <is>
          <t>2026-06-08 05:25:27</t>
        </is>
      </c>
      <c r="Y455" t="inlineStr">
        <is>
          <t>27766901064</t>
        </is>
      </c>
    </row>
    <row r="456">
      <c r="A456" t="inlineStr">
        <is>
          <t>14827587</t>
        </is>
      </c>
      <c r="B456" t="inlineStr">
        <is>
          <t>3b7cbb39-384c-4ed9-89db-bc9034d5ee3a</t>
        </is>
      </c>
      <c r="D456" t="inlineStr">
        <is>
          <t>111111123</t>
        </is>
      </c>
      <c r="E456" t="inlineStr">
        <is>
          <t>Vodacom Life 20260603</t>
        </is>
      </c>
      <c r="J456" t="inlineStr">
        <is>
          <t>AA</t>
        </is>
      </c>
      <c r="K456" t="inlineStr">
        <is>
          <t>Answering Machine Autodial</t>
        </is>
      </c>
      <c r="L456" t="n">
        <v>7</v>
      </c>
      <c r="M456" t="inlineStr">
        <is>
          <t>2026-06-15 06:36:59</t>
        </is>
      </c>
      <c r="N456" t="inlineStr">
        <is>
          <t>system</t>
        </is>
      </c>
      <c r="O456" t="inlineStr">
        <is>
          <t>2026-06-08 05:25:27</t>
        </is>
      </c>
      <c r="P456" t="inlineStr">
        <is>
          <t>2026-06-08 05:25:27</t>
        </is>
      </c>
      <c r="Y456" t="inlineStr">
        <is>
          <t>27736263742</t>
        </is>
      </c>
    </row>
    <row r="457">
      <c r="A457" t="inlineStr">
        <is>
          <t>14827761</t>
        </is>
      </c>
      <c r="B457" t="inlineStr">
        <is>
          <t>a5c579f0-9451-4697-aced-477070f64dcb</t>
        </is>
      </c>
      <c r="D457" t="inlineStr">
        <is>
          <t>111111123</t>
        </is>
      </c>
      <c r="E457" t="inlineStr">
        <is>
          <t>Vodacom Life 20260603</t>
        </is>
      </c>
      <c r="J457" t="inlineStr">
        <is>
          <t>NA</t>
        </is>
      </c>
      <c r="K457" t="inlineStr">
        <is>
          <t>No Answer Autodial</t>
        </is>
      </c>
      <c r="L457" t="n">
        <v>7</v>
      </c>
      <c r="M457" t="inlineStr">
        <is>
          <t>2026-06-15 06:36:59</t>
        </is>
      </c>
      <c r="N457" t="inlineStr">
        <is>
          <t>system</t>
        </is>
      </c>
      <c r="O457" t="inlineStr">
        <is>
          <t>2026-06-08 05:25:27</t>
        </is>
      </c>
      <c r="P457" t="inlineStr">
        <is>
          <t>2026-06-08 05:25:27</t>
        </is>
      </c>
      <c r="Y457" t="inlineStr">
        <is>
          <t>27647093256</t>
        </is>
      </c>
    </row>
    <row r="458">
      <c r="A458" t="inlineStr">
        <is>
          <t>14827844</t>
        </is>
      </c>
      <c r="B458" t="inlineStr">
        <is>
          <t>ad13d168-31db-4fc8-9bbc-80d556211d0a</t>
        </is>
      </c>
      <c r="D458" t="inlineStr">
        <is>
          <t>111111123</t>
        </is>
      </c>
      <c r="E458" t="inlineStr">
        <is>
          <t>Vodacom Life 20260603</t>
        </is>
      </c>
      <c r="H458" t="inlineStr">
        <is>
          <t>27763002084</t>
        </is>
      </c>
      <c r="J458" t="inlineStr">
        <is>
          <t>CU</t>
        </is>
      </c>
      <c r="K458" t="inlineStr">
        <is>
          <t>Client Hung Up</t>
        </is>
      </c>
      <c r="L458" t="n">
        <v>7</v>
      </c>
      <c r="M458" t="inlineStr">
        <is>
          <t>2026-06-15 06:36:50</t>
        </is>
      </c>
      <c r="N458" t="inlineStr">
        <is>
          <t>Maureen Ntsoko</t>
        </is>
      </c>
      <c r="O458" t="inlineStr">
        <is>
          <t>2026-06-08 05:25:27</t>
        </is>
      </c>
      <c r="P458" t="inlineStr">
        <is>
          <t>2026-06-08 05:25:27</t>
        </is>
      </c>
      <c r="Y458" t="inlineStr">
        <is>
          <t>27763002084</t>
        </is>
      </c>
    </row>
    <row r="459">
      <c r="A459" t="inlineStr">
        <is>
          <t>14827563</t>
        </is>
      </c>
      <c r="B459" t="inlineStr">
        <is>
          <t>3d8b7f45-002f-4890-a043-d6d791f425b0</t>
        </is>
      </c>
      <c r="D459" t="inlineStr">
        <is>
          <t>111111123</t>
        </is>
      </c>
      <c r="E459" t="inlineStr">
        <is>
          <t>Vodacom Life 20260603</t>
        </is>
      </c>
      <c r="J459" t="inlineStr">
        <is>
          <t>AE</t>
        </is>
      </c>
      <c r="K459" t="inlineStr">
        <is>
          <t>Auto Engaged</t>
        </is>
      </c>
      <c r="L459" t="n">
        <v>7</v>
      </c>
      <c r="M459" t="inlineStr">
        <is>
          <t>2026-06-15 06:35:52</t>
        </is>
      </c>
      <c r="N459" t="inlineStr">
        <is>
          <t>system</t>
        </is>
      </c>
      <c r="O459" t="inlineStr">
        <is>
          <t>2026-06-08 05:25:27</t>
        </is>
      </c>
      <c r="P459" t="inlineStr">
        <is>
          <t>2026-06-08 05:25:27</t>
        </is>
      </c>
      <c r="Y459" t="inlineStr">
        <is>
          <t>27649485598</t>
        </is>
      </c>
    </row>
    <row r="460">
      <c r="A460" t="inlineStr">
        <is>
          <t>14827586</t>
        </is>
      </c>
      <c r="B460" t="inlineStr">
        <is>
          <t>74dacf11-d36d-46b8-86f1-6e8a96f0d266</t>
        </is>
      </c>
      <c r="D460" t="inlineStr">
        <is>
          <t>111111123</t>
        </is>
      </c>
      <c r="E460" t="inlineStr">
        <is>
          <t>Vodacom Life 20260603</t>
        </is>
      </c>
      <c r="H460" t="inlineStr">
        <is>
          <t>27829602680</t>
        </is>
      </c>
      <c r="J460" t="inlineStr">
        <is>
          <t>AC</t>
        </is>
      </c>
      <c r="K460" t="inlineStr">
        <is>
          <t>Already Contacted</t>
        </is>
      </c>
      <c r="L460" t="n">
        <v>7</v>
      </c>
      <c r="M460" t="inlineStr">
        <is>
          <t>2026-06-15 06:35:52</t>
        </is>
      </c>
      <c r="N460" t="inlineStr">
        <is>
          <t>Maureen Ntsoko</t>
        </is>
      </c>
      <c r="O460" t="inlineStr">
        <is>
          <t>2026-06-08 05:25:27</t>
        </is>
      </c>
      <c r="P460" t="inlineStr">
        <is>
          <t>2026-06-08 05:25:27</t>
        </is>
      </c>
      <c r="Y460" t="inlineStr">
        <is>
          <t>27829602680</t>
        </is>
      </c>
    </row>
    <row r="461">
      <c r="A461" t="inlineStr">
        <is>
          <t>14827562</t>
        </is>
      </c>
      <c r="B461" t="inlineStr">
        <is>
          <t>2ba5ed0e-dcd4-49ed-92dd-30638ffddf38</t>
        </is>
      </c>
      <c r="D461" t="inlineStr">
        <is>
          <t>111111123</t>
        </is>
      </c>
      <c r="E461" t="inlineStr">
        <is>
          <t>Vodacom Life 20260603</t>
        </is>
      </c>
      <c r="J461" t="inlineStr">
        <is>
          <t>AA</t>
        </is>
      </c>
      <c r="K461" t="inlineStr">
        <is>
          <t>Answering Machine Autodial</t>
        </is>
      </c>
      <c r="L461" t="n">
        <v>7</v>
      </c>
      <c r="M461" t="inlineStr">
        <is>
          <t>2026-06-15 06:35:52</t>
        </is>
      </c>
      <c r="N461" t="inlineStr">
        <is>
          <t>system</t>
        </is>
      </c>
      <c r="O461" t="inlineStr">
        <is>
          <t>2026-06-08 05:25:27</t>
        </is>
      </c>
      <c r="P461" t="inlineStr">
        <is>
          <t>2026-06-08 05:25:27</t>
        </is>
      </c>
      <c r="Y461" t="inlineStr">
        <is>
          <t>27647888943</t>
        </is>
      </c>
    </row>
    <row r="462">
      <c r="A462" t="inlineStr">
        <is>
          <t>14828530</t>
        </is>
      </c>
      <c r="B462" t="inlineStr">
        <is>
          <t>5b2a1765-46b2-4813-9152-1caf0707e017</t>
        </is>
      </c>
      <c r="D462" t="inlineStr">
        <is>
          <t>111111123</t>
        </is>
      </c>
      <c r="E462" t="inlineStr">
        <is>
          <t>Vodacom Life 20260603</t>
        </is>
      </c>
      <c r="J462" t="inlineStr">
        <is>
          <t>DROP</t>
        </is>
      </c>
      <c r="K462" t="inlineStr">
        <is>
          <t>Dropped</t>
        </is>
      </c>
      <c r="L462" t="n">
        <v>7</v>
      </c>
      <c r="M462" t="inlineStr">
        <is>
          <t>2026-06-15 06:35:13</t>
        </is>
      </c>
      <c r="N462" t="inlineStr">
        <is>
          <t>system</t>
        </is>
      </c>
      <c r="O462" t="inlineStr">
        <is>
          <t>2026-06-08 05:25:27</t>
        </is>
      </c>
      <c r="P462" t="inlineStr">
        <is>
          <t>2026-06-08 05:25:27</t>
        </is>
      </c>
      <c r="Y462" t="inlineStr">
        <is>
          <t>27823860792</t>
        </is>
      </c>
    </row>
    <row r="463">
      <c r="A463" t="inlineStr">
        <is>
          <t>14828531</t>
        </is>
      </c>
      <c r="B463" t="inlineStr">
        <is>
          <t>9efbbd4c-fbef-4486-a057-2f17398dc229</t>
        </is>
      </c>
      <c r="D463" t="inlineStr">
        <is>
          <t>111111123</t>
        </is>
      </c>
      <c r="E463" t="inlineStr">
        <is>
          <t>Vodacom Life 20260603</t>
        </is>
      </c>
      <c r="J463" t="inlineStr">
        <is>
          <t>NA</t>
        </is>
      </c>
      <c r="K463" t="inlineStr">
        <is>
          <t>No Answer Autodial</t>
        </is>
      </c>
      <c r="L463" t="n">
        <v>7</v>
      </c>
      <c r="M463" t="inlineStr">
        <is>
          <t>2026-06-15 06:35:13</t>
        </is>
      </c>
      <c r="N463" t="inlineStr">
        <is>
          <t>system</t>
        </is>
      </c>
      <c r="O463" t="inlineStr">
        <is>
          <t>2026-06-08 05:25:27</t>
        </is>
      </c>
      <c r="P463" t="inlineStr">
        <is>
          <t>2026-06-08 05:25:27</t>
        </is>
      </c>
      <c r="Y463" t="inlineStr">
        <is>
          <t>27664878571</t>
        </is>
      </c>
    </row>
    <row r="464">
      <c r="A464" t="inlineStr">
        <is>
          <t>14827591</t>
        </is>
      </c>
      <c r="B464" t="inlineStr">
        <is>
          <t>ce7c9ba6-e6f9-47cb-b52d-eb8af9fdc28d</t>
        </is>
      </c>
      <c r="D464" t="inlineStr">
        <is>
          <t>111111123</t>
        </is>
      </c>
      <c r="E464" t="inlineStr">
        <is>
          <t>Vodacom Life 20260603</t>
        </is>
      </c>
      <c r="J464" t="inlineStr">
        <is>
          <t>DROP</t>
        </is>
      </c>
      <c r="K464" t="inlineStr">
        <is>
          <t>Dropped</t>
        </is>
      </c>
      <c r="L464" t="n">
        <v>7</v>
      </c>
      <c r="M464" t="inlineStr">
        <is>
          <t>2026-06-15 06:35:12</t>
        </is>
      </c>
      <c r="N464" t="inlineStr">
        <is>
          <t>system</t>
        </is>
      </c>
      <c r="O464" t="inlineStr">
        <is>
          <t>2026-06-08 05:25:27</t>
        </is>
      </c>
      <c r="P464" t="inlineStr">
        <is>
          <t>2026-06-08 05:25:27</t>
        </is>
      </c>
      <c r="Y464" t="inlineStr">
        <is>
          <t>27721461421</t>
        </is>
      </c>
    </row>
    <row r="465">
      <c r="A465" t="inlineStr">
        <is>
          <t>14828539</t>
        </is>
      </c>
      <c r="B465" t="inlineStr">
        <is>
          <t>f23c06e8-d4d7-41a5-891f-23811983a42e</t>
        </is>
      </c>
      <c r="D465" t="inlineStr">
        <is>
          <t>111111123</t>
        </is>
      </c>
      <c r="E465" t="inlineStr">
        <is>
          <t>Vodacom Life 20260603</t>
        </is>
      </c>
      <c r="J465" t="inlineStr">
        <is>
          <t>AA</t>
        </is>
      </c>
      <c r="K465" t="inlineStr">
        <is>
          <t>Answering Machine Autodial</t>
        </is>
      </c>
      <c r="L465" t="n">
        <v>7</v>
      </c>
      <c r="M465" t="inlineStr">
        <is>
          <t>2026-06-15 06:34:58</t>
        </is>
      </c>
      <c r="N465" t="inlineStr">
        <is>
          <t>system</t>
        </is>
      </c>
      <c r="O465" t="inlineStr">
        <is>
          <t>2026-06-08 05:25:27</t>
        </is>
      </c>
      <c r="P465" t="inlineStr">
        <is>
          <t>2026-06-08 05:25:27</t>
        </is>
      </c>
      <c r="Y465" t="inlineStr">
        <is>
          <t>27729199069</t>
        </is>
      </c>
    </row>
    <row r="466">
      <c r="A466" t="inlineStr">
        <is>
          <t>14828540</t>
        </is>
      </c>
      <c r="B466" t="inlineStr">
        <is>
          <t>46f833f0-a830-408a-b42c-d4c91cadd76c</t>
        </is>
      </c>
      <c r="D466" t="inlineStr">
        <is>
          <t>111111123</t>
        </is>
      </c>
      <c r="E466" t="inlineStr">
        <is>
          <t>Vodacom Life 20260603</t>
        </is>
      </c>
      <c r="J466" t="inlineStr">
        <is>
          <t>AE</t>
        </is>
      </c>
      <c r="K466" t="inlineStr">
        <is>
          <t>Auto Engaged</t>
        </is>
      </c>
      <c r="L466" t="n">
        <v>7</v>
      </c>
      <c r="M466" t="inlineStr">
        <is>
          <t>2026-06-15 06:34:55</t>
        </is>
      </c>
      <c r="N466" t="inlineStr">
        <is>
          <t>system</t>
        </is>
      </c>
      <c r="O466" t="inlineStr">
        <is>
          <t>2026-06-08 05:25:27</t>
        </is>
      </c>
      <c r="P466" t="inlineStr">
        <is>
          <t>2026-06-08 05:25:27</t>
        </is>
      </c>
      <c r="Y466" t="inlineStr">
        <is>
          <t>27792383904</t>
        </is>
      </c>
    </row>
    <row r="467">
      <c r="A467" t="inlineStr">
        <is>
          <t>14827855</t>
        </is>
      </c>
      <c r="B467" t="inlineStr">
        <is>
          <t>97897adf-273e-4b29-a53e-9dc4c7868ceb</t>
        </is>
      </c>
      <c r="D467" t="inlineStr">
        <is>
          <t>111111123</t>
        </is>
      </c>
      <c r="E467" t="inlineStr">
        <is>
          <t>Vodacom Life 20260603</t>
        </is>
      </c>
      <c r="J467" t="inlineStr">
        <is>
          <t>AA</t>
        </is>
      </c>
      <c r="K467" t="inlineStr">
        <is>
          <t>Answering Machine Autodial</t>
        </is>
      </c>
      <c r="L467" t="n">
        <v>7</v>
      </c>
      <c r="M467" t="inlineStr">
        <is>
          <t>2026-06-15 06:34:51</t>
        </is>
      </c>
      <c r="N467" t="inlineStr">
        <is>
          <t>system</t>
        </is>
      </c>
      <c r="O467" t="inlineStr">
        <is>
          <t>2026-06-08 05:25:27</t>
        </is>
      </c>
      <c r="P467" t="inlineStr">
        <is>
          <t>2026-06-08 05:25:27</t>
        </is>
      </c>
      <c r="Y467" t="inlineStr">
        <is>
          <t>27724127641</t>
        </is>
      </c>
    </row>
    <row r="468">
      <c r="A468" t="inlineStr">
        <is>
          <t>14828541</t>
        </is>
      </c>
      <c r="B468" t="inlineStr">
        <is>
          <t>0117a73a-0d22-44c8-ad7f-9ea413846a67</t>
        </is>
      </c>
      <c r="D468" t="inlineStr">
        <is>
          <t>111111123</t>
        </is>
      </c>
      <c r="E468" t="inlineStr">
        <is>
          <t>Vodacom Life 20260603</t>
        </is>
      </c>
      <c r="J468" t="inlineStr">
        <is>
          <t>AE</t>
        </is>
      </c>
      <c r="K468" t="inlineStr">
        <is>
          <t>Auto Engaged</t>
        </is>
      </c>
      <c r="L468" t="n">
        <v>7</v>
      </c>
      <c r="M468" t="inlineStr">
        <is>
          <t>2026-06-15 06:34:51</t>
        </is>
      </c>
      <c r="N468" t="inlineStr">
        <is>
          <t>system</t>
        </is>
      </c>
      <c r="O468" t="inlineStr">
        <is>
          <t>2026-06-08 05:25:27</t>
        </is>
      </c>
      <c r="P468" t="inlineStr">
        <is>
          <t>2026-06-08 05:25:27</t>
        </is>
      </c>
      <c r="Y468" t="inlineStr">
        <is>
          <t>27828226640</t>
        </is>
      </c>
    </row>
    <row r="469">
      <c r="A469" t="inlineStr">
        <is>
          <t>14827713</t>
        </is>
      </c>
      <c r="B469" t="inlineStr">
        <is>
          <t>29f6a4f5-c14f-488a-8257-c78365f497b8</t>
        </is>
      </c>
      <c r="D469" t="inlineStr">
        <is>
          <t>111111123</t>
        </is>
      </c>
      <c r="E469" t="inlineStr">
        <is>
          <t>Vodacom Life 20260603</t>
        </is>
      </c>
      <c r="H469" t="inlineStr">
        <is>
          <t>27773686547</t>
        </is>
      </c>
      <c r="J469" t="inlineStr">
        <is>
          <t>CU</t>
        </is>
      </c>
      <c r="K469" t="inlineStr">
        <is>
          <t>Client Hung Up</t>
        </is>
      </c>
      <c r="L469" t="n">
        <v>7</v>
      </c>
      <c r="M469" t="inlineStr">
        <is>
          <t>2026-06-15 06:34:51</t>
        </is>
      </c>
      <c r="N469" t="inlineStr">
        <is>
          <t>bongiwe lushaba</t>
        </is>
      </c>
      <c r="O469" t="inlineStr">
        <is>
          <t>2026-06-08 05:25:27</t>
        </is>
      </c>
      <c r="P469" t="inlineStr">
        <is>
          <t>2026-06-08 05:25:27</t>
        </is>
      </c>
      <c r="Y469" t="inlineStr">
        <is>
          <t>27773686547</t>
        </is>
      </c>
    </row>
    <row r="470">
      <c r="A470" t="inlineStr">
        <is>
          <t>14827715</t>
        </is>
      </c>
      <c r="B470" t="inlineStr">
        <is>
          <t>38ac2d87-31df-4cfe-b3b9-01aebe3686e0</t>
        </is>
      </c>
      <c r="D470" t="inlineStr">
        <is>
          <t>111111123</t>
        </is>
      </c>
      <c r="E470" t="inlineStr">
        <is>
          <t>Vodacom Life 20260603</t>
        </is>
      </c>
      <c r="J470" t="inlineStr">
        <is>
          <t>AA</t>
        </is>
      </c>
      <c r="K470" t="inlineStr">
        <is>
          <t>Answering Machine Autodial</t>
        </is>
      </c>
      <c r="L470" t="n">
        <v>7</v>
      </c>
      <c r="M470" t="inlineStr">
        <is>
          <t>2026-06-15 06:34:51</t>
        </is>
      </c>
      <c r="N470" t="inlineStr">
        <is>
          <t>system</t>
        </is>
      </c>
      <c r="O470" t="inlineStr">
        <is>
          <t>2026-06-08 05:25:27</t>
        </is>
      </c>
      <c r="P470" t="inlineStr">
        <is>
          <t>2026-06-08 05:25:27</t>
        </is>
      </c>
      <c r="Y470" t="inlineStr">
        <is>
          <t>27818821337</t>
        </is>
      </c>
    </row>
    <row r="471">
      <c r="A471" t="inlineStr">
        <is>
          <t>14827721</t>
        </is>
      </c>
      <c r="B471" t="inlineStr">
        <is>
          <t>da40cccd-4f27-438e-9066-8f65efd66efe</t>
        </is>
      </c>
      <c r="D471" t="inlineStr">
        <is>
          <t>111111123</t>
        </is>
      </c>
      <c r="E471" t="inlineStr">
        <is>
          <t>Vodacom Life 20260603</t>
        </is>
      </c>
      <c r="H471" t="inlineStr">
        <is>
          <t>27722232105</t>
        </is>
      </c>
      <c r="J471" t="inlineStr">
        <is>
          <t>CU</t>
        </is>
      </c>
      <c r="K471" t="inlineStr">
        <is>
          <t>Client Hung Up</t>
        </is>
      </c>
      <c r="L471" t="n">
        <v>7</v>
      </c>
      <c r="M471" t="inlineStr">
        <is>
          <t>2026-06-15 06:34:36</t>
        </is>
      </c>
      <c r="N471" t="inlineStr">
        <is>
          <t>Maureen Ntsoko</t>
        </is>
      </c>
      <c r="O471" t="inlineStr">
        <is>
          <t>2026-06-08 05:25:27</t>
        </is>
      </c>
      <c r="P471" t="inlineStr">
        <is>
          <t>2026-06-08 05:25:27</t>
        </is>
      </c>
      <c r="Y471" t="inlineStr">
        <is>
          <t>27722232105</t>
        </is>
      </c>
    </row>
    <row r="472">
      <c r="A472" t="inlineStr">
        <is>
          <t>14827621</t>
        </is>
      </c>
      <c r="B472" t="inlineStr">
        <is>
          <t>5adfe456-ce2f-4329-910d-ff0dda05410a</t>
        </is>
      </c>
      <c r="D472" t="inlineStr">
        <is>
          <t>111111123</t>
        </is>
      </c>
      <c r="E472" t="inlineStr">
        <is>
          <t>Vodacom Life 20260603</t>
        </is>
      </c>
      <c r="H472" t="inlineStr">
        <is>
          <t>27723525377</t>
        </is>
      </c>
      <c r="J472" t="inlineStr">
        <is>
          <t>IABDN</t>
        </is>
      </c>
      <c r="K472" t="inlineStr">
        <is>
          <t>Inbound Abandon</t>
        </is>
      </c>
      <c r="L472" t="n">
        <v>7</v>
      </c>
      <c r="M472" t="inlineStr">
        <is>
          <t>2026-06-15 06:34:22</t>
        </is>
      </c>
      <c r="N472" t="inlineStr">
        <is>
          <t>system</t>
        </is>
      </c>
      <c r="O472" t="inlineStr">
        <is>
          <t>2026-06-08 05:25:27</t>
        </is>
      </c>
      <c r="P472" t="inlineStr">
        <is>
          <t>2026-06-08 05:25:27</t>
        </is>
      </c>
      <c r="Y472" t="inlineStr">
        <is>
          <t>27723525377</t>
        </is>
      </c>
    </row>
    <row r="473">
      <c r="A473" t="inlineStr">
        <is>
          <t>14827571</t>
        </is>
      </c>
      <c r="B473" t="inlineStr">
        <is>
          <t>7133ddd2-6402-4b9e-be94-90e581605229</t>
        </is>
      </c>
      <c r="D473" t="inlineStr">
        <is>
          <t>111111123</t>
        </is>
      </c>
      <c r="E473" t="inlineStr">
        <is>
          <t>Vodacom Life 20260603</t>
        </is>
      </c>
      <c r="H473" t="inlineStr">
        <is>
          <t>27647650040</t>
        </is>
      </c>
      <c r="J473" t="inlineStr">
        <is>
          <t>IABDN</t>
        </is>
      </c>
      <c r="K473" t="inlineStr">
        <is>
          <t>Inbound Abandon</t>
        </is>
      </c>
      <c r="L473" t="n">
        <v>7</v>
      </c>
      <c r="M473" t="inlineStr">
        <is>
          <t>2026-06-15 06:31:48</t>
        </is>
      </c>
      <c r="N473" t="inlineStr">
        <is>
          <t>system</t>
        </is>
      </c>
      <c r="O473" t="inlineStr">
        <is>
          <t>2026-06-08 05:25:27</t>
        </is>
      </c>
      <c r="P473" t="inlineStr">
        <is>
          <t>2026-06-08 05:25:27</t>
        </is>
      </c>
      <c r="Y473" t="inlineStr">
        <is>
          <t>27647650040</t>
        </is>
      </c>
    </row>
    <row r="474">
      <c r="A474" t="inlineStr">
        <is>
          <t>14827618</t>
        </is>
      </c>
      <c r="B474" t="inlineStr">
        <is>
          <t>43d0172b-eb15-4fb1-a24b-c910cb27c0ce</t>
        </is>
      </c>
      <c r="D474" t="inlineStr">
        <is>
          <t>111111123</t>
        </is>
      </c>
      <c r="E474" t="inlineStr">
        <is>
          <t>Vodacom Life 20260603</t>
        </is>
      </c>
      <c r="J474" t="inlineStr">
        <is>
          <t>AE</t>
        </is>
      </c>
      <c r="K474" t="inlineStr">
        <is>
          <t>Auto Engaged</t>
        </is>
      </c>
      <c r="L474" t="n">
        <v>7</v>
      </c>
      <c r="M474" t="inlineStr">
        <is>
          <t>2026-06-15 06:31:09</t>
        </is>
      </c>
      <c r="N474" t="inlineStr">
        <is>
          <t>system</t>
        </is>
      </c>
      <c r="O474" t="inlineStr">
        <is>
          <t>2026-06-08 05:25:27</t>
        </is>
      </c>
      <c r="P474" t="inlineStr">
        <is>
          <t>2026-06-08 05:25:27</t>
        </is>
      </c>
      <c r="Y474" t="inlineStr">
        <is>
          <t>27761999986</t>
        </is>
      </c>
    </row>
    <row r="475">
      <c r="A475" t="inlineStr">
        <is>
          <t>14827547</t>
        </is>
      </c>
      <c r="B475" t="inlineStr">
        <is>
          <t>7edfff12-bcf9-4a5f-8175-4cc59b795008</t>
        </is>
      </c>
      <c r="D475" t="inlineStr">
        <is>
          <t>111111123</t>
        </is>
      </c>
      <c r="E475" t="inlineStr">
        <is>
          <t>Vodacom Life 20260603</t>
        </is>
      </c>
      <c r="H475" t="inlineStr">
        <is>
          <t>27765972923</t>
        </is>
      </c>
      <c r="J475" t="inlineStr">
        <is>
          <t>CBACK</t>
        </is>
      </c>
      <c r="K475" t="inlineStr">
        <is>
          <t>Callback</t>
        </is>
      </c>
      <c r="L475" t="n">
        <v>7</v>
      </c>
      <c r="M475" t="inlineStr">
        <is>
          <t>2026-06-15 06:31:07</t>
        </is>
      </c>
      <c r="N475" t="inlineStr">
        <is>
          <t>Maureen Ntsoko</t>
        </is>
      </c>
      <c r="O475" t="inlineStr">
        <is>
          <t>2026-06-08 05:25:27</t>
        </is>
      </c>
      <c r="P475" t="inlineStr">
        <is>
          <t>2026-06-08 05:25:27</t>
        </is>
      </c>
      <c r="Y475" t="inlineStr">
        <is>
          <t>27765972923</t>
        </is>
      </c>
    </row>
    <row r="476">
      <c r="A476" t="inlineStr">
        <is>
          <t>14827622</t>
        </is>
      </c>
      <c r="B476" t="inlineStr">
        <is>
          <t>20144d91-4118-4adb-8dc9-5855cb94eedd</t>
        </is>
      </c>
      <c r="D476" t="inlineStr">
        <is>
          <t>111111123</t>
        </is>
      </c>
      <c r="E476" t="inlineStr">
        <is>
          <t>Vodacom Life 20260603</t>
        </is>
      </c>
      <c r="J476" t="inlineStr">
        <is>
          <t>AA</t>
        </is>
      </c>
      <c r="K476" t="inlineStr">
        <is>
          <t>Answering Machine Autodial</t>
        </is>
      </c>
      <c r="L476" t="n">
        <v>7</v>
      </c>
      <c r="M476" t="inlineStr">
        <is>
          <t>2026-06-15 06:31:07</t>
        </is>
      </c>
      <c r="N476" t="inlineStr">
        <is>
          <t>system</t>
        </is>
      </c>
      <c r="O476" t="inlineStr">
        <is>
          <t>2026-06-08 05:25:27</t>
        </is>
      </c>
      <c r="P476" t="inlineStr">
        <is>
          <t>2026-06-08 05:25:27</t>
        </is>
      </c>
      <c r="Y476" t="inlineStr">
        <is>
          <t>27714782870</t>
        </is>
      </c>
    </row>
    <row r="477">
      <c r="A477" t="inlineStr">
        <is>
          <t>14827548</t>
        </is>
      </c>
      <c r="B477" t="inlineStr">
        <is>
          <t>082f06fc-35e6-4e81-af91-61319b329e85</t>
        </is>
      </c>
      <c r="D477" t="inlineStr">
        <is>
          <t>111111123</t>
        </is>
      </c>
      <c r="E477" t="inlineStr">
        <is>
          <t>Vodacom Life 20260603</t>
        </is>
      </c>
      <c r="J477" t="inlineStr">
        <is>
          <t>AA</t>
        </is>
      </c>
      <c r="K477" t="inlineStr">
        <is>
          <t>Answering Machine Autodial</t>
        </is>
      </c>
      <c r="L477" t="n">
        <v>7</v>
      </c>
      <c r="M477" t="inlineStr">
        <is>
          <t>2026-06-15 06:30:53</t>
        </is>
      </c>
      <c r="N477" t="inlineStr">
        <is>
          <t>system</t>
        </is>
      </c>
      <c r="O477" t="inlineStr">
        <is>
          <t>2026-06-08 05:25:27</t>
        </is>
      </c>
      <c r="P477" t="inlineStr">
        <is>
          <t>2026-06-08 05:25:27</t>
        </is>
      </c>
      <c r="Y477" t="inlineStr">
        <is>
          <t>27663829061</t>
        </is>
      </c>
    </row>
    <row r="478">
      <c r="A478" t="inlineStr">
        <is>
          <t>14827550</t>
        </is>
      </c>
      <c r="B478" t="inlineStr">
        <is>
          <t>6096ab8e-160a-49f8-af93-28f4597c1190</t>
        </is>
      </c>
      <c r="D478" t="inlineStr">
        <is>
          <t>111111123</t>
        </is>
      </c>
      <c r="E478" t="inlineStr">
        <is>
          <t>Vodacom Life 20260603</t>
        </is>
      </c>
      <c r="J478" t="inlineStr">
        <is>
          <t>AE</t>
        </is>
      </c>
      <c r="K478" t="inlineStr">
        <is>
          <t>Auto Engaged</t>
        </is>
      </c>
      <c r="L478" t="n">
        <v>7</v>
      </c>
      <c r="M478" t="inlineStr">
        <is>
          <t>2026-06-15 06:30:53</t>
        </is>
      </c>
      <c r="N478" t="inlineStr">
        <is>
          <t>system</t>
        </is>
      </c>
      <c r="O478" t="inlineStr">
        <is>
          <t>2026-06-08 05:25:27</t>
        </is>
      </c>
      <c r="P478" t="inlineStr">
        <is>
          <t>2026-06-08 05:25:27</t>
        </is>
      </c>
      <c r="Y478" t="inlineStr">
        <is>
          <t>27606983726</t>
        </is>
      </c>
    </row>
    <row r="479">
      <c r="A479" t="inlineStr">
        <is>
          <t>14827717</t>
        </is>
      </c>
      <c r="B479" t="inlineStr">
        <is>
          <t>817ffef4-7a42-4650-bb0b-67a5138acc32</t>
        </is>
      </c>
      <c r="D479" t="inlineStr">
        <is>
          <t>111111123</t>
        </is>
      </c>
      <c r="E479" t="inlineStr">
        <is>
          <t>Vodacom Life 20260603</t>
        </is>
      </c>
      <c r="H479" t="inlineStr">
        <is>
          <t>27828429923</t>
        </is>
      </c>
      <c r="J479" t="inlineStr">
        <is>
          <t>CU</t>
        </is>
      </c>
      <c r="K479" t="inlineStr">
        <is>
          <t>Client Hung Up</t>
        </is>
      </c>
      <c r="L479" t="n">
        <v>7</v>
      </c>
      <c r="M479" t="inlineStr">
        <is>
          <t>2026-06-15 06:30:46</t>
        </is>
      </c>
      <c r="N479" t="inlineStr">
        <is>
          <t>Maureen Ntsoko</t>
        </is>
      </c>
      <c r="O479" t="inlineStr">
        <is>
          <t>2026-06-08 05:25:27</t>
        </is>
      </c>
      <c r="P479" t="inlineStr">
        <is>
          <t>2026-06-08 05:25:27</t>
        </is>
      </c>
      <c r="Y479" t="inlineStr">
        <is>
          <t>27828429923</t>
        </is>
      </c>
    </row>
    <row r="480">
      <c r="A480" t="inlineStr">
        <is>
          <t>14827552</t>
        </is>
      </c>
      <c r="B480" t="inlineStr">
        <is>
          <t>8789160e-befb-40f9-85a8-81354e018d10</t>
        </is>
      </c>
      <c r="D480" t="inlineStr">
        <is>
          <t>111111123</t>
        </is>
      </c>
      <c r="E480" t="inlineStr">
        <is>
          <t>Vodacom Life 20260603</t>
        </is>
      </c>
      <c r="J480" t="inlineStr">
        <is>
          <t>AA</t>
        </is>
      </c>
      <c r="K480" t="inlineStr">
        <is>
          <t>Answering Machine Autodial</t>
        </is>
      </c>
      <c r="L480" t="n">
        <v>7</v>
      </c>
      <c r="M480" t="inlineStr">
        <is>
          <t>2026-06-15 06:30:36</t>
        </is>
      </c>
      <c r="N480" t="inlineStr">
        <is>
          <t>system</t>
        </is>
      </c>
      <c r="O480" t="inlineStr">
        <is>
          <t>2026-06-08 05:25:27</t>
        </is>
      </c>
      <c r="P480" t="inlineStr">
        <is>
          <t>2026-06-08 05:25:27</t>
        </is>
      </c>
      <c r="Y480" t="inlineStr">
        <is>
          <t>27792760234</t>
        </is>
      </c>
    </row>
    <row r="481">
      <c r="A481" t="inlineStr">
        <is>
          <t>14827553</t>
        </is>
      </c>
      <c r="B481" t="inlineStr">
        <is>
          <t>45d3bbe8-d985-4877-a81f-c9ab5f33af5d</t>
        </is>
      </c>
      <c r="D481" t="inlineStr">
        <is>
          <t>111111123</t>
        </is>
      </c>
      <c r="E481" t="inlineStr">
        <is>
          <t>Vodacom Life 20260603</t>
        </is>
      </c>
      <c r="H481" t="inlineStr">
        <is>
          <t>27822903232</t>
        </is>
      </c>
      <c r="J481" t="inlineStr">
        <is>
          <t>DROP</t>
        </is>
      </c>
      <c r="K481" t="inlineStr">
        <is>
          <t>Dropped</t>
        </is>
      </c>
      <c r="L481" t="n">
        <v>7</v>
      </c>
      <c r="M481" t="inlineStr">
        <is>
          <t>2026-06-15 06:30:36</t>
        </is>
      </c>
      <c r="N481" t="inlineStr">
        <is>
          <t>system</t>
        </is>
      </c>
      <c r="O481" t="inlineStr">
        <is>
          <t>2026-06-08 05:25:27</t>
        </is>
      </c>
      <c r="P481" t="inlineStr">
        <is>
          <t>2026-06-08 05:25:27</t>
        </is>
      </c>
      <c r="Y481" t="inlineStr">
        <is>
          <t>27822903232</t>
        </is>
      </c>
    </row>
    <row r="482">
      <c r="A482" t="inlineStr">
        <is>
          <t>14827554</t>
        </is>
      </c>
      <c r="B482" t="inlineStr">
        <is>
          <t>26e8b00a-47e1-4651-971b-2521fb4dc63e</t>
        </is>
      </c>
      <c r="D482" t="inlineStr">
        <is>
          <t>111111123</t>
        </is>
      </c>
      <c r="E482" t="inlineStr">
        <is>
          <t>Vodacom Life 20260603</t>
        </is>
      </c>
      <c r="J482" t="inlineStr">
        <is>
          <t>AE</t>
        </is>
      </c>
      <c r="K482" t="inlineStr">
        <is>
          <t>Auto Engaged</t>
        </is>
      </c>
      <c r="L482" t="n">
        <v>7</v>
      </c>
      <c r="M482" t="inlineStr">
        <is>
          <t>2026-06-15 06:30:29</t>
        </is>
      </c>
      <c r="N482" t="inlineStr">
        <is>
          <t>system</t>
        </is>
      </c>
      <c r="O482" t="inlineStr">
        <is>
          <t>2026-06-08 05:25:27</t>
        </is>
      </c>
      <c r="P482" t="inlineStr">
        <is>
          <t>2026-06-08 05:25:27</t>
        </is>
      </c>
      <c r="Y482" t="inlineStr">
        <is>
          <t>27798546616</t>
        </is>
      </c>
    </row>
    <row r="483">
      <c r="A483" t="inlineStr">
        <is>
          <t>14827854</t>
        </is>
      </c>
      <c r="B483" t="inlineStr">
        <is>
          <t>a8a81079-0c47-4565-93b2-9f757fe9de84</t>
        </is>
      </c>
      <c r="D483" t="inlineStr">
        <is>
          <t>111111123</t>
        </is>
      </c>
      <c r="E483" t="inlineStr">
        <is>
          <t>Vodacom Life 20260603</t>
        </is>
      </c>
      <c r="J483" t="inlineStr">
        <is>
          <t>AA</t>
        </is>
      </c>
      <c r="K483" t="inlineStr">
        <is>
          <t>Answering Machine Autodial</t>
        </is>
      </c>
      <c r="L483" t="n">
        <v>7</v>
      </c>
      <c r="M483" t="inlineStr">
        <is>
          <t>2026-06-15 06:30:23</t>
        </is>
      </c>
      <c r="N483" t="inlineStr">
        <is>
          <t>system</t>
        </is>
      </c>
      <c r="O483" t="inlineStr">
        <is>
          <t>2026-06-08 05:25:27</t>
        </is>
      </c>
      <c r="P483" t="inlineStr">
        <is>
          <t>2026-06-08 05:25:27</t>
        </is>
      </c>
      <c r="Y483" t="inlineStr">
        <is>
          <t>27766545238</t>
        </is>
      </c>
    </row>
    <row r="484">
      <c r="A484" t="inlineStr">
        <is>
          <t>14827556</t>
        </is>
      </c>
      <c r="B484" t="inlineStr">
        <is>
          <t>b66069bb-4dc2-4f9c-a66b-84ca563c8bf8</t>
        </is>
      </c>
      <c r="D484" t="inlineStr">
        <is>
          <t>111111123</t>
        </is>
      </c>
      <c r="E484" t="inlineStr">
        <is>
          <t>Vodacom Life 20260603</t>
        </is>
      </c>
      <c r="H484" t="inlineStr">
        <is>
          <t>27713568540</t>
        </is>
      </c>
      <c r="J484" t="inlineStr">
        <is>
          <t>AA</t>
        </is>
      </c>
      <c r="K484" t="inlineStr">
        <is>
          <t>Answering Machine Autodial</t>
        </is>
      </c>
      <c r="L484" t="n">
        <v>7</v>
      </c>
      <c r="M484" t="inlineStr">
        <is>
          <t>2026-06-15 06:30:23</t>
        </is>
      </c>
      <c r="N484" t="inlineStr">
        <is>
          <t>system</t>
        </is>
      </c>
      <c r="O484" t="inlineStr">
        <is>
          <t>2026-06-08 05:25:27</t>
        </is>
      </c>
      <c r="P484" t="inlineStr">
        <is>
          <t>2026-06-08 05:25:27</t>
        </is>
      </c>
      <c r="Y484" t="inlineStr">
        <is>
          <t>27713568540</t>
        </is>
      </c>
    </row>
    <row r="485">
      <c r="A485" t="inlineStr">
        <is>
          <t>14827716</t>
        </is>
      </c>
      <c r="B485" t="inlineStr">
        <is>
          <t>94b5f5a8-242d-4e0d-9961-b945b279cce9</t>
        </is>
      </c>
      <c r="D485" t="inlineStr">
        <is>
          <t>111111123</t>
        </is>
      </c>
      <c r="E485" t="inlineStr">
        <is>
          <t>Vodacom Life 20260603</t>
        </is>
      </c>
      <c r="J485" t="inlineStr">
        <is>
          <t>AA</t>
        </is>
      </c>
      <c r="K485" t="inlineStr">
        <is>
          <t>Answering Machine Autodial</t>
        </is>
      </c>
      <c r="L485" t="n">
        <v>7</v>
      </c>
      <c r="M485" t="inlineStr">
        <is>
          <t>2026-06-15 06:30:23</t>
        </is>
      </c>
      <c r="N485" t="inlineStr">
        <is>
          <t>system</t>
        </is>
      </c>
      <c r="O485" t="inlineStr">
        <is>
          <t>2026-06-08 05:25:27</t>
        </is>
      </c>
      <c r="P485" t="inlineStr">
        <is>
          <t>2026-06-08 05:25:27</t>
        </is>
      </c>
      <c r="Y485" t="inlineStr">
        <is>
          <t>27818181388</t>
        </is>
      </c>
    </row>
    <row r="486">
      <c r="A486" t="inlineStr">
        <is>
          <t>14827568</t>
        </is>
      </c>
      <c r="B486" t="inlineStr">
        <is>
          <t>bddbaa56-7073-4196-aaf7-a90279aeb17c</t>
        </is>
      </c>
      <c r="D486" t="inlineStr">
        <is>
          <t>111111123</t>
        </is>
      </c>
      <c r="E486" t="inlineStr">
        <is>
          <t>Vodacom Life 20260603</t>
        </is>
      </c>
      <c r="J486" t="inlineStr">
        <is>
          <t>ADC</t>
        </is>
      </c>
      <c r="K486" t="inlineStr">
        <is>
          <t>Auto Dial Disconnected</t>
        </is>
      </c>
      <c r="L486" t="n">
        <v>7</v>
      </c>
      <c r="M486" t="inlineStr">
        <is>
          <t>2026-06-15 06:29:33</t>
        </is>
      </c>
      <c r="N486" t="inlineStr">
        <is>
          <t>system</t>
        </is>
      </c>
      <c r="O486" t="inlineStr">
        <is>
          <t>2026-06-08 05:25:27</t>
        </is>
      </c>
      <c r="P486" t="inlineStr">
        <is>
          <t>2026-06-08 05:25:27</t>
        </is>
      </c>
      <c r="Y486" t="inlineStr">
        <is>
          <t>27791469115</t>
        </is>
      </c>
    </row>
    <row r="487">
      <c r="A487" t="inlineStr">
        <is>
          <t>14827772</t>
        </is>
      </c>
      <c r="B487" t="inlineStr">
        <is>
          <t>d89433d3-b935-49ea-a5f5-fffd07a1bd0b</t>
        </is>
      </c>
      <c r="D487" t="inlineStr">
        <is>
          <t>111111123</t>
        </is>
      </c>
      <c r="E487" t="inlineStr">
        <is>
          <t>Vodacom Life 20260603</t>
        </is>
      </c>
      <c r="J487" t="inlineStr">
        <is>
          <t>AE</t>
        </is>
      </c>
      <c r="K487" t="inlineStr">
        <is>
          <t>Auto Engaged</t>
        </is>
      </c>
      <c r="L487" t="n">
        <v>7</v>
      </c>
      <c r="M487" t="inlineStr">
        <is>
          <t>2026-06-15 06:29:33</t>
        </is>
      </c>
      <c r="N487" t="inlineStr">
        <is>
          <t>system</t>
        </is>
      </c>
      <c r="O487" t="inlineStr">
        <is>
          <t>2026-06-08 05:25:27</t>
        </is>
      </c>
      <c r="P487" t="inlineStr">
        <is>
          <t>2026-06-08 05:25:27</t>
        </is>
      </c>
      <c r="Y487" t="inlineStr">
        <is>
          <t>27827575523</t>
        </is>
      </c>
    </row>
    <row r="488">
      <c r="A488" t="inlineStr">
        <is>
          <t>14827737</t>
        </is>
      </c>
      <c r="B488" t="inlineStr">
        <is>
          <t>bdeb410e-b705-45f2-a79d-2c9fe9295f25</t>
        </is>
      </c>
      <c r="D488" t="inlineStr">
        <is>
          <t>111111123</t>
        </is>
      </c>
      <c r="E488" t="inlineStr">
        <is>
          <t>Vodacom Life 20260603</t>
        </is>
      </c>
      <c r="J488" t="inlineStr">
        <is>
          <t>AA</t>
        </is>
      </c>
      <c r="K488" t="inlineStr">
        <is>
          <t>Answering Machine Autodial</t>
        </is>
      </c>
      <c r="L488" t="n">
        <v>7</v>
      </c>
      <c r="M488" t="inlineStr">
        <is>
          <t>2026-06-15 06:29:33</t>
        </is>
      </c>
      <c r="N488" t="inlineStr">
        <is>
          <t>system</t>
        </is>
      </c>
      <c r="O488" t="inlineStr">
        <is>
          <t>2026-06-08 05:25:27</t>
        </is>
      </c>
      <c r="P488" t="inlineStr">
        <is>
          <t>2026-06-08 05:25:27</t>
        </is>
      </c>
      <c r="Y488" t="inlineStr">
        <is>
          <t>27723204445</t>
        </is>
      </c>
    </row>
    <row r="489">
      <c r="A489" t="inlineStr">
        <is>
          <t>14827774</t>
        </is>
      </c>
      <c r="B489" t="inlineStr">
        <is>
          <t>748c530d-26cf-48e1-b890-907313c2e85b</t>
        </is>
      </c>
      <c r="D489" t="inlineStr">
        <is>
          <t>111111123</t>
        </is>
      </c>
      <c r="E489" t="inlineStr">
        <is>
          <t>Vodacom Life 20260603</t>
        </is>
      </c>
      <c r="H489" t="inlineStr">
        <is>
          <t>27796574414</t>
        </is>
      </c>
      <c r="J489" t="inlineStr">
        <is>
          <t>AA</t>
        </is>
      </c>
      <c r="K489" t="inlineStr">
        <is>
          <t>Answering Machine Autodial</t>
        </is>
      </c>
      <c r="L489" t="n">
        <v>7</v>
      </c>
      <c r="M489" t="inlineStr">
        <is>
          <t>2026-06-15 06:29:32</t>
        </is>
      </c>
      <c r="N489" t="inlineStr">
        <is>
          <t>system</t>
        </is>
      </c>
      <c r="O489" t="inlineStr">
        <is>
          <t>2026-06-08 05:25:27</t>
        </is>
      </c>
      <c r="P489" t="inlineStr">
        <is>
          <t>2026-06-08 05:25:27</t>
        </is>
      </c>
      <c r="Y489" t="inlineStr">
        <is>
          <t>27796574414</t>
        </is>
      </c>
    </row>
    <row r="490">
      <c r="A490" t="inlineStr">
        <is>
          <t>14827784</t>
        </is>
      </c>
      <c r="B490" t="inlineStr">
        <is>
          <t>13c63d8e-15b7-4f6e-b088-9687340e0444</t>
        </is>
      </c>
      <c r="D490" t="inlineStr">
        <is>
          <t>111111123</t>
        </is>
      </c>
      <c r="E490" t="inlineStr">
        <is>
          <t>Vodacom Life 20260603</t>
        </is>
      </c>
      <c r="J490" t="inlineStr">
        <is>
          <t>AE</t>
        </is>
      </c>
      <c r="K490" t="inlineStr">
        <is>
          <t>Auto Engaged</t>
        </is>
      </c>
      <c r="L490" t="n">
        <v>7</v>
      </c>
      <c r="M490" t="inlineStr">
        <is>
          <t>2026-06-15 06:28:44</t>
        </is>
      </c>
      <c r="N490" t="inlineStr">
        <is>
          <t>system</t>
        </is>
      </c>
      <c r="O490" t="inlineStr">
        <is>
          <t>2026-06-08 05:25:27</t>
        </is>
      </c>
      <c r="P490" t="inlineStr">
        <is>
          <t>2026-06-08 05:25:27</t>
        </is>
      </c>
      <c r="Y490" t="inlineStr">
        <is>
          <t>27760756930</t>
        </is>
      </c>
    </row>
    <row r="491">
      <c r="A491" t="inlineStr">
        <is>
          <t>14827647</t>
        </is>
      </c>
      <c r="B491" t="inlineStr">
        <is>
          <t>1e8dc3a0-9dfa-40a0-a603-7d36fc8603b6</t>
        </is>
      </c>
      <c r="D491" t="inlineStr">
        <is>
          <t>111111123</t>
        </is>
      </c>
      <c r="E491" t="inlineStr">
        <is>
          <t>Vodacom Life 20260603</t>
        </is>
      </c>
      <c r="J491" t="inlineStr">
        <is>
          <t>NA</t>
        </is>
      </c>
      <c r="K491" t="inlineStr">
        <is>
          <t>No Answer Autodial</t>
        </is>
      </c>
      <c r="L491" t="n">
        <v>7</v>
      </c>
      <c r="M491" t="inlineStr">
        <is>
          <t>2026-06-15 06:28:41</t>
        </is>
      </c>
      <c r="N491" t="inlineStr">
        <is>
          <t>system</t>
        </is>
      </c>
      <c r="O491" t="inlineStr">
        <is>
          <t>2026-06-08 05:25:27</t>
        </is>
      </c>
      <c r="P491" t="inlineStr">
        <is>
          <t>2026-06-08 05:25:27</t>
        </is>
      </c>
      <c r="Y491" t="inlineStr">
        <is>
          <t>27716081059</t>
        </is>
      </c>
    </row>
    <row r="492">
      <c r="A492" t="inlineStr">
        <is>
          <t>14827572</t>
        </is>
      </c>
      <c r="B492" t="inlineStr">
        <is>
          <t>1226312e-173e-49b6-a4a4-d0d8373fdc87</t>
        </is>
      </c>
      <c r="D492" t="inlineStr">
        <is>
          <t>111111123</t>
        </is>
      </c>
      <c r="E492" t="inlineStr">
        <is>
          <t>Vodacom Life 20260603</t>
        </is>
      </c>
      <c r="J492" t="inlineStr">
        <is>
          <t>CU</t>
        </is>
      </c>
      <c r="K492" t="inlineStr">
        <is>
          <t>Client Hung Up</t>
        </is>
      </c>
      <c r="L492" t="n">
        <v>7</v>
      </c>
      <c r="M492" t="inlineStr">
        <is>
          <t>2026-06-15 06:28:36</t>
        </is>
      </c>
      <c r="N492" t="inlineStr">
        <is>
          <t>Maureen Ntsoko</t>
        </is>
      </c>
      <c r="O492" t="inlineStr">
        <is>
          <t>2026-06-08 05:25:27</t>
        </is>
      </c>
      <c r="P492" t="inlineStr">
        <is>
          <t>2026-06-08 05:25:27</t>
        </is>
      </c>
      <c r="Y492" t="inlineStr">
        <is>
          <t>27726450097</t>
        </is>
      </c>
    </row>
    <row r="493">
      <c r="A493" t="inlineStr">
        <is>
          <t>14827664</t>
        </is>
      </c>
      <c r="B493" t="inlineStr">
        <is>
          <t>8fe60e9e-15ce-4edf-a0fe-e0f2eaa59997</t>
        </is>
      </c>
      <c r="D493" t="inlineStr">
        <is>
          <t>111111123</t>
        </is>
      </c>
      <c r="E493" t="inlineStr">
        <is>
          <t>Vodacom Life 20260603</t>
        </is>
      </c>
      <c r="J493" t="inlineStr">
        <is>
          <t>NA</t>
        </is>
      </c>
      <c r="K493" t="inlineStr">
        <is>
          <t>No Answer Autodial</t>
        </is>
      </c>
      <c r="L493" t="n">
        <v>7</v>
      </c>
      <c r="M493" t="inlineStr">
        <is>
          <t>2026-06-15 06:28:36</t>
        </is>
      </c>
      <c r="N493" t="inlineStr">
        <is>
          <t>system</t>
        </is>
      </c>
      <c r="O493" t="inlineStr">
        <is>
          <t>2026-06-08 05:25:27</t>
        </is>
      </c>
      <c r="P493" t="inlineStr">
        <is>
          <t>2026-06-08 05:25:27</t>
        </is>
      </c>
      <c r="Y493" t="inlineStr">
        <is>
          <t>27661269993</t>
        </is>
      </c>
    </row>
    <row r="494">
      <c r="A494" t="inlineStr">
        <is>
          <t>14827787</t>
        </is>
      </c>
      <c r="B494" t="inlineStr">
        <is>
          <t>f613b6e7-7333-4794-88d4-73353c2e481f</t>
        </is>
      </c>
      <c r="D494" t="inlineStr">
        <is>
          <t>111111123</t>
        </is>
      </c>
      <c r="E494" t="inlineStr">
        <is>
          <t>Vodacom Life 20260603</t>
        </is>
      </c>
      <c r="H494" t="inlineStr">
        <is>
          <t>27648362231</t>
        </is>
      </c>
      <c r="J494" t="inlineStr">
        <is>
          <t>CU</t>
        </is>
      </c>
      <c r="K494" t="inlineStr">
        <is>
          <t>Client Hung Up</t>
        </is>
      </c>
      <c r="L494" t="n">
        <v>7</v>
      </c>
      <c r="M494" t="inlineStr">
        <is>
          <t>2026-06-15 06:28:36</t>
        </is>
      </c>
      <c r="N494" t="inlineStr">
        <is>
          <t>bongiwe lushaba</t>
        </is>
      </c>
      <c r="O494" t="inlineStr">
        <is>
          <t>2026-06-08 05:25:27</t>
        </is>
      </c>
      <c r="P494" t="inlineStr">
        <is>
          <t>2026-06-08 05:25:27</t>
        </is>
      </c>
      <c r="Y494" t="inlineStr">
        <is>
          <t>27648362231</t>
        </is>
      </c>
    </row>
    <row r="495">
      <c r="A495" t="inlineStr">
        <is>
          <t>14827696</t>
        </is>
      </c>
      <c r="B495" t="inlineStr">
        <is>
          <t>e0a14c46-b0b7-42bb-a4ac-398c67f28aa8</t>
        </is>
      </c>
      <c r="D495" t="inlineStr">
        <is>
          <t>111111123</t>
        </is>
      </c>
      <c r="E495" t="inlineStr">
        <is>
          <t>Vodacom Life 20260603</t>
        </is>
      </c>
      <c r="J495" t="inlineStr">
        <is>
          <t>DROP</t>
        </is>
      </c>
      <c r="K495" t="inlineStr">
        <is>
          <t>Dropped</t>
        </is>
      </c>
      <c r="L495" t="n">
        <v>7</v>
      </c>
      <c r="M495" t="inlineStr">
        <is>
          <t>2026-06-15 06:28:35</t>
        </is>
      </c>
      <c r="N495" t="inlineStr">
        <is>
          <t>system</t>
        </is>
      </c>
      <c r="O495" t="inlineStr">
        <is>
          <t>2026-06-08 05:25:27</t>
        </is>
      </c>
      <c r="P495" t="inlineStr">
        <is>
          <t>2026-06-08 05:25:27</t>
        </is>
      </c>
      <c r="Y495" t="inlineStr">
        <is>
          <t>27767660850</t>
        </is>
      </c>
    </row>
    <row r="496">
      <c r="A496" t="inlineStr">
        <is>
          <t>14827573</t>
        </is>
      </c>
      <c r="B496" t="inlineStr">
        <is>
          <t>46390b34-91dd-48e8-9086-a171674e692a</t>
        </is>
      </c>
      <c r="D496" t="inlineStr">
        <is>
          <t>111111123</t>
        </is>
      </c>
      <c r="E496" t="inlineStr">
        <is>
          <t>Vodacom Life 20260603</t>
        </is>
      </c>
      <c r="H496" t="inlineStr">
        <is>
          <t>27728574048</t>
        </is>
      </c>
      <c r="J496" t="inlineStr">
        <is>
          <t>AE</t>
        </is>
      </c>
      <c r="K496" t="inlineStr">
        <is>
          <t>Auto Engaged</t>
        </is>
      </c>
      <c r="L496" t="n">
        <v>7</v>
      </c>
      <c r="M496" t="inlineStr">
        <is>
          <t>2026-06-15 06:28:17</t>
        </is>
      </c>
      <c r="N496" t="inlineStr">
        <is>
          <t>system</t>
        </is>
      </c>
      <c r="O496" t="inlineStr">
        <is>
          <t>2026-06-08 05:25:27</t>
        </is>
      </c>
      <c r="P496" t="inlineStr">
        <is>
          <t>2026-06-08 05:25:27</t>
        </is>
      </c>
      <c r="Y496" t="inlineStr">
        <is>
          <t>27728574048</t>
        </is>
      </c>
    </row>
    <row r="497">
      <c r="A497" t="inlineStr">
        <is>
          <t>14827574</t>
        </is>
      </c>
      <c r="B497" t="inlineStr">
        <is>
          <t>b8cbcdaf-ffe2-4bca-9e0a-cb434ee76022</t>
        </is>
      </c>
      <c r="D497" t="inlineStr">
        <is>
          <t>111111123</t>
        </is>
      </c>
      <c r="E497" t="inlineStr">
        <is>
          <t>Vodacom Life 20260603</t>
        </is>
      </c>
      <c r="J497" t="inlineStr">
        <is>
          <t>NA</t>
        </is>
      </c>
      <c r="K497" t="inlineStr">
        <is>
          <t>No Answer Autodial</t>
        </is>
      </c>
      <c r="L497" t="n">
        <v>7</v>
      </c>
      <c r="M497" t="inlineStr">
        <is>
          <t>2026-06-15 06:28:12</t>
        </is>
      </c>
      <c r="N497" t="inlineStr">
        <is>
          <t>system</t>
        </is>
      </c>
      <c r="O497" t="inlineStr">
        <is>
          <t>2026-06-08 05:25:27</t>
        </is>
      </c>
      <c r="P497" t="inlineStr">
        <is>
          <t>2026-06-08 05:25:27</t>
        </is>
      </c>
      <c r="Y497" t="inlineStr">
        <is>
          <t>27761072417</t>
        </is>
      </c>
    </row>
    <row r="498">
      <c r="A498" t="inlineStr">
        <is>
          <t>14827575</t>
        </is>
      </c>
      <c r="B498" t="inlineStr">
        <is>
          <t>a895cd3b-919c-4ce7-bf05-bc05782e09e2</t>
        </is>
      </c>
      <c r="D498" t="inlineStr">
        <is>
          <t>111111123</t>
        </is>
      </c>
      <c r="E498" t="inlineStr">
        <is>
          <t>Vodacom Life 20260603</t>
        </is>
      </c>
      <c r="H498" t="inlineStr">
        <is>
          <t>27818044694</t>
        </is>
      </c>
      <c r="J498" t="inlineStr">
        <is>
          <t>AA</t>
        </is>
      </c>
      <c r="K498" t="inlineStr">
        <is>
          <t>Answering Machine Autodial</t>
        </is>
      </c>
      <c r="L498" t="n">
        <v>7</v>
      </c>
      <c r="M498" t="inlineStr">
        <is>
          <t>2026-06-15 06:28:12</t>
        </is>
      </c>
      <c r="N498" t="inlineStr">
        <is>
          <t>system</t>
        </is>
      </c>
      <c r="O498" t="inlineStr">
        <is>
          <t>2026-06-08 05:25:27</t>
        </is>
      </c>
      <c r="P498" t="inlineStr">
        <is>
          <t>2026-06-08 05:25:27</t>
        </is>
      </c>
      <c r="Y498" t="inlineStr">
        <is>
          <t>27818044694</t>
        </is>
      </c>
    </row>
    <row r="499">
      <c r="A499" t="inlineStr">
        <is>
          <t>14827576</t>
        </is>
      </c>
      <c r="B499" t="inlineStr">
        <is>
          <t>a9383ac2-7ddb-44d9-994a-1149e4b260de</t>
        </is>
      </c>
      <c r="D499" t="inlineStr">
        <is>
          <t>111111123</t>
        </is>
      </c>
      <c r="E499" t="inlineStr">
        <is>
          <t>Vodacom Life 20260603</t>
        </is>
      </c>
      <c r="J499" t="inlineStr">
        <is>
          <t>AA</t>
        </is>
      </c>
      <c r="K499" t="inlineStr">
        <is>
          <t>Answering Machine Autodial</t>
        </is>
      </c>
      <c r="L499" t="n">
        <v>7</v>
      </c>
      <c r="M499" t="inlineStr">
        <is>
          <t>2026-06-15 06:28:12</t>
        </is>
      </c>
      <c r="N499" t="inlineStr">
        <is>
          <t>system</t>
        </is>
      </c>
      <c r="O499" t="inlineStr">
        <is>
          <t>2026-06-08 05:25:27</t>
        </is>
      </c>
      <c r="P499" t="inlineStr">
        <is>
          <t>2026-06-08 05:25:27</t>
        </is>
      </c>
      <c r="Y499" t="inlineStr">
        <is>
          <t>27606160495</t>
        </is>
      </c>
    </row>
    <row r="500">
      <c r="A500" t="inlineStr">
        <is>
          <t>14827577</t>
        </is>
      </c>
      <c r="B500" t="inlineStr">
        <is>
          <t>352f6886-18f5-4a97-809d-a712a5b6d63f</t>
        </is>
      </c>
      <c r="D500" t="inlineStr">
        <is>
          <t>111111123</t>
        </is>
      </c>
      <c r="E500" t="inlineStr">
        <is>
          <t>Vodacom Life 20260603</t>
        </is>
      </c>
      <c r="H500" t="inlineStr">
        <is>
          <t>27726993478</t>
        </is>
      </c>
      <c r="J500" t="inlineStr">
        <is>
          <t>NA</t>
        </is>
      </c>
      <c r="K500" t="inlineStr">
        <is>
          <t>No Answer Autodial</t>
        </is>
      </c>
      <c r="L500" t="n">
        <v>7</v>
      </c>
      <c r="M500" t="inlineStr">
        <is>
          <t>2026-06-15 06:28:12</t>
        </is>
      </c>
      <c r="N500" t="inlineStr">
        <is>
          <t>system</t>
        </is>
      </c>
      <c r="O500" t="inlineStr">
        <is>
          <t>2026-06-08 05:25:27</t>
        </is>
      </c>
      <c r="P500" t="inlineStr">
        <is>
          <t>2026-06-08 05:25:27</t>
        </is>
      </c>
      <c r="Y500" t="inlineStr">
        <is>
          <t>27726993478</t>
        </is>
      </c>
    </row>
    <row r="501">
      <c r="A501" t="inlineStr">
        <is>
          <t>14827581</t>
        </is>
      </c>
      <c r="B501" t="inlineStr">
        <is>
          <t>aef20588-b255-4850-a168-9e978dc1f387</t>
        </is>
      </c>
      <c r="D501" t="inlineStr">
        <is>
          <t>111111123</t>
        </is>
      </c>
      <c r="E501" t="inlineStr">
        <is>
          <t>Vodacom Life 20260603</t>
        </is>
      </c>
      <c r="J501" t="inlineStr">
        <is>
          <t>AA</t>
        </is>
      </c>
      <c r="K501" t="inlineStr">
        <is>
          <t>Answering Machine Autodial</t>
        </is>
      </c>
      <c r="L501" t="n">
        <v>7</v>
      </c>
      <c r="M501" t="inlineStr">
        <is>
          <t>2026-06-15 06:28:11</t>
        </is>
      </c>
      <c r="N501" t="inlineStr">
        <is>
          <t>system</t>
        </is>
      </c>
      <c r="O501" t="inlineStr">
        <is>
          <t>2026-06-08 05:25:27</t>
        </is>
      </c>
      <c r="P501" t="inlineStr">
        <is>
          <t>2026-06-08 05:25:27</t>
        </is>
      </c>
      <c r="Y501" t="inlineStr">
        <is>
          <t>27828562862</t>
        </is>
      </c>
    </row>
    <row r="502">
      <c r="A502" t="inlineStr">
        <is>
          <t>14827743</t>
        </is>
      </c>
      <c r="B502" t="inlineStr">
        <is>
          <t>29b9358f-b07f-45aa-bda5-b741ab43e407</t>
        </is>
      </c>
      <c r="D502" t="inlineStr">
        <is>
          <t>111111123</t>
        </is>
      </c>
      <c r="E502" t="inlineStr">
        <is>
          <t>Vodacom Life 20260603</t>
        </is>
      </c>
      <c r="J502" t="inlineStr">
        <is>
          <t>AA</t>
        </is>
      </c>
      <c r="K502" t="inlineStr">
        <is>
          <t>Answering Machine Autodial</t>
        </is>
      </c>
      <c r="L502" t="n">
        <v>7</v>
      </c>
      <c r="M502" t="inlineStr">
        <is>
          <t>2026-06-15 06:28:00</t>
        </is>
      </c>
      <c r="N502" t="inlineStr">
        <is>
          <t>system</t>
        </is>
      </c>
      <c r="O502" t="inlineStr">
        <is>
          <t>2026-06-08 05:25:27</t>
        </is>
      </c>
      <c r="P502" t="inlineStr">
        <is>
          <t>2026-06-08 05:25:27</t>
        </is>
      </c>
      <c r="Y502" t="inlineStr">
        <is>
          <t>27766855577</t>
        </is>
      </c>
    </row>
    <row r="503">
      <c r="A503" t="inlineStr">
        <is>
          <t>14827833</t>
        </is>
      </c>
      <c r="B503" t="inlineStr">
        <is>
          <t>20ba4c72-ef11-4a93-9508-9b7693e7f543</t>
        </is>
      </c>
      <c r="D503" t="inlineStr">
        <is>
          <t>111111123</t>
        </is>
      </c>
      <c r="E503" t="inlineStr">
        <is>
          <t>Vodacom Life 20260603</t>
        </is>
      </c>
      <c r="H503" t="inlineStr">
        <is>
          <t>27768868609</t>
        </is>
      </c>
      <c r="J503" t="inlineStr">
        <is>
          <t>A</t>
        </is>
      </c>
      <c r="K503" t="inlineStr">
        <is>
          <t>Answering Machine</t>
        </is>
      </c>
      <c r="L503" t="n">
        <v>7</v>
      </c>
      <c r="M503" t="inlineStr">
        <is>
          <t>2026-06-15 06:27:53</t>
        </is>
      </c>
      <c r="N503" t="inlineStr">
        <is>
          <t>bongiwe lushaba</t>
        </is>
      </c>
      <c r="O503" t="inlineStr">
        <is>
          <t>2026-06-08 05:25:27</t>
        </is>
      </c>
      <c r="P503" t="inlineStr">
        <is>
          <t>2026-06-08 05:25:27</t>
        </is>
      </c>
      <c r="Y503" t="inlineStr">
        <is>
          <t>27768868609</t>
        </is>
      </c>
    </row>
    <row r="504">
      <c r="A504" t="inlineStr">
        <is>
          <t>14827582</t>
        </is>
      </c>
      <c r="B504" t="inlineStr">
        <is>
          <t>945332b3-a202-4b57-bddc-8c017c45905e</t>
        </is>
      </c>
      <c r="D504" t="inlineStr">
        <is>
          <t>111111123</t>
        </is>
      </c>
      <c r="E504" t="inlineStr">
        <is>
          <t>Vodacom Life 20260603</t>
        </is>
      </c>
      <c r="J504" t="inlineStr">
        <is>
          <t>NA</t>
        </is>
      </c>
      <c r="K504" t="inlineStr">
        <is>
          <t>No Answer Autodial</t>
        </is>
      </c>
      <c r="L504" t="n">
        <v>7</v>
      </c>
      <c r="M504" t="inlineStr">
        <is>
          <t>2026-06-15 06:27:53</t>
        </is>
      </c>
      <c r="N504" t="inlineStr">
        <is>
          <t>system</t>
        </is>
      </c>
      <c r="O504" t="inlineStr">
        <is>
          <t>2026-06-08 05:25:27</t>
        </is>
      </c>
      <c r="P504" t="inlineStr">
        <is>
          <t>2026-06-08 05:25:27</t>
        </is>
      </c>
      <c r="Y504" t="inlineStr">
        <is>
          <t>27826212371</t>
        </is>
      </c>
    </row>
    <row r="505">
      <c r="A505" t="inlineStr">
        <is>
          <t>14827744</t>
        </is>
      </c>
      <c r="B505" t="inlineStr">
        <is>
          <t>72e0d896-85b6-4cb9-a54e-0055edb9a009</t>
        </is>
      </c>
      <c r="D505" t="inlineStr">
        <is>
          <t>111111123</t>
        </is>
      </c>
      <c r="E505" t="inlineStr">
        <is>
          <t>Vodacom Life 20260603</t>
        </is>
      </c>
      <c r="J505" t="inlineStr">
        <is>
          <t>AA</t>
        </is>
      </c>
      <c r="K505" t="inlineStr">
        <is>
          <t>Answering Machine Autodial</t>
        </is>
      </c>
      <c r="L505" t="n">
        <v>7</v>
      </c>
      <c r="M505" t="inlineStr">
        <is>
          <t>2026-06-15 06:27:53</t>
        </is>
      </c>
      <c r="N505" t="inlineStr">
        <is>
          <t>system</t>
        </is>
      </c>
      <c r="O505" t="inlineStr">
        <is>
          <t>2026-06-08 05:25:27</t>
        </is>
      </c>
      <c r="P505" t="inlineStr">
        <is>
          <t>2026-06-08 05:25:27</t>
        </is>
      </c>
      <c r="Y505" t="inlineStr">
        <is>
          <t>27773871969</t>
        </is>
      </c>
    </row>
    <row r="506">
      <c r="A506" t="inlineStr">
        <is>
          <t>14827609</t>
        </is>
      </c>
      <c r="B506" t="inlineStr">
        <is>
          <t>b3d7cd1f-ae86-4e31-84bb-b39f28b004ec</t>
        </is>
      </c>
      <c r="D506" t="inlineStr">
        <is>
          <t>111111123</t>
        </is>
      </c>
      <c r="E506" t="inlineStr">
        <is>
          <t>Vodacom Life 20260603</t>
        </is>
      </c>
      <c r="J506" t="inlineStr">
        <is>
          <t>DROP</t>
        </is>
      </c>
      <c r="K506" t="inlineStr">
        <is>
          <t>Dropped</t>
        </is>
      </c>
      <c r="L506" t="n">
        <v>7</v>
      </c>
      <c r="M506" t="inlineStr">
        <is>
          <t>2026-06-15 06:27:03</t>
        </is>
      </c>
      <c r="N506" t="inlineStr">
        <is>
          <t>system</t>
        </is>
      </c>
      <c r="O506" t="inlineStr">
        <is>
          <t>2026-06-08 05:25:27</t>
        </is>
      </c>
      <c r="P506" t="inlineStr">
        <is>
          <t>2026-06-08 05:25:27</t>
        </is>
      </c>
      <c r="Y506" t="inlineStr">
        <is>
          <t>27716274456</t>
        </is>
      </c>
    </row>
    <row r="507">
      <c r="A507" t="inlineStr">
        <is>
          <t>14827580</t>
        </is>
      </c>
      <c r="B507" t="inlineStr">
        <is>
          <t>380b321d-c72d-48d5-8dc6-cea588a63c64</t>
        </is>
      </c>
      <c r="D507" t="inlineStr">
        <is>
          <t>111111123</t>
        </is>
      </c>
      <c r="E507" t="inlineStr">
        <is>
          <t>Vodacom Life 20260603</t>
        </is>
      </c>
      <c r="J507" t="inlineStr">
        <is>
          <t>AA</t>
        </is>
      </c>
      <c r="K507" t="inlineStr">
        <is>
          <t>Answering Machine Autodial</t>
        </is>
      </c>
      <c r="L507" t="n">
        <v>7</v>
      </c>
      <c r="M507" t="inlineStr">
        <is>
          <t>2026-06-15 06:26:57</t>
        </is>
      </c>
      <c r="N507" t="inlineStr">
        <is>
          <t>system</t>
        </is>
      </c>
      <c r="O507" t="inlineStr">
        <is>
          <t>2026-06-08 05:25:27</t>
        </is>
      </c>
      <c r="P507" t="inlineStr">
        <is>
          <t>2026-06-08 05:25:27</t>
        </is>
      </c>
      <c r="Y507" t="inlineStr">
        <is>
          <t>27797165503</t>
        </is>
      </c>
    </row>
    <row r="508">
      <c r="A508" t="inlineStr">
        <is>
          <t>14827610</t>
        </is>
      </c>
      <c r="B508" t="inlineStr">
        <is>
          <t>f33becc3-b01f-4142-9afe-9e79c91f6358</t>
        </is>
      </c>
      <c r="D508" t="inlineStr">
        <is>
          <t>111111123</t>
        </is>
      </c>
      <c r="E508" t="inlineStr">
        <is>
          <t>Vodacom Life 20260603</t>
        </is>
      </c>
      <c r="J508" t="inlineStr">
        <is>
          <t>AA</t>
        </is>
      </c>
      <c r="K508" t="inlineStr">
        <is>
          <t>Answering Machine Autodial</t>
        </is>
      </c>
      <c r="L508" t="n">
        <v>7</v>
      </c>
      <c r="M508" t="inlineStr">
        <is>
          <t>2026-06-15 06:26:57</t>
        </is>
      </c>
      <c r="N508" t="inlineStr">
        <is>
          <t>system</t>
        </is>
      </c>
      <c r="O508" t="inlineStr">
        <is>
          <t>2026-06-08 05:25:27</t>
        </is>
      </c>
      <c r="P508" t="inlineStr">
        <is>
          <t>2026-06-08 05:25:27</t>
        </is>
      </c>
      <c r="Y508" t="inlineStr">
        <is>
          <t>27711143297</t>
        </is>
      </c>
    </row>
    <row r="509">
      <c r="A509" t="inlineStr">
        <is>
          <t>14827648</t>
        </is>
      </c>
      <c r="B509" t="inlineStr">
        <is>
          <t>c9110e87-87be-430b-8864-419cba3e20df</t>
        </is>
      </c>
      <c r="D509" t="inlineStr">
        <is>
          <t>111111123</t>
        </is>
      </c>
      <c r="E509" t="inlineStr">
        <is>
          <t>Vodacom Life 20260603</t>
        </is>
      </c>
      <c r="J509" t="inlineStr">
        <is>
          <t>NA</t>
        </is>
      </c>
      <c r="K509" t="inlineStr">
        <is>
          <t>No Answer Autodial</t>
        </is>
      </c>
      <c r="L509" t="n">
        <v>7</v>
      </c>
      <c r="M509" t="inlineStr">
        <is>
          <t>2026-06-15 06:26:56</t>
        </is>
      </c>
      <c r="N509" t="inlineStr">
        <is>
          <t>system</t>
        </is>
      </c>
      <c r="O509" t="inlineStr">
        <is>
          <t>2026-06-08 05:25:27</t>
        </is>
      </c>
      <c r="P509" t="inlineStr">
        <is>
          <t>2026-06-08 05:25:27</t>
        </is>
      </c>
      <c r="Y509" t="inlineStr">
        <is>
          <t>27716965316</t>
        </is>
      </c>
    </row>
    <row r="510">
      <c r="A510" t="inlineStr">
        <is>
          <t>14827620</t>
        </is>
      </c>
      <c r="B510" t="inlineStr">
        <is>
          <t>b9607451-b8eb-4475-a810-7a2ec88ab850</t>
        </is>
      </c>
      <c r="D510" t="inlineStr">
        <is>
          <t>111111123</t>
        </is>
      </c>
      <c r="E510" t="inlineStr">
        <is>
          <t>Vodacom Life 20260603</t>
        </is>
      </c>
      <c r="H510" t="inlineStr">
        <is>
          <t>27792152159</t>
        </is>
      </c>
      <c r="J510" t="inlineStr">
        <is>
          <t>AA</t>
        </is>
      </c>
      <c r="K510" t="inlineStr">
        <is>
          <t>Answering Machine Autodial</t>
        </is>
      </c>
      <c r="L510" t="n">
        <v>7</v>
      </c>
      <c r="M510" t="inlineStr">
        <is>
          <t>2026-06-15 06:25:26</t>
        </is>
      </c>
      <c r="N510" t="inlineStr">
        <is>
          <t>system</t>
        </is>
      </c>
      <c r="O510" t="inlineStr">
        <is>
          <t>2026-06-08 05:25:27</t>
        </is>
      </c>
      <c r="P510" t="inlineStr">
        <is>
          <t>2026-06-08 05:25:27</t>
        </is>
      </c>
      <c r="Y510" t="inlineStr">
        <is>
          <t>27792152159</t>
        </is>
      </c>
    </row>
    <row r="511">
      <c r="A511" t="inlineStr">
        <is>
          <t>14827595</t>
        </is>
      </c>
      <c r="B511" t="inlineStr">
        <is>
          <t>4f0d4e63-486b-40e6-ba19-53c2f9c0e2ac</t>
        </is>
      </c>
      <c r="D511" t="inlineStr">
        <is>
          <t>111111123</t>
        </is>
      </c>
      <c r="E511" t="inlineStr">
        <is>
          <t>Vodacom Life 20260603</t>
        </is>
      </c>
      <c r="J511" t="inlineStr">
        <is>
          <t>AA</t>
        </is>
      </c>
      <c r="K511" t="inlineStr">
        <is>
          <t>Answering Machine Autodial</t>
        </is>
      </c>
      <c r="L511" t="n">
        <v>7</v>
      </c>
      <c r="M511" t="inlineStr">
        <is>
          <t>2026-06-15 06:25:20</t>
        </is>
      </c>
      <c r="N511" t="inlineStr">
        <is>
          <t>system</t>
        </is>
      </c>
      <c r="O511" t="inlineStr">
        <is>
          <t>2026-06-08 05:25:27</t>
        </is>
      </c>
      <c r="P511" t="inlineStr">
        <is>
          <t>2026-06-08 05:25:27</t>
        </is>
      </c>
      <c r="Y511" t="inlineStr">
        <is>
          <t>27766102140</t>
        </is>
      </c>
    </row>
    <row r="512">
      <c r="A512" t="inlineStr">
        <is>
          <t>14827663</t>
        </is>
      </c>
      <c r="B512" t="inlineStr">
        <is>
          <t>8923189a-966f-478b-bbf5-f7565422dd58</t>
        </is>
      </c>
      <c r="D512" t="inlineStr">
        <is>
          <t>111111123</t>
        </is>
      </c>
      <c r="E512" t="inlineStr">
        <is>
          <t>Vodacom Life 20260603</t>
        </is>
      </c>
      <c r="J512" t="inlineStr">
        <is>
          <t>DROP</t>
        </is>
      </c>
      <c r="K512" t="inlineStr">
        <is>
          <t>Dropped</t>
        </is>
      </c>
      <c r="L512" t="n">
        <v>7</v>
      </c>
      <c r="M512" t="inlineStr">
        <is>
          <t>2026-06-15 06:25:20</t>
        </is>
      </c>
      <c r="N512" t="inlineStr">
        <is>
          <t>system</t>
        </is>
      </c>
      <c r="O512" t="inlineStr">
        <is>
          <t>2026-06-08 05:25:27</t>
        </is>
      </c>
      <c r="P512" t="inlineStr">
        <is>
          <t>2026-06-08 05:25:27</t>
        </is>
      </c>
      <c r="Y512" t="inlineStr">
        <is>
          <t>27649739098</t>
        </is>
      </c>
    </row>
    <row r="513">
      <c r="A513" t="inlineStr">
        <is>
          <t>14827652</t>
        </is>
      </c>
      <c r="B513" t="inlineStr">
        <is>
          <t>69bb8eab-4bf4-4633-aa7d-688a9cf5fdf5</t>
        </is>
      </c>
      <c r="D513" t="inlineStr">
        <is>
          <t>111111123</t>
        </is>
      </c>
      <c r="E513" t="inlineStr">
        <is>
          <t>Vodacom Life 20260603</t>
        </is>
      </c>
      <c r="J513" t="inlineStr">
        <is>
          <t>AC</t>
        </is>
      </c>
      <c r="K513" t="inlineStr">
        <is>
          <t>Already Contacted</t>
        </is>
      </c>
      <c r="L513" t="n">
        <v>7</v>
      </c>
      <c r="M513" t="inlineStr">
        <is>
          <t>2026-06-15 06:25:20</t>
        </is>
      </c>
      <c r="N513" t="inlineStr">
        <is>
          <t>Maureen Ntsoko</t>
        </is>
      </c>
      <c r="O513" t="inlineStr">
        <is>
          <t>2026-06-08 05:25:27</t>
        </is>
      </c>
      <c r="P513" t="inlineStr">
        <is>
          <t>2026-06-08 05:25:27</t>
        </is>
      </c>
      <c r="Y513" t="inlineStr">
        <is>
          <t>27608089394</t>
        </is>
      </c>
    </row>
    <row r="514">
      <c r="A514" t="inlineStr">
        <is>
          <t>14827776</t>
        </is>
      </c>
      <c r="B514" t="inlineStr">
        <is>
          <t>b3f2c2c1-847a-41a5-9082-5e68c44d1cf1</t>
        </is>
      </c>
      <c r="D514" t="inlineStr">
        <is>
          <t>111111123</t>
        </is>
      </c>
      <c r="E514" t="inlineStr">
        <is>
          <t>Vodacom Life 20260603</t>
        </is>
      </c>
      <c r="J514" t="inlineStr">
        <is>
          <t>NA</t>
        </is>
      </c>
      <c r="K514" t="inlineStr">
        <is>
          <t>No Answer Autodial</t>
        </is>
      </c>
      <c r="L514" t="n">
        <v>7</v>
      </c>
      <c r="M514" t="inlineStr">
        <is>
          <t>2026-06-15 06:23:57</t>
        </is>
      </c>
      <c r="N514" t="inlineStr">
        <is>
          <t>system</t>
        </is>
      </c>
      <c r="O514" t="inlineStr">
        <is>
          <t>2026-06-08 05:25:27</t>
        </is>
      </c>
      <c r="P514" t="inlineStr">
        <is>
          <t>2026-06-08 05:25:27</t>
        </is>
      </c>
      <c r="Y514" t="inlineStr">
        <is>
          <t>27609104157</t>
        </is>
      </c>
    </row>
    <row r="515">
      <c r="A515" t="inlineStr">
        <is>
          <t>14827615</t>
        </is>
      </c>
      <c r="B515" t="inlineStr">
        <is>
          <t>136828c2-d3dd-4e73-bd0d-34a3d5646add</t>
        </is>
      </c>
      <c r="D515" t="inlineStr">
        <is>
          <t>111111123</t>
        </is>
      </c>
      <c r="E515" t="inlineStr">
        <is>
          <t>Vodacom Life 20260603</t>
        </is>
      </c>
      <c r="J515" t="inlineStr">
        <is>
          <t>CU</t>
        </is>
      </c>
      <c r="K515" t="inlineStr">
        <is>
          <t>Client Hung Up</t>
        </is>
      </c>
      <c r="L515" t="n">
        <v>7</v>
      </c>
      <c r="M515" t="inlineStr">
        <is>
          <t>2026-06-15 06:23:48</t>
        </is>
      </c>
      <c r="N515" t="inlineStr">
        <is>
          <t>Maureen Ntsoko</t>
        </is>
      </c>
      <c r="O515" t="inlineStr">
        <is>
          <t>2026-06-08 05:25:27</t>
        </is>
      </c>
      <c r="P515" t="inlineStr">
        <is>
          <t>2026-06-08 05:25:27</t>
        </is>
      </c>
      <c r="Y515" t="inlineStr">
        <is>
          <t>27724258334</t>
        </is>
      </c>
    </row>
    <row r="516">
      <c r="A516" t="inlineStr">
        <is>
          <t>14827656</t>
        </is>
      </c>
      <c r="B516" t="inlineStr">
        <is>
          <t>437b42a1-4099-4f6a-8d21-268b85aedec8</t>
        </is>
      </c>
      <c r="D516" t="inlineStr">
        <is>
          <t>111111123</t>
        </is>
      </c>
      <c r="E516" t="inlineStr">
        <is>
          <t>Vodacom Life 20260603</t>
        </is>
      </c>
      <c r="J516" t="inlineStr">
        <is>
          <t>NA</t>
        </is>
      </c>
      <c r="K516" t="inlineStr">
        <is>
          <t>No Answer Autodial</t>
        </is>
      </c>
      <c r="L516" t="n">
        <v>7</v>
      </c>
      <c r="M516" t="inlineStr">
        <is>
          <t>2026-06-15 06:23:43</t>
        </is>
      </c>
      <c r="N516" t="inlineStr">
        <is>
          <t>system</t>
        </is>
      </c>
      <c r="O516" t="inlineStr">
        <is>
          <t>2026-06-08 05:25:27</t>
        </is>
      </c>
      <c r="P516" t="inlineStr">
        <is>
          <t>2026-06-08 05:25:27</t>
        </is>
      </c>
      <c r="Y516" t="inlineStr">
        <is>
          <t>27663347518</t>
        </is>
      </c>
    </row>
    <row r="517">
      <c r="A517" t="inlineStr">
        <is>
          <t>14827578</t>
        </is>
      </c>
      <c r="B517" t="inlineStr">
        <is>
          <t>a4e3a0e6-bed4-49e0-bea3-04bc7904d796</t>
        </is>
      </c>
      <c r="D517" t="inlineStr">
        <is>
          <t>111111123</t>
        </is>
      </c>
      <c r="E517" t="inlineStr">
        <is>
          <t>Vodacom Life 20260603</t>
        </is>
      </c>
      <c r="H517" t="inlineStr">
        <is>
          <t>27724661542</t>
        </is>
      </c>
      <c r="J517" t="inlineStr">
        <is>
          <t>AA</t>
        </is>
      </c>
      <c r="K517" t="inlineStr">
        <is>
          <t>Answering Machine Autodial</t>
        </is>
      </c>
      <c r="L517" t="n">
        <v>7</v>
      </c>
      <c r="M517" t="inlineStr">
        <is>
          <t>2026-06-15 06:23:41</t>
        </is>
      </c>
      <c r="N517" t="inlineStr">
        <is>
          <t>system</t>
        </is>
      </c>
      <c r="O517" t="inlineStr">
        <is>
          <t>2026-06-08 05:25:27</t>
        </is>
      </c>
      <c r="P517" t="inlineStr">
        <is>
          <t>2026-06-08 05:25:27</t>
        </is>
      </c>
      <c r="Y517" t="inlineStr">
        <is>
          <t>27724661542</t>
        </is>
      </c>
    </row>
    <row r="518">
      <c r="A518" t="inlineStr">
        <is>
          <t>14827579</t>
        </is>
      </c>
      <c r="B518" t="inlineStr">
        <is>
          <t>976ca199-670c-4f68-95a3-15ab2c775dac</t>
        </is>
      </c>
      <c r="D518" t="inlineStr">
        <is>
          <t>111111123</t>
        </is>
      </c>
      <c r="E518" t="inlineStr">
        <is>
          <t>Vodacom Life 20260603</t>
        </is>
      </c>
      <c r="J518" t="inlineStr">
        <is>
          <t>ADC</t>
        </is>
      </c>
      <c r="K518" t="inlineStr">
        <is>
          <t>Auto Dial Disconnected</t>
        </is>
      </c>
      <c r="L518" t="n">
        <v>7</v>
      </c>
      <c r="M518" t="inlineStr">
        <is>
          <t>2026-06-15 06:23:40</t>
        </is>
      </c>
      <c r="N518" t="inlineStr">
        <is>
          <t>system</t>
        </is>
      </c>
      <c r="O518" t="inlineStr">
        <is>
          <t>2026-06-08 05:25:27</t>
        </is>
      </c>
      <c r="P518" t="inlineStr">
        <is>
          <t>2026-06-08 05:25:27</t>
        </is>
      </c>
      <c r="Y518" t="inlineStr">
        <is>
          <t>27636731420</t>
        </is>
      </c>
    </row>
    <row r="519">
      <c r="A519" t="inlineStr">
        <is>
          <t>14827848</t>
        </is>
      </c>
      <c r="B519" t="inlineStr">
        <is>
          <t>dd738745-8ce3-46da-be58-288b03071db6</t>
        </is>
      </c>
      <c r="D519" t="inlineStr">
        <is>
          <t>111111123</t>
        </is>
      </c>
      <c r="E519" t="inlineStr">
        <is>
          <t>Vodacom Life 20260603</t>
        </is>
      </c>
      <c r="J519" t="inlineStr">
        <is>
          <t>AA</t>
        </is>
      </c>
      <c r="K519" t="inlineStr">
        <is>
          <t>Answering Machine Autodial</t>
        </is>
      </c>
      <c r="L519" t="n">
        <v>7</v>
      </c>
      <c r="M519" t="inlineStr">
        <is>
          <t>2026-06-15 06:23:36</t>
        </is>
      </c>
      <c r="N519" t="inlineStr">
        <is>
          <t>system</t>
        </is>
      </c>
      <c r="O519" t="inlineStr">
        <is>
          <t>2026-06-08 05:25:27</t>
        </is>
      </c>
      <c r="P519" t="inlineStr">
        <is>
          <t>2026-06-08 05:25:27</t>
        </is>
      </c>
      <c r="Y519" t="inlineStr">
        <is>
          <t>27791477275</t>
        </is>
      </c>
    </row>
    <row r="520">
      <c r="A520" t="inlineStr">
        <is>
          <t>14827592</t>
        </is>
      </c>
      <c r="B520" t="inlineStr">
        <is>
          <t>4154f43a-7b5e-48f5-943c-c68d55ee0b53</t>
        </is>
      </c>
      <c r="D520" t="inlineStr">
        <is>
          <t>111111123</t>
        </is>
      </c>
      <c r="E520" t="inlineStr">
        <is>
          <t>Vodacom Life 20260603</t>
        </is>
      </c>
      <c r="J520" t="inlineStr">
        <is>
          <t>AA</t>
        </is>
      </c>
      <c r="K520" t="inlineStr">
        <is>
          <t>Answering Machine Autodial</t>
        </is>
      </c>
      <c r="L520" t="n">
        <v>7</v>
      </c>
      <c r="M520" t="inlineStr">
        <is>
          <t>2026-06-15 06:23:31</t>
        </is>
      </c>
      <c r="N520" t="inlineStr">
        <is>
          <t>system</t>
        </is>
      </c>
      <c r="O520" t="inlineStr">
        <is>
          <t>2026-06-08 05:25:27</t>
        </is>
      </c>
      <c r="P520" t="inlineStr">
        <is>
          <t>2026-06-08 05:25:27</t>
        </is>
      </c>
      <c r="Y520" t="inlineStr">
        <is>
          <t>27724577029</t>
        </is>
      </c>
    </row>
    <row r="521">
      <c r="A521" t="inlineStr">
        <is>
          <t>14827655</t>
        </is>
      </c>
      <c r="B521" t="inlineStr">
        <is>
          <t>da498f79-01ef-42ed-aca4-a9233bf9c625</t>
        </is>
      </c>
      <c r="D521" t="inlineStr">
        <is>
          <t>111111123</t>
        </is>
      </c>
      <c r="E521" t="inlineStr">
        <is>
          <t>Vodacom Life 20260603</t>
        </is>
      </c>
      <c r="J521" t="inlineStr">
        <is>
          <t>ADC</t>
        </is>
      </c>
      <c r="K521" t="inlineStr">
        <is>
          <t>Auto Dial Disconnected</t>
        </is>
      </c>
      <c r="L521" t="n">
        <v>7</v>
      </c>
      <c r="M521" t="inlineStr">
        <is>
          <t>2026-06-15 06:23:31</t>
        </is>
      </c>
      <c r="N521" t="inlineStr">
        <is>
          <t>system</t>
        </is>
      </c>
      <c r="O521" t="inlineStr">
        <is>
          <t>2026-06-08 05:25:27</t>
        </is>
      </c>
      <c r="P521" t="inlineStr">
        <is>
          <t>2026-06-08 05:25:27</t>
        </is>
      </c>
      <c r="Y521" t="inlineStr">
        <is>
          <t>27825568963</t>
        </is>
      </c>
    </row>
    <row r="522">
      <c r="A522" t="inlineStr">
        <is>
          <t>14800000</t>
        </is>
      </c>
      <c r="B522" t="inlineStr">
        <is>
          <t>e801b81b-17f4-4b73-bf45-1b1337810bba</t>
        </is>
      </c>
      <c r="D522" t="inlineStr">
        <is>
          <t>111111123</t>
        </is>
      </c>
      <c r="E522" t="inlineStr">
        <is>
          <t>Vodacom Life 20260603</t>
        </is>
      </c>
      <c r="H522" t="inlineStr">
        <is>
          <t>27725000400</t>
        </is>
      </c>
      <c r="J522" t="inlineStr">
        <is>
          <t>AA</t>
        </is>
      </c>
      <c r="K522" t="inlineStr">
        <is>
          <t>Answering Machine Autodial</t>
        </is>
      </c>
      <c r="L522" t="n">
        <v>7</v>
      </c>
      <c r="M522" t="inlineStr">
        <is>
          <t>2026-06-15 06:23:21</t>
        </is>
      </c>
      <c r="N522" t="inlineStr">
        <is>
          <t>system</t>
        </is>
      </c>
      <c r="O522" t="inlineStr">
        <is>
          <t>2026-06-08 05:25:27</t>
        </is>
      </c>
      <c r="P522" t="inlineStr">
        <is>
          <t>2026-06-08 05:25:27</t>
        </is>
      </c>
      <c r="Y522" t="inlineStr">
        <is>
          <t>27725000400</t>
        </is>
      </c>
    </row>
    <row r="523">
      <c r="A523" t="inlineStr">
        <is>
          <t>14827598</t>
        </is>
      </c>
      <c r="B523" t="inlineStr">
        <is>
          <t>082efa6d-8136-4708-ba66-ffce0ea2e52a</t>
        </is>
      </c>
      <c r="D523" t="inlineStr">
        <is>
          <t>111111123</t>
        </is>
      </c>
      <c r="E523" t="inlineStr">
        <is>
          <t>Vodacom Life 20260603</t>
        </is>
      </c>
      <c r="J523" t="inlineStr">
        <is>
          <t>AE</t>
        </is>
      </c>
      <c r="K523" t="inlineStr">
        <is>
          <t>Auto Engaged</t>
        </is>
      </c>
      <c r="L523" t="n">
        <v>7</v>
      </c>
      <c r="M523" t="inlineStr">
        <is>
          <t>2026-06-15 06:23:21</t>
        </is>
      </c>
      <c r="N523" t="inlineStr">
        <is>
          <t>system</t>
        </is>
      </c>
      <c r="O523" t="inlineStr">
        <is>
          <t>2026-06-08 05:25:27</t>
        </is>
      </c>
      <c r="P523" t="inlineStr">
        <is>
          <t>2026-06-08 05:25:27</t>
        </is>
      </c>
      <c r="Y523" t="inlineStr">
        <is>
          <t>27793087167</t>
        </is>
      </c>
    </row>
    <row r="524">
      <c r="A524" t="inlineStr">
        <is>
          <t>14827631</t>
        </is>
      </c>
      <c r="B524" t="inlineStr">
        <is>
          <t>df9f2470-3dce-40fd-9b36-f02db92b49d5</t>
        </is>
      </c>
      <c r="D524" t="inlineStr">
        <is>
          <t>111111123</t>
        </is>
      </c>
      <c r="E524" t="inlineStr">
        <is>
          <t>Vodacom Life 20260603</t>
        </is>
      </c>
      <c r="J524" t="inlineStr">
        <is>
          <t>AE</t>
        </is>
      </c>
      <c r="K524" t="inlineStr">
        <is>
          <t>Auto Engaged</t>
        </is>
      </c>
      <c r="L524" t="n">
        <v>7</v>
      </c>
      <c r="M524" t="inlineStr">
        <is>
          <t>2026-06-15 06:23:21</t>
        </is>
      </c>
      <c r="N524" t="inlineStr">
        <is>
          <t>system</t>
        </is>
      </c>
      <c r="O524" t="inlineStr">
        <is>
          <t>2026-06-08 05:25:27</t>
        </is>
      </c>
      <c r="P524" t="inlineStr">
        <is>
          <t>2026-06-08 05:25:27</t>
        </is>
      </c>
      <c r="Y524" t="inlineStr">
        <is>
          <t>27665400068</t>
        </is>
      </c>
    </row>
    <row r="525">
      <c r="A525" t="inlineStr">
        <is>
          <t>14827665</t>
        </is>
      </c>
      <c r="B525" t="inlineStr">
        <is>
          <t>5241f462-8723-4675-9b39-155d53879319</t>
        </is>
      </c>
      <c r="D525" t="inlineStr">
        <is>
          <t>111111123</t>
        </is>
      </c>
      <c r="E525" t="inlineStr">
        <is>
          <t>Vodacom Life 20260603</t>
        </is>
      </c>
      <c r="J525" t="inlineStr">
        <is>
          <t>AA</t>
        </is>
      </c>
      <c r="K525" t="inlineStr">
        <is>
          <t>Answering Machine Autodial</t>
        </is>
      </c>
      <c r="L525" t="n">
        <v>7</v>
      </c>
      <c r="M525" t="inlineStr">
        <is>
          <t>2026-06-15 06:23:20</t>
        </is>
      </c>
      <c r="N525" t="inlineStr">
        <is>
          <t>system</t>
        </is>
      </c>
      <c r="O525" t="inlineStr">
        <is>
          <t>2026-06-08 05:25:27</t>
        </is>
      </c>
      <c r="P525" t="inlineStr">
        <is>
          <t>2026-06-08 05:25:27</t>
        </is>
      </c>
      <c r="Y525" t="inlineStr">
        <is>
          <t>27713419280</t>
        </is>
      </c>
    </row>
    <row r="526">
      <c r="A526" t="inlineStr">
        <is>
          <t>14827613</t>
        </is>
      </c>
      <c r="B526" t="inlineStr">
        <is>
          <t>62a6f3f7-b909-4fa8-bbb4-8ea4369ed55e</t>
        </is>
      </c>
      <c r="D526" t="inlineStr">
        <is>
          <t>111111123</t>
        </is>
      </c>
      <c r="E526" t="inlineStr">
        <is>
          <t>Vodacom Life 20260603</t>
        </is>
      </c>
      <c r="H526" t="inlineStr">
        <is>
          <t>27660889178</t>
        </is>
      </c>
      <c r="J526" t="inlineStr">
        <is>
          <t>CU</t>
        </is>
      </c>
      <c r="K526" t="inlineStr">
        <is>
          <t>Client Hung Up</t>
        </is>
      </c>
      <c r="L526" t="n">
        <v>8</v>
      </c>
      <c r="M526" t="inlineStr">
        <is>
          <t>2026-06-15 06:21:51</t>
        </is>
      </c>
      <c r="N526" t="inlineStr">
        <is>
          <t>bongiwe lushaba</t>
        </is>
      </c>
      <c r="O526" t="inlineStr">
        <is>
          <t>2026-06-08 05:25:27</t>
        </is>
      </c>
      <c r="P526" t="inlineStr">
        <is>
          <t>2026-06-08 05:25:27</t>
        </is>
      </c>
      <c r="Y526" t="inlineStr">
        <is>
          <t>27660889178</t>
        </is>
      </c>
    </row>
    <row r="527">
      <c r="A527" t="inlineStr">
        <is>
          <t>14827635</t>
        </is>
      </c>
      <c r="B527" t="inlineStr">
        <is>
          <t>a52abe71-8a64-4013-ba38-c2e02bb2d12f</t>
        </is>
      </c>
      <c r="D527" t="inlineStr">
        <is>
          <t>111111123</t>
        </is>
      </c>
      <c r="E527" t="inlineStr">
        <is>
          <t>Vodacom Life 20260603</t>
        </is>
      </c>
      <c r="J527" t="inlineStr">
        <is>
          <t>DROP</t>
        </is>
      </c>
      <c r="K527" t="inlineStr">
        <is>
          <t>Dropped</t>
        </is>
      </c>
      <c r="L527" t="n">
        <v>7</v>
      </c>
      <c r="M527" t="inlineStr">
        <is>
          <t>2026-06-15 06:21:48</t>
        </is>
      </c>
      <c r="N527" t="inlineStr">
        <is>
          <t>system</t>
        </is>
      </c>
      <c r="O527" t="inlineStr">
        <is>
          <t>2026-06-08 05:25:27</t>
        </is>
      </c>
      <c r="P527" t="inlineStr">
        <is>
          <t>2026-06-08 05:25:27</t>
        </is>
      </c>
      <c r="Y527" t="inlineStr">
        <is>
          <t>27832555592</t>
        </is>
      </c>
    </row>
    <row r="528">
      <c r="A528" t="inlineStr">
        <is>
          <t>14827876</t>
        </is>
      </c>
      <c r="B528" t="inlineStr">
        <is>
          <t>cb742b0f-6c73-4b8c-80ae-d3c95ac7f103</t>
        </is>
      </c>
      <c r="D528" t="inlineStr">
        <is>
          <t>111111123</t>
        </is>
      </c>
      <c r="E528" t="inlineStr">
        <is>
          <t>Vodacom Life 20260603</t>
        </is>
      </c>
      <c r="J528" t="inlineStr">
        <is>
          <t>AA</t>
        </is>
      </c>
      <c r="K528" t="inlineStr">
        <is>
          <t>Answering Machine Autodial</t>
        </is>
      </c>
      <c r="L528" t="n">
        <v>7</v>
      </c>
      <c r="M528" t="inlineStr">
        <is>
          <t>2026-06-15 06:21:47</t>
        </is>
      </c>
      <c r="N528" t="inlineStr">
        <is>
          <t>system</t>
        </is>
      </c>
      <c r="O528" t="inlineStr">
        <is>
          <t>2026-06-08 05:25:27</t>
        </is>
      </c>
      <c r="P528" t="inlineStr">
        <is>
          <t>2026-06-08 05:25:27</t>
        </is>
      </c>
      <c r="Y528" t="inlineStr">
        <is>
          <t>27665674117</t>
        </is>
      </c>
    </row>
    <row r="529">
      <c r="A529" t="inlineStr">
        <is>
          <t>14827636</t>
        </is>
      </c>
      <c r="B529" t="inlineStr">
        <is>
          <t>250ef4cb-dcb6-43f3-a131-f3948da9d51e</t>
        </is>
      </c>
      <c r="D529" t="inlineStr">
        <is>
          <t>111111123</t>
        </is>
      </c>
      <c r="E529" t="inlineStr">
        <is>
          <t>Vodacom Life 20260603</t>
        </is>
      </c>
      <c r="J529" t="inlineStr">
        <is>
          <t>DROP</t>
        </is>
      </c>
      <c r="K529" t="inlineStr">
        <is>
          <t>Dropped</t>
        </is>
      </c>
      <c r="L529" t="n">
        <v>7</v>
      </c>
      <c r="M529" t="inlineStr">
        <is>
          <t>2026-06-15 06:21:47</t>
        </is>
      </c>
      <c r="N529" t="inlineStr">
        <is>
          <t>system</t>
        </is>
      </c>
      <c r="O529" t="inlineStr">
        <is>
          <t>2026-06-08 05:25:27</t>
        </is>
      </c>
      <c r="P529" t="inlineStr">
        <is>
          <t>2026-06-08 05:25:27</t>
        </is>
      </c>
      <c r="Y529" t="inlineStr">
        <is>
          <t>27609457541</t>
        </is>
      </c>
    </row>
    <row r="530">
      <c r="A530" t="inlineStr">
        <is>
          <t>14827606</t>
        </is>
      </c>
      <c r="B530" t="inlineStr">
        <is>
          <t>a180b9dd-cac8-4d3a-a280-9babe3aa6eb1</t>
        </is>
      </c>
      <c r="D530" t="inlineStr">
        <is>
          <t>111111123</t>
        </is>
      </c>
      <c r="E530" t="inlineStr">
        <is>
          <t>Vodacom Life 20260603</t>
        </is>
      </c>
      <c r="J530" t="inlineStr">
        <is>
          <t>NA</t>
        </is>
      </c>
      <c r="K530" t="inlineStr">
        <is>
          <t>No Answer Autodial</t>
        </is>
      </c>
      <c r="L530" t="n">
        <v>7</v>
      </c>
      <c r="M530" t="inlineStr">
        <is>
          <t>2026-06-15 06:20:41</t>
        </is>
      </c>
      <c r="N530" t="inlineStr">
        <is>
          <t>system</t>
        </is>
      </c>
      <c r="O530" t="inlineStr">
        <is>
          <t>2026-06-08 05:25:27</t>
        </is>
      </c>
      <c r="P530" t="inlineStr">
        <is>
          <t>2026-06-08 05:25:27</t>
        </is>
      </c>
      <c r="Y530" t="inlineStr">
        <is>
          <t>27723662375</t>
        </is>
      </c>
    </row>
    <row r="531">
      <c r="A531" t="inlineStr">
        <is>
          <t>14827667</t>
        </is>
      </c>
      <c r="B531" t="inlineStr">
        <is>
          <t>14fd7c7f-c919-4042-8680-81bb27d1f58d</t>
        </is>
      </c>
      <c r="D531" t="inlineStr">
        <is>
          <t>111111123</t>
        </is>
      </c>
      <c r="E531" t="inlineStr">
        <is>
          <t>Vodacom Life 20260603</t>
        </is>
      </c>
      <c r="J531" t="inlineStr">
        <is>
          <t>AA</t>
        </is>
      </c>
      <c r="K531" t="inlineStr">
        <is>
          <t>Answering Machine Autodial</t>
        </is>
      </c>
      <c r="L531" t="n">
        <v>7</v>
      </c>
      <c r="M531" t="inlineStr">
        <is>
          <t>2026-06-15 06:20:29</t>
        </is>
      </c>
      <c r="N531" t="inlineStr">
        <is>
          <t>system</t>
        </is>
      </c>
      <c r="O531" t="inlineStr">
        <is>
          <t>2026-06-08 05:25:27</t>
        </is>
      </c>
      <c r="P531" t="inlineStr">
        <is>
          <t>2026-06-08 05:25:27</t>
        </is>
      </c>
      <c r="Y531" t="inlineStr">
        <is>
          <t>27724952900</t>
        </is>
      </c>
    </row>
    <row r="532">
      <c r="A532" t="inlineStr">
        <is>
          <t>14827678</t>
        </is>
      </c>
      <c r="B532" t="inlineStr">
        <is>
          <t>b8696555-9011-4111-9c22-5e38ebe0380e</t>
        </is>
      </c>
      <c r="D532" t="inlineStr">
        <is>
          <t>111111123</t>
        </is>
      </c>
      <c r="E532" t="inlineStr">
        <is>
          <t>Vodacom Life 20260603</t>
        </is>
      </c>
      <c r="H532" t="inlineStr">
        <is>
          <t>27823903708</t>
        </is>
      </c>
      <c r="J532" t="inlineStr">
        <is>
          <t>NA</t>
        </is>
      </c>
      <c r="K532" t="inlineStr">
        <is>
          <t>No Answer Autodial</t>
        </is>
      </c>
      <c r="L532" t="n">
        <v>7</v>
      </c>
      <c r="M532" t="inlineStr">
        <is>
          <t>2026-06-15 06:20:12</t>
        </is>
      </c>
      <c r="N532" t="inlineStr">
        <is>
          <t>system</t>
        </is>
      </c>
      <c r="O532" t="inlineStr">
        <is>
          <t>2026-06-08 05:25:27</t>
        </is>
      </c>
      <c r="P532" t="inlineStr">
        <is>
          <t>2026-06-08 05:25:27</t>
        </is>
      </c>
      <c r="Y532" t="inlineStr">
        <is>
          <t>27823903708</t>
        </is>
      </c>
    </row>
    <row r="533">
      <c r="A533" t="inlineStr">
        <is>
          <t>14827633</t>
        </is>
      </c>
      <c r="B533" t="inlineStr">
        <is>
          <t>7807b9be-2197-425a-aa88-e6f126ef6de5</t>
        </is>
      </c>
      <c r="D533" t="inlineStr">
        <is>
          <t>111111123</t>
        </is>
      </c>
      <c r="E533" t="inlineStr">
        <is>
          <t>Vodacom Life 20260603</t>
        </is>
      </c>
      <c r="J533" t="inlineStr">
        <is>
          <t>NA</t>
        </is>
      </c>
      <c r="K533" t="inlineStr">
        <is>
          <t>No Answer Autodial</t>
        </is>
      </c>
      <c r="L533" t="n">
        <v>7</v>
      </c>
      <c r="M533" t="inlineStr">
        <is>
          <t>2026-06-15 06:20:11</t>
        </is>
      </c>
      <c r="N533" t="inlineStr">
        <is>
          <t>system</t>
        </is>
      </c>
      <c r="O533" t="inlineStr">
        <is>
          <t>2026-06-08 05:25:27</t>
        </is>
      </c>
      <c r="P533" t="inlineStr">
        <is>
          <t>2026-06-08 05:25:27</t>
        </is>
      </c>
      <c r="Y533" t="inlineStr">
        <is>
          <t>27716451627</t>
        </is>
      </c>
    </row>
    <row r="534">
      <c r="A534" t="inlineStr">
        <is>
          <t>14827778</t>
        </is>
      </c>
      <c r="B534" t="inlineStr">
        <is>
          <t>3f3b19bd-1828-49eb-aa14-92601c87241b</t>
        </is>
      </c>
      <c r="D534" t="inlineStr">
        <is>
          <t>111111123</t>
        </is>
      </c>
      <c r="E534" t="inlineStr">
        <is>
          <t>Vodacom Life 20260603</t>
        </is>
      </c>
      <c r="J534" t="inlineStr">
        <is>
          <t>AE</t>
        </is>
      </c>
      <c r="K534" t="inlineStr">
        <is>
          <t>Auto Engaged</t>
        </is>
      </c>
      <c r="L534" t="n">
        <v>7</v>
      </c>
      <c r="M534" t="inlineStr">
        <is>
          <t>2026-06-15 06:20:11</t>
        </is>
      </c>
      <c r="N534" t="inlineStr">
        <is>
          <t>system</t>
        </is>
      </c>
      <c r="O534" t="inlineStr">
        <is>
          <t>2026-06-08 05:25:27</t>
        </is>
      </c>
      <c r="P534" t="inlineStr">
        <is>
          <t>2026-06-08 05:25:27</t>
        </is>
      </c>
      <c r="Y534" t="inlineStr">
        <is>
          <t>27728004986</t>
        </is>
      </c>
    </row>
    <row r="535">
      <c r="A535" t="inlineStr">
        <is>
          <t>14827640</t>
        </is>
      </c>
      <c r="B535" t="inlineStr">
        <is>
          <t>d6499c5a-4ea0-424e-95c5-537aef67c3d2</t>
        </is>
      </c>
      <c r="D535" t="inlineStr">
        <is>
          <t>111111123</t>
        </is>
      </c>
      <c r="E535" t="inlineStr">
        <is>
          <t>Vodacom Life 20260603</t>
        </is>
      </c>
      <c r="H535" t="inlineStr">
        <is>
          <t>27767331231</t>
        </is>
      </c>
      <c r="J535" t="inlineStr">
        <is>
          <t>A</t>
        </is>
      </c>
      <c r="K535" t="inlineStr">
        <is>
          <t>Answering Machine</t>
        </is>
      </c>
      <c r="L535" t="n">
        <v>7</v>
      </c>
      <c r="M535" t="inlineStr">
        <is>
          <t>2026-06-15 06:19:32</t>
        </is>
      </c>
      <c r="N535" t="inlineStr">
        <is>
          <t>system</t>
        </is>
      </c>
      <c r="O535" t="inlineStr">
        <is>
          <t>2026-06-08 05:25:27</t>
        </is>
      </c>
      <c r="P535" t="inlineStr">
        <is>
          <t>2026-06-08 05:25:27</t>
        </is>
      </c>
      <c r="Y535" t="inlineStr">
        <is>
          <t>27767331231</t>
        </is>
      </c>
    </row>
    <row r="536">
      <c r="A536" t="inlineStr">
        <is>
          <t>14827673</t>
        </is>
      </c>
      <c r="B536" t="inlineStr">
        <is>
          <t>c64491a6-9274-490e-8a54-cd16f82e492a</t>
        </is>
      </c>
      <c r="D536" t="inlineStr">
        <is>
          <t>111111123</t>
        </is>
      </c>
      <c r="E536" t="inlineStr">
        <is>
          <t>Vodacom Life 20260603</t>
        </is>
      </c>
      <c r="H536" t="inlineStr">
        <is>
          <t>27760609936</t>
        </is>
      </c>
      <c r="J536" t="inlineStr">
        <is>
          <t>AA</t>
        </is>
      </c>
      <c r="K536" t="inlineStr">
        <is>
          <t>Answering Machine Autodial</t>
        </is>
      </c>
      <c r="L536" t="n">
        <v>7</v>
      </c>
      <c r="M536" t="inlineStr">
        <is>
          <t>2026-06-15 06:19:19</t>
        </is>
      </c>
      <c r="N536" t="inlineStr">
        <is>
          <t>system</t>
        </is>
      </c>
      <c r="O536" t="inlineStr">
        <is>
          <t>2026-06-08 05:25:27</t>
        </is>
      </c>
      <c r="P536" t="inlineStr">
        <is>
          <t>2026-06-08 05:25:27</t>
        </is>
      </c>
      <c r="Y536" t="inlineStr">
        <is>
          <t>27760609936</t>
        </is>
      </c>
    </row>
    <row r="537">
      <c r="A537" t="inlineStr">
        <is>
          <t>14827600</t>
        </is>
      </c>
      <c r="B537" t="inlineStr">
        <is>
          <t>e9ca2a97-fd71-409a-b5ac-bb523fbfe70d</t>
        </is>
      </c>
      <c r="D537" t="inlineStr">
        <is>
          <t>111111123</t>
        </is>
      </c>
      <c r="E537" t="inlineStr">
        <is>
          <t>Vodacom Life 20260603</t>
        </is>
      </c>
      <c r="J537" t="inlineStr">
        <is>
          <t>AA</t>
        </is>
      </c>
      <c r="K537" t="inlineStr">
        <is>
          <t>Answering Machine Autodial</t>
        </is>
      </c>
      <c r="L537" t="n">
        <v>7</v>
      </c>
      <c r="M537" t="inlineStr">
        <is>
          <t>2026-06-15 06:19:13</t>
        </is>
      </c>
      <c r="N537" t="inlineStr">
        <is>
          <t>system</t>
        </is>
      </c>
      <c r="O537" t="inlineStr">
        <is>
          <t>2026-06-08 05:25:27</t>
        </is>
      </c>
      <c r="P537" t="inlineStr">
        <is>
          <t>2026-06-08 05:25:27</t>
        </is>
      </c>
      <c r="Y537" t="inlineStr">
        <is>
          <t>27609390288</t>
        </is>
      </c>
    </row>
    <row r="538">
      <c r="A538" t="inlineStr">
        <is>
          <t>14827601</t>
        </is>
      </c>
      <c r="B538" t="inlineStr">
        <is>
          <t>851c58ab-f35c-4076-b737-2ce13ea76b1b</t>
        </is>
      </c>
      <c r="D538" t="inlineStr">
        <is>
          <t>111111123</t>
        </is>
      </c>
      <c r="E538" t="inlineStr">
        <is>
          <t>Vodacom Life 20260603</t>
        </is>
      </c>
      <c r="J538" t="inlineStr">
        <is>
          <t>NA</t>
        </is>
      </c>
      <c r="K538" t="inlineStr">
        <is>
          <t>No Answer Autodial</t>
        </is>
      </c>
      <c r="L538" t="n">
        <v>7</v>
      </c>
      <c r="M538" t="inlineStr">
        <is>
          <t>2026-06-15 06:19:11</t>
        </is>
      </c>
      <c r="N538" t="inlineStr">
        <is>
          <t>system</t>
        </is>
      </c>
      <c r="O538" t="inlineStr">
        <is>
          <t>2026-06-08 05:25:27</t>
        </is>
      </c>
      <c r="P538" t="inlineStr">
        <is>
          <t>2026-06-08 05:25:27</t>
        </is>
      </c>
      <c r="Y538" t="inlineStr">
        <is>
          <t>27726139477</t>
        </is>
      </c>
    </row>
    <row r="539">
      <c r="A539" t="inlineStr">
        <is>
          <t>14827847</t>
        </is>
      </c>
      <c r="B539" t="inlineStr">
        <is>
          <t>2cb079cd-b536-45ad-981b-d6c998db6998</t>
        </is>
      </c>
      <c r="D539" t="inlineStr">
        <is>
          <t>111111123</t>
        </is>
      </c>
      <c r="E539" t="inlineStr">
        <is>
          <t>Vodacom Life 20260603</t>
        </is>
      </c>
      <c r="J539" t="inlineStr">
        <is>
          <t>AA</t>
        </is>
      </c>
      <c r="K539" t="inlineStr">
        <is>
          <t>Answering Machine Autodial</t>
        </is>
      </c>
      <c r="L539" t="n">
        <v>7</v>
      </c>
      <c r="M539" t="inlineStr">
        <is>
          <t>2026-06-15 06:19:06</t>
        </is>
      </c>
      <c r="N539" t="inlineStr">
        <is>
          <t>system</t>
        </is>
      </c>
      <c r="O539" t="inlineStr">
        <is>
          <t>2026-06-08 05:25:27</t>
        </is>
      </c>
      <c r="P539" t="inlineStr">
        <is>
          <t>2026-06-08 05:25:27</t>
        </is>
      </c>
      <c r="Y539" t="inlineStr">
        <is>
          <t>27761445729</t>
        </is>
      </c>
    </row>
    <row r="540">
      <c r="A540" t="inlineStr">
        <is>
          <t>14827619</t>
        </is>
      </c>
      <c r="B540" t="inlineStr">
        <is>
          <t>64fe93bb-0a6d-4540-a112-9baaae68d27a</t>
        </is>
      </c>
      <c r="D540" t="inlineStr">
        <is>
          <t>111111123</t>
        </is>
      </c>
      <c r="E540" t="inlineStr">
        <is>
          <t>Vodacom Life 20260603</t>
        </is>
      </c>
      <c r="J540" t="inlineStr">
        <is>
          <t>AE</t>
        </is>
      </c>
      <c r="K540" t="inlineStr">
        <is>
          <t>Auto Engaged</t>
        </is>
      </c>
      <c r="L540" t="n">
        <v>7</v>
      </c>
      <c r="M540" t="inlineStr">
        <is>
          <t>2026-06-15 06:19:04</t>
        </is>
      </c>
      <c r="N540" t="inlineStr">
        <is>
          <t>system</t>
        </is>
      </c>
      <c r="O540" t="inlineStr">
        <is>
          <t>2026-06-08 05:25:27</t>
        </is>
      </c>
      <c r="P540" t="inlineStr">
        <is>
          <t>2026-06-08 05:25:27</t>
        </is>
      </c>
      <c r="Y540" t="inlineStr">
        <is>
          <t>27768097006</t>
        </is>
      </c>
    </row>
    <row r="541">
      <c r="A541" t="inlineStr">
        <is>
          <t>14827668</t>
        </is>
      </c>
      <c r="B541" t="inlineStr">
        <is>
          <t>395edfe9-806f-4bc2-9b4f-8e96f9732ece</t>
        </is>
      </c>
      <c r="D541" t="inlineStr">
        <is>
          <t>111111123</t>
        </is>
      </c>
      <c r="E541" t="inlineStr">
        <is>
          <t>Vodacom Life 20260603</t>
        </is>
      </c>
      <c r="J541" t="inlineStr">
        <is>
          <t>AE</t>
        </is>
      </c>
      <c r="K541" t="inlineStr">
        <is>
          <t>Auto Engaged</t>
        </is>
      </c>
      <c r="L541" t="n">
        <v>7</v>
      </c>
      <c r="M541" t="inlineStr">
        <is>
          <t>2026-06-15 06:19:00</t>
        </is>
      </c>
      <c r="N541" t="inlineStr">
        <is>
          <t>system</t>
        </is>
      </c>
      <c r="O541" t="inlineStr">
        <is>
          <t>2026-06-08 05:25:27</t>
        </is>
      </c>
      <c r="P541" t="inlineStr">
        <is>
          <t>2026-06-08 05:25:27</t>
        </is>
      </c>
      <c r="Y541" t="inlineStr">
        <is>
          <t>27792366151</t>
        </is>
      </c>
    </row>
    <row r="542">
      <c r="A542" t="inlineStr">
        <is>
          <t>14827650</t>
        </is>
      </c>
      <c r="B542" t="inlineStr">
        <is>
          <t>1159082c-17ae-420f-813b-6f3cbfc77303</t>
        </is>
      </c>
      <c r="D542" t="inlineStr">
        <is>
          <t>111111123</t>
        </is>
      </c>
      <c r="E542" t="inlineStr">
        <is>
          <t>Vodacom Life 20260603</t>
        </is>
      </c>
      <c r="H542" t="inlineStr">
        <is>
          <t>27649348736</t>
        </is>
      </c>
      <c r="J542" t="inlineStr">
        <is>
          <t>NA</t>
        </is>
      </c>
      <c r="K542" t="inlineStr">
        <is>
          <t>No Answer Autodial</t>
        </is>
      </c>
      <c r="L542" t="n">
        <v>7</v>
      </c>
      <c r="M542" t="inlineStr">
        <is>
          <t>2026-06-15 06:19:00</t>
        </is>
      </c>
      <c r="N542" t="inlineStr">
        <is>
          <t>system</t>
        </is>
      </c>
      <c r="O542" t="inlineStr">
        <is>
          <t>2026-06-08 05:25:27</t>
        </is>
      </c>
      <c r="P542" t="inlineStr">
        <is>
          <t>2026-06-08 05:25:27</t>
        </is>
      </c>
      <c r="Y542" t="inlineStr">
        <is>
          <t>27649348736</t>
        </is>
      </c>
    </row>
    <row r="543">
      <c r="A543" t="inlineStr">
        <is>
          <t>14827651</t>
        </is>
      </c>
      <c r="B543" t="inlineStr">
        <is>
          <t>ac449e58-8d99-44c7-9537-d6fdd2da95d5</t>
        </is>
      </c>
      <c r="D543" t="inlineStr">
        <is>
          <t>111111123</t>
        </is>
      </c>
      <c r="E543" t="inlineStr">
        <is>
          <t>Vodacom Life 20260603</t>
        </is>
      </c>
      <c r="H543" t="inlineStr">
        <is>
          <t>27820502109</t>
        </is>
      </c>
      <c r="J543" t="inlineStr">
        <is>
          <t>AA</t>
        </is>
      </c>
      <c r="K543" t="inlineStr">
        <is>
          <t>Answering Machine Autodial</t>
        </is>
      </c>
      <c r="L543" t="n">
        <v>7</v>
      </c>
      <c r="M543" t="inlineStr">
        <is>
          <t>2026-06-15 06:18:49</t>
        </is>
      </c>
      <c r="N543" t="inlineStr">
        <is>
          <t>system</t>
        </is>
      </c>
      <c r="O543" t="inlineStr">
        <is>
          <t>2026-06-08 05:25:27</t>
        </is>
      </c>
      <c r="P543" t="inlineStr">
        <is>
          <t>2026-06-08 05:25:27</t>
        </is>
      </c>
      <c r="Y543" t="inlineStr">
        <is>
          <t>27820502109</t>
        </is>
      </c>
    </row>
    <row r="544">
      <c r="A544" t="inlineStr">
        <is>
          <t>14827872</t>
        </is>
      </c>
      <c r="B544" t="inlineStr">
        <is>
          <t>78395fc2-40d8-4bb9-99bf-1ce4610f0aae</t>
        </is>
      </c>
      <c r="D544" t="inlineStr">
        <is>
          <t>111111123</t>
        </is>
      </c>
      <c r="E544" t="inlineStr">
        <is>
          <t>Vodacom Life 20260603</t>
        </is>
      </c>
      <c r="J544" t="inlineStr">
        <is>
          <t>A</t>
        </is>
      </c>
      <c r="K544" t="inlineStr">
        <is>
          <t>Answering Machine</t>
        </is>
      </c>
      <c r="L544" t="n">
        <v>7</v>
      </c>
      <c r="M544" t="inlineStr">
        <is>
          <t>2026-06-15 06:18:44</t>
        </is>
      </c>
      <c r="N544" t="inlineStr">
        <is>
          <t>bongiwe lushaba</t>
        </is>
      </c>
      <c r="O544" t="inlineStr">
        <is>
          <t>2026-06-08 05:25:27</t>
        </is>
      </c>
      <c r="P544" t="inlineStr">
        <is>
          <t>2026-06-08 05:25:27</t>
        </is>
      </c>
      <c r="Y544" t="inlineStr">
        <is>
          <t>27825996143</t>
        </is>
      </c>
    </row>
    <row r="545">
      <c r="A545" t="inlineStr">
        <is>
          <t>14827697</t>
        </is>
      </c>
      <c r="B545" t="inlineStr">
        <is>
          <t>0b6bd6b4-938b-4115-b249-d84f4d93d0c5</t>
        </is>
      </c>
      <c r="D545" t="inlineStr">
        <is>
          <t>111111123</t>
        </is>
      </c>
      <c r="E545" t="inlineStr">
        <is>
          <t>Vodacom Life 20260603</t>
        </is>
      </c>
      <c r="H545" t="inlineStr">
        <is>
          <t>27793365192</t>
        </is>
      </c>
      <c r="J545" t="inlineStr">
        <is>
          <t>DROP</t>
        </is>
      </c>
      <c r="K545" t="inlineStr">
        <is>
          <t>Dropped</t>
        </is>
      </c>
      <c r="L545" t="n">
        <v>7</v>
      </c>
      <c r="M545" t="inlineStr">
        <is>
          <t>2026-06-15 06:18:40</t>
        </is>
      </c>
      <c r="N545" t="inlineStr">
        <is>
          <t>system</t>
        </is>
      </c>
      <c r="O545" t="inlineStr">
        <is>
          <t>2026-06-08 05:25:27</t>
        </is>
      </c>
      <c r="P545" t="inlineStr">
        <is>
          <t>2026-06-08 05:25:27</t>
        </is>
      </c>
      <c r="Y545" t="inlineStr">
        <is>
          <t>27793365192</t>
        </is>
      </c>
    </row>
    <row r="546">
      <c r="A546" t="inlineStr">
        <is>
          <t>14827623</t>
        </is>
      </c>
      <c r="B546" t="inlineStr">
        <is>
          <t>67c3a629-3e3e-43ea-8557-f902ae51735e</t>
        </is>
      </c>
      <c r="D546" t="inlineStr">
        <is>
          <t>111111123</t>
        </is>
      </c>
      <c r="E546" t="inlineStr">
        <is>
          <t>Vodacom Life 20260603</t>
        </is>
      </c>
      <c r="J546" t="inlineStr">
        <is>
          <t>DROP</t>
        </is>
      </c>
      <c r="K546" t="inlineStr">
        <is>
          <t>Dropped</t>
        </is>
      </c>
      <c r="L546" t="n">
        <v>7</v>
      </c>
      <c r="M546" t="inlineStr">
        <is>
          <t>2026-06-15 06:17:57</t>
        </is>
      </c>
      <c r="N546" t="inlineStr">
        <is>
          <t>system</t>
        </is>
      </c>
      <c r="O546" t="inlineStr">
        <is>
          <t>2026-06-08 05:25:27</t>
        </is>
      </c>
      <c r="P546" t="inlineStr">
        <is>
          <t>2026-06-08 05:25:27</t>
        </is>
      </c>
      <c r="Y546" t="inlineStr">
        <is>
          <t>27711733392</t>
        </is>
      </c>
    </row>
    <row r="547">
      <c r="A547" t="inlineStr">
        <is>
          <t>14827698</t>
        </is>
      </c>
      <c r="B547" t="inlineStr">
        <is>
          <t>d58daf78-51a2-4b9b-83d9-a812ba8d015d</t>
        </is>
      </c>
      <c r="D547" t="inlineStr">
        <is>
          <t>111111123</t>
        </is>
      </c>
      <c r="E547" t="inlineStr">
        <is>
          <t>Vodacom Life 20260603</t>
        </is>
      </c>
      <c r="J547" t="inlineStr">
        <is>
          <t>AA</t>
        </is>
      </c>
      <c r="K547" t="inlineStr">
        <is>
          <t>Answering Machine Autodial</t>
        </is>
      </c>
      <c r="L547" t="n">
        <v>7</v>
      </c>
      <c r="M547" t="inlineStr">
        <is>
          <t>2026-06-15 06:17:21</t>
        </is>
      </c>
      <c r="N547" t="inlineStr">
        <is>
          <t>system</t>
        </is>
      </c>
      <c r="O547" t="inlineStr">
        <is>
          <t>2026-06-08 05:25:27</t>
        </is>
      </c>
      <c r="P547" t="inlineStr">
        <is>
          <t>2026-06-08 05:25:27</t>
        </is>
      </c>
      <c r="Y547" t="inlineStr">
        <is>
          <t>27649460883</t>
        </is>
      </c>
    </row>
    <row r="548">
      <c r="A548" t="inlineStr">
        <is>
          <t>14827614</t>
        </is>
      </c>
      <c r="B548" t="inlineStr">
        <is>
          <t>64daa65f-dfe4-49bb-b2cf-405183508881</t>
        </is>
      </c>
      <c r="D548" t="inlineStr">
        <is>
          <t>111111123</t>
        </is>
      </c>
      <c r="E548" t="inlineStr">
        <is>
          <t>Vodacom Life 20260603</t>
        </is>
      </c>
      <c r="J548" t="inlineStr">
        <is>
          <t>AA</t>
        </is>
      </c>
      <c r="K548" t="inlineStr">
        <is>
          <t>Answering Machine Autodial</t>
        </is>
      </c>
      <c r="L548" t="n">
        <v>7</v>
      </c>
      <c r="M548" t="inlineStr">
        <is>
          <t>2026-06-15 06:17:15</t>
        </is>
      </c>
      <c r="N548" t="inlineStr">
        <is>
          <t>system</t>
        </is>
      </c>
      <c r="O548" t="inlineStr">
        <is>
          <t>2026-06-08 05:25:27</t>
        </is>
      </c>
      <c r="P548" t="inlineStr">
        <is>
          <t>2026-06-08 05:25:27</t>
        </is>
      </c>
      <c r="Y548" t="inlineStr">
        <is>
          <t>27715415933</t>
        </is>
      </c>
    </row>
    <row r="549">
      <c r="A549" t="inlineStr">
        <is>
          <t>14827628</t>
        </is>
      </c>
      <c r="B549" t="inlineStr">
        <is>
          <t>96f262d7-28e7-4e90-becd-dcd5815b17d5</t>
        </is>
      </c>
      <c r="D549" t="inlineStr">
        <is>
          <t>111111123</t>
        </is>
      </c>
      <c r="E549" t="inlineStr">
        <is>
          <t>Vodacom Life 20260603</t>
        </is>
      </c>
      <c r="H549" t="inlineStr">
        <is>
          <t>27760753229</t>
        </is>
      </c>
      <c r="J549" t="inlineStr">
        <is>
          <t>AA</t>
        </is>
      </c>
      <c r="K549" t="inlineStr">
        <is>
          <t>Answering Machine Autodial</t>
        </is>
      </c>
      <c r="L549" t="n">
        <v>7</v>
      </c>
      <c r="M549" t="inlineStr">
        <is>
          <t>2026-06-15 06:17:15</t>
        </is>
      </c>
      <c r="N549" t="inlineStr">
        <is>
          <t>system</t>
        </is>
      </c>
      <c r="O549" t="inlineStr">
        <is>
          <t>2026-06-08 05:25:27</t>
        </is>
      </c>
      <c r="P549" t="inlineStr">
        <is>
          <t>2026-06-08 05:25:27</t>
        </is>
      </c>
      <c r="Y549" t="inlineStr">
        <is>
          <t>27760753229</t>
        </is>
      </c>
    </row>
    <row r="550">
      <c r="A550" t="inlineStr">
        <is>
          <t>14827688</t>
        </is>
      </c>
      <c r="B550" t="inlineStr">
        <is>
          <t>f33abff1-32d0-4a79-8a23-00234b213f29</t>
        </is>
      </c>
      <c r="D550" t="inlineStr">
        <is>
          <t>111111123</t>
        </is>
      </c>
      <c r="E550" t="inlineStr">
        <is>
          <t>Vodacom Life 20260603</t>
        </is>
      </c>
      <c r="J550" t="inlineStr">
        <is>
          <t>DROP</t>
        </is>
      </c>
      <c r="K550" t="inlineStr">
        <is>
          <t>Dropped</t>
        </is>
      </c>
      <c r="L550" t="n">
        <v>7</v>
      </c>
      <c r="M550" t="inlineStr">
        <is>
          <t>2026-06-15 06:17:15</t>
        </is>
      </c>
      <c r="N550" t="inlineStr">
        <is>
          <t>system</t>
        </is>
      </c>
      <c r="O550" t="inlineStr">
        <is>
          <t>2026-06-08 05:25:27</t>
        </is>
      </c>
      <c r="P550" t="inlineStr">
        <is>
          <t>2026-06-08 05:25:27</t>
        </is>
      </c>
      <c r="Y550" t="inlineStr">
        <is>
          <t>27766899134</t>
        </is>
      </c>
    </row>
    <row r="551">
      <c r="A551" t="inlineStr">
        <is>
          <t>14827657</t>
        </is>
      </c>
      <c r="B551" t="inlineStr">
        <is>
          <t>992ccf93-956b-4fd8-a61b-ec2e8c8b5601</t>
        </is>
      </c>
      <c r="D551" t="inlineStr">
        <is>
          <t>111111123</t>
        </is>
      </c>
      <c r="E551" t="inlineStr">
        <is>
          <t>Vodacom Life 20260603</t>
        </is>
      </c>
      <c r="J551" t="inlineStr">
        <is>
          <t>AE</t>
        </is>
      </c>
      <c r="K551" t="inlineStr">
        <is>
          <t>Auto Engaged</t>
        </is>
      </c>
      <c r="L551" t="n">
        <v>7</v>
      </c>
      <c r="M551" t="inlineStr">
        <is>
          <t>2026-06-15 06:17:14</t>
        </is>
      </c>
      <c r="N551" t="inlineStr">
        <is>
          <t>system</t>
        </is>
      </c>
      <c r="O551" t="inlineStr">
        <is>
          <t>2026-06-08 05:25:27</t>
        </is>
      </c>
      <c r="P551" t="inlineStr">
        <is>
          <t>2026-06-08 05:25:27</t>
        </is>
      </c>
      <c r="Y551" t="inlineStr">
        <is>
          <t>27717062194</t>
        </is>
      </c>
    </row>
    <row r="552">
      <c r="A552" t="inlineStr">
        <is>
          <t>14827866</t>
        </is>
      </c>
      <c r="B552" t="inlineStr">
        <is>
          <t>a6f3ce07-ac48-4936-a79b-b4fd065d1632</t>
        </is>
      </c>
      <c r="D552" t="inlineStr">
        <is>
          <t>111111123</t>
        </is>
      </c>
      <c r="E552" t="inlineStr">
        <is>
          <t>Vodacom Life 20260603</t>
        </is>
      </c>
      <c r="J552" t="inlineStr">
        <is>
          <t>AA</t>
        </is>
      </c>
      <c r="K552" t="inlineStr">
        <is>
          <t>Answering Machine Autodial</t>
        </is>
      </c>
      <c r="L552" t="n">
        <v>7</v>
      </c>
      <c r="M552" t="inlineStr">
        <is>
          <t>2026-06-15 06:17:11</t>
        </is>
      </c>
      <c r="N552" t="inlineStr">
        <is>
          <t>system</t>
        </is>
      </c>
      <c r="O552" t="inlineStr">
        <is>
          <t>2026-06-08 05:25:27</t>
        </is>
      </c>
      <c r="P552" t="inlineStr">
        <is>
          <t>2026-06-08 05:25:27</t>
        </is>
      </c>
      <c r="Y552" t="inlineStr">
        <is>
          <t>27768470506</t>
        </is>
      </c>
    </row>
    <row r="553">
      <c r="A553" t="inlineStr">
        <is>
          <t>14827662</t>
        </is>
      </c>
      <c r="B553" t="inlineStr">
        <is>
          <t>6fa786b1-352e-4734-b64b-86aefb40895f</t>
        </is>
      </c>
      <c r="D553" t="inlineStr">
        <is>
          <t>111111123</t>
        </is>
      </c>
      <c r="E553" t="inlineStr">
        <is>
          <t>Vodacom Life 20260603</t>
        </is>
      </c>
      <c r="J553" t="inlineStr">
        <is>
          <t>U</t>
        </is>
      </c>
      <c r="K553" t="inlineStr">
        <is>
          <t>Unemployed</t>
        </is>
      </c>
      <c r="L553" t="n">
        <v>7</v>
      </c>
      <c r="M553" t="inlineStr">
        <is>
          <t>2026-06-15 06:17:11</t>
        </is>
      </c>
      <c r="N553" t="inlineStr">
        <is>
          <t>bongiwe lushaba</t>
        </is>
      </c>
      <c r="O553" t="inlineStr">
        <is>
          <t>2026-06-08 05:25:27</t>
        </is>
      </c>
      <c r="P553" t="inlineStr">
        <is>
          <t>2026-06-08 05:25:27</t>
        </is>
      </c>
      <c r="Y553" t="inlineStr">
        <is>
          <t>27825048481</t>
        </is>
      </c>
    </row>
    <row r="554">
      <c r="A554" t="inlineStr">
        <is>
          <t>14827630</t>
        </is>
      </c>
      <c r="B554" t="inlineStr">
        <is>
          <t>c7089d11-cc55-40d0-bd1b-01d777348f2a</t>
        </is>
      </c>
      <c r="D554" t="inlineStr">
        <is>
          <t>111111123</t>
        </is>
      </c>
      <c r="E554" t="inlineStr">
        <is>
          <t>Vodacom Life 20260603</t>
        </is>
      </c>
      <c r="J554" t="inlineStr">
        <is>
          <t>A</t>
        </is>
      </c>
      <c r="K554" t="inlineStr">
        <is>
          <t>Answering Machine</t>
        </is>
      </c>
      <c r="L554" t="n">
        <v>7</v>
      </c>
      <c r="M554" t="inlineStr">
        <is>
          <t>2026-06-15 06:17:11</t>
        </is>
      </c>
      <c r="N554" t="inlineStr">
        <is>
          <t>Maureen Ntsoko</t>
        </is>
      </c>
      <c r="O554" t="inlineStr">
        <is>
          <t>2026-06-08 05:25:27</t>
        </is>
      </c>
      <c r="P554" t="inlineStr">
        <is>
          <t>2026-06-08 05:25:27</t>
        </is>
      </c>
      <c r="Y554" t="inlineStr">
        <is>
          <t>27797169382</t>
        </is>
      </c>
    </row>
    <row r="555">
      <c r="A555" t="inlineStr">
        <is>
          <t>14827699</t>
        </is>
      </c>
      <c r="B555" t="inlineStr">
        <is>
          <t>8f8010f5-c6f9-4d25-a6a9-30dbb92bb1bd</t>
        </is>
      </c>
      <c r="D555" t="inlineStr">
        <is>
          <t>111111123</t>
        </is>
      </c>
      <c r="E555" t="inlineStr">
        <is>
          <t>Vodacom Life 20260603</t>
        </is>
      </c>
      <c r="H555" t="inlineStr">
        <is>
          <t>27796975795</t>
        </is>
      </c>
      <c r="J555" t="inlineStr">
        <is>
          <t>NA</t>
        </is>
      </c>
      <c r="K555" t="inlineStr">
        <is>
          <t>No Answer Autodial</t>
        </is>
      </c>
      <c r="L555" t="n">
        <v>7</v>
      </c>
      <c r="M555" t="inlineStr">
        <is>
          <t>2026-06-15 06:17:11</t>
        </is>
      </c>
      <c r="N555" t="inlineStr">
        <is>
          <t>system</t>
        </is>
      </c>
      <c r="O555" t="inlineStr">
        <is>
          <t>2026-06-08 05:25:27</t>
        </is>
      </c>
      <c r="P555" t="inlineStr">
        <is>
          <t>2026-06-08 05:25:27</t>
        </is>
      </c>
      <c r="Y555" t="inlineStr">
        <is>
          <t>27796975795</t>
        </is>
      </c>
    </row>
    <row r="556">
      <c r="A556" t="inlineStr">
        <is>
          <t>14827726</t>
        </is>
      </c>
      <c r="B556" t="inlineStr">
        <is>
          <t>ba19087d-ecef-4d0c-9fa1-b200798783ff</t>
        </is>
      </c>
      <c r="D556" t="inlineStr">
        <is>
          <t>111111123</t>
        </is>
      </c>
      <c r="E556" t="inlineStr">
        <is>
          <t>Vodacom Life 20260603</t>
        </is>
      </c>
      <c r="H556" t="inlineStr">
        <is>
          <t>27609394424</t>
        </is>
      </c>
      <c r="J556" t="inlineStr">
        <is>
          <t>IABDN</t>
        </is>
      </c>
      <c r="K556" t="inlineStr">
        <is>
          <t>Inbound Abandon</t>
        </is>
      </c>
      <c r="L556" t="n">
        <v>7</v>
      </c>
      <c r="M556" t="inlineStr">
        <is>
          <t>2026-06-15 06:16:40</t>
        </is>
      </c>
      <c r="N556" t="inlineStr">
        <is>
          <t>system</t>
        </is>
      </c>
      <c r="O556" t="inlineStr">
        <is>
          <t>2026-06-08 05:25:27</t>
        </is>
      </c>
      <c r="P556" t="inlineStr">
        <is>
          <t>2026-06-08 05:25:27</t>
        </is>
      </c>
      <c r="Y556" t="inlineStr">
        <is>
          <t>27609394424</t>
        </is>
      </c>
    </row>
    <row r="557">
      <c r="A557" t="inlineStr">
        <is>
          <t>14827765</t>
        </is>
      </c>
      <c r="B557" t="inlineStr">
        <is>
          <t>b03ad417-fb44-4049-b32c-c21cc817689d</t>
        </is>
      </c>
      <c r="D557" t="inlineStr">
        <is>
          <t>111111123</t>
        </is>
      </c>
      <c r="E557" t="inlineStr">
        <is>
          <t>Vodacom Life 20260603</t>
        </is>
      </c>
      <c r="H557" t="inlineStr">
        <is>
          <t>27713141310</t>
        </is>
      </c>
      <c r="J557" t="inlineStr">
        <is>
          <t>AA</t>
        </is>
      </c>
      <c r="K557" t="inlineStr">
        <is>
          <t>Answering Machine Autodial</t>
        </is>
      </c>
      <c r="L557" t="n">
        <v>7</v>
      </c>
      <c r="M557" t="inlineStr">
        <is>
          <t>2026-06-15 06:15:06</t>
        </is>
      </c>
      <c r="N557" t="inlineStr">
        <is>
          <t>system</t>
        </is>
      </c>
      <c r="O557" t="inlineStr">
        <is>
          <t>2026-06-08 05:25:27</t>
        </is>
      </c>
      <c r="P557" t="inlineStr">
        <is>
          <t>2026-06-08 05:25:27</t>
        </is>
      </c>
      <c r="Y557" t="inlineStr">
        <is>
          <t>27713141310</t>
        </is>
      </c>
    </row>
    <row r="558">
      <c r="A558" t="inlineStr">
        <is>
          <t>14827714</t>
        </is>
      </c>
      <c r="B558" t="inlineStr">
        <is>
          <t>fd312a7e-b5c5-4a2a-99b8-ea8e8c5503c2</t>
        </is>
      </c>
      <c r="D558" t="inlineStr">
        <is>
          <t>111111123</t>
        </is>
      </c>
      <c r="E558" t="inlineStr">
        <is>
          <t>Vodacom Life 20260603</t>
        </is>
      </c>
      <c r="J558" t="inlineStr">
        <is>
          <t>DROP</t>
        </is>
      </c>
      <c r="K558" t="inlineStr">
        <is>
          <t>Dropped</t>
        </is>
      </c>
      <c r="L558" t="n">
        <v>7</v>
      </c>
      <c r="M558" t="inlineStr">
        <is>
          <t>2026-06-15 06:15:06</t>
        </is>
      </c>
      <c r="N558" t="inlineStr">
        <is>
          <t>system</t>
        </is>
      </c>
      <c r="O558" t="inlineStr">
        <is>
          <t>2026-06-08 05:25:27</t>
        </is>
      </c>
      <c r="P558" t="inlineStr">
        <is>
          <t>2026-06-08 05:25:27</t>
        </is>
      </c>
      <c r="Y558" t="inlineStr">
        <is>
          <t>27794495557</t>
        </is>
      </c>
    </row>
    <row r="559">
      <c r="A559" t="inlineStr">
        <is>
          <t>14827756</t>
        </is>
      </c>
      <c r="B559" t="inlineStr">
        <is>
          <t>89f522fc-8915-41ad-9472-13d7917c7387</t>
        </is>
      </c>
      <c r="D559" t="inlineStr">
        <is>
          <t>111111123</t>
        </is>
      </c>
      <c r="E559" t="inlineStr">
        <is>
          <t>Vodacom Life 20260603</t>
        </is>
      </c>
      <c r="J559" t="inlineStr">
        <is>
          <t>AA</t>
        </is>
      </c>
      <c r="K559" t="inlineStr">
        <is>
          <t>Answering Machine Autodial</t>
        </is>
      </c>
      <c r="L559" t="n">
        <v>7</v>
      </c>
      <c r="M559" t="inlineStr">
        <is>
          <t>2026-06-15 06:14:59</t>
        </is>
      </c>
      <c r="N559" t="inlineStr">
        <is>
          <t>system</t>
        </is>
      </c>
      <c r="O559" t="inlineStr">
        <is>
          <t>2026-06-08 05:25:27</t>
        </is>
      </c>
      <c r="P559" t="inlineStr">
        <is>
          <t>2026-06-08 05:25:27</t>
        </is>
      </c>
      <c r="Y559" t="inlineStr">
        <is>
          <t>27820725887</t>
        </is>
      </c>
    </row>
    <row r="560">
      <c r="A560" t="inlineStr">
        <is>
          <t>14827842</t>
        </is>
      </c>
      <c r="B560" t="inlineStr">
        <is>
          <t>a3869ef0-e248-4a32-a91f-96c8dd98f6a7</t>
        </is>
      </c>
      <c r="D560" t="inlineStr">
        <is>
          <t>111111123</t>
        </is>
      </c>
      <c r="E560" t="inlineStr">
        <is>
          <t>Vodacom Life 20260603</t>
        </is>
      </c>
      <c r="J560" t="inlineStr">
        <is>
          <t>ADC</t>
        </is>
      </c>
      <c r="K560" t="inlineStr">
        <is>
          <t>Auto Dial Disconnected</t>
        </is>
      </c>
      <c r="L560" t="n">
        <v>7</v>
      </c>
      <c r="M560" t="inlineStr">
        <is>
          <t>2026-06-15 06:14:58</t>
        </is>
      </c>
      <c r="N560" t="inlineStr">
        <is>
          <t>system</t>
        </is>
      </c>
      <c r="O560" t="inlineStr">
        <is>
          <t>2026-06-08 05:25:27</t>
        </is>
      </c>
      <c r="P560" t="inlineStr">
        <is>
          <t>2026-06-08 05:25:27</t>
        </is>
      </c>
      <c r="Y560" t="inlineStr">
        <is>
          <t>27791986541</t>
        </is>
      </c>
    </row>
    <row r="561">
      <c r="A561" t="inlineStr">
        <is>
          <t>14827777</t>
        </is>
      </c>
      <c r="B561" t="inlineStr">
        <is>
          <t>458ee09f-3289-4744-b4e4-f8faa4cc3392</t>
        </is>
      </c>
      <c r="D561" t="inlineStr">
        <is>
          <t>111111123</t>
        </is>
      </c>
      <c r="E561" t="inlineStr">
        <is>
          <t>Vodacom Life 20260603</t>
        </is>
      </c>
      <c r="J561" t="inlineStr">
        <is>
          <t>NA</t>
        </is>
      </c>
      <c r="K561" t="inlineStr">
        <is>
          <t>No Answer Autodial</t>
        </is>
      </c>
      <c r="L561" t="n">
        <v>7</v>
      </c>
      <c r="M561" t="inlineStr">
        <is>
          <t>2026-06-15 06:14:58</t>
        </is>
      </c>
      <c r="N561" t="inlineStr">
        <is>
          <t>system</t>
        </is>
      </c>
      <c r="O561" t="inlineStr">
        <is>
          <t>2026-06-08 05:25:27</t>
        </is>
      </c>
      <c r="P561" t="inlineStr">
        <is>
          <t>2026-06-08 05:25:27</t>
        </is>
      </c>
      <c r="Y561" t="inlineStr">
        <is>
          <t>27715196565</t>
        </is>
      </c>
    </row>
    <row r="562">
      <c r="A562" t="inlineStr">
        <is>
          <t>14827742</t>
        </is>
      </c>
      <c r="B562" t="inlineStr">
        <is>
          <t>da4aa218-ee71-4fa1-9abc-cb20937e3562</t>
        </is>
      </c>
      <c r="D562" t="inlineStr">
        <is>
          <t>111111123</t>
        </is>
      </c>
      <c r="E562" t="inlineStr">
        <is>
          <t>Vodacom Life 20260603</t>
        </is>
      </c>
      <c r="J562" t="inlineStr">
        <is>
          <t>AA</t>
        </is>
      </c>
      <c r="K562" t="inlineStr">
        <is>
          <t>Answering Machine Autodial</t>
        </is>
      </c>
      <c r="L562" t="n">
        <v>7</v>
      </c>
      <c r="M562" t="inlineStr">
        <is>
          <t>2026-06-15 06:14:58</t>
        </is>
      </c>
      <c r="N562" t="inlineStr">
        <is>
          <t>system</t>
        </is>
      </c>
      <c r="O562" t="inlineStr">
        <is>
          <t>2026-06-08 05:25:27</t>
        </is>
      </c>
      <c r="P562" t="inlineStr">
        <is>
          <t>2026-06-08 05:25:27</t>
        </is>
      </c>
      <c r="Y562" t="inlineStr">
        <is>
          <t>27714061198</t>
        </is>
      </c>
    </row>
    <row r="563">
      <c r="A563" t="inlineStr">
        <is>
          <t>14827753</t>
        </is>
      </c>
      <c r="B563" t="inlineStr">
        <is>
          <t>710fc17f-dee0-43e3-84bd-c48cb1b15c43</t>
        </is>
      </c>
      <c r="D563" t="inlineStr">
        <is>
          <t>111111123</t>
        </is>
      </c>
      <c r="E563" t="inlineStr">
        <is>
          <t>Vodacom Life 20260603</t>
        </is>
      </c>
      <c r="J563" t="inlineStr">
        <is>
          <t>NI</t>
        </is>
      </c>
      <c r="K563" t="inlineStr">
        <is>
          <t>Not Interested</t>
        </is>
      </c>
      <c r="L563" t="n">
        <v>7</v>
      </c>
      <c r="M563" t="inlineStr">
        <is>
          <t>2026-06-15 06:14:58</t>
        </is>
      </c>
      <c r="N563" t="inlineStr">
        <is>
          <t>Maureen Ntsoko</t>
        </is>
      </c>
      <c r="O563" t="inlineStr">
        <is>
          <t>2026-06-08 05:25:27</t>
        </is>
      </c>
      <c r="P563" t="inlineStr">
        <is>
          <t>2026-06-08 05:25:27</t>
        </is>
      </c>
      <c r="Y563" t="inlineStr">
        <is>
          <t>27818538136</t>
        </is>
      </c>
    </row>
    <row r="564">
      <c r="A564" t="inlineStr">
        <is>
          <t>14827837</t>
        </is>
      </c>
      <c r="B564" t="inlineStr">
        <is>
          <t>39ce9911-8866-4720-a0cb-2e4bd26bea98</t>
        </is>
      </c>
      <c r="D564" t="inlineStr">
        <is>
          <t>111111123</t>
        </is>
      </c>
      <c r="E564" t="inlineStr">
        <is>
          <t>Vodacom Life 20260603</t>
        </is>
      </c>
      <c r="J564" t="inlineStr">
        <is>
          <t>AA</t>
        </is>
      </c>
      <c r="K564" t="inlineStr">
        <is>
          <t>Answering Machine Autodial</t>
        </is>
      </c>
      <c r="L564" t="n">
        <v>7</v>
      </c>
      <c r="M564" t="inlineStr">
        <is>
          <t>2026-06-15 06:14:33</t>
        </is>
      </c>
      <c r="N564" t="inlineStr">
        <is>
          <t>system</t>
        </is>
      </c>
      <c r="O564" t="inlineStr">
        <is>
          <t>2026-06-08 05:25:27</t>
        </is>
      </c>
      <c r="P564" t="inlineStr">
        <is>
          <t>2026-06-08 05:25:27</t>
        </is>
      </c>
      <c r="Y564" t="inlineStr">
        <is>
          <t>27637918938</t>
        </is>
      </c>
    </row>
    <row r="565">
      <c r="A565" t="inlineStr">
        <is>
          <t>14827693</t>
        </is>
      </c>
      <c r="B565" t="inlineStr">
        <is>
          <t>a9abf355-6035-4063-a010-a2d7d5da85bb</t>
        </is>
      </c>
      <c r="D565" t="inlineStr">
        <is>
          <t>111111123</t>
        </is>
      </c>
      <c r="E565" t="inlineStr">
        <is>
          <t>Vodacom Life 20260603</t>
        </is>
      </c>
      <c r="J565" t="inlineStr">
        <is>
          <t>NA</t>
        </is>
      </c>
      <c r="K565" t="inlineStr">
        <is>
          <t>No Answer Autodial</t>
        </is>
      </c>
      <c r="L565" t="n">
        <v>7</v>
      </c>
      <c r="M565" t="inlineStr">
        <is>
          <t>2026-06-15 06:14:33</t>
        </is>
      </c>
      <c r="N565" t="inlineStr">
        <is>
          <t>system</t>
        </is>
      </c>
      <c r="O565" t="inlineStr">
        <is>
          <t>2026-06-08 05:25:27</t>
        </is>
      </c>
      <c r="P565" t="inlineStr">
        <is>
          <t>2026-06-08 05:25:27</t>
        </is>
      </c>
      <c r="Y565" t="inlineStr">
        <is>
          <t>27792500266</t>
        </is>
      </c>
    </row>
    <row r="566">
      <c r="A566" t="inlineStr">
        <is>
          <t>14827718</t>
        </is>
      </c>
      <c r="B566" t="inlineStr">
        <is>
          <t>959dd064-1de5-4d01-98cd-81427a2137c0</t>
        </is>
      </c>
      <c r="D566" t="inlineStr">
        <is>
          <t>111111123</t>
        </is>
      </c>
      <c r="E566" t="inlineStr">
        <is>
          <t>Vodacom Life 20260603</t>
        </is>
      </c>
      <c r="J566" t="inlineStr">
        <is>
          <t>AA</t>
        </is>
      </c>
      <c r="K566" t="inlineStr">
        <is>
          <t>Answering Machine Autodial</t>
        </is>
      </c>
      <c r="L566" t="n">
        <v>7</v>
      </c>
      <c r="M566" t="inlineStr">
        <is>
          <t>2026-06-15 06:14:33</t>
        </is>
      </c>
      <c r="N566" t="inlineStr">
        <is>
          <t>system</t>
        </is>
      </c>
      <c r="O566" t="inlineStr">
        <is>
          <t>2026-06-08 05:25:27</t>
        </is>
      </c>
      <c r="P566" t="inlineStr">
        <is>
          <t>2026-06-08 05:25:27</t>
        </is>
      </c>
      <c r="Y566" t="inlineStr">
        <is>
          <t>27673335551</t>
        </is>
      </c>
    </row>
    <row r="567">
      <c r="A567" t="inlineStr">
        <is>
          <t>14827660</t>
        </is>
      </c>
      <c r="B567" t="inlineStr">
        <is>
          <t>545b7391-da4e-44df-bca0-9f641f28bfae</t>
        </is>
      </c>
      <c r="D567" t="inlineStr">
        <is>
          <t>111111123</t>
        </is>
      </c>
      <c r="E567" t="inlineStr">
        <is>
          <t>Vodacom Life 20260603</t>
        </is>
      </c>
      <c r="J567" t="inlineStr">
        <is>
          <t>AE</t>
        </is>
      </c>
      <c r="K567" t="inlineStr">
        <is>
          <t>Auto Engaged</t>
        </is>
      </c>
      <c r="L567" t="n">
        <v>7</v>
      </c>
      <c r="M567" t="inlineStr">
        <is>
          <t>2026-06-15 06:14:28</t>
        </is>
      </c>
      <c r="N567" t="inlineStr">
        <is>
          <t>system</t>
        </is>
      </c>
      <c r="O567" t="inlineStr">
        <is>
          <t>2026-06-08 05:25:27</t>
        </is>
      </c>
      <c r="P567" t="inlineStr">
        <is>
          <t>2026-06-08 05:25:27</t>
        </is>
      </c>
      <c r="Y567" t="inlineStr">
        <is>
          <t>27826973538</t>
        </is>
      </c>
    </row>
    <row r="568">
      <c r="A568" t="inlineStr">
        <is>
          <t>14827835</t>
        </is>
      </c>
      <c r="B568" t="inlineStr">
        <is>
          <t>6ae13c7b-f3a8-479d-9c5e-71ed3acb22f4</t>
        </is>
      </c>
      <c r="D568" t="inlineStr">
        <is>
          <t>111111123</t>
        </is>
      </c>
      <c r="E568" t="inlineStr">
        <is>
          <t>Vodacom Life 20260603</t>
        </is>
      </c>
      <c r="J568" t="inlineStr">
        <is>
          <t>ADC</t>
        </is>
      </c>
      <c r="K568" t="inlineStr">
        <is>
          <t>Auto Dial Disconnected</t>
        </is>
      </c>
      <c r="L568" t="n">
        <v>7</v>
      </c>
      <c r="M568" t="inlineStr">
        <is>
          <t>2026-06-15 06:14:24</t>
        </is>
      </c>
      <c r="N568" t="inlineStr">
        <is>
          <t>system</t>
        </is>
      </c>
      <c r="O568" t="inlineStr">
        <is>
          <t>2026-06-08 05:25:27</t>
        </is>
      </c>
      <c r="P568" t="inlineStr">
        <is>
          <t>2026-06-08 05:25:27</t>
        </is>
      </c>
      <c r="Y568" t="inlineStr">
        <is>
          <t>27796655683</t>
        </is>
      </c>
    </row>
    <row r="569">
      <c r="A569" t="inlineStr">
        <is>
          <t>14827675</t>
        </is>
      </c>
      <c r="B569" t="inlineStr">
        <is>
          <t>fec2ea54-cae9-4a62-8395-2902abbbb3a7</t>
        </is>
      </c>
      <c r="D569" t="inlineStr">
        <is>
          <t>111111123</t>
        </is>
      </c>
      <c r="E569" t="inlineStr">
        <is>
          <t>Vodacom Life 20260603</t>
        </is>
      </c>
      <c r="J569" t="inlineStr">
        <is>
          <t>AE</t>
        </is>
      </c>
      <c r="K569" t="inlineStr">
        <is>
          <t>Auto Engaged</t>
        </is>
      </c>
      <c r="L569" t="n">
        <v>7</v>
      </c>
      <c r="M569" t="inlineStr">
        <is>
          <t>2026-06-15 06:14:24</t>
        </is>
      </c>
      <c r="N569" t="inlineStr">
        <is>
          <t>system</t>
        </is>
      </c>
      <c r="O569" t="inlineStr">
        <is>
          <t>2026-06-08 05:25:27</t>
        </is>
      </c>
      <c r="P569" t="inlineStr">
        <is>
          <t>2026-06-08 05:25:27</t>
        </is>
      </c>
      <c r="Y569" t="inlineStr">
        <is>
          <t>27767738416</t>
        </is>
      </c>
    </row>
    <row r="570">
      <c r="A570" t="inlineStr">
        <is>
          <t>14827782</t>
        </is>
      </c>
      <c r="B570" t="inlineStr">
        <is>
          <t>99500361-fc7a-4d1a-9b48-e2a6ad5f3d11</t>
        </is>
      </c>
      <c r="D570" t="inlineStr">
        <is>
          <t>111111123</t>
        </is>
      </c>
      <c r="E570" t="inlineStr">
        <is>
          <t>Vodacom Life 20260603</t>
        </is>
      </c>
      <c r="J570" t="inlineStr">
        <is>
          <t>CU</t>
        </is>
      </c>
      <c r="K570" t="inlineStr">
        <is>
          <t>Client Hung Up</t>
        </is>
      </c>
      <c r="L570" t="n">
        <v>7</v>
      </c>
      <c r="M570" t="inlineStr">
        <is>
          <t>2026-06-15 06:14:24</t>
        </is>
      </c>
      <c r="N570" t="inlineStr">
        <is>
          <t>bongiwe lushaba</t>
        </is>
      </c>
      <c r="O570" t="inlineStr">
        <is>
          <t>2026-06-08 05:25:27</t>
        </is>
      </c>
      <c r="P570" t="inlineStr">
        <is>
          <t>2026-06-08 05:25:27</t>
        </is>
      </c>
      <c r="Y570" t="inlineStr">
        <is>
          <t>27732933777</t>
        </is>
      </c>
    </row>
    <row r="571">
      <c r="A571" t="inlineStr">
        <is>
          <t>14827725</t>
        </is>
      </c>
      <c r="B571" t="inlineStr">
        <is>
          <t>28d16484-f7c8-4c9d-bee6-bd0b9365cf30</t>
        </is>
      </c>
      <c r="D571" t="inlineStr">
        <is>
          <t>111111123</t>
        </is>
      </c>
      <c r="E571" t="inlineStr">
        <is>
          <t>Vodacom Life 20260603</t>
        </is>
      </c>
      <c r="J571" t="inlineStr">
        <is>
          <t>AA</t>
        </is>
      </c>
      <c r="K571" t="inlineStr">
        <is>
          <t>Answering Machine Autodial</t>
        </is>
      </c>
      <c r="L571" t="n">
        <v>7</v>
      </c>
      <c r="M571" t="inlineStr">
        <is>
          <t>2026-06-15 06:14:24</t>
        </is>
      </c>
      <c r="N571" t="inlineStr">
        <is>
          <t>system</t>
        </is>
      </c>
      <c r="O571" t="inlineStr">
        <is>
          <t>2026-06-08 05:25:27</t>
        </is>
      </c>
      <c r="P571" t="inlineStr">
        <is>
          <t>2026-06-08 05:25:27</t>
        </is>
      </c>
      <c r="Y571" t="inlineStr">
        <is>
          <t>27768193056</t>
        </is>
      </c>
    </row>
    <row r="572">
      <c r="A572" t="inlineStr">
        <is>
          <t>14827638</t>
        </is>
      </c>
      <c r="B572" t="inlineStr">
        <is>
          <t>533f4a1c-5313-4ace-bc9d-1a874b4b9c5d</t>
        </is>
      </c>
      <c r="D572" t="inlineStr">
        <is>
          <t>111111123</t>
        </is>
      </c>
      <c r="E572" t="inlineStr">
        <is>
          <t>Vodacom Life 20260603</t>
        </is>
      </c>
      <c r="J572" t="inlineStr">
        <is>
          <t>ADC</t>
        </is>
      </c>
      <c r="K572" t="inlineStr">
        <is>
          <t>Auto Dial Disconnected</t>
        </is>
      </c>
      <c r="L572" t="n">
        <v>7</v>
      </c>
      <c r="M572" t="inlineStr">
        <is>
          <t>2026-06-15 06:14:23</t>
        </is>
      </c>
      <c r="N572" t="inlineStr">
        <is>
          <t>system</t>
        </is>
      </c>
      <c r="O572" t="inlineStr">
        <is>
          <t>2026-06-08 05:25:27</t>
        </is>
      </c>
      <c r="P572" t="inlineStr">
        <is>
          <t>2026-06-08 05:25:27</t>
        </is>
      </c>
      <c r="Y572" t="inlineStr">
        <is>
          <t>27712130315</t>
        </is>
      </c>
    </row>
    <row r="573">
      <c r="A573" t="inlineStr">
        <is>
          <t>14827658</t>
        </is>
      </c>
      <c r="B573" t="inlineStr">
        <is>
          <t>f89a86ed-30ab-4f67-ac94-101de56a2c17</t>
        </is>
      </c>
      <c r="D573" t="inlineStr">
        <is>
          <t>111111123</t>
        </is>
      </c>
      <c r="E573" t="inlineStr">
        <is>
          <t>Vodacom Life 20260603</t>
        </is>
      </c>
      <c r="J573" t="inlineStr">
        <is>
          <t>AE</t>
        </is>
      </c>
      <c r="K573" t="inlineStr">
        <is>
          <t>Auto Engaged</t>
        </is>
      </c>
      <c r="L573" t="n">
        <v>7</v>
      </c>
      <c r="M573" t="inlineStr">
        <is>
          <t>2026-06-15 06:14:22</t>
        </is>
      </c>
      <c r="N573" t="inlineStr">
        <is>
          <t>system</t>
        </is>
      </c>
      <c r="O573" t="inlineStr">
        <is>
          <t>2026-06-08 05:25:27</t>
        </is>
      </c>
      <c r="P573" t="inlineStr">
        <is>
          <t>2026-06-08 05:25:27</t>
        </is>
      </c>
      <c r="Y573" t="inlineStr">
        <is>
          <t>27729212814</t>
        </is>
      </c>
    </row>
    <row r="574">
      <c r="A574" t="inlineStr">
        <is>
          <t>14827700</t>
        </is>
      </c>
      <c r="B574" t="inlineStr">
        <is>
          <t>ebd459ff-42cd-4a9c-97c9-7ea1410bffe4</t>
        </is>
      </c>
      <c r="D574" t="inlineStr">
        <is>
          <t>111111123</t>
        </is>
      </c>
      <c r="E574" t="inlineStr">
        <is>
          <t>Vodacom Life 20260603</t>
        </is>
      </c>
      <c r="H574" t="inlineStr">
        <is>
          <t>27762817060</t>
        </is>
      </c>
      <c r="J574" t="inlineStr">
        <is>
          <t>AA</t>
        </is>
      </c>
      <c r="K574" t="inlineStr">
        <is>
          <t>Answering Machine Autodial</t>
        </is>
      </c>
      <c r="L574" t="n">
        <v>7</v>
      </c>
      <c r="M574" t="inlineStr">
        <is>
          <t>2026-06-15 06:14:19</t>
        </is>
      </c>
      <c r="N574" t="inlineStr">
        <is>
          <t>system</t>
        </is>
      </c>
      <c r="O574" t="inlineStr">
        <is>
          <t>2026-06-08 05:25:27</t>
        </is>
      </c>
      <c r="P574" t="inlineStr">
        <is>
          <t>2026-06-08 05:25:27</t>
        </is>
      </c>
      <c r="Y574" t="inlineStr">
        <is>
          <t>27762817060</t>
        </is>
      </c>
    </row>
    <row r="575">
      <c r="A575" t="inlineStr">
        <is>
          <t>14827708</t>
        </is>
      </c>
      <c r="B575" t="inlineStr">
        <is>
          <t>1b8f27c0-d143-4fc8-a8b8-39da6b254cba</t>
        </is>
      </c>
      <c r="D575" t="inlineStr">
        <is>
          <t>111111123</t>
        </is>
      </c>
      <c r="E575" t="inlineStr">
        <is>
          <t>Vodacom Life 20260603</t>
        </is>
      </c>
      <c r="J575" t="inlineStr">
        <is>
          <t>AE</t>
        </is>
      </c>
      <c r="K575" t="inlineStr">
        <is>
          <t>Auto Engaged</t>
        </is>
      </c>
      <c r="L575" t="n">
        <v>7</v>
      </c>
      <c r="M575" t="inlineStr">
        <is>
          <t>2026-06-15 06:14:19</t>
        </is>
      </c>
      <c r="N575" t="inlineStr">
        <is>
          <t>system</t>
        </is>
      </c>
      <c r="O575" t="inlineStr">
        <is>
          <t>2026-06-08 05:25:27</t>
        </is>
      </c>
      <c r="P575" t="inlineStr">
        <is>
          <t>2026-06-08 05:25:27</t>
        </is>
      </c>
      <c r="Y575" t="inlineStr">
        <is>
          <t>27608870794</t>
        </is>
      </c>
    </row>
    <row r="576">
      <c r="A576" t="inlineStr">
        <is>
          <t>14827719</t>
        </is>
      </c>
      <c r="B576" t="inlineStr">
        <is>
          <t>891f04f6-6b81-4540-8a31-02677a7e2869</t>
        </is>
      </c>
      <c r="D576" t="inlineStr">
        <is>
          <t>111111123</t>
        </is>
      </c>
      <c r="E576" t="inlineStr">
        <is>
          <t>Vodacom Life 20260603</t>
        </is>
      </c>
      <c r="J576" t="inlineStr">
        <is>
          <t>N</t>
        </is>
      </c>
      <c r="K576" t="inlineStr">
        <is>
          <t>No Answer</t>
        </is>
      </c>
      <c r="L576" t="n">
        <v>7</v>
      </c>
      <c r="M576" t="inlineStr">
        <is>
          <t>2026-06-15 06:14:19</t>
        </is>
      </c>
      <c r="N576" t="inlineStr">
        <is>
          <t>Maureen Ntsoko</t>
        </is>
      </c>
      <c r="O576" t="inlineStr">
        <is>
          <t>2026-06-08 05:25:27</t>
        </is>
      </c>
      <c r="P576" t="inlineStr">
        <is>
          <t>2026-06-08 05:25:27</t>
        </is>
      </c>
      <c r="Y576" t="inlineStr">
        <is>
          <t>27725147198</t>
        </is>
      </c>
    </row>
    <row r="577">
      <c r="A577" t="inlineStr">
        <is>
          <t>14827849</t>
        </is>
      </c>
      <c r="B577" t="inlineStr">
        <is>
          <t>7b22ea2b-7290-4b8a-9753-30a26623da0f</t>
        </is>
      </c>
      <c r="D577" t="inlineStr">
        <is>
          <t>111111123</t>
        </is>
      </c>
      <c r="E577" t="inlineStr">
        <is>
          <t>Vodacom Life 20260603</t>
        </is>
      </c>
      <c r="J577" t="inlineStr">
        <is>
          <t>AA</t>
        </is>
      </c>
      <c r="K577" t="inlineStr">
        <is>
          <t>Answering Machine Autodial</t>
        </is>
      </c>
      <c r="L577" t="n">
        <v>7</v>
      </c>
      <c r="M577" t="inlineStr">
        <is>
          <t>2026-06-15 06:13:52</t>
        </is>
      </c>
      <c r="N577" t="inlineStr">
        <is>
          <t>system</t>
        </is>
      </c>
      <c r="O577" t="inlineStr">
        <is>
          <t>2026-06-08 05:25:27</t>
        </is>
      </c>
      <c r="P577" t="inlineStr">
        <is>
          <t>2026-06-08 05:25:27</t>
        </is>
      </c>
      <c r="Y577" t="inlineStr">
        <is>
          <t>27767872609</t>
        </is>
      </c>
    </row>
    <row r="578">
      <c r="A578" t="inlineStr">
        <is>
          <t>14827661</t>
        </is>
      </c>
      <c r="B578" t="inlineStr">
        <is>
          <t>ffaf6f93-00b9-43dd-94bd-4b9a366e5190</t>
        </is>
      </c>
      <c r="D578" t="inlineStr">
        <is>
          <t>111111123</t>
        </is>
      </c>
      <c r="E578" t="inlineStr">
        <is>
          <t>Vodacom Life 20260603</t>
        </is>
      </c>
      <c r="H578" t="inlineStr">
        <is>
          <t>27823507587</t>
        </is>
      </c>
      <c r="J578" t="inlineStr">
        <is>
          <t>CU</t>
        </is>
      </c>
      <c r="K578" t="inlineStr">
        <is>
          <t>Client Hung Up</t>
        </is>
      </c>
      <c r="L578" t="n">
        <v>7</v>
      </c>
      <c r="M578" t="inlineStr">
        <is>
          <t>2026-06-15 06:13:47</t>
        </is>
      </c>
      <c r="N578" t="inlineStr">
        <is>
          <t>Maureen Ntsoko</t>
        </is>
      </c>
      <c r="O578" t="inlineStr">
        <is>
          <t>2026-06-08 05:25:27</t>
        </is>
      </c>
      <c r="P578" t="inlineStr">
        <is>
          <t>2026-06-08 05:25:27</t>
        </is>
      </c>
      <c r="Y578" t="inlineStr">
        <is>
          <t>27823507587</t>
        </is>
      </c>
    </row>
    <row r="579">
      <c r="A579" t="inlineStr">
        <is>
          <t>14827728</t>
        </is>
      </c>
      <c r="B579" t="inlineStr">
        <is>
          <t>458545a2-0351-4d4b-b5cb-6b72e65b210f</t>
        </is>
      </c>
      <c r="D579" t="inlineStr">
        <is>
          <t>111111123</t>
        </is>
      </c>
      <c r="E579" t="inlineStr">
        <is>
          <t>Vodacom Life 20260603</t>
        </is>
      </c>
      <c r="J579" t="inlineStr">
        <is>
          <t>DROP</t>
        </is>
      </c>
      <c r="K579" t="inlineStr">
        <is>
          <t>Dropped</t>
        </is>
      </c>
      <c r="L579" t="n">
        <v>7</v>
      </c>
      <c r="M579" t="inlineStr">
        <is>
          <t>2026-06-15 06:13:46</t>
        </is>
      </c>
      <c r="N579" t="inlineStr">
        <is>
          <t>system</t>
        </is>
      </c>
      <c r="O579" t="inlineStr">
        <is>
          <t>2026-06-08 05:25:27</t>
        </is>
      </c>
      <c r="P579" t="inlineStr">
        <is>
          <t>2026-06-08 05:25:27</t>
        </is>
      </c>
      <c r="Y579" t="inlineStr">
        <is>
          <t>27798122285</t>
        </is>
      </c>
    </row>
    <row r="580">
      <c r="A580" t="inlineStr">
        <is>
          <t>14827738</t>
        </is>
      </c>
      <c r="B580" t="inlineStr">
        <is>
          <t>aee63a4a-ac59-4633-8e7a-bc7d301782c7</t>
        </is>
      </c>
      <c r="D580" t="inlineStr">
        <is>
          <t>111111123</t>
        </is>
      </c>
      <c r="E580" t="inlineStr">
        <is>
          <t>Vodacom Life 20260603</t>
        </is>
      </c>
      <c r="J580" t="inlineStr">
        <is>
          <t>AA</t>
        </is>
      </c>
      <c r="K580" t="inlineStr">
        <is>
          <t>Answering Machine Autodial</t>
        </is>
      </c>
      <c r="L580" t="n">
        <v>7</v>
      </c>
      <c r="M580" t="inlineStr">
        <is>
          <t>2026-06-15 06:13:35</t>
        </is>
      </c>
      <c r="N580" t="inlineStr">
        <is>
          <t>system</t>
        </is>
      </c>
      <c r="O580" t="inlineStr">
        <is>
          <t>2026-06-08 05:25:27</t>
        </is>
      </c>
      <c r="P580" t="inlineStr">
        <is>
          <t>2026-06-08 05:25:27</t>
        </is>
      </c>
      <c r="Y580" t="inlineStr">
        <is>
          <t>27723499629</t>
        </is>
      </c>
    </row>
    <row r="581">
      <c r="A581" t="inlineStr">
        <is>
          <t>14827739</t>
        </is>
      </c>
      <c r="B581" t="inlineStr">
        <is>
          <t>993eed6f-7d5b-4763-9b0c-cecc78b671d1</t>
        </is>
      </c>
      <c r="D581" t="inlineStr">
        <is>
          <t>111111123</t>
        </is>
      </c>
      <c r="E581" t="inlineStr">
        <is>
          <t>Vodacom Life 20260603</t>
        </is>
      </c>
      <c r="H581" t="inlineStr">
        <is>
          <t>27728089557</t>
        </is>
      </c>
      <c r="J581" t="inlineStr">
        <is>
          <t>NA</t>
        </is>
      </c>
      <c r="K581" t="inlineStr">
        <is>
          <t>No Answer Autodial</t>
        </is>
      </c>
      <c r="L581" t="n">
        <v>7</v>
      </c>
      <c r="M581" t="inlineStr">
        <is>
          <t>2026-06-15 06:12:34</t>
        </is>
      </c>
      <c r="N581" t="inlineStr">
        <is>
          <t>system</t>
        </is>
      </c>
      <c r="O581" t="inlineStr">
        <is>
          <t>2026-06-08 05:25:27</t>
        </is>
      </c>
      <c r="P581" t="inlineStr">
        <is>
          <t>2026-06-08 05:25:27</t>
        </is>
      </c>
      <c r="Y581" t="inlineStr">
        <is>
          <t>27728089557</t>
        </is>
      </c>
    </row>
    <row r="582">
      <c r="A582" t="inlineStr">
        <is>
          <t>14827680</t>
        </is>
      </c>
      <c r="B582" t="inlineStr">
        <is>
          <t>88a33546-7778-42b1-95f6-ec3cd43fcde0</t>
        </is>
      </c>
      <c r="D582" t="inlineStr">
        <is>
          <t>111111123</t>
        </is>
      </c>
      <c r="E582" t="inlineStr">
        <is>
          <t>Vodacom Life 20260603</t>
        </is>
      </c>
      <c r="J582" t="inlineStr">
        <is>
          <t>AA</t>
        </is>
      </c>
      <c r="K582" t="inlineStr">
        <is>
          <t>Answering Machine Autodial</t>
        </is>
      </c>
      <c r="L582" t="n">
        <v>7</v>
      </c>
      <c r="M582" t="inlineStr">
        <is>
          <t>2026-06-15 06:12:32</t>
        </is>
      </c>
      <c r="N582" t="inlineStr">
        <is>
          <t>system</t>
        </is>
      </c>
      <c r="O582" t="inlineStr">
        <is>
          <t>2026-06-08 05:25:27</t>
        </is>
      </c>
      <c r="P582" t="inlineStr">
        <is>
          <t>2026-06-08 05:25:27</t>
        </is>
      </c>
      <c r="Y582" t="inlineStr">
        <is>
          <t>27794822829</t>
        </is>
      </c>
    </row>
    <row r="583">
      <c r="A583" t="inlineStr">
        <is>
          <t>14827682</t>
        </is>
      </c>
      <c r="B583" t="inlineStr">
        <is>
          <t>c53464bf-d38e-435b-987d-6421984a54fe</t>
        </is>
      </c>
      <c r="D583" t="inlineStr">
        <is>
          <t>111111123</t>
        </is>
      </c>
      <c r="E583" t="inlineStr">
        <is>
          <t>Vodacom Life 20260603</t>
        </is>
      </c>
      <c r="J583" t="inlineStr">
        <is>
          <t>AA</t>
        </is>
      </c>
      <c r="K583" t="inlineStr">
        <is>
          <t>Answering Machine Autodial</t>
        </is>
      </c>
      <c r="L583" t="n">
        <v>7</v>
      </c>
      <c r="M583" t="inlineStr">
        <is>
          <t>2026-06-15 06:12:28</t>
        </is>
      </c>
      <c r="N583" t="inlineStr">
        <is>
          <t>system</t>
        </is>
      </c>
      <c r="O583" t="inlineStr">
        <is>
          <t>2026-06-08 05:25:27</t>
        </is>
      </c>
      <c r="P583" t="inlineStr">
        <is>
          <t>2026-06-08 05:25:27</t>
        </is>
      </c>
      <c r="Y583" t="inlineStr">
        <is>
          <t>27731886872</t>
        </is>
      </c>
    </row>
    <row r="584">
      <c r="A584" t="inlineStr">
        <is>
          <t>14827683</t>
        </is>
      </c>
      <c r="B584" t="inlineStr">
        <is>
          <t>be2f2b6e-2fb8-43af-a58f-5a70a375f012</t>
        </is>
      </c>
      <c r="D584" t="inlineStr">
        <is>
          <t>111111123</t>
        </is>
      </c>
      <c r="E584" t="inlineStr">
        <is>
          <t>Vodacom Life 20260603</t>
        </is>
      </c>
      <c r="J584" t="inlineStr">
        <is>
          <t>AE</t>
        </is>
      </c>
      <c r="K584" t="inlineStr">
        <is>
          <t>Auto Engaged</t>
        </is>
      </c>
      <c r="L584" t="n">
        <v>7</v>
      </c>
      <c r="M584" t="inlineStr">
        <is>
          <t>2026-06-15 06:12:28</t>
        </is>
      </c>
      <c r="N584" t="inlineStr">
        <is>
          <t>system</t>
        </is>
      </c>
      <c r="O584" t="inlineStr">
        <is>
          <t>2026-06-08 05:25:27</t>
        </is>
      </c>
      <c r="P584" t="inlineStr">
        <is>
          <t>2026-06-08 05:25:27</t>
        </is>
      </c>
      <c r="Y584" t="inlineStr">
        <is>
          <t>27738311281</t>
        </is>
      </c>
    </row>
    <row r="585">
      <c r="A585" t="inlineStr">
        <is>
          <t>14827684</t>
        </is>
      </c>
      <c r="B585" t="inlineStr">
        <is>
          <t>0d86e056-806e-498f-9f78-2b1658793493</t>
        </is>
      </c>
      <c r="D585" t="inlineStr">
        <is>
          <t>111111123</t>
        </is>
      </c>
      <c r="E585" t="inlineStr">
        <is>
          <t>Vodacom Life 20260603</t>
        </is>
      </c>
      <c r="J585" t="inlineStr">
        <is>
          <t>CU</t>
        </is>
      </c>
      <c r="K585" t="inlineStr">
        <is>
          <t>Client Hung Up</t>
        </is>
      </c>
      <c r="L585" t="n">
        <v>7</v>
      </c>
      <c r="M585" t="inlineStr">
        <is>
          <t>2026-06-15 06:12:28</t>
        </is>
      </c>
      <c r="N585" t="inlineStr">
        <is>
          <t>Maureen Ntsoko</t>
        </is>
      </c>
      <c r="O585" t="inlineStr">
        <is>
          <t>2026-06-08 05:25:27</t>
        </is>
      </c>
      <c r="P585" t="inlineStr">
        <is>
          <t>2026-06-08 05:25:27</t>
        </is>
      </c>
      <c r="Y585" t="inlineStr">
        <is>
          <t>27765408212</t>
        </is>
      </c>
    </row>
    <row r="586">
      <c r="A586" t="inlineStr">
        <is>
          <t>14827685</t>
        </is>
      </c>
      <c r="B586" t="inlineStr">
        <is>
          <t>b5a8e3ad-9f7f-4a70-9592-57ddb19ed1d4</t>
        </is>
      </c>
      <c r="D586" t="inlineStr">
        <is>
          <t>111111123</t>
        </is>
      </c>
      <c r="E586" t="inlineStr">
        <is>
          <t>Vodacom Life 20260603</t>
        </is>
      </c>
      <c r="H586" t="inlineStr">
        <is>
          <t>27769386140</t>
        </is>
      </c>
      <c r="J586" t="inlineStr">
        <is>
          <t>DROP</t>
        </is>
      </c>
      <c r="K586" t="inlineStr">
        <is>
          <t>Dropped</t>
        </is>
      </c>
      <c r="L586" t="n">
        <v>7</v>
      </c>
      <c r="M586" t="inlineStr">
        <is>
          <t>2026-06-15 06:12:28</t>
        </is>
      </c>
      <c r="N586" t="inlineStr">
        <is>
          <t>system</t>
        </is>
      </c>
      <c r="O586" t="inlineStr">
        <is>
          <t>2026-06-08 05:25:27</t>
        </is>
      </c>
      <c r="P586" t="inlineStr">
        <is>
          <t>2026-06-08 05:25:27</t>
        </is>
      </c>
      <c r="Y586" t="inlineStr">
        <is>
          <t>27769386140</t>
        </is>
      </c>
    </row>
    <row r="587">
      <c r="A587" t="inlineStr">
        <is>
          <t>14827686</t>
        </is>
      </c>
      <c r="B587" t="inlineStr">
        <is>
          <t>811642cd-2f4c-4102-b756-19451c8d2da8</t>
        </is>
      </c>
      <c r="D587" t="inlineStr">
        <is>
          <t>111111123</t>
        </is>
      </c>
      <c r="E587" t="inlineStr">
        <is>
          <t>Vodacom Life 20260603</t>
        </is>
      </c>
      <c r="J587" t="inlineStr">
        <is>
          <t>DROP</t>
        </is>
      </c>
      <c r="K587" t="inlineStr">
        <is>
          <t>Dropped</t>
        </is>
      </c>
      <c r="L587" t="n">
        <v>7</v>
      </c>
      <c r="M587" t="inlineStr">
        <is>
          <t>2026-06-15 06:12:27</t>
        </is>
      </c>
      <c r="N587" t="inlineStr">
        <is>
          <t>system</t>
        </is>
      </c>
      <c r="O587" t="inlineStr">
        <is>
          <t>2026-06-08 05:25:27</t>
        </is>
      </c>
      <c r="P587" t="inlineStr">
        <is>
          <t>2026-06-08 05:25:27</t>
        </is>
      </c>
      <c r="Y587" t="inlineStr">
        <is>
          <t>27711489580</t>
        </is>
      </c>
    </row>
    <row r="588">
      <c r="A588" t="inlineStr">
        <is>
          <t>14827757</t>
        </is>
      </c>
      <c r="B588" t="inlineStr">
        <is>
          <t>e86f9bf4-a61a-40ba-9dd8-8ef9e17b62f6</t>
        </is>
      </c>
      <c r="D588" t="inlineStr">
        <is>
          <t>111111123</t>
        </is>
      </c>
      <c r="E588" t="inlineStr">
        <is>
          <t>Vodacom Life 20260603</t>
        </is>
      </c>
      <c r="J588" t="inlineStr">
        <is>
          <t>NA</t>
        </is>
      </c>
      <c r="K588" t="inlineStr">
        <is>
          <t>No Answer Autodial</t>
        </is>
      </c>
      <c r="L588" t="n">
        <v>7</v>
      </c>
      <c r="M588" t="inlineStr">
        <is>
          <t>2026-06-15 06:12:18</t>
        </is>
      </c>
      <c r="N588" t="inlineStr">
        <is>
          <t>system</t>
        </is>
      </c>
      <c r="O588" t="inlineStr">
        <is>
          <t>2026-06-08 05:25:27</t>
        </is>
      </c>
      <c r="P588" t="inlineStr">
        <is>
          <t>2026-06-08 05:25:27</t>
        </is>
      </c>
      <c r="Y588" t="inlineStr">
        <is>
          <t>27795755515</t>
        </is>
      </c>
    </row>
    <row r="589">
      <c r="A589" t="inlineStr">
        <is>
          <t>14827687</t>
        </is>
      </c>
      <c r="B589" t="inlineStr">
        <is>
          <t>5c1d37c0-a6cb-40b3-92af-087c35c1f659</t>
        </is>
      </c>
      <c r="D589" t="inlineStr">
        <is>
          <t>111111123</t>
        </is>
      </c>
      <c r="E589" t="inlineStr">
        <is>
          <t>Vodacom Life 20260603</t>
        </is>
      </c>
      <c r="J589" t="inlineStr">
        <is>
          <t>AE</t>
        </is>
      </c>
      <c r="K589" t="inlineStr">
        <is>
          <t>Auto Engaged</t>
        </is>
      </c>
      <c r="L589" t="n">
        <v>7</v>
      </c>
      <c r="M589" t="inlineStr">
        <is>
          <t>2026-06-15 06:12:18</t>
        </is>
      </c>
      <c r="N589" t="inlineStr">
        <is>
          <t>system</t>
        </is>
      </c>
      <c r="O589" t="inlineStr">
        <is>
          <t>2026-06-08 05:25:27</t>
        </is>
      </c>
      <c r="P589" t="inlineStr">
        <is>
          <t>2026-06-08 05:25:27</t>
        </is>
      </c>
      <c r="Y589" t="inlineStr">
        <is>
          <t>27713423201</t>
        </is>
      </c>
    </row>
    <row r="590">
      <c r="A590" t="inlineStr">
        <is>
          <t>14827832</t>
        </is>
      </c>
      <c r="B590" t="inlineStr">
        <is>
          <t>b8cc1bc0-ed74-4af8-802c-0c7d43a78a91</t>
        </is>
      </c>
      <c r="D590" t="inlineStr">
        <is>
          <t>111111123</t>
        </is>
      </c>
      <c r="E590" t="inlineStr">
        <is>
          <t>Vodacom Life 20260603</t>
        </is>
      </c>
      <c r="J590" t="inlineStr">
        <is>
          <t>NA</t>
        </is>
      </c>
      <c r="K590" t="inlineStr">
        <is>
          <t>No Answer Autodial</t>
        </is>
      </c>
      <c r="L590" t="n">
        <v>7</v>
      </c>
      <c r="M590" t="inlineStr">
        <is>
          <t>2026-06-15 06:12:17</t>
        </is>
      </c>
      <c r="N590" t="inlineStr">
        <is>
          <t>system</t>
        </is>
      </c>
      <c r="O590" t="inlineStr">
        <is>
          <t>2026-06-08 05:25:27</t>
        </is>
      </c>
      <c r="P590" t="inlineStr">
        <is>
          <t>2026-06-08 05:25:27</t>
        </is>
      </c>
      <c r="Y590" t="inlineStr">
        <is>
          <t>27765647153</t>
        </is>
      </c>
    </row>
    <row r="591">
      <c r="A591" t="inlineStr">
        <is>
          <t>14827758</t>
        </is>
      </c>
      <c r="B591" t="inlineStr">
        <is>
          <t>285d17b1-9997-49a7-84a7-cc16da4eddf4</t>
        </is>
      </c>
      <c r="D591" t="inlineStr">
        <is>
          <t>111111123</t>
        </is>
      </c>
      <c r="E591" t="inlineStr">
        <is>
          <t>Vodacom Life 20260603</t>
        </is>
      </c>
      <c r="J591" t="inlineStr">
        <is>
          <t>U</t>
        </is>
      </c>
      <c r="K591" t="inlineStr">
        <is>
          <t>Unemployed</t>
        </is>
      </c>
      <c r="L591" t="n">
        <v>7</v>
      </c>
      <c r="M591" t="inlineStr">
        <is>
          <t>2026-06-15 06:12:17</t>
        </is>
      </c>
      <c r="N591" t="inlineStr">
        <is>
          <t>bongiwe lushaba</t>
        </is>
      </c>
      <c r="O591" t="inlineStr">
        <is>
          <t>2026-06-08 05:25:27</t>
        </is>
      </c>
      <c r="P591" t="inlineStr">
        <is>
          <t>2026-06-08 05:25:27</t>
        </is>
      </c>
      <c r="Y591" t="inlineStr">
        <is>
          <t>27796047401</t>
        </is>
      </c>
    </row>
    <row r="592">
      <c r="A592" t="inlineStr">
        <is>
          <t>14827735</t>
        </is>
      </c>
      <c r="B592" t="inlineStr">
        <is>
          <t>2c78c6db-a1c8-4143-befb-ad25e74a306b</t>
        </is>
      </c>
      <c r="D592" t="inlineStr">
        <is>
          <t>111111123</t>
        </is>
      </c>
      <c r="E592" t="inlineStr">
        <is>
          <t>Vodacom Life 20260603</t>
        </is>
      </c>
      <c r="J592" t="inlineStr">
        <is>
          <t>AA</t>
        </is>
      </c>
      <c r="K592" t="inlineStr">
        <is>
          <t>Answering Machine Autodial</t>
        </is>
      </c>
      <c r="L592" t="n">
        <v>7</v>
      </c>
      <c r="M592" t="inlineStr">
        <is>
          <t>2026-06-15 06:11:20</t>
        </is>
      </c>
      <c r="N592" t="inlineStr">
        <is>
          <t>system</t>
        </is>
      </c>
      <c r="O592" t="inlineStr">
        <is>
          <t>2026-06-08 05:25:27</t>
        </is>
      </c>
      <c r="P592" t="inlineStr">
        <is>
          <t>2026-06-08 05:25:27</t>
        </is>
      </c>
      <c r="Y592" t="inlineStr">
        <is>
          <t>27763904359</t>
        </is>
      </c>
    </row>
    <row r="593">
      <c r="A593" t="inlineStr">
        <is>
          <t>14827783</t>
        </is>
      </c>
      <c r="B593" t="inlineStr">
        <is>
          <t>6be0710a-b40f-4048-92af-786002805b67</t>
        </is>
      </c>
      <c r="D593" t="inlineStr">
        <is>
          <t>111111123</t>
        </is>
      </c>
      <c r="E593" t="inlineStr">
        <is>
          <t>Vodacom Life 20260603</t>
        </is>
      </c>
      <c r="J593" t="inlineStr">
        <is>
          <t>AA</t>
        </is>
      </c>
      <c r="K593" t="inlineStr">
        <is>
          <t>Answering Machine Autodial</t>
        </is>
      </c>
      <c r="L593" t="n">
        <v>7</v>
      </c>
      <c r="M593" t="inlineStr">
        <is>
          <t>2026-06-15 06:11:13</t>
        </is>
      </c>
      <c r="N593" t="inlineStr">
        <is>
          <t>system</t>
        </is>
      </c>
      <c r="O593" t="inlineStr">
        <is>
          <t>2026-06-08 05:25:27</t>
        </is>
      </c>
      <c r="P593" t="inlineStr">
        <is>
          <t>2026-06-08 05:25:27</t>
        </is>
      </c>
      <c r="Y593" t="inlineStr">
        <is>
          <t>27764522493</t>
        </is>
      </c>
    </row>
    <row r="594">
      <c r="A594" t="inlineStr">
        <is>
          <t>14827711</t>
        </is>
      </c>
      <c r="B594" t="inlineStr">
        <is>
          <t>af7adf95-ffac-49fe-be1c-9b55a95798a1</t>
        </is>
      </c>
      <c r="D594" t="inlineStr">
        <is>
          <t>111111123</t>
        </is>
      </c>
      <c r="E594" t="inlineStr">
        <is>
          <t>Vodacom Life 20260603</t>
        </is>
      </c>
      <c r="J594" t="inlineStr">
        <is>
          <t>CU</t>
        </is>
      </c>
      <c r="K594" t="inlineStr">
        <is>
          <t>Client Hung Up</t>
        </is>
      </c>
      <c r="L594" t="n">
        <v>7</v>
      </c>
      <c r="M594" t="inlineStr">
        <is>
          <t>2026-06-15 06:11:00</t>
        </is>
      </c>
      <c r="N594" t="inlineStr">
        <is>
          <t>Maureen Ntsoko</t>
        </is>
      </c>
      <c r="O594" t="inlineStr">
        <is>
          <t>2026-06-08 05:25:27</t>
        </is>
      </c>
      <c r="P594" t="inlineStr">
        <is>
          <t>2026-06-08 05:25:27</t>
        </is>
      </c>
      <c r="Y594" t="inlineStr">
        <is>
          <t>27609266119</t>
        </is>
      </c>
    </row>
    <row r="595">
      <c r="A595" t="inlineStr">
        <is>
          <t>14827824</t>
        </is>
      </c>
      <c r="B595" t="inlineStr">
        <is>
          <t>cfa99f8a-401d-495e-8ea0-52335f391d6f</t>
        </is>
      </c>
      <c r="D595" t="inlineStr">
        <is>
          <t>111111123</t>
        </is>
      </c>
      <c r="E595" t="inlineStr">
        <is>
          <t>Vodacom Life 20260603</t>
        </is>
      </c>
      <c r="J595" t="inlineStr">
        <is>
          <t>ADC</t>
        </is>
      </c>
      <c r="K595" t="inlineStr">
        <is>
          <t>Auto Dial Disconnected</t>
        </is>
      </c>
      <c r="L595" t="n">
        <v>7</v>
      </c>
      <c r="M595" t="inlineStr">
        <is>
          <t>2026-06-15 06:10:42</t>
        </is>
      </c>
      <c r="N595" t="inlineStr">
        <is>
          <t>system</t>
        </is>
      </c>
      <c r="O595" t="inlineStr">
        <is>
          <t>2026-06-08 05:25:27</t>
        </is>
      </c>
      <c r="P595" t="inlineStr">
        <is>
          <t>2026-06-08 05:25:27</t>
        </is>
      </c>
      <c r="Y595" t="inlineStr">
        <is>
          <t>27799988495</t>
        </is>
      </c>
    </row>
    <row r="596">
      <c r="A596" t="inlineStr">
        <is>
          <t>14827734</t>
        </is>
      </c>
      <c r="B596" t="inlineStr">
        <is>
          <t>c138aea4-1627-4d46-b4c5-3451c38cbd2b</t>
        </is>
      </c>
      <c r="D596" t="inlineStr">
        <is>
          <t>111111123</t>
        </is>
      </c>
      <c r="E596" t="inlineStr">
        <is>
          <t>Vodacom Life 20260603</t>
        </is>
      </c>
      <c r="J596" t="inlineStr">
        <is>
          <t>NA</t>
        </is>
      </c>
      <c r="K596" t="inlineStr">
        <is>
          <t>No Answer Autodial</t>
        </is>
      </c>
      <c r="L596" t="n">
        <v>7</v>
      </c>
      <c r="M596" t="inlineStr">
        <is>
          <t>2026-06-15 06:10:41</t>
        </is>
      </c>
      <c r="N596" t="inlineStr">
        <is>
          <t>system</t>
        </is>
      </c>
      <c r="O596" t="inlineStr">
        <is>
          <t>2026-06-08 05:25:27</t>
        </is>
      </c>
      <c r="P596" t="inlineStr">
        <is>
          <t>2026-06-08 05:25:27</t>
        </is>
      </c>
      <c r="Y596" t="inlineStr">
        <is>
          <t>27647029288</t>
        </is>
      </c>
    </row>
    <row r="597">
      <c r="A597" t="inlineStr">
        <is>
          <t>14827671</t>
        </is>
      </c>
      <c r="B597" t="inlineStr">
        <is>
          <t>56d2d27b-9070-4982-989c-e197527ebf4c</t>
        </is>
      </c>
      <c r="D597" t="inlineStr">
        <is>
          <t>111111123</t>
        </is>
      </c>
      <c r="E597" t="inlineStr">
        <is>
          <t>Vodacom Life 20260603</t>
        </is>
      </c>
      <c r="H597" t="inlineStr">
        <is>
          <t>27798229320</t>
        </is>
      </c>
      <c r="J597" t="inlineStr">
        <is>
          <t>TDN</t>
        </is>
      </c>
      <c r="K597" t="inlineStr">
        <is>
          <t>Temporary Disconnected Number</t>
        </is>
      </c>
      <c r="L597" t="n">
        <v>7</v>
      </c>
      <c r="M597" t="inlineStr">
        <is>
          <t>2026-06-15 06:10:40</t>
        </is>
      </c>
      <c r="N597" t="inlineStr">
        <is>
          <t>system</t>
        </is>
      </c>
      <c r="O597" t="inlineStr">
        <is>
          <t>2026-06-08 05:25:27</t>
        </is>
      </c>
      <c r="P597" t="inlineStr">
        <is>
          <t>2026-06-08 05:25:27</t>
        </is>
      </c>
      <c r="Y597" t="inlineStr">
        <is>
          <t>27798229320</t>
        </is>
      </c>
    </row>
    <row r="598">
      <c r="A598" t="inlineStr">
        <is>
          <t>14827672</t>
        </is>
      </c>
      <c r="B598" t="inlineStr">
        <is>
          <t>9e2a60f2-2f8a-4b27-a727-e0d0c4cbb0da</t>
        </is>
      </c>
      <c r="D598" t="inlineStr">
        <is>
          <t>111111123</t>
        </is>
      </c>
      <c r="E598" t="inlineStr">
        <is>
          <t>Vodacom Life 20260603</t>
        </is>
      </c>
      <c r="J598" t="inlineStr">
        <is>
          <t>DROP</t>
        </is>
      </c>
      <c r="K598" t="inlineStr">
        <is>
          <t>Dropped</t>
        </is>
      </c>
      <c r="L598" t="n">
        <v>7</v>
      </c>
      <c r="M598" t="inlineStr">
        <is>
          <t>2026-06-15 06:10:05</t>
        </is>
      </c>
      <c r="N598" t="inlineStr">
        <is>
          <t>system</t>
        </is>
      </c>
      <c r="O598" t="inlineStr">
        <is>
          <t>2026-06-08 05:25:27</t>
        </is>
      </c>
      <c r="P598" t="inlineStr">
        <is>
          <t>2026-06-08 05:25:27</t>
        </is>
      </c>
      <c r="Y598" t="inlineStr">
        <is>
          <t>27726433764</t>
        </is>
      </c>
    </row>
    <row r="599">
      <c r="A599" t="inlineStr">
        <is>
          <t>14827829</t>
        </is>
      </c>
      <c r="B599" t="inlineStr">
        <is>
          <t>984eb19b-5195-4878-a997-6150dc10f808</t>
        </is>
      </c>
      <c r="D599" t="inlineStr">
        <is>
          <t>111111123</t>
        </is>
      </c>
      <c r="E599" t="inlineStr">
        <is>
          <t>Vodacom Life 20260603</t>
        </is>
      </c>
      <c r="H599" t="inlineStr">
        <is>
          <t>27818351247</t>
        </is>
      </c>
      <c r="J599" t="inlineStr">
        <is>
          <t>NA</t>
        </is>
      </c>
      <c r="K599" t="inlineStr">
        <is>
          <t>No Answer Autodial</t>
        </is>
      </c>
      <c r="L599" t="n">
        <v>7</v>
      </c>
      <c r="M599" t="inlineStr">
        <is>
          <t>2026-06-15 06:09:58</t>
        </is>
      </c>
      <c r="N599" t="inlineStr">
        <is>
          <t>system</t>
        </is>
      </c>
      <c r="O599" t="inlineStr">
        <is>
          <t>2026-06-08 05:25:27</t>
        </is>
      </c>
      <c r="P599" t="inlineStr">
        <is>
          <t>2026-06-08 05:25:27</t>
        </is>
      </c>
      <c r="Y599" t="inlineStr">
        <is>
          <t>27818351247</t>
        </is>
      </c>
    </row>
    <row r="600">
      <c r="A600" t="inlineStr">
        <is>
          <t>14827732</t>
        </is>
      </c>
      <c r="B600" t="inlineStr">
        <is>
          <t>d6a0aed6-ed26-42e5-af8a-fde92cdfe7da</t>
        </is>
      </c>
      <c r="D600" t="inlineStr">
        <is>
          <t>111111123</t>
        </is>
      </c>
      <c r="E600" t="inlineStr">
        <is>
          <t>Vodacom Life 20260603</t>
        </is>
      </c>
      <c r="J600" t="inlineStr">
        <is>
          <t>AE</t>
        </is>
      </c>
      <c r="K600" t="inlineStr">
        <is>
          <t>Auto Engaged</t>
        </is>
      </c>
      <c r="L600" t="n">
        <v>7</v>
      </c>
      <c r="M600" t="inlineStr">
        <is>
          <t>2026-06-15 06:09:55</t>
        </is>
      </c>
      <c r="N600" t="inlineStr">
        <is>
          <t>system</t>
        </is>
      </c>
      <c r="O600" t="inlineStr">
        <is>
          <t>2026-06-08 05:25:27</t>
        </is>
      </c>
      <c r="P600" t="inlineStr">
        <is>
          <t>2026-06-08 05:25:27</t>
        </is>
      </c>
      <c r="Y600" t="inlineStr">
        <is>
          <t>27712350573</t>
        </is>
      </c>
    </row>
    <row r="601">
      <c r="A601" t="inlineStr">
        <is>
          <t>14827843</t>
        </is>
      </c>
      <c r="B601" t="inlineStr">
        <is>
          <t>2c303a4d-9006-40b4-9890-756c4ffaee46</t>
        </is>
      </c>
      <c r="D601" t="inlineStr">
        <is>
          <t>111111123</t>
        </is>
      </c>
      <c r="E601" t="inlineStr">
        <is>
          <t>Vodacom Life 20260603</t>
        </is>
      </c>
      <c r="H601" t="inlineStr">
        <is>
          <t>27712372032</t>
        </is>
      </c>
      <c r="J601" t="inlineStr">
        <is>
          <t>AA</t>
        </is>
      </c>
      <c r="K601" t="inlineStr">
        <is>
          <t>Answering Machine Autodial</t>
        </is>
      </c>
      <c r="L601" t="n">
        <v>7</v>
      </c>
      <c r="M601" t="inlineStr">
        <is>
          <t>2026-06-15 06:09:41</t>
        </is>
      </c>
      <c r="N601" t="inlineStr">
        <is>
          <t>system</t>
        </is>
      </c>
      <c r="O601" t="inlineStr">
        <is>
          <t>2026-06-08 05:25:27</t>
        </is>
      </c>
      <c r="P601" t="inlineStr">
        <is>
          <t>2026-06-08 05:25:27</t>
        </is>
      </c>
      <c r="Y601" t="inlineStr">
        <is>
          <t>27712372032</t>
        </is>
      </c>
    </row>
    <row r="602">
      <c r="A602" t="inlineStr">
        <is>
          <t>14827694</t>
        </is>
      </c>
      <c r="B602" t="inlineStr">
        <is>
          <t>edfbfacb-dd28-4d42-9b2e-2e2590f55e02</t>
        </is>
      </c>
      <c r="D602" t="inlineStr">
        <is>
          <t>111111123</t>
        </is>
      </c>
      <c r="E602" t="inlineStr">
        <is>
          <t>Vodacom Life 20260603</t>
        </is>
      </c>
      <c r="J602" t="inlineStr">
        <is>
          <t>AE</t>
        </is>
      </c>
      <c r="K602" t="inlineStr">
        <is>
          <t>Auto Engaged</t>
        </is>
      </c>
      <c r="L602" t="n">
        <v>7</v>
      </c>
      <c r="M602" t="inlineStr">
        <is>
          <t>2026-06-15 06:09:41</t>
        </is>
      </c>
      <c r="N602" t="inlineStr">
        <is>
          <t>system</t>
        </is>
      </c>
      <c r="O602" t="inlineStr">
        <is>
          <t>2026-06-08 05:25:27</t>
        </is>
      </c>
      <c r="P602" t="inlineStr">
        <is>
          <t>2026-06-08 05:25:27</t>
        </is>
      </c>
      <c r="Y602" t="inlineStr">
        <is>
          <t>27793129612</t>
        </is>
      </c>
    </row>
    <row r="603">
      <c r="A603" t="inlineStr">
        <is>
          <t>14827722</t>
        </is>
      </c>
      <c r="B603" t="inlineStr">
        <is>
          <t>508e3f11-c786-47e8-9a29-89eee7fee5bd</t>
        </is>
      </c>
      <c r="D603" t="inlineStr">
        <is>
          <t>111111123</t>
        </is>
      </c>
      <c r="E603" t="inlineStr">
        <is>
          <t>Vodacom Life 20260603</t>
        </is>
      </c>
      <c r="J603" t="inlineStr">
        <is>
          <t>AA</t>
        </is>
      </c>
      <c r="K603" t="inlineStr">
        <is>
          <t>Answering Machine Autodial</t>
        </is>
      </c>
      <c r="L603" t="n">
        <v>7</v>
      </c>
      <c r="M603" t="inlineStr">
        <is>
          <t>2026-06-15 06:09:41</t>
        </is>
      </c>
      <c r="N603" t="inlineStr">
        <is>
          <t>system</t>
        </is>
      </c>
      <c r="O603" t="inlineStr">
        <is>
          <t>2026-06-08 05:25:27</t>
        </is>
      </c>
      <c r="P603" t="inlineStr">
        <is>
          <t>2026-06-08 05:25:27</t>
        </is>
      </c>
      <c r="Y603" t="inlineStr">
        <is>
          <t>27721857847</t>
        </is>
      </c>
    </row>
    <row r="604">
      <c r="A604" t="inlineStr">
        <is>
          <t>14827763</t>
        </is>
      </c>
      <c r="B604" t="inlineStr">
        <is>
          <t>2d1ea51c-185f-4855-8000-250c3ec2a0a2</t>
        </is>
      </c>
      <c r="D604" t="inlineStr">
        <is>
          <t>111111123</t>
        </is>
      </c>
      <c r="E604" t="inlineStr">
        <is>
          <t>Vodacom Life 20260603</t>
        </is>
      </c>
      <c r="H604" t="inlineStr">
        <is>
          <t>27765753443</t>
        </is>
      </c>
      <c r="J604" t="inlineStr">
        <is>
          <t>NA</t>
        </is>
      </c>
      <c r="K604" t="inlineStr">
        <is>
          <t>No Answer Autodial</t>
        </is>
      </c>
      <c r="L604" t="n">
        <v>7</v>
      </c>
      <c r="M604" t="inlineStr">
        <is>
          <t>2026-06-15 06:09:29</t>
        </is>
      </c>
      <c r="N604" t="inlineStr">
        <is>
          <t>Maureen Ntsoko</t>
        </is>
      </c>
      <c r="O604" t="inlineStr">
        <is>
          <t>2026-06-08 05:25:27</t>
        </is>
      </c>
      <c r="P604" t="inlineStr">
        <is>
          <t>2026-06-08 05:25:27</t>
        </is>
      </c>
      <c r="Y604" t="inlineStr">
        <is>
          <t>27765753443</t>
        </is>
      </c>
    </row>
    <row r="605">
      <c r="A605" t="inlineStr">
        <is>
          <t>14827786</t>
        </is>
      </c>
      <c r="B605" t="inlineStr">
        <is>
          <t>cf1ecaa3-899c-40c6-bb21-127c3cff36e5</t>
        </is>
      </c>
      <c r="D605" t="inlineStr">
        <is>
          <t>111111123</t>
        </is>
      </c>
      <c r="E605" t="inlineStr">
        <is>
          <t>Vodacom Life 20260603</t>
        </is>
      </c>
      <c r="J605" t="inlineStr">
        <is>
          <t>AE</t>
        </is>
      </c>
      <c r="K605" t="inlineStr">
        <is>
          <t>Auto Engaged</t>
        </is>
      </c>
      <c r="L605" t="n">
        <v>7</v>
      </c>
      <c r="M605" t="inlineStr">
        <is>
          <t>2026-06-15 06:08:52</t>
        </is>
      </c>
      <c r="N605" t="inlineStr">
        <is>
          <t>system</t>
        </is>
      </c>
      <c r="O605" t="inlineStr">
        <is>
          <t>2026-06-08 05:25:27</t>
        </is>
      </c>
      <c r="P605" t="inlineStr">
        <is>
          <t>2026-06-08 05:25:27</t>
        </is>
      </c>
      <c r="Y605" t="inlineStr">
        <is>
          <t>27796522256</t>
        </is>
      </c>
    </row>
    <row r="606">
      <c r="A606" t="inlineStr">
        <is>
          <t>14827695</t>
        </is>
      </c>
      <c r="B606" t="inlineStr">
        <is>
          <t>d5aacc04-4dbd-47a0-ac51-0ae6439f82b6</t>
        </is>
      </c>
      <c r="D606" t="inlineStr">
        <is>
          <t>111111123</t>
        </is>
      </c>
      <c r="E606" t="inlineStr">
        <is>
          <t>Vodacom Life 20260603</t>
        </is>
      </c>
      <c r="H606" t="inlineStr">
        <is>
          <t>27795390398</t>
        </is>
      </c>
      <c r="J606" t="inlineStr">
        <is>
          <t>CU</t>
        </is>
      </c>
      <c r="K606" t="inlineStr">
        <is>
          <t>Client Hung Up</t>
        </is>
      </c>
      <c r="L606" t="n">
        <v>7</v>
      </c>
      <c r="M606" t="inlineStr">
        <is>
          <t>2026-06-15 06:08:48</t>
        </is>
      </c>
      <c r="N606" t="inlineStr">
        <is>
          <t>Maureen Ntsoko</t>
        </is>
      </c>
      <c r="O606" t="inlineStr">
        <is>
          <t>2026-06-08 05:25:27</t>
        </is>
      </c>
      <c r="P606" t="inlineStr">
        <is>
          <t>2026-06-08 05:25:27</t>
        </is>
      </c>
      <c r="Y606" t="inlineStr">
        <is>
          <t>27795390398</t>
        </is>
      </c>
    </row>
    <row r="607">
      <c r="A607" t="inlineStr">
        <is>
          <t>14827770</t>
        </is>
      </c>
      <c r="B607" t="inlineStr">
        <is>
          <t>3bd9a8bb-d1c1-4996-8257-6e6093104b4e</t>
        </is>
      </c>
      <c r="D607" t="inlineStr">
        <is>
          <t>111111123</t>
        </is>
      </c>
      <c r="E607" t="inlineStr">
        <is>
          <t>Vodacom Life 20260603</t>
        </is>
      </c>
      <c r="J607" t="inlineStr">
        <is>
          <t>CU</t>
        </is>
      </c>
      <c r="K607" t="inlineStr">
        <is>
          <t>Client Hung Up</t>
        </is>
      </c>
      <c r="L607" t="n">
        <v>7</v>
      </c>
      <c r="M607" t="inlineStr">
        <is>
          <t>2026-06-15 06:08:42</t>
        </is>
      </c>
      <c r="N607" t="inlineStr">
        <is>
          <t>bongiwe lushaba</t>
        </is>
      </c>
      <c r="O607" t="inlineStr">
        <is>
          <t>2026-06-08 05:25:27</t>
        </is>
      </c>
      <c r="P607" t="inlineStr">
        <is>
          <t>2026-06-08 05:25:27</t>
        </is>
      </c>
      <c r="Y607" t="inlineStr">
        <is>
          <t>27774699275</t>
        </is>
      </c>
    </row>
    <row r="608">
      <c r="A608" t="inlineStr">
        <is>
          <t>14827779</t>
        </is>
      </c>
      <c r="B608" t="inlineStr">
        <is>
          <t>6ed3bb73-e9d6-4520-af8b-4ce78f8f3230</t>
        </is>
      </c>
      <c r="D608" t="inlineStr">
        <is>
          <t>111111123</t>
        </is>
      </c>
      <c r="E608" t="inlineStr">
        <is>
          <t>Vodacom Life 20260603</t>
        </is>
      </c>
      <c r="J608" t="inlineStr">
        <is>
          <t>ADC</t>
        </is>
      </c>
      <c r="K608" t="inlineStr">
        <is>
          <t>Auto Dial Disconnected</t>
        </is>
      </c>
      <c r="L608" t="n">
        <v>7</v>
      </c>
      <c r="M608" t="inlineStr">
        <is>
          <t>2026-06-15 06:08:42</t>
        </is>
      </c>
      <c r="N608" t="inlineStr">
        <is>
          <t>system</t>
        </is>
      </c>
      <c r="O608" t="inlineStr">
        <is>
          <t>2026-06-08 05:25:27</t>
        </is>
      </c>
      <c r="P608" t="inlineStr">
        <is>
          <t>2026-06-08 05:25:27</t>
        </is>
      </c>
      <c r="Y608" t="inlineStr">
        <is>
          <t>27732437171</t>
        </is>
      </c>
    </row>
    <row r="609">
      <c r="A609" t="inlineStr">
        <is>
          <t>14827762</t>
        </is>
      </c>
      <c r="B609" t="inlineStr">
        <is>
          <t>706aad34-e650-418d-8b6e-53c435062ba2</t>
        </is>
      </c>
      <c r="D609" t="inlineStr">
        <is>
          <t>111111123</t>
        </is>
      </c>
      <c r="E609" t="inlineStr">
        <is>
          <t>Vodacom Life 20260603</t>
        </is>
      </c>
      <c r="J609" t="inlineStr">
        <is>
          <t>AA</t>
        </is>
      </c>
      <c r="K609" t="inlineStr">
        <is>
          <t>Answering Machine Autodial</t>
        </is>
      </c>
      <c r="L609" t="n">
        <v>7</v>
      </c>
      <c r="M609" t="inlineStr">
        <is>
          <t>2026-06-15 06:08:40</t>
        </is>
      </c>
      <c r="N609" t="inlineStr">
        <is>
          <t>system</t>
        </is>
      </c>
      <c r="O609" t="inlineStr">
        <is>
          <t>2026-06-08 05:25:27</t>
        </is>
      </c>
      <c r="P609" t="inlineStr">
        <is>
          <t>2026-06-08 05:25:27</t>
        </is>
      </c>
      <c r="Y609" t="inlineStr">
        <is>
          <t>27711690889</t>
        </is>
      </c>
    </row>
    <row r="610">
      <c r="A610" t="inlineStr">
        <is>
          <t>14827740</t>
        </is>
      </c>
      <c r="B610" t="inlineStr">
        <is>
          <t>88d886e8-b94e-46f0-8e0e-4a2ab8124a19</t>
        </is>
      </c>
      <c r="D610" t="inlineStr">
        <is>
          <t>111111123</t>
        </is>
      </c>
      <c r="E610" t="inlineStr">
        <is>
          <t>Vodacom Life 20260603</t>
        </is>
      </c>
      <c r="H610" t="inlineStr">
        <is>
          <t>27729685474</t>
        </is>
      </c>
      <c r="J610" t="inlineStr">
        <is>
          <t>AA</t>
        </is>
      </c>
      <c r="K610" t="inlineStr">
        <is>
          <t>Answering Machine Autodial</t>
        </is>
      </c>
      <c r="L610" t="n">
        <v>7</v>
      </c>
      <c r="M610" t="inlineStr">
        <is>
          <t>2026-06-15 06:08:37</t>
        </is>
      </c>
      <c r="N610" t="inlineStr">
        <is>
          <t>system</t>
        </is>
      </c>
      <c r="O610" t="inlineStr">
        <is>
          <t>2026-06-08 05:25:27</t>
        </is>
      </c>
      <c r="P610" t="inlineStr">
        <is>
          <t>2026-06-08 05:25:27</t>
        </is>
      </c>
      <c r="Y610" t="inlineStr">
        <is>
          <t>27729685474</t>
        </is>
      </c>
    </row>
    <row r="611">
      <c r="A611" t="inlineStr">
        <is>
          <t>14827841</t>
        </is>
      </c>
      <c r="B611" t="inlineStr">
        <is>
          <t>4e22c797-6041-4b4d-8813-ac5f2adc0f77</t>
        </is>
      </c>
      <c r="D611" t="inlineStr">
        <is>
          <t>111111123</t>
        </is>
      </c>
      <c r="E611" t="inlineStr">
        <is>
          <t>Vodacom Life 20260603</t>
        </is>
      </c>
      <c r="J611" t="inlineStr">
        <is>
          <t>AA</t>
        </is>
      </c>
      <c r="K611" t="inlineStr">
        <is>
          <t>Answering Machine Autodial</t>
        </is>
      </c>
      <c r="L611" t="n">
        <v>7</v>
      </c>
      <c r="M611" t="inlineStr">
        <is>
          <t>2026-06-15 06:08:36</t>
        </is>
      </c>
      <c r="N611" t="inlineStr">
        <is>
          <t>system</t>
        </is>
      </c>
      <c r="O611" t="inlineStr">
        <is>
          <t>2026-06-08 05:25:27</t>
        </is>
      </c>
      <c r="P611" t="inlineStr">
        <is>
          <t>2026-06-08 05:25:27</t>
        </is>
      </c>
      <c r="Y611" t="inlineStr">
        <is>
          <t>27761068453</t>
        </is>
      </c>
    </row>
    <row r="612">
      <c r="A612" t="inlineStr">
        <is>
          <t>14827771</t>
        </is>
      </c>
      <c r="B612" t="inlineStr">
        <is>
          <t>69f7c4f3-3d0c-46f2-985d-9632dab6e80a</t>
        </is>
      </c>
      <c r="D612" t="inlineStr">
        <is>
          <t>111111123</t>
        </is>
      </c>
      <c r="E612" t="inlineStr">
        <is>
          <t>Vodacom Life 20260603</t>
        </is>
      </c>
      <c r="J612" t="inlineStr">
        <is>
          <t>AE</t>
        </is>
      </c>
      <c r="K612" t="inlineStr">
        <is>
          <t>Auto Engaged</t>
        </is>
      </c>
      <c r="L612" t="n">
        <v>7</v>
      </c>
      <c r="M612" t="inlineStr">
        <is>
          <t>2026-06-15 06:08:36</t>
        </is>
      </c>
      <c r="N612" t="inlineStr">
        <is>
          <t>system</t>
        </is>
      </c>
      <c r="O612" t="inlineStr">
        <is>
          <t>2026-06-08 05:25:27</t>
        </is>
      </c>
      <c r="P612" t="inlineStr">
        <is>
          <t>2026-06-08 05:25:27</t>
        </is>
      </c>
      <c r="Y612" t="inlineStr">
        <is>
          <t>27790473991</t>
        </is>
      </c>
    </row>
    <row r="613">
      <c r="A613" t="inlineStr">
        <is>
          <t>14827780</t>
        </is>
      </c>
      <c r="B613" t="inlineStr">
        <is>
          <t>5191e40d-e206-4298-9538-e67030098cf1</t>
        </is>
      </c>
      <c r="D613" t="inlineStr">
        <is>
          <t>111111123</t>
        </is>
      </c>
      <c r="E613" t="inlineStr">
        <is>
          <t>Vodacom Life 20260603</t>
        </is>
      </c>
      <c r="H613" t="inlineStr">
        <is>
          <t>27760182001</t>
        </is>
      </c>
      <c r="J613" t="inlineStr">
        <is>
          <t>TDN</t>
        </is>
      </c>
      <c r="K613" t="inlineStr">
        <is>
          <t>Temporary Disconnected Number</t>
        </is>
      </c>
      <c r="L613" t="n">
        <v>7</v>
      </c>
      <c r="M613" t="inlineStr">
        <is>
          <t>2026-06-15 06:08:36</t>
        </is>
      </c>
      <c r="N613" t="inlineStr">
        <is>
          <t>system</t>
        </is>
      </c>
      <c r="O613" t="inlineStr">
        <is>
          <t>2026-06-08 05:25:27</t>
        </is>
      </c>
      <c r="P613" t="inlineStr">
        <is>
          <t>2026-06-08 05:25:27</t>
        </is>
      </c>
      <c r="Y613" t="inlineStr">
        <is>
          <t>27760182001</t>
        </is>
      </c>
    </row>
    <row r="614">
      <c r="A614" t="inlineStr">
        <is>
          <t>14800000</t>
        </is>
      </c>
      <c r="B614" t="inlineStr">
        <is>
          <t>17e48344-53b4-4c43-bd05-b21707e9e67c</t>
        </is>
      </c>
      <c r="D614" t="inlineStr">
        <is>
          <t>111111123</t>
        </is>
      </c>
      <c r="E614" t="inlineStr">
        <is>
          <t>Vodacom Life 20260603</t>
        </is>
      </c>
      <c r="H614" t="inlineStr">
        <is>
          <t>27769097174</t>
        </is>
      </c>
      <c r="J614" t="inlineStr">
        <is>
          <t>AC</t>
        </is>
      </c>
      <c r="K614" t="inlineStr">
        <is>
          <t>Already Contacted</t>
        </is>
      </c>
      <c r="L614" t="n">
        <v>4</v>
      </c>
      <c r="M614" t="inlineStr">
        <is>
          <t>2026-06-15 06:04:10</t>
        </is>
      </c>
      <c r="N614" t="inlineStr">
        <is>
          <t>Maureen Ntsoko</t>
        </is>
      </c>
      <c r="O614" t="inlineStr">
        <is>
          <t>2026-06-08 05:25:27</t>
        </is>
      </c>
      <c r="P614" t="inlineStr">
        <is>
          <t>2026-06-08 05:25:27</t>
        </is>
      </c>
      <c r="Y614" t="inlineStr">
        <is>
          <t>27769097174</t>
        </is>
      </c>
    </row>
    <row r="615">
      <c r="A615" t="inlineStr">
        <is>
          <t>14828202</t>
        </is>
      </c>
      <c r="B615" t="inlineStr">
        <is>
          <t>c3eee5d6-132d-4b5a-8810-e928360c3c5e</t>
        </is>
      </c>
      <c r="D615" t="inlineStr">
        <is>
          <t>111111123</t>
        </is>
      </c>
      <c r="E615" t="inlineStr">
        <is>
          <t>Vodacom Life 20260603</t>
        </is>
      </c>
      <c r="H615" t="inlineStr">
        <is>
          <t>27828976647</t>
        </is>
      </c>
      <c r="J615" t="inlineStr">
        <is>
          <t>IABDN</t>
        </is>
      </c>
      <c r="K615" t="inlineStr">
        <is>
          <t>Inbound Abandon</t>
        </is>
      </c>
      <c r="L615" t="n">
        <v>7</v>
      </c>
      <c r="M615" t="inlineStr">
        <is>
          <t>2026-06-12 13:47:51</t>
        </is>
      </c>
      <c r="N615" t="inlineStr">
        <is>
          <t>system</t>
        </is>
      </c>
      <c r="O615" t="inlineStr">
        <is>
          <t>2026-06-08 05:25:27</t>
        </is>
      </c>
      <c r="P615" t="inlineStr">
        <is>
          <t>2026-06-08 05:25:27</t>
        </is>
      </c>
      <c r="Y615" t="inlineStr">
        <is>
          <t>27828976647</t>
        </is>
      </c>
    </row>
    <row r="616">
      <c r="A616" t="inlineStr">
        <is>
          <t>14828180</t>
        </is>
      </c>
      <c r="B616" t="inlineStr">
        <is>
          <t>08ae3a03-93af-4853-84c4-4baf31a555cb</t>
        </is>
      </c>
      <c r="D616" t="inlineStr">
        <is>
          <t>111111123</t>
        </is>
      </c>
      <c r="E616" t="inlineStr">
        <is>
          <t>Vodacom Life 20260603</t>
        </is>
      </c>
      <c r="H616" t="inlineStr">
        <is>
          <t>27728943083</t>
        </is>
      </c>
      <c r="J616" t="inlineStr">
        <is>
          <t>IABDN</t>
        </is>
      </c>
      <c r="K616" t="inlineStr">
        <is>
          <t>Inbound Abandon</t>
        </is>
      </c>
      <c r="L616" t="n">
        <v>7</v>
      </c>
      <c r="M616" t="inlineStr">
        <is>
          <t>2026-06-12 13:44:51</t>
        </is>
      </c>
      <c r="N616" t="inlineStr">
        <is>
          <t>system</t>
        </is>
      </c>
      <c r="O616" t="inlineStr">
        <is>
          <t>2026-06-08 05:25:27</t>
        </is>
      </c>
      <c r="P616" t="inlineStr">
        <is>
          <t>2026-06-08 05:25:27</t>
        </is>
      </c>
      <c r="Y616" t="inlineStr">
        <is>
          <t>27728943083</t>
        </is>
      </c>
    </row>
    <row r="617">
      <c r="A617" t="inlineStr">
        <is>
          <t>14827860</t>
        </is>
      </c>
      <c r="B617" t="inlineStr">
        <is>
          <t>107f0c13-9d78-4bb6-b64d-869c9048c16c</t>
        </is>
      </c>
      <c r="D617" t="inlineStr">
        <is>
          <t>111111123</t>
        </is>
      </c>
      <c r="E617" t="inlineStr">
        <is>
          <t>Vodacom Life 20260603</t>
        </is>
      </c>
      <c r="H617" t="inlineStr">
        <is>
          <t>27723333840</t>
        </is>
      </c>
      <c r="J617" t="inlineStr">
        <is>
          <t>IABDN</t>
        </is>
      </c>
      <c r="K617" t="inlineStr">
        <is>
          <t>Inbound Abandon</t>
        </is>
      </c>
      <c r="L617" t="n">
        <v>7</v>
      </c>
      <c r="M617" t="inlineStr">
        <is>
          <t>2026-06-12 13:18:46</t>
        </is>
      </c>
      <c r="N617" t="inlineStr">
        <is>
          <t>system</t>
        </is>
      </c>
      <c r="O617" t="inlineStr">
        <is>
          <t>2026-06-08 05:25:27</t>
        </is>
      </c>
      <c r="P617" t="inlineStr">
        <is>
          <t>2026-06-08 05:25:27</t>
        </is>
      </c>
      <c r="Y617" t="inlineStr">
        <is>
          <t>27723333840</t>
        </is>
      </c>
    </row>
    <row r="618">
      <c r="A618" t="inlineStr">
        <is>
          <t>14828217</t>
        </is>
      </c>
      <c r="B618" t="inlineStr">
        <is>
          <t>cb960031-d2ad-4236-89e7-3d6a654c4557</t>
        </is>
      </c>
      <c r="D618" t="inlineStr">
        <is>
          <t>111111123</t>
        </is>
      </c>
      <c r="E618" t="inlineStr">
        <is>
          <t>Vodacom Life 20260603</t>
        </is>
      </c>
      <c r="H618" t="inlineStr">
        <is>
          <t>27826235557</t>
        </is>
      </c>
      <c r="J618" t="inlineStr">
        <is>
          <t>ADC</t>
        </is>
      </c>
      <c r="K618" t="inlineStr">
        <is>
          <t>Auto Dial Disconnected</t>
        </is>
      </c>
      <c r="L618" t="n">
        <v>7</v>
      </c>
      <c r="M618" t="inlineStr">
        <is>
          <t>2026-06-12 13:01:06</t>
        </is>
      </c>
      <c r="N618" t="inlineStr">
        <is>
          <t>system</t>
        </is>
      </c>
      <c r="O618" t="inlineStr">
        <is>
          <t>2026-06-08 05:25:27</t>
        </is>
      </c>
      <c r="P618" t="inlineStr">
        <is>
          <t>2026-06-08 05:25:27</t>
        </is>
      </c>
      <c r="Y618" t="inlineStr">
        <is>
          <t>27826235557</t>
        </is>
      </c>
    </row>
    <row r="619">
      <c r="A619" t="inlineStr">
        <is>
          <t>14828221</t>
        </is>
      </c>
      <c r="B619" t="inlineStr">
        <is>
          <t>334a3ea8-0553-4729-bade-f4e2720cfb04</t>
        </is>
      </c>
      <c r="D619" t="inlineStr">
        <is>
          <t>111111123</t>
        </is>
      </c>
      <c r="E619" t="inlineStr">
        <is>
          <t>Vodacom Life 20260603</t>
        </is>
      </c>
      <c r="J619" t="inlineStr">
        <is>
          <t>AA</t>
        </is>
      </c>
      <c r="K619" t="inlineStr">
        <is>
          <t>Answering Machine Autodial</t>
        </is>
      </c>
      <c r="L619" t="n">
        <v>7</v>
      </c>
      <c r="M619" t="inlineStr">
        <is>
          <t>2026-06-12 13:01:06</t>
        </is>
      </c>
      <c r="N619" t="inlineStr">
        <is>
          <t>system</t>
        </is>
      </c>
      <c r="O619" t="inlineStr">
        <is>
          <t>2026-06-08 05:25:27</t>
        </is>
      </c>
      <c r="P619" t="inlineStr">
        <is>
          <t>2026-06-08 05:25:27</t>
        </is>
      </c>
      <c r="Y619" t="inlineStr">
        <is>
          <t>27762348452</t>
        </is>
      </c>
    </row>
    <row r="620">
      <c r="A620" t="inlineStr">
        <is>
          <t>14828224</t>
        </is>
      </c>
      <c r="B620" t="inlineStr">
        <is>
          <t>684eb259-9e9f-4d27-afeb-228c17fe4335</t>
        </is>
      </c>
      <c r="D620" t="inlineStr">
        <is>
          <t>111111123</t>
        </is>
      </c>
      <c r="E620" t="inlineStr">
        <is>
          <t>Vodacom Life 20260603</t>
        </is>
      </c>
      <c r="J620" t="inlineStr">
        <is>
          <t>AE</t>
        </is>
      </c>
      <c r="K620" t="inlineStr">
        <is>
          <t>Auto Engaged</t>
        </is>
      </c>
      <c r="L620" t="n">
        <v>7</v>
      </c>
      <c r="M620" t="inlineStr">
        <is>
          <t>2026-06-12 13:01:06</t>
        </is>
      </c>
      <c r="N620" t="inlineStr">
        <is>
          <t>system</t>
        </is>
      </c>
      <c r="O620" t="inlineStr">
        <is>
          <t>2026-06-08 05:25:27</t>
        </is>
      </c>
      <c r="P620" t="inlineStr">
        <is>
          <t>2026-06-08 05:25:27</t>
        </is>
      </c>
      <c r="Y620" t="inlineStr">
        <is>
          <t>27728370212</t>
        </is>
      </c>
    </row>
    <row r="621">
      <c r="A621" t="inlineStr">
        <is>
          <t>14828181</t>
        </is>
      </c>
      <c r="B621" t="inlineStr">
        <is>
          <t>2cc360db-acbb-4745-bfae-e009798bb909</t>
        </is>
      </c>
      <c r="D621" t="inlineStr">
        <is>
          <t>111111123</t>
        </is>
      </c>
      <c r="E621" t="inlineStr">
        <is>
          <t>Vodacom Life 20260603</t>
        </is>
      </c>
      <c r="J621" t="inlineStr">
        <is>
          <t>DROP</t>
        </is>
      </c>
      <c r="K621" t="inlineStr">
        <is>
          <t>Dropped</t>
        </is>
      </c>
      <c r="L621" t="n">
        <v>7</v>
      </c>
      <c r="M621" t="inlineStr">
        <is>
          <t>2026-06-12 12:58:41</t>
        </is>
      </c>
      <c r="N621" t="inlineStr">
        <is>
          <t>system</t>
        </is>
      </c>
      <c r="O621" t="inlineStr">
        <is>
          <t>2026-06-08 05:25:27</t>
        </is>
      </c>
      <c r="P621" t="inlineStr">
        <is>
          <t>2026-06-08 05:25:27</t>
        </is>
      </c>
      <c r="Y621" t="inlineStr">
        <is>
          <t>27728972725</t>
        </is>
      </c>
    </row>
    <row r="622">
      <c r="A622" t="inlineStr">
        <is>
          <t>14828200</t>
        </is>
      </c>
      <c r="B622" t="inlineStr">
        <is>
          <t>2bae31e3-bd40-4aa9-a9a8-2f0014b37bc3</t>
        </is>
      </c>
      <c r="D622" t="inlineStr">
        <is>
          <t>111111123</t>
        </is>
      </c>
      <c r="E622" t="inlineStr">
        <is>
          <t>Vodacom Life 20260603</t>
        </is>
      </c>
      <c r="H622" t="inlineStr">
        <is>
          <t>27774276882</t>
        </is>
      </c>
      <c r="J622" t="inlineStr">
        <is>
          <t>DROP</t>
        </is>
      </c>
      <c r="K622" t="inlineStr">
        <is>
          <t>Dropped</t>
        </is>
      </c>
      <c r="L622" t="n">
        <v>7</v>
      </c>
      <c r="M622" t="inlineStr">
        <is>
          <t>2026-06-12 12:58:41</t>
        </is>
      </c>
      <c r="N622" t="inlineStr">
        <is>
          <t>system</t>
        </is>
      </c>
      <c r="O622" t="inlineStr">
        <is>
          <t>2026-06-08 05:25:27</t>
        </is>
      </c>
      <c r="P622" t="inlineStr">
        <is>
          <t>2026-06-08 05:25:27</t>
        </is>
      </c>
      <c r="Y622" t="inlineStr">
        <is>
          <t>27774276882</t>
        </is>
      </c>
    </row>
    <row r="623">
      <c r="A623" t="inlineStr">
        <is>
          <t>14828220</t>
        </is>
      </c>
      <c r="B623" t="inlineStr">
        <is>
          <t>d2aa22ba-2575-4b66-a949-69ef53120d06</t>
        </is>
      </c>
      <c r="D623" t="inlineStr">
        <is>
          <t>111111123</t>
        </is>
      </c>
      <c r="E623" t="inlineStr">
        <is>
          <t>Vodacom Life 20260603</t>
        </is>
      </c>
      <c r="J623" t="inlineStr">
        <is>
          <t>AA</t>
        </is>
      </c>
      <c r="K623" t="inlineStr">
        <is>
          <t>Answering Machine Autodial</t>
        </is>
      </c>
      <c r="L623" t="n">
        <v>7</v>
      </c>
      <c r="M623" t="inlineStr">
        <is>
          <t>2026-06-12 12:58:40</t>
        </is>
      </c>
      <c r="N623" t="inlineStr">
        <is>
          <t>system</t>
        </is>
      </c>
      <c r="O623" t="inlineStr">
        <is>
          <t>2026-06-08 05:25:27</t>
        </is>
      </c>
      <c r="P623" t="inlineStr">
        <is>
          <t>2026-06-08 05:25:27</t>
        </is>
      </c>
      <c r="Y623" t="inlineStr">
        <is>
          <t>27761779743</t>
        </is>
      </c>
    </row>
    <row r="624">
      <c r="A624" t="inlineStr">
        <is>
          <t>14828184</t>
        </is>
      </c>
      <c r="B624" t="inlineStr">
        <is>
          <t>46213bef-f727-442c-ba48-3ee6847acb04</t>
        </is>
      </c>
      <c r="D624" t="inlineStr">
        <is>
          <t>111111123</t>
        </is>
      </c>
      <c r="E624" t="inlineStr">
        <is>
          <t>Vodacom Life 20260603</t>
        </is>
      </c>
      <c r="J624" t="inlineStr">
        <is>
          <t>DROP</t>
        </is>
      </c>
      <c r="K624" t="inlineStr">
        <is>
          <t>Dropped</t>
        </is>
      </c>
      <c r="L624" t="n">
        <v>7</v>
      </c>
      <c r="M624" t="inlineStr">
        <is>
          <t>2026-06-12 12:53:01</t>
        </is>
      </c>
      <c r="N624" t="inlineStr">
        <is>
          <t>system</t>
        </is>
      </c>
      <c r="O624" t="inlineStr">
        <is>
          <t>2026-06-08 05:25:27</t>
        </is>
      </c>
      <c r="P624" t="inlineStr">
        <is>
          <t>2026-06-08 05:25:27</t>
        </is>
      </c>
      <c r="Y624" t="inlineStr">
        <is>
          <t>27715012072</t>
        </is>
      </c>
    </row>
    <row r="625">
      <c r="A625" t="inlineStr">
        <is>
          <t>14828198</t>
        </is>
      </c>
      <c r="B625" t="inlineStr">
        <is>
          <t>b3721adb-2dad-4f6a-a8be-5c37d0af7ed8</t>
        </is>
      </c>
      <c r="D625" t="inlineStr">
        <is>
          <t>111111123</t>
        </is>
      </c>
      <c r="E625" t="inlineStr">
        <is>
          <t>Vodacom Life 20260603</t>
        </is>
      </c>
      <c r="H625" t="inlineStr">
        <is>
          <t>27790917669</t>
        </is>
      </c>
      <c r="J625" t="inlineStr">
        <is>
          <t>NA</t>
        </is>
      </c>
      <c r="K625" t="inlineStr">
        <is>
          <t>No Answer Autodial</t>
        </is>
      </c>
      <c r="L625" t="n">
        <v>7</v>
      </c>
      <c r="M625" t="inlineStr">
        <is>
          <t>2026-06-12 12:53:01</t>
        </is>
      </c>
      <c r="N625" t="inlineStr">
        <is>
          <t>system</t>
        </is>
      </c>
      <c r="O625" t="inlineStr">
        <is>
          <t>2026-06-08 05:25:27</t>
        </is>
      </c>
      <c r="P625" t="inlineStr">
        <is>
          <t>2026-06-08 05:25:27</t>
        </is>
      </c>
      <c r="Y625" t="inlineStr">
        <is>
          <t>27790917669</t>
        </is>
      </c>
    </row>
    <row r="626">
      <c r="A626" t="inlineStr">
        <is>
          <t>14828199</t>
        </is>
      </c>
      <c r="B626" t="inlineStr">
        <is>
          <t>a5c47001-e86d-4195-ba4d-b52199b76af0</t>
        </is>
      </c>
      <c r="D626" t="inlineStr">
        <is>
          <t>111111123</t>
        </is>
      </c>
      <c r="E626" t="inlineStr">
        <is>
          <t>Vodacom Life 20260603</t>
        </is>
      </c>
      <c r="J626" t="inlineStr">
        <is>
          <t>NA</t>
        </is>
      </c>
      <c r="K626" t="inlineStr">
        <is>
          <t>No Answer Autodial</t>
        </is>
      </c>
      <c r="L626" t="n">
        <v>7</v>
      </c>
      <c r="M626" t="inlineStr">
        <is>
          <t>2026-06-12 12:53:01</t>
        </is>
      </c>
      <c r="N626" t="inlineStr">
        <is>
          <t>system</t>
        </is>
      </c>
      <c r="O626" t="inlineStr">
        <is>
          <t>2026-06-08 05:25:27</t>
        </is>
      </c>
      <c r="P626" t="inlineStr">
        <is>
          <t>2026-06-08 05:25:27</t>
        </is>
      </c>
      <c r="Y626" t="inlineStr">
        <is>
          <t>27799315157</t>
        </is>
      </c>
    </row>
    <row r="627">
      <c r="A627" t="inlineStr">
        <is>
          <t>14828201</t>
        </is>
      </c>
      <c r="B627" t="inlineStr">
        <is>
          <t>1dc103bf-e327-4a6b-88b7-4d0425b3c1f2</t>
        </is>
      </c>
      <c r="D627" t="inlineStr">
        <is>
          <t>111111123</t>
        </is>
      </c>
      <c r="E627" t="inlineStr">
        <is>
          <t>Vodacom Life 20260603</t>
        </is>
      </c>
      <c r="J627" t="inlineStr">
        <is>
          <t>AE</t>
        </is>
      </c>
      <c r="K627" t="inlineStr">
        <is>
          <t>Auto Engaged</t>
        </is>
      </c>
      <c r="L627" t="n">
        <v>7</v>
      </c>
      <c r="M627" t="inlineStr">
        <is>
          <t>2026-06-12 12:53:01</t>
        </is>
      </c>
      <c r="N627" t="inlineStr">
        <is>
          <t>system</t>
        </is>
      </c>
      <c r="O627" t="inlineStr">
        <is>
          <t>2026-06-08 05:25:27</t>
        </is>
      </c>
      <c r="P627" t="inlineStr">
        <is>
          <t>2026-06-08 05:25:27</t>
        </is>
      </c>
      <c r="Y627" t="inlineStr">
        <is>
          <t>27788408502</t>
        </is>
      </c>
    </row>
    <row r="628">
      <c r="A628" t="inlineStr">
        <is>
          <t>14828510</t>
        </is>
      </c>
      <c r="B628" t="inlineStr">
        <is>
          <t>eae9d6d5-eae0-48c2-b351-553883b25b7d</t>
        </is>
      </c>
      <c r="D628" t="inlineStr">
        <is>
          <t>111111123</t>
        </is>
      </c>
      <c r="E628" t="inlineStr">
        <is>
          <t>Vodacom Life 20260603</t>
        </is>
      </c>
      <c r="J628" t="inlineStr">
        <is>
          <t>CU</t>
        </is>
      </c>
      <c r="K628" t="inlineStr">
        <is>
          <t>Client Hung Up</t>
        </is>
      </c>
      <c r="L628" t="n">
        <v>7</v>
      </c>
      <c r="M628" t="inlineStr">
        <is>
          <t>2026-06-12 12:50:38</t>
        </is>
      </c>
      <c r="N628" t="inlineStr">
        <is>
          <t>Maureen Ntsoko</t>
        </is>
      </c>
      <c r="O628" t="inlineStr">
        <is>
          <t>2026-06-08 05:25:27</t>
        </is>
      </c>
      <c r="P628" t="inlineStr">
        <is>
          <t>2026-06-08 05:25:27</t>
        </is>
      </c>
      <c r="Y628" t="inlineStr">
        <is>
          <t>27726289308</t>
        </is>
      </c>
    </row>
    <row r="629">
      <c r="A629" t="inlineStr">
        <is>
          <t>14827811</t>
        </is>
      </c>
      <c r="B629" t="inlineStr">
        <is>
          <t>4f86b927-f252-4017-a1e8-9f1e241a260e</t>
        </is>
      </c>
      <c r="D629" t="inlineStr">
        <is>
          <t>111111123</t>
        </is>
      </c>
      <c r="E629" t="inlineStr">
        <is>
          <t>Vodacom Life 20260603</t>
        </is>
      </c>
      <c r="H629" t="inlineStr">
        <is>
          <t>27795411920</t>
        </is>
      </c>
      <c r="J629" t="inlineStr">
        <is>
          <t>NA</t>
        </is>
      </c>
      <c r="K629" t="inlineStr">
        <is>
          <t>No Answer Autodial</t>
        </is>
      </c>
      <c r="L629" t="n">
        <v>7</v>
      </c>
      <c r="M629" t="inlineStr">
        <is>
          <t>2026-06-12 12:50:36</t>
        </is>
      </c>
      <c r="N629" t="inlineStr">
        <is>
          <t>system</t>
        </is>
      </c>
      <c r="O629" t="inlineStr">
        <is>
          <t>2026-06-08 05:25:27</t>
        </is>
      </c>
      <c r="P629" t="inlineStr">
        <is>
          <t>2026-06-08 05:25:27</t>
        </is>
      </c>
      <c r="Y629" t="inlineStr">
        <is>
          <t>27795411920</t>
        </is>
      </c>
    </row>
    <row r="630">
      <c r="A630" t="inlineStr">
        <is>
          <t>14828035</t>
        </is>
      </c>
      <c r="B630" t="inlineStr">
        <is>
          <t>30de73fe-7633-4077-8588-49ab927e7443</t>
        </is>
      </c>
      <c r="D630" t="inlineStr">
        <is>
          <t>111111123</t>
        </is>
      </c>
      <c r="E630" t="inlineStr">
        <is>
          <t>Vodacom Life 20260603</t>
        </is>
      </c>
      <c r="H630" t="inlineStr">
        <is>
          <t>27608307532</t>
        </is>
      </c>
      <c r="J630" t="inlineStr">
        <is>
          <t>AA</t>
        </is>
      </c>
      <c r="K630" t="inlineStr">
        <is>
          <t>Answering Machine Autodial</t>
        </is>
      </c>
      <c r="L630" t="n">
        <v>7</v>
      </c>
      <c r="M630" t="inlineStr">
        <is>
          <t>2026-06-12 12:50:36</t>
        </is>
      </c>
      <c r="N630" t="inlineStr">
        <is>
          <t>system</t>
        </is>
      </c>
      <c r="O630" t="inlineStr">
        <is>
          <t>2026-06-08 05:25:27</t>
        </is>
      </c>
      <c r="P630" t="inlineStr">
        <is>
          <t>2026-06-08 05:25:27</t>
        </is>
      </c>
      <c r="Y630" t="inlineStr">
        <is>
          <t>27608307532</t>
        </is>
      </c>
    </row>
    <row r="631">
      <c r="A631" t="inlineStr">
        <is>
          <t>14828065</t>
        </is>
      </c>
      <c r="B631" t="inlineStr">
        <is>
          <t>02067d46-37e6-4d09-a080-6153db418b1c</t>
        </is>
      </c>
      <c r="D631" t="inlineStr">
        <is>
          <t>111111123</t>
        </is>
      </c>
      <c r="E631" t="inlineStr">
        <is>
          <t>Vodacom Life 20260603</t>
        </is>
      </c>
      <c r="J631" t="inlineStr">
        <is>
          <t>AE</t>
        </is>
      </c>
      <c r="K631" t="inlineStr">
        <is>
          <t>Auto Engaged</t>
        </is>
      </c>
      <c r="L631" t="n">
        <v>7</v>
      </c>
      <c r="M631" t="inlineStr">
        <is>
          <t>2026-06-12 12:50:35</t>
        </is>
      </c>
      <c r="N631" t="inlineStr">
        <is>
          <t>system</t>
        </is>
      </c>
      <c r="O631" t="inlineStr">
        <is>
          <t>2026-06-08 05:25:27</t>
        </is>
      </c>
      <c r="P631" t="inlineStr">
        <is>
          <t>2026-06-08 05:25:27</t>
        </is>
      </c>
      <c r="Y631" t="inlineStr">
        <is>
          <t>27724526377</t>
        </is>
      </c>
    </row>
    <row r="632">
      <c r="A632" t="inlineStr">
        <is>
          <t>14828066</t>
        </is>
      </c>
      <c r="B632" t="inlineStr">
        <is>
          <t>eceec53a-b51c-4206-bc6f-17a98a0e265c</t>
        </is>
      </c>
      <c r="D632" t="inlineStr">
        <is>
          <t>111111123</t>
        </is>
      </c>
      <c r="E632" t="inlineStr">
        <is>
          <t>Vodacom Life 20260603</t>
        </is>
      </c>
      <c r="J632" t="inlineStr">
        <is>
          <t>NA</t>
        </is>
      </c>
      <c r="K632" t="inlineStr">
        <is>
          <t>No Answer Autodial</t>
        </is>
      </c>
      <c r="L632" t="n">
        <v>7</v>
      </c>
      <c r="M632" t="inlineStr">
        <is>
          <t>2026-06-12 12:49:40</t>
        </is>
      </c>
      <c r="N632" t="inlineStr">
        <is>
          <t>system</t>
        </is>
      </c>
      <c r="O632" t="inlineStr">
        <is>
          <t>2026-06-08 05:25:27</t>
        </is>
      </c>
      <c r="P632" t="inlineStr">
        <is>
          <t>2026-06-08 05:25:27</t>
        </is>
      </c>
      <c r="Y632" t="inlineStr">
        <is>
          <t>27828048343</t>
        </is>
      </c>
    </row>
    <row r="633">
      <c r="A633" t="inlineStr">
        <is>
          <t>14828077</t>
        </is>
      </c>
      <c r="B633" t="inlineStr">
        <is>
          <t>76bc1291-8738-4ba9-8711-4a837e01f158</t>
        </is>
      </c>
      <c r="D633" t="inlineStr">
        <is>
          <t>111111123</t>
        </is>
      </c>
      <c r="E633" t="inlineStr">
        <is>
          <t>Vodacom Life 20260603</t>
        </is>
      </c>
      <c r="J633" t="inlineStr">
        <is>
          <t>ADC</t>
        </is>
      </c>
      <c r="K633" t="inlineStr">
        <is>
          <t>Auto Dial Disconnected</t>
        </is>
      </c>
      <c r="L633" t="n">
        <v>7</v>
      </c>
      <c r="M633" t="inlineStr">
        <is>
          <t>2026-06-12 12:49:34</t>
        </is>
      </c>
      <c r="N633" t="inlineStr">
        <is>
          <t>system</t>
        </is>
      </c>
      <c r="O633" t="inlineStr">
        <is>
          <t>2026-06-08 05:25:27</t>
        </is>
      </c>
      <c r="P633" t="inlineStr">
        <is>
          <t>2026-06-08 05:25:27</t>
        </is>
      </c>
      <c r="Y633" t="inlineStr">
        <is>
          <t>27794572348</t>
        </is>
      </c>
    </row>
    <row r="634">
      <c r="A634" t="inlineStr">
        <is>
          <t>14828095</t>
        </is>
      </c>
      <c r="B634" t="inlineStr">
        <is>
          <t>abae390a-3c24-4f90-a386-19a9c658f340</t>
        </is>
      </c>
      <c r="D634" t="inlineStr">
        <is>
          <t>111111123</t>
        </is>
      </c>
      <c r="E634" t="inlineStr">
        <is>
          <t>Vodacom Life 20260603</t>
        </is>
      </c>
      <c r="H634" t="inlineStr">
        <is>
          <t>27828353962</t>
        </is>
      </c>
      <c r="J634" t="inlineStr">
        <is>
          <t>DROP</t>
        </is>
      </c>
      <c r="K634" t="inlineStr">
        <is>
          <t>Dropped</t>
        </is>
      </c>
      <c r="L634" t="n">
        <v>7</v>
      </c>
      <c r="M634" t="inlineStr">
        <is>
          <t>2026-06-12 12:49:34</t>
        </is>
      </c>
      <c r="N634" t="inlineStr">
        <is>
          <t>system</t>
        </is>
      </c>
      <c r="O634" t="inlineStr">
        <is>
          <t>2026-06-08 05:25:27</t>
        </is>
      </c>
      <c r="P634" t="inlineStr">
        <is>
          <t>2026-06-08 05:25:27</t>
        </is>
      </c>
      <c r="Y634" t="inlineStr">
        <is>
          <t>27828353962</t>
        </is>
      </c>
    </row>
    <row r="635">
      <c r="A635" t="inlineStr">
        <is>
          <t>14828136</t>
        </is>
      </c>
      <c r="B635" t="inlineStr">
        <is>
          <t>102df67c-2045-4b34-9c8f-040ac4419085</t>
        </is>
      </c>
      <c r="D635" t="inlineStr">
        <is>
          <t>111111123</t>
        </is>
      </c>
      <c r="E635" t="inlineStr">
        <is>
          <t>Vodacom Life 20260603</t>
        </is>
      </c>
      <c r="J635" t="inlineStr">
        <is>
          <t>AE</t>
        </is>
      </c>
      <c r="K635" t="inlineStr">
        <is>
          <t>Auto Engaged</t>
        </is>
      </c>
      <c r="L635" t="n">
        <v>7</v>
      </c>
      <c r="M635" t="inlineStr">
        <is>
          <t>2026-06-12 12:49:34</t>
        </is>
      </c>
      <c r="N635" t="inlineStr">
        <is>
          <t>system</t>
        </is>
      </c>
      <c r="O635" t="inlineStr">
        <is>
          <t>2026-06-08 05:25:27</t>
        </is>
      </c>
      <c r="P635" t="inlineStr">
        <is>
          <t>2026-06-08 05:25:27</t>
        </is>
      </c>
      <c r="Y635" t="inlineStr">
        <is>
          <t>27763745027</t>
        </is>
      </c>
    </row>
    <row r="636">
      <c r="A636" t="inlineStr">
        <is>
          <t>14828494</t>
        </is>
      </c>
      <c r="B636" t="inlineStr">
        <is>
          <t>e0c95db5-8f87-420e-974f-f22136e57032</t>
        </is>
      </c>
      <c r="D636" t="inlineStr">
        <is>
          <t>111111123</t>
        </is>
      </c>
      <c r="E636" t="inlineStr">
        <is>
          <t>Vodacom Life 20260603</t>
        </is>
      </c>
      <c r="J636" t="inlineStr">
        <is>
          <t>CBACK</t>
        </is>
      </c>
      <c r="K636" t="inlineStr">
        <is>
          <t>Callback</t>
        </is>
      </c>
      <c r="L636" t="n">
        <v>7</v>
      </c>
      <c r="M636" t="inlineStr">
        <is>
          <t>2026-06-12 12:47:01</t>
        </is>
      </c>
      <c r="N636" t="inlineStr">
        <is>
          <t>bongiwe lushaba</t>
        </is>
      </c>
      <c r="O636" t="inlineStr">
        <is>
          <t>2026-06-08 05:25:27</t>
        </is>
      </c>
      <c r="P636" t="inlineStr">
        <is>
          <t>2026-06-08 05:25:27</t>
        </is>
      </c>
      <c r="Y636" t="inlineStr">
        <is>
          <t>27828451769</t>
        </is>
      </c>
    </row>
    <row r="637">
      <c r="A637" t="inlineStr">
        <is>
          <t>14828495</t>
        </is>
      </c>
      <c r="B637" t="inlineStr">
        <is>
          <t>ac40105b-d7c0-4021-b100-974cc32953a6</t>
        </is>
      </c>
      <c r="D637" t="inlineStr">
        <is>
          <t>111111123</t>
        </is>
      </c>
      <c r="E637" t="inlineStr">
        <is>
          <t>Vodacom Life 20260603</t>
        </is>
      </c>
      <c r="J637" t="inlineStr">
        <is>
          <t>AA</t>
        </is>
      </c>
      <c r="K637" t="inlineStr">
        <is>
          <t>Answering Machine Autodial</t>
        </is>
      </c>
      <c r="L637" t="n">
        <v>7</v>
      </c>
      <c r="M637" t="inlineStr">
        <is>
          <t>2026-06-12 12:47:00</t>
        </is>
      </c>
      <c r="N637" t="inlineStr">
        <is>
          <t>system</t>
        </is>
      </c>
      <c r="O637" t="inlineStr">
        <is>
          <t>2026-06-08 05:25:27</t>
        </is>
      </c>
      <c r="P637" t="inlineStr">
        <is>
          <t>2026-06-08 05:25:27</t>
        </is>
      </c>
      <c r="Y637" t="inlineStr">
        <is>
          <t>27729969053</t>
        </is>
      </c>
    </row>
    <row r="638">
      <c r="A638" t="inlineStr">
        <is>
          <t>14827921</t>
        </is>
      </c>
      <c r="B638" t="inlineStr">
        <is>
          <t>7971ce45-2b17-4866-8b0f-e8904352b95f</t>
        </is>
      </c>
      <c r="D638" t="inlineStr">
        <is>
          <t>111111123</t>
        </is>
      </c>
      <c r="E638" t="inlineStr">
        <is>
          <t>Vodacom Life 20260603</t>
        </is>
      </c>
      <c r="J638" t="inlineStr">
        <is>
          <t>AA</t>
        </is>
      </c>
      <c r="K638" t="inlineStr">
        <is>
          <t>Answering Machine Autodial</t>
        </is>
      </c>
      <c r="L638" t="n">
        <v>7</v>
      </c>
      <c r="M638" t="inlineStr">
        <is>
          <t>2026-06-12 12:46:59</t>
        </is>
      </c>
      <c r="N638" t="inlineStr">
        <is>
          <t>system</t>
        </is>
      </c>
      <c r="O638" t="inlineStr">
        <is>
          <t>2026-06-08 05:25:27</t>
        </is>
      </c>
      <c r="P638" t="inlineStr">
        <is>
          <t>2026-06-08 05:25:27</t>
        </is>
      </c>
      <c r="Y638" t="inlineStr">
        <is>
          <t>27646024521</t>
        </is>
      </c>
    </row>
    <row r="639">
      <c r="A639" t="inlineStr">
        <is>
          <t>14827926</t>
        </is>
      </c>
      <c r="B639" t="inlineStr">
        <is>
          <t>fae9c5bb-f579-460f-92e4-7ff07c5dee00</t>
        </is>
      </c>
      <c r="D639" t="inlineStr">
        <is>
          <t>111111123</t>
        </is>
      </c>
      <c r="E639" t="inlineStr">
        <is>
          <t>Vodacom Life 20260603</t>
        </is>
      </c>
      <c r="J639" t="inlineStr">
        <is>
          <t>AE</t>
        </is>
      </c>
      <c r="K639" t="inlineStr">
        <is>
          <t>Auto Engaged</t>
        </is>
      </c>
      <c r="L639" t="n">
        <v>7</v>
      </c>
      <c r="M639" t="inlineStr">
        <is>
          <t>2026-06-12 12:46:46</t>
        </is>
      </c>
      <c r="N639" t="inlineStr">
        <is>
          <t>system</t>
        </is>
      </c>
      <c r="O639" t="inlineStr">
        <is>
          <t>2026-06-08 05:25:27</t>
        </is>
      </c>
      <c r="P639" t="inlineStr">
        <is>
          <t>2026-06-08 05:25:27</t>
        </is>
      </c>
      <c r="Y639" t="inlineStr">
        <is>
          <t>27606630069</t>
        </is>
      </c>
    </row>
    <row r="640">
      <c r="A640" t="inlineStr">
        <is>
          <t>14828012</t>
        </is>
      </c>
      <c r="B640" t="inlineStr">
        <is>
          <t>daf41af2-5cd3-401c-8232-11d5c492ab05</t>
        </is>
      </c>
      <c r="D640" t="inlineStr">
        <is>
          <t>111111123</t>
        </is>
      </c>
      <c r="E640" t="inlineStr">
        <is>
          <t>Vodacom Life 20260603</t>
        </is>
      </c>
      <c r="J640" t="inlineStr">
        <is>
          <t>DROP</t>
        </is>
      </c>
      <c r="K640" t="inlineStr">
        <is>
          <t>Dropped</t>
        </is>
      </c>
      <c r="L640" t="n">
        <v>7</v>
      </c>
      <c r="M640" t="inlineStr">
        <is>
          <t>2026-06-12 12:46:42</t>
        </is>
      </c>
      <c r="N640" t="inlineStr">
        <is>
          <t>system</t>
        </is>
      </c>
      <c r="O640" t="inlineStr">
        <is>
          <t>2026-06-08 05:25:27</t>
        </is>
      </c>
      <c r="P640" t="inlineStr">
        <is>
          <t>2026-06-08 05:25:27</t>
        </is>
      </c>
      <c r="Y640" t="inlineStr">
        <is>
          <t>27711107627</t>
        </is>
      </c>
    </row>
    <row r="641">
      <c r="A641" t="inlineStr">
        <is>
          <t>14828015</t>
        </is>
      </c>
      <c r="B641" t="inlineStr">
        <is>
          <t>137f5b37-888a-451a-9c71-56b1533c82eb</t>
        </is>
      </c>
      <c r="D641" t="inlineStr">
        <is>
          <t>111111123</t>
        </is>
      </c>
      <c r="E641" t="inlineStr">
        <is>
          <t>Vodacom Life 20260603</t>
        </is>
      </c>
      <c r="J641" t="inlineStr">
        <is>
          <t>A</t>
        </is>
      </c>
      <c r="K641" t="inlineStr">
        <is>
          <t>Answering Machine</t>
        </is>
      </c>
      <c r="L641" t="n">
        <v>7</v>
      </c>
      <c r="M641" t="inlineStr">
        <is>
          <t>2026-06-12 12:46:39</t>
        </is>
      </c>
      <c r="N641" t="inlineStr">
        <is>
          <t>bongiwe lushaba</t>
        </is>
      </c>
      <c r="O641" t="inlineStr">
        <is>
          <t>2026-06-08 05:25:27</t>
        </is>
      </c>
      <c r="P641" t="inlineStr">
        <is>
          <t>2026-06-08 05:25:27</t>
        </is>
      </c>
      <c r="Y641" t="inlineStr">
        <is>
          <t>27637075041</t>
        </is>
      </c>
    </row>
    <row r="642">
      <c r="A642" t="inlineStr">
        <is>
          <t>14828019</t>
        </is>
      </c>
      <c r="B642" t="inlineStr">
        <is>
          <t>79fc49b1-59be-489d-9bdf-0f289de47b67</t>
        </is>
      </c>
      <c r="D642" t="inlineStr">
        <is>
          <t>111111123</t>
        </is>
      </c>
      <c r="E642" t="inlineStr">
        <is>
          <t>Vodacom Life 20260603</t>
        </is>
      </c>
      <c r="J642" t="inlineStr">
        <is>
          <t>AA</t>
        </is>
      </c>
      <c r="K642" t="inlineStr">
        <is>
          <t>Answering Machine Autodial</t>
        </is>
      </c>
      <c r="L642" t="n">
        <v>7</v>
      </c>
      <c r="M642" t="inlineStr">
        <is>
          <t>2026-06-12 12:46:32</t>
        </is>
      </c>
      <c r="N642" t="inlineStr">
        <is>
          <t>system</t>
        </is>
      </c>
      <c r="O642" t="inlineStr">
        <is>
          <t>2026-06-08 05:25:27</t>
        </is>
      </c>
      <c r="P642" t="inlineStr">
        <is>
          <t>2026-06-08 05:25:27</t>
        </is>
      </c>
      <c r="Y642" t="inlineStr">
        <is>
          <t>27608013174</t>
        </is>
      </c>
    </row>
    <row r="643">
      <c r="A643" t="inlineStr">
        <is>
          <t>14828020</t>
        </is>
      </c>
      <c r="B643" t="inlineStr">
        <is>
          <t>6ca3abfb-3788-48ce-914d-c6bac4f8a1df</t>
        </is>
      </c>
      <c r="D643" t="inlineStr">
        <is>
          <t>111111123</t>
        </is>
      </c>
      <c r="E643" t="inlineStr">
        <is>
          <t>Vodacom Life 20260603</t>
        </is>
      </c>
      <c r="J643" t="inlineStr">
        <is>
          <t>AE</t>
        </is>
      </c>
      <c r="K643" t="inlineStr">
        <is>
          <t>Auto Engaged</t>
        </is>
      </c>
      <c r="L643" t="n">
        <v>7</v>
      </c>
      <c r="M643" t="inlineStr">
        <is>
          <t>2026-06-12 12:46:29</t>
        </is>
      </c>
      <c r="N643" t="inlineStr">
        <is>
          <t>system</t>
        </is>
      </c>
      <c r="O643" t="inlineStr">
        <is>
          <t>2026-06-08 05:25:27</t>
        </is>
      </c>
      <c r="P643" t="inlineStr">
        <is>
          <t>2026-06-08 05:25:27</t>
        </is>
      </c>
      <c r="Y643" t="inlineStr">
        <is>
          <t>27714847850</t>
        </is>
      </c>
    </row>
    <row r="644">
      <c r="A644" t="inlineStr">
        <is>
          <t>14828031</t>
        </is>
      </c>
      <c r="B644" t="inlineStr">
        <is>
          <t>9acf4ca7-8d9a-4924-887f-50e8c5b72f2f</t>
        </is>
      </c>
      <c r="D644" t="inlineStr">
        <is>
          <t>111111123</t>
        </is>
      </c>
      <c r="E644" t="inlineStr">
        <is>
          <t>Vodacom Life 20260603</t>
        </is>
      </c>
      <c r="J644" t="inlineStr">
        <is>
          <t>AE</t>
        </is>
      </c>
      <c r="K644" t="inlineStr">
        <is>
          <t>Auto Engaged</t>
        </is>
      </c>
      <c r="L644" t="n">
        <v>7</v>
      </c>
      <c r="M644" t="inlineStr">
        <is>
          <t>2026-06-12 12:46:29</t>
        </is>
      </c>
      <c r="N644" t="inlineStr">
        <is>
          <t>system</t>
        </is>
      </c>
      <c r="O644" t="inlineStr">
        <is>
          <t>2026-06-08 05:25:27</t>
        </is>
      </c>
      <c r="P644" t="inlineStr">
        <is>
          <t>2026-06-08 05:25:27</t>
        </is>
      </c>
      <c r="Y644" t="inlineStr">
        <is>
          <t>27673130329</t>
        </is>
      </c>
    </row>
    <row r="645">
      <c r="A645" t="inlineStr">
        <is>
          <t>14828042</t>
        </is>
      </c>
      <c r="B645" t="inlineStr">
        <is>
          <t>7eae19d7-87b4-4efc-a7c6-89fe9ecf5d4c</t>
        </is>
      </c>
      <c r="D645" t="inlineStr">
        <is>
          <t>111111123</t>
        </is>
      </c>
      <c r="E645" t="inlineStr">
        <is>
          <t>Vodacom Life 20260603</t>
        </is>
      </c>
      <c r="J645" t="inlineStr">
        <is>
          <t>AA</t>
        </is>
      </c>
      <c r="K645" t="inlineStr">
        <is>
          <t>Answering Machine Autodial</t>
        </is>
      </c>
      <c r="L645" t="n">
        <v>7</v>
      </c>
      <c r="M645" t="inlineStr">
        <is>
          <t>2026-06-12 12:46:28</t>
        </is>
      </c>
      <c r="N645" t="inlineStr">
        <is>
          <t>system</t>
        </is>
      </c>
      <c r="O645" t="inlineStr">
        <is>
          <t>2026-06-08 05:25:27</t>
        </is>
      </c>
      <c r="P645" t="inlineStr">
        <is>
          <t>2026-06-08 05:25:27</t>
        </is>
      </c>
      <c r="Y645" t="inlineStr">
        <is>
          <t>27729108276</t>
        </is>
      </c>
    </row>
    <row r="646">
      <c r="A646" t="inlineStr">
        <is>
          <t>14827927</t>
        </is>
      </c>
      <c r="B646" t="inlineStr">
        <is>
          <t>29f7093f-af3a-45c9-afa3-6bdb111c765c</t>
        </is>
      </c>
      <c r="D646" t="inlineStr">
        <is>
          <t>111111123</t>
        </is>
      </c>
      <c r="E646" t="inlineStr">
        <is>
          <t>Vodacom Life 20260603</t>
        </is>
      </c>
      <c r="J646" t="inlineStr">
        <is>
          <t>NA</t>
        </is>
      </c>
      <c r="K646" t="inlineStr">
        <is>
          <t>No Answer Autodial</t>
        </is>
      </c>
      <c r="L646" t="n">
        <v>7</v>
      </c>
      <c r="M646" t="inlineStr">
        <is>
          <t>2026-06-12 12:45:16</t>
        </is>
      </c>
      <c r="N646" t="inlineStr">
        <is>
          <t>system</t>
        </is>
      </c>
      <c r="O646" t="inlineStr">
        <is>
          <t>2026-06-08 05:25:27</t>
        </is>
      </c>
      <c r="P646" t="inlineStr">
        <is>
          <t>2026-06-08 05:25:27</t>
        </is>
      </c>
      <c r="Y646" t="inlineStr">
        <is>
          <t>27637535775</t>
        </is>
      </c>
    </row>
    <row r="647">
      <c r="A647" t="inlineStr">
        <is>
          <t>14827928</t>
        </is>
      </c>
      <c r="B647" t="inlineStr">
        <is>
          <t>1062a83a-fea3-44ba-98e6-59978a47a33f</t>
        </is>
      </c>
      <c r="D647" t="inlineStr">
        <is>
          <t>111111123</t>
        </is>
      </c>
      <c r="E647" t="inlineStr">
        <is>
          <t>Vodacom Life 20260603</t>
        </is>
      </c>
      <c r="J647" t="inlineStr">
        <is>
          <t>ADC</t>
        </is>
      </c>
      <c r="K647" t="inlineStr">
        <is>
          <t>Auto Dial Disconnected</t>
        </is>
      </c>
      <c r="L647" t="n">
        <v>7</v>
      </c>
      <c r="M647" t="inlineStr">
        <is>
          <t>2026-06-12 12:45:14</t>
        </is>
      </c>
      <c r="N647" t="inlineStr">
        <is>
          <t>system</t>
        </is>
      </c>
      <c r="O647" t="inlineStr">
        <is>
          <t>2026-06-08 05:25:27</t>
        </is>
      </c>
      <c r="P647" t="inlineStr">
        <is>
          <t>2026-06-08 05:25:27</t>
        </is>
      </c>
      <c r="Y647" t="inlineStr">
        <is>
          <t>27673260357</t>
        </is>
      </c>
    </row>
    <row r="648">
      <c r="A648" t="inlineStr">
        <is>
          <t>14828009</t>
        </is>
      </c>
      <c r="B648" t="inlineStr">
        <is>
          <t>b11617cc-e123-44d7-a922-8bb073dc0470</t>
        </is>
      </c>
      <c r="D648" t="inlineStr">
        <is>
          <t>111111123</t>
        </is>
      </c>
      <c r="E648" t="inlineStr">
        <is>
          <t>Vodacom Life 20260603</t>
        </is>
      </c>
      <c r="H648" t="inlineStr">
        <is>
          <t>27790851534</t>
        </is>
      </c>
      <c r="J648" t="inlineStr">
        <is>
          <t>DROP</t>
        </is>
      </c>
      <c r="K648" t="inlineStr">
        <is>
          <t>Dropped</t>
        </is>
      </c>
      <c r="L648" t="n">
        <v>7</v>
      </c>
      <c r="M648" t="inlineStr">
        <is>
          <t>2026-06-12 12:45:10</t>
        </is>
      </c>
      <c r="N648" t="inlineStr">
        <is>
          <t>system</t>
        </is>
      </c>
      <c r="O648" t="inlineStr">
        <is>
          <t>2026-06-08 05:25:27</t>
        </is>
      </c>
      <c r="P648" t="inlineStr">
        <is>
          <t>2026-06-08 05:25:27</t>
        </is>
      </c>
      <c r="Y648" t="inlineStr">
        <is>
          <t>27790851534</t>
        </is>
      </c>
    </row>
    <row r="649">
      <c r="A649" t="inlineStr">
        <is>
          <t>14828011</t>
        </is>
      </c>
      <c r="B649" t="inlineStr">
        <is>
          <t>b0c2a5c4-0de6-4dae-a51a-d21fe5d74fb6</t>
        </is>
      </c>
      <c r="D649" t="inlineStr">
        <is>
          <t>111111123</t>
        </is>
      </c>
      <c r="E649" t="inlineStr">
        <is>
          <t>Vodacom Life 20260603</t>
        </is>
      </c>
      <c r="J649" t="inlineStr">
        <is>
          <t>DROP</t>
        </is>
      </c>
      <c r="K649" t="inlineStr">
        <is>
          <t>Dropped</t>
        </is>
      </c>
      <c r="L649" t="n">
        <v>7</v>
      </c>
      <c r="M649" t="inlineStr">
        <is>
          <t>2026-06-12 12:45:10</t>
        </is>
      </c>
      <c r="N649" t="inlineStr">
        <is>
          <t>system</t>
        </is>
      </c>
      <c r="O649" t="inlineStr">
        <is>
          <t>2026-06-08 05:25:27</t>
        </is>
      </c>
      <c r="P649" t="inlineStr">
        <is>
          <t>2026-06-08 05:25:27</t>
        </is>
      </c>
      <c r="Y649" t="inlineStr">
        <is>
          <t>27646437586</t>
        </is>
      </c>
    </row>
    <row r="650">
      <c r="A650" t="inlineStr">
        <is>
          <t>14827930</t>
        </is>
      </c>
      <c r="B650" t="inlineStr">
        <is>
          <t>0f6ecb62-5a73-4112-a6bb-9eaa9c2b8b42</t>
        </is>
      </c>
      <c r="D650" t="inlineStr">
        <is>
          <t>111111123</t>
        </is>
      </c>
      <c r="E650" t="inlineStr">
        <is>
          <t>Vodacom Life 20260603</t>
        </is>
      </c>
      <c r="J650" t="inlineStr">
        <is>
          <t>AE</t>
        </is>
      </c>
      <c r="K650" t="inlineStr">
        <is>
          <t>Auto Engaged</t>
        </is>
      </c>
      <c r="L650" t="n">
        <v>7</v>
      </c>
      <c r="M650" t="inlineStr">
        <is>
          <t>2026-06-12 12:45:10</t>
        </is>
      </c>
      <c r="N650" t="inlineStr">
        <is>
          <t>system</t>
        </is>
      </c>
      <c r="O650" t="inlineStr">
        <is>
          <t>2026-06-08 05:25:27</t>
        </is>
      </c>
      <c r="P650" t="inlineStr">
        <is>
          <t>2026-06-08 05:25:27</t>
        </is>
      </c>
      <c r="Y650" t="inlineStr">
        <is>
          <t>27795552548</t>
        </is>
      </c>
    </row>
    <row r="651">
      <c r="A651" t="inlineStr">
        <is>
          <t>14828014</t>
        </is>
      </c>
      <c r="B651" t="inlineStr">
        <is>
          <t>00d7d0dc-7280-45fc-bd02-ffe7e88c971c</t>
        </is>
      </c>
      <c r="D651" t="inlineStr">
        <is>
          <t>111111123</t>
        </is>
      </c>
      <c r="E651" t="inlineStr">
        <is>
          <t>Vodacom Life 20260603</t>
        </is>
      </c>
      <c r="H651" t="inlineStr">
        <is>
          <t>27725754440</t>
        </is>
      </c>
      <c r="J651" t="inlineStr">
        <is>
          <t>AA</t>
        </is>
      </c>
      <c r="K651" t="inlineStr">
        <is>
          <t>Answering Machine Autodial</t>
        </is>
      </c>
      <c r="L651" t="n">
        <v>7</v>
      </c>
      <c r="M651" t="inlineStr">
        <is>
          <t>2026-06-12 12:45:09</t>
        </is>
      </c>
      <c r="N651" t="inlineStr">
        <is>
          <t>system</t>
        </is>
      </c>
      <c r="O651" t="inlineStr">
        <is>
          <t>2026-06-08 05:25:27</t>
        </is>
      </c>
      <c r="P651" t="inlineStr">
        <is>
          <t>2026-06-08 05:25:27</t>
        </is>
      </c>
      <c r="Y651" t="inlineStr">
        <is>
          <t>27725754440</t>
        </is>
      </c>
    </row>
    <row r="652">
      <c r="A652" t="inlineStr">
        <is>
          <t>14828203</t>
        </is>
      </c>
      <c r="B652" t="inlineStr">
        <is>
          <t>f9775fe7-052e-4a4b-937f-a79a8f936647</t>
        </is>
      </c>
      <c r="D652" t="inlineStr">
        <is>
          <t>111111123</t>
        </is>
      </c>
      <c r="E652" t="inlineStr">
        <is>
          <t>Vodacom Life 20260603</t>
        </is>
      </c>
      <c r="J652" t="inlineStr">
        <is>
          <t>AE</t>
        </is>
      </c>
      <c r="K652" t="inlineStr">
        <is>
          <t>Auto Engaged</t>
        </is>
      </c>
      <c r="L652" t="n">
        <v>7</v>
      </c>
      <c r="M652" t="inlineStr">
        <is>
          <t>2026-06-12 12:42:48</t>
        </is>
      </c>
      <c r="N652" t="inlineStr">
        <is>
          <t>system</t>
        </is>
      </c>
      <c r="O652" t="inlineStr">
        <is>
          <t>2026-06-08 05:25:27</t>
        </is>
      </c>
      <c r="P652" t="inlineStr">
        <is>
          <t>2026-06-08 05:25:27</t>
        </is>
      </c>
      <c r="Y652" t="inlineStr">
        <is>
          <t>27792960860</t>
        </is>
      </c>
    </row>
    <row r="653">
      <c r="A653" t="inlineStr">
        <is>
          <t>14828204</t>
        </is>
      </c>
      <c r="B653" t="inlineStr">
        <is>
          <t>afc8acc6-dd23-4a18-8180-1e5a0cd2829b</t>
        </is>
      </c>
      <c r="D653" t="inlineStr">
        <is>
          <t>111111123</t>
        </is>
      </c>
      <c r="E653" t="inlineStr">
        <is>
          <t>Vodacom Life 20260603</t>
        </is>
      </c>
      <c r="J653" t="inlineStr">
        <is>
          <t>AE</t>
        </is>
      </c>
      <c r="K653" t="inlineStr">
        <is>
          <t>Auto Engaged</t>
        </is>
      </c>
      <c r="L653" t="n">
        <v>7</v>
      </c>
      <c r="M653" t="inlineStr">
        <is>
          <t>2026-06-12 12:42:40</t>
        </is>
      </c>
      <c r="N653" t="inlineStr">
        <is>
          <t>system</t>
        </is>
      </c>
      <c r="O653" t="inlineStr">
        <is>
          <t>2026-06-08 05:25:27</t>
        </is>
      </c>
      <c r="P653" t="inlineStr">
        <is>
          <t>2026-06-08 05:25:27</t>
        </is>
      </c>
      <c r="Y653" t="inlineStr">
        <is>
          <t>27673854873</t>
        </is>
      </c>
    </row>
    <row r="654">
      <c r="A654" t="inlineStr">
        <is>
          <t>14828205</t>
        </is>
      </c>
      <c r="B654" t="inlineStr">
        <is>
          <t>4b1f8ae2-83fd-4ae9-9393-7ee38fd1feb6</t>
        </is>
      </c>
      <c r="D654" t="inlineStr">
        <is>
          <t>111111123</t>
        </is>
      </c>
      <c r="E654" t="inlineStr">
        <is>
          <t>Vodacom Life 20260603</t>
        </is>
      </c>
      <c r="H654" t="inlineStr">
        <is>
          <t>27772669426</t>
        </is>
      </c>
      <c r="J654" t="inlineStr">
        <is>
          <t>NA</t>
        </is>
      </c>
      <c r="K654" t="inlineStr">
        <is>
          <t>No Answer Autodial</t>
        </is>
      </c>
      <c r="L654" t="n">
        <v>7</v>
      </c>
      <c r="M654" t="inlineStr">
        <is>
          <t>2026-06-12 12:42:39</t>
        </is>
      </c>
      <c r="N654" t="inlineStr">
        <is>
          <t>system</t>
        </is>
      </c>
      <c r="O654" t="inlineStr">
        <is>
          <t>2026-06-08 05:25:27</t>
        </is>
      </c>
      <c r="P654" t="inlineStr">
        <is>
          <t>2026-06-08 05:25:27</t>
        </is>
      </c>
      <c r="Y654" t="inlineStr">
        <is>
          <t>27772669426</t>
        </is>
      </c>
    </row>
    <row r="655">
      <c r="A655" t="inlineStr">
        <is>
          <t>14828206</t>
        </is>
      </c>
      <c r="B655" t="inlineStr">
        <is>
          <t>a9e11ed7-c263-4afd-84e5-0bdb215880d9</t>
        </is>
      </c>
      <c r="D655" t="inlineStr">
        <is>
          <t>111111123</t>
        </is>
      </c>
      <c r="E655" t="inlineStr">
        <is>
          <t>Vodacom Life 20260603</t>
        </is>
      </c>
      <c r="J655" t="inlineStr">
        <is>
          <t>AE</t>
        </is>
      </c>
      <c r="K655" t="inlineStr">
        <is>
          <t>Auto Engaged</t>
        </is>
      </c>
      <c r="L655" t="n">
        <v>7</v>
      </c>
      <c r="M655" t="inlineStr">
        <is>
          <t>2026-06-12 12:42:37</t>
        </is>
      </c>
      <c r="N655" t="inlineStr">
        <is>
          <t>system</t>
        </is>
      </c>
      <c r="O655" t="inlineStr">
        <is>
          <t>2026-06-08 05:25:27</t>
        </is>
      </c>
      <c r="P655" t="inlineStr">
        <is>
          <t>2026-06-08 05:25:27</t>
        </is>
      </c>
      <c r="Y655" t="inlineStr">
        <is>
          <t>27724720902</t>
        </is>
      </c>
    </row>
    <row r="656">
      <c r="A656" t="inlineStr">
        <is>
          <t>14828207</t>
        </is>
      </c>
      <c r="B656" t="inlineStr">
        <is>
          <t>3ebf1e10-fb7a-4e47-8c4e-7f7f0983df0a</t>
        </is>
      </c>
      <c r="D656" t="inlineStr">
        <is>
          <t>111111123</t>
        </is>
      </c>
      <c r="E656" t="inlineStr">
        <is>
          <t>Vodacom Life 20260603</t>
        </is>
      </c>
      <c r="J656" t="inlineStr">
        <is>
          <t>AA</t>
        </is>
      </c>
      <c r="K656" t="inlineStr">
        <is>
          <t>Answering Machine Autodial</t>
        </is>
      </c>
      <c r="L656" t="n">
        <v>7</v>
      </c>
      <c r="M656" t="inlineStr">
        <is>
          <t>2026-06-12 12:42:36</t>
        </is>
      </c>
      <c r="N656" t="inlineStr">
        <is>
          <t>system</t>
        </is>
      </c>
      <c r="O656" t="inlineStr">
        <is>
          <t>2026-06-08 05:25:27</t>
        </is>
      </c>
      <c r="P656" t="inlineStr">
        <is>
          <t>2026-06-08 05:25:27</t>
        </is>
      </c>
      <c r="Y656" t="inlineStr">
        <is>
          <t>27663623814</t>
        </is>
      </c>
    </row>
    <row r="657">
      <c r="A657" t="inlineStr">
        <is>
          <t>14828208</t>
        </is>
      </c>
      <c r="B657" t="inlineStr">
        <is>
          <t>6d39cc16-0270-47a5-9eb0-4f140945525e</t>
        </is>
      </c>
      <c r="D657" t="inlineStr">
        <is>
          <t>111111123</t>
        </is>
      </c>
      <c r="E657" t="inlineStr">
        <is>
          <t>Vodacom Life 20260603</t>
        </is>
      </c>
      <c r="J657" t="inlineStr">
        <is>
          <t>AA</t>
        </is>
      </c>
      <c r="K657" t="inlineStr">
        <is>
          <t>Answering Machine Autodial</t>
        </is>
      </c>
      <c r="L657" t="n">
        <v>7</v>
      </c>
      <c r="M657" t="inlineStr">
        <is>
          <t>2026-06-12 12:42:36</t>
        </is>
      </c>
      <c r="N657" t="inlineStr">
        <is>
          <t>system</t>
        </is>
      </c>
      <c r="O657" t="inlineStr">
        <is>
          <t>2026-06-08 05:25:27</t>
        </is>
      </c>
      <c r="P657" t="inlineStr">
        <is>
          <t>2026-06-08 05:25:27</t>
        </is>
      </c>
      <c r="Y657" t="inlineStr">
        <is>
          <t>27774671435</t>
        </is>
      </c>
    </row>
    <row r="658">
      <c r="A658" t="inlineStr">
        <is>
          <t>14828209</t>
        </is>
      </c>
      <c r="B658" t="inlineStr">
        <is>
          <t>3ec64af9-bb3a-4042-a5e2-d6cf5d90de55</t>
        </is>
      </c>
      <c r="D658" t="inlineStr">
        <is>
          <t>111111123</t>
        </is>
      </c>
      <c r="E658" t="inlineStr">
        <is>
          <t>Vodacom Life 20260603</t>
        </is>
      </c>
      <c r="H658" t="inlineStr">
        <is>
          <t>27767054741</t>
        </is>
      </c>
      <c r="J658" t="inlineStr">
        <is>
          <t>AE</t>
        </is>
      </c>
      <c r="K658" t="inlineStr">
        <is>
          <t>Auto Engaged</t>
        </is>
      </c>
      <c r="L658" t="n">
        <v>7</v>
      </c>
      <c r="M658" t="inlineStr">
        <is>
          <t>2026-06-12 12:42:36</t>
        </is>
      </c>
      <c r="N658" t="inlineStr">
        <is>
          <t>system</t>
        </is>
      </c>
      <c r="O658" t="inlineStr">
        <is>
          <t>2026-06-08 05:25:27</t>
        </is>
      </c>
      <c r="P658" t="inlineStr">
        <is>
          <t>2026-06-08 05:25:27</t>
        </is>
      </c>
      <c r="Y658" t="inlineStr">
        <is>
          <t>27767054741</t>
        </is>
      </c>
    </row>
    <row r="659">
      <c r="A659" t="inlineStr">
        <is>
          <t>14828210</t>
        </is>
      </c>
      <c r="B659" t="inlineStr">
        <is>
          <t>08fa850c-48ab-458d-bd2e-632eb1f6377c</t>
        </is>
      </c>
      <c r="D659" t="inlineStr">
        <is>
          <t>111111123</t>
        </is>
      </c>
      <c r="E659" t="inlineStr">
        <is>
          <t>Vodacom Life 20260603</t>
        </is>
      </c>
      <c r="J659" t="inlineStr">
        <is>
          <t>DROP</t>
        </is>
      </c>
      <c r="K659" t="inlineStr">
        <is>
          <t>Dropped</t>
        </is>
      </c>
      <c r="L659" t="n">
        <v>7</v>
      </c>
      <c r="M659" t="inlineStr">
        <is>
          <t>2026-06-12 12:42:35</t>
        </is>
      </c>
      <c r="N659" t="inlineStr">
        <is>
          <t>system</t>
        </is>
      </c>
      <c r="O659" t="inlineStr">
        <is>
          <t>2026-06-08 05:25:27</t>
        </is>
      </c>
      <c r="P659" t="inlineStr">
        <is>
          <t>2026-06-08 05:25:27</t>
        </is>
      </c>
      <c r="Y659" t="inlineStr">
        <is>
          <t>27826522822</t>
        </is>
      </c>
    </row>
    <row r="660">
      <c r="A660" t="inlineStr">
        <is>
          <t>14828211</t>
        </is>
      </c>
      <c r="B660" t="inlineStr">
        <is>
          <t>3c25c603-4e78-418a-8c94-6eef9fa8de03</t>
        </is>
      </c>
      <c r="D660" t="inlineStr">
        <is>
          <t>111111123</t>
        </is>
      </c>
      <c r="E660" t="inlineStr">
        <is>
          <t>Vodacom Life 20260603</t>
        </is>
      </c>
      <c r="J660" t="inlineStr">
        <is>
          <t>AE</t>
        </is>
      </c>
      <c r="K660" t="inlineStr">
        <is>
          <t>Auto Engaged</t>
        </is>
      </c>
      <c r="L660" t="n">
        <v>7</v>
      </c>
      <c r="M660" t="inlineStr">
        <is>
          <t>2026-06-12 12:42:35</t>
        </is>
      </c>
      <c r="N660" t="inlineStr">
        <is>
          <t>system</t>
        </is>
      </c>
      <c r="O660" t="inlineStr">
        <is>
          <t>2026-06-08 05:25:27</t>
        </is>
      </c>
      <c r="P660" t="inlineStr">
        <is>
          <t>2026-06-08 05:25:27</t>
        </is>
      </c>
      <c r="Y660" t="inlineStr">
        <is>
          <t>27607279511</t>
        </is>
      </c>
    </row>
    <row r="661">
      <c r="A661" t="inlineStr">
        <is>
          <t>14827831</t>
        </is>
      </c>
      <c r="B661" t="inlineStr">
        <is>
          <t>35567aa4-ae58-4a78-9698-b167f9151845</t>
        </is>
      </c>
      <c r="D661" t="inlineStr">
        <is>
          <t>111111123</t>
        </is>
      </c>
      <c r="E661" t="inlineStr">
        <is>
          <t>Vodacom Life 20260603</t>
        </is>
      </c>
      <c r="H661" t="inlineStr">
        <is>
          <t>27723019847</t>
        </is>
      </c>
      <c r="J661" t="inlineStr">
        <is>
          <t>IABDN</t>
        </is>
      </c>
      <c r="K661" t="inlineStr">
        <is>
          <t>Inbound Abandon</t>
        </is>
      </c>
      <c r="L661" t="n">
        <v>7</v>
      </c>
      <c r="M661" t="inlineStr">
        <is>
          <t>2026-06-12 12:42:05</t>
        </is>
      </c>
      <c r="N661" t="inlineStr">
        <is>
          <t>system</t>
        </is>
      </c>
      <c r="O661" t="inlineStr">
        <is>
          <t>2026-06-08 05:25:27</t>
        </is>
      </c>
      <c r="P661" t="inlineStr">
        <is>
          <t>2026-06-08 05:25:27</t>
        </is>
      </c>
      <c r="Y661" t="inlineStr">
        <is>
          <t>27723019847</t>
        </is>
      </c>
    </row>
    <row r="662">
      <c r="A662" t="inlineStr">
        <is>
          <t>14828213</t>
        </is>
      </c>
      <c r="B662" t="inlineStr">
        <is>
          <t>abab9bf7-b872-4105-becd-006929352fad</t>
        </is>
      </c>
      <c r="D662" t="inlineStr">
        <is>
          <t>111111123</t>
        </is>
      </c>
      <c r="E662" t="inlineStr">
        <is>
          <t>Vodacom Life 20260603</t>
        </is>
      </c>
      <c r="J662" t="inlineStr">
        <is>
          <t>AE</t>
        </is>
      </c>
      <c r="K662" t="inlineStr">
        <is>
          <t>Auto Engaged</t>
        </is>
      </c>
      <c r="L662" t="n">
        <v>7</v>
      </c>
      <c r="M662" t="inlineStr">
        <is>
          <t>2026-06-12 12:42:02</t>
        </is>
      </c>
      <c r="N662" t="inlineStr">
        <is>
          <t>system</t>
        </is>
      </c>
      <c r="O662" t="inlineStr">
        <is>
          <t>2026-06-08 05:25:27</t>
        </is>
      </c>
      <c r="P662" t="inlineStr">
        <is>
          <t>2026-06-08 05:25:27</t>
        </is>
      </c>
      <c r="Y662" t="inlineStr">
        <is>
          <t>27763689636</t>
        </is>
      </c>
    </row>
    <row r="663">
      <c r="A663" t="inlineStr">
        <is>
          <t>14800000</t>
        </is>
      </c>
      <c r="B663" t="inlineStr">
        <is>
          <t>0839e688-18e5-4725-ad69-4f73ab989a1f</t>
        </is>
      </c>
      <c r="D663" t="inlineStr">
        <is>
          <t>111111123</t>
        </is>
      </c>
      <c r="E663" t="inlineStr">
        <is>
          <t>Vodacom Life 20260603</t>
        </is>
      </c>
      <c r="J663" t="inlineStr">
        <is>
          <t>NA</t>
        </is>
      </c>
      <c r="K663" t="inlineStr">
        <is>
          <t>No Answer Autodial</t>
        </is>
      </c>
      <c r="L663" t="n">
        <v>7</v>
      </c>
      <c r="M663" t="inlineStr">
        <is>
          <t>2026-06-12 12:42:02</t>
        </is>
      </c>
      <c r="N663" t="inlineStr">
        <is>
          <t>system</t>
        </is>
      </c>
      <c r="O663" t="inlineStr">
        <is>
          <t>2026-06-08 05:25:27</t>
        </is>
      </c>
      <c r="P663" t="inlineStr">
        <is>
          <t>2026-06-08 05:25:27</t>
        </is>
      </c>
      <c r="Y663" t="inlineStr">
        <is>
          <t>27796225406</t>
        </is>
      </c>
    </row>
    <row r="664">
      <c r="A664" t="inlineStr">
        <is>
          <t>14828215</t>
        </is>
      </c>
      <c r="B664" t="inlineStr">
        <is>
          <t>70103298-73ad-4a1b-a4a7-fbec1c8d33e4</t>
        </is>
      </c>
      <c r="D664" t="inlineStr">
        <is>
          <t>111111123</t>
        </is>
      </c>
      <c r="E664" t="inlineStr">
        <is>
          <t>Vodacom Life 20260603</t>
        </is>
      </c>
      <c r="J664" t="inlineStr">
        <is>
          <t>CU</t>
        </is>
      </c>
      <c r="K664" t="inlineStr">
        <is>
          <t>Client Hung Up</t>
        </is>
      </c>
      <c r="L664" t="n">
        <v>7</v>
      </c>
      <c r="M664" t="inlineStr">
        <is>
          <t>2026-06-12 12:42:00</t>
        </is>
      </c>
      <c r="N664" t="inlineStr">
        <is>
          <t>Maureen Ntsoko</t>
        </is>
      </c>
      <c r="O664" t="inlineStr">
        <is>
          <t>2026-06-08 05:25:27</t>
        </is>
      </c>
      <c r="P664" t="inlineStr">
        <is>
          <t>2026-06-08 05:25:27</t>
        </is>
      </c>
      <c r="Y664" t="inlineStr">
        <is>
          <t>27606848406</t>
        </is>
      </c>
    </row>
    <row r="665">
      <c r="A665" t="inlineStr">
        <is>
          <t>14828216</t>
        </is>
      </c>
      <c r="B665" t="inlineStr">
        <is>
          <t>f3c66338-fafc-414d-92eb-3fdfbf591954</t>
        </is>
      </c>
      <c r="D665" t="inlineStr">
        <is>
          <t>111111123</t>
        </is>
      </c>
      <c r="E665" t="inlineStr">
        <is>
          <t>Vodacom Life 20260603</t>
        </is>
      </c>
      <c r="J665" t="inlineStr">
        <is>
          <t>CBACK</t>
        </is>
      </c>
      <c r="K665" t="inlineStr">
        <is>
          <t>Callback</t>
        </is>
      </c>
      <c r="L665" t="n">
        <v>7</v>
      </c>
      <c r="M665" t="inlineStr">
        <is>
          <t>2026-06-12 12:41:58</t>
        </is>
      </c>
      <c r="N665" t="inlineStr">
        <is>
          <t>bongiwe lushaba</t>
        </is>
      </c>
      <c r="O665" t="inlineStr">
        <is>
          <t>2026-06-08 05:25:27</t>
        </is>
      </c>
      <c r="P665" t="inlineStr">
        <is>
          <t>2026-06-08 05:25:27</t>
        </is>
      </c>
      <c r="Y665" t="inlineStr">
        <is>
          <t>27790935024</t>
        </is>
      </c>
    </row>
    <row r="666">
      <c r="A666" t="inlineStr">
        <is>
          <t>14827862</t>
        </is>
      </c>
      <c r="B666" t="inlineStr">
        <is>
          <t>6d89f677-a9f5-47a8-9b77-8cb726d62038</t>
        </is>
      </c>
      <c r="D666" t="inlineStr">
        <is>
          <t>111111123</t>
        </is>
      </c>
      <c r="E666" t="inlineStr">
        <is>
          <t>Vodacom Life 20260603</t>
        </is>
      </c>
      <c r="J666" t="inlineStr">
        <is>
          <t>AE</t>
        </is>
      </c>
      <c r="K666" t="inlineStr">
        <is>
          <t>Auto Engaged</t>
        </is>
      </c>
      <c r="L666" t="n">
        <v>7</v>
      </c>
      <c r="M666" t="inlineStr">
        <is>
          <t>2026-06-12 12:41:55</t>
        </is>
      </c>
      <c r="N666" t="inlineStr">
        <is>
          <t>system</t>
        </is>
      </c>
      <c r="O666" t="inlineStr">
        <is>
          <t>2026-06-08 05:25:27</t>
        </is>
      </c>
      <c r="P666" t="inlineStr">
        <is>
          <t>2026-06-08 05:25:27</t>
        </is>
      </c>
      <c r="Y666" t="inlineStr">
        <is>
          <t>27720772468</t>
        </is>
      </c>
    </row>
    <row r="667">
      <c r="A667" t="inlineStr">
        <is>
          <t>14827868</t>
        </is>
      </c>
      <c r="B667" t="inlineStr">
        <is>
          <t>a3d74fb6-7cea-40a8-98b5-0d777bc39d2d</t>
        </is>
      </c>
      <c r="D667" t="inlineStr">
        <is>
          <t>111111123</t>
        </is>
      </c>
      <c r="E667" t="inlineStr">
        <is>
          <t>Vodacom Life 20260603</t>
        </is>
      </c>
      <c r="J667" t="inlineStr">
        <is>
          <t>DROP</t>
        </is>
      </c>
      <c r="K667" t="inlineStr">
        <is>
          <t>Dropped</t>
        </is>
      </c>
      <c r="L667" t="n">
        <v>7</v>
      </c>
      <c r="M667" t="inlineStr">
        <is>
          <t>2026-06-12 12:41:55</t>
        </is>
      </c>
      <c r="N667" t="inlineStr">
        <is>
          <t>system</t>
        </is>
      </c>
      <c r="O667" t="inlineStr">
        <is>
          <t>2026-06-08 05:25:27</t>
        </is>
      </c>
      <c r="P667" t="inlineStr">
        <is>
          <t>2026-06-08 05:25:27</t>
        </is>
      </c>
      <c r="Y667" t="inlineStr">
        <is>
          <t>27798741647</t>
        </is>
      </c>
    </row>
    <row r="668">
      <c r="A668" t="inlineStr">
        <is>
          <t>14827869</t>
        </is>
      </c>
      <c r="B668" t="inlineStr">
        <is>
          <t>0d387d97-98bb-460b-8448-a25bc95492ce</t>
        </is>
      </c>
      <c r="D668" t="inlineStr">
        <is>
          <t>111111123</t>
        </is>
      </c>
      <c r="E668" t="inlineStr">
        <is>
          <t>Vodacom Life 20260603</t>
        </is>
      </c>
      <c r="J668" t="inlineStr">
        <is>
          <t>AE</t>
        </is>
      </c>
      <c r="K668" t="inlineStr">
        <is>
          <t>Auto Engaged</t>
        </is>
      </c>
      <c r="L668" t="n">
        <v>7</v>
      </c>
      <c r="M668" t="inlineStr">
        <is>
          <t>2026-06-12 12:41:55</t>
        </is>
      </c>
      <c r="N668" t="inlineStr">
        <is>
          <t>system</t>
        </is>
      </c>
      <c r="O668" t="inlineStr">
        <is>
          <t>2026-06-08 05:25:27</t>
        </is>
      </c>
      <c r="P668" t="inlineStr">
        <is>
          <t>2026-06-08 05:25:27</t>
        </is>
      </c>
      <c r="Y668" t="inlineStr">
        <is>
          <t>27763324112</t>
        </is>
      </c>
    </row>
    <row r="669">
      <c r="A669" t="inlineStr">
        <is>
          <t>14827870</t>
        </is>
      </c>
      <c r="B669" t="inlineStr">
        <is>
          <t>4b1be302-0a5f-4ff7-8c6b-02ca721726ae</t>
        </is>
      </c>
      <c r="D669" t="inlineStr">
        <is>
          <t>111111123</t>
        </is>
      </c>
      <c r="E669" t="inlineStr">
        <is>
          <t>Vodacom Life 20260603</t>
        </is>
      </c>
      <c r="J669" t="inlineStr">
        <is>
          <t>AE</t>
        </is>
      </c>
      <c r="K669" t="inlineStr">
        <is>
          <t>Auto Engaged</t>
        </is>
      </c>
      <c r="L669" t="n">
        <v>7</v>
      </c>
      <c r="M669" t="inlineStr">
        <is>
          <t>2026-06-12 12:41:55</t>
        </is>
      </c>
      <c r="N669" t="inlineStr">
        <is>
          <t>system</t>
        </is>
      </c>
      <c r="O669" t="inlineStr">
        <is>
          <t>2026-06-08 05:25:27</t>
        </is>
      </c>
      <c r="P669" t="inlineStr">
        <is>
          <t>2026-06-08 05:25:27</t>
        </is>
      </c>
      <c r="Y669" t="inlineStr">
        <is>
          <t>27664099673</t>
        </is>
      </c>
    </row>
    <row r="670">
      <c r="A670" t="inlineStr">
        <is>
          <t>14827871</t>
        </is>
      </c>
      <c r="B670" t="inlineStr">
        <is>
          <t>6c87671c-d9c1-4bba-b51b-294ab0cabb94</t>
        </is>
      </c>
      <c r="D670" t="inlineStr">
        <is>
          <t>111111123</t>
        </is>
      </c>
      <c r="E670" t="inlineStr">
        <is>
          <t>Vodacom Life 20260603</t>
        </is>
      </c>
      <c r="J670" t="inlineStr">
        <is>
          <t>AE</t>
        </is>
      </c>
      <c r="K670" t="inlineStr">
        <is>
          <t>Auto Engaged</t>
        </is>
      </c>
      <c r="L670" t="n">
        <v>7</v>
      </c>
      <c r="M670" t="inlineStr">
        <is>
          <t>2026-06-12 12:41:55</t>
        </is>
      </c>
      <c r="N670" t="inlineStr">
        <is>
          <t>system</t>
        </is>
      </c>
      <c r="O670" t="inlineStr">
        <is>
          <t>2026-06-08 05:25:27</t>
        </is>
      </c>
      <c r="P670" t="inlineStr">
        <is>
          <t>2026-06-08 05:25:27</t>
        </is>
      </c>
      <c r="Y670" t="inlineStr">
        <is>
          <t>27798470014</t>
        </is>
      </c>
    </row>
    <row r="671">
      <c r="A671" t="inlineStr">
        <is>
          <t>14827880</t>
        </is>
      </c>
      <c r="B671" t="inlineStr">
        <is>
          <t>c2a06cf6-1c05-4a6c-9983-5dd0df3ad42b</t>
        </is>
      </c>
      <c r="D671" t="inlineStr">
        <is>
          <t>111111123</t>
        </is>
      </c>
      <c r="E671" t="inlineStr">
        <is>
          <t>Vodacom Life 20260603</t>
        </is>
      </c>
      <c r="J671" t="inlineStr">
        <is>
          <t>AA</t>
        </is>
      </c>
      <c r="K671" t="inlineStr">
        <is>
          <t>Answering Machine Autodial</t>
        </is>
      </c>
      <c r="L671" t="n">
        <v>7</v>
      </c>
      <c r="M671" t="inlineStr">
        <is>
          <t>2026-06-12 12:41:50</t>
        </is>
      </c>
      <c r="N671" t="inlineStr">
        <is>
          <t>system</t>
        </is>
      </c>
      <c r="O671" t="inlineStr">
        <is>
          <t>2026-06-08 05:25:27</t>
        </is>
      </c>
      <c r="P671" t="inlineStr">
        <is>
          <t>2026-06-08 05:25:27</t>
        </is>
      </c>
      <c r="Y671" t="inlineStr">
        <is>
          <t>27765458398</t>
        </is>
      </c>
    </row>
    <row r="672">
      <c r="A672" t="inlineStr">
        <is>
          <t>14827881</t>
        </is>
      </c>
      <c r="B672" t="inlineStr">
        <is>
          <t>94e6cf14-07ec-4ac1-a78e-1ac5e89dd450</t>
        </is>
      </c>
      <c r="D672" t="inlineStr">
        <is>
          <t>111111123</t>
        </is>
      </c>
      <c r="E672" t="inlineStr">
        <is>
          <t>Vodacom Life 20260603</t>
        </is>
      </c>
      <c r="J672" t="inlineStr">
        <is>
          <t>N</t>
        </is>
      </c>
      <c r="K672" t="inlineStr">
        <is>
          <t>No Answer</t>
        </is>
      </c>
      <c r="L672" t="n">
        <v>7</v>
      </c>
      <c r="M672" t="inlineStr">
        <is>
          <t>2026-06-12 12:41:48</t>
        </is>
      </c>
      <c r="N672" t="inlineStr">
        <is>
          <t>Maureen Ntsoko</t>
        </is>
      </c>
      <c r="O672" t="inlineStr">
        <is>
          <t>2026-06-08 05:25:27</t>
        </is>
      </c>
      <c r="P672" t="inlineStr">
        <is>
          <t>2026-06-08 05:25:27</t>
        </is>
      </c>
      <c r="Y672" t="inlineStr">
        <is>
          <t>27722829491</t>
        </is>
      </c>
    </row>
    <row r="673">
      <c r="A673" t="inlineStr">
        <is>
          <t>14827924</t>
        </is>
      </c>
      <c r="B673" t="inlineStr">
        <is>
          <t>c90f3324-2dec-4519-b21a-c70b00088754</t>
        </is>
      </c>
      <c r="D673" t="inlineStr">
        <is>
          <t>111111123</t>
        </is>
      </c>
      <c r="E673" t="inlineStr">
        <is>
          <t>Vodacom Life 20260603</t>
        </is>
      </c>
      <c r="J673" t="inlineStr">
        <is>
          <t>AE</t>
        </is>
      </c>
      <c r="K673" t="inlineStr">
        <is>
          <t>Auto Engaged</t>
        </is>
      </c>
      <c r="L673" t="n">
        <v>7</v>
      </c>
      <c r="M673" t="inlineStr">
        <is>
          <t>2026-06-12 12:41:47</t>
        </is>
      </c>
      <c r="N673" t="inlineStr">
        <is>
          <t>system</t>
        </is>
      </c>
      <c r="O673" t="inlineStr">
        <is>
          <t>2026-06-08 05:25:27</t>
        </is>
      </c>
      <c r="P673" t="inlineStr">
        <is>
          <t>2026-06-08 05:25:27</t>
        </is>
      </c>
      <c r="Y673" t="inlineStr">
        <is>
          <t>27818224915</t>
        </is>
      </c>
    </row>
    <row r="674">
      <c r="A674" t="inlineStr">
        <is>
          <t>14828186</t>
        </is>
      </c>
      <c r="B674" t="inlineStr">
        <is>
          <t>390655a0-d6b5-459c-b6ca-717260246780</t>
        </is>
      </c>
      <c r="D674" t="inlineStr">
        <is>
          <t>111111123</t>
        </is>
      </c>
      <c r="E674" t="inlineStr">
        <is>
          <t>Vodacom Life 20260603</t>
        </is>
      </c>
      <c r="H674" t="inlineStr">
        <is>
          <t>27637512599</t>
        </is>
      </c>
      <c r="J674" t="inlineStr">
        <is>
          <t>AA</t>
        </is>
      </c>
      <c r="K674" t="inlineStr">
        <is>
          <t>Answering Machine Autodial</t>
        </is>
      </c>
      <c r="L674" t="n">
        <v>7</v>
      </c>
      <c r="M674" t="inlineStr">
        <is>
          <t>2026-06-12 12:41:23</t>
        </is>
      </c>
      <c r="N674" t="inlineStr">
        <is>
          <t>system</t>
        </is>
      </c>
      <c r="O674" t="inlineStr">
        <is>
          <t>2026-06-08 05:25:27</t>
        </is>
      </c>
      <c r="P674" t="inlineStr">
        <is>
          <t>2026-06-08 05:25:27</t>
        </is>
      </c>
      <c r="Y674" t="inlineStr">
        <is>
          <t>27637512599</t>
        </is>
      </c>
    </row>
    <row r="675">
      <c r="A675" t="inlineStr">
        <is>
          <t>14828193</t>
        </is>
      </c>
      <c r="B675" t="inlineStr">
        <is>
          <t>0f11e322-bac2-4407-b554-ad93d8fef6e9</t>
        </is>
      </c>
      <c r="D675" t="inlineStr">
        <is>
          <t>111111123</t>
        </is>
      </c>
      <c r="E675" t="inlineStr">
        <is>
          <t>Vodacom Life 20260603</t>
        </is>
      </c>
      <c r="J675" t="inlineStr">
        <is>
          <t>A</t>
        </is>
      </c>
      <c r="K675" t="inlineStr">
        <is>
          <t>Answering Machine</t>
        </is>
      </c>
      <c r="L675" t="n">
        <v>7</v>
      </c>
      <c r="M675" t="inlineStr">
        <is>
          <t>2026-06-12 12:41:23</t>
        </is>
      </c>
      <c r="N675" t="inlineStr">
        <is>
          <t>bongiwe lushaba</t>
        </is>
      </c>
      <c r="O675" t="inlineStr">
        <is>
          <t>2026-06-08 05:25:27</t>
        </is>
      </c>
      <c r="P675" t="inlineStr">
        <is>
          <t>2026-06-08 05:25:27</t>
        </is>
      </c>
      <c r="Y675" t="inlineStr">
        <is>
          <t>27734281813</t>
        </is>
      </c>
    </row>
    <row r="676">
      <c r="A676" t="inlineStr">
        <is>
          <t>14827819</t>
        </is>
      </c>
      <c r="B676" t="inlineStr">
        <is>
          <t>a0315c27-8bb1-4269-ac12-1e759c9c6278</t>
        </is>
      </c>
      <c r="D676" t="inlineStr">
        <is>
          <t>111111123</t>
        </is>
      </c>
      <c r="E676" t="inlineStr">
        <is>
          <t>Vodacom Life 20260603</t>
        </is>
      </c>
      <c r="H676" t="inlineStr">
        <is>
          <t>27827415868</t>
        </is>
      </c>
      <c r="J676" t="inlineStr">
        <is>
          <t>NA</t>
        </is>
      </c>
      <c r="K676" t="inlineStr">
        <is>
          <t>No Answer Autodial</t>
        </is>
      </c>
      <c r="L676" t="n">
        <v>7</v>
      </c>
      <c r="M676" t="inlineStr">
        <is>
          <t>2026-06-12 12:41:22</t>
        </is>
      </c>
      <c r="N676" t="inlineStr">
        <is>
          <t>system</t>
        </is>
      </c>
      <c r="O676" t="inlineStr">
        <is>
          <t>2026-06-08 05:25:27</t>
        </is>
      </c>
      <c r="P676" t="inlineStr">
        <is>
          <t>2026-06-08 05:25:27</t>
        </is>
      </c>
      <c r="Y676" t="inlineStr">
        <is>
          <t>27827415868</t>
        </is>
      </c>
    </row>
    <row r="677">
      <c r="A677" t="inlineStr">
        <is>
          <t>14827863</t>
        </is>
      </c>
      <c r="B677" t="inlineStr">
        <is>
          <t>30c631ce-968c-4f79-ba35-153cf615bcd6</t>
        </is>
      </c>
      <c r="D677" t="inlineStr">
        <is>
          <t>111111123</t>
        </is>
      </c>
      <c r="E677" t="inlineStr">
        <is>
          <t>Vodacom Life 20260603</t>
        </is>
      </c>
      <c r="J677" t="inlineStr">
        <is>
          <t>AA</t>
        </is>
      </c>
      <c r="K677" t="inlineStr">
        <is>
          <t>Answering Machine Autodial</t>
        </is>
      </c>
      <c r="L677" t="n">
        <v>7</v>
      </c>
      <c r="M677" t="inlineStr">
        <is>
          <t>2026-06-12 12:41:22</t>
        </is>
      </c>
      <c r="N677" t="inlineStr">
        <is>
          <t>system</t>
        </is>
      </c>
      <c r="O677" t="inlineStr">
        <is>
          <t>2026-06-08 05:25:27</t>
        </is>
      </c>
      <c r="P677" t="inlineStr">
        <is>
          <t>2026-06-08 05:25:27</t>
        </is>
      </c>
      <c r="Y677" t="inlineStr">
        <is>
          <t>27794172039</t>
        </is>
      </c>
    </row>
    <row r="678">
      <c r="A678" t="inlineStr">
        <is>
          <t>14828197</t>
        </is>
      </c>
      <c r="B678" t="inlineStr">
        <is>
          <t>41a08877-29e0-4368-aaaf-9d03e3e765ab</t>
        </is>
      </c>
      <c r="D678" t="inlineStr">
        <is>
          <t>111111123</t>
        </is>
      </c>
      <c r="E678" t="inlineStr">
        <is>
          <t>Vodacom Life 20260603</t>
        </is>
      </c>
      <c r="J678" t="inlineStr">
        <is>
          <t>AA</t>
        </is>
      </c>
      <c r="K678" t="inlineStr">
        <is>
          <t>Answering Machine Autodial</t>
        </is>
      </c>
      <c r="L678" t="n">
        <v>7</v>
      </c>
      <c r="M678" t="inlineStr">
        <is>
          <t>2026-06-12 12:41:22</t>
        </is>
      </c>
      <c r="N678" t="inlineStr">
        <is>
          <t>system</t>
        </is>
      </c>
      <c r="O678" t="inlineStr">
        <is>
          <t>2026-06-08 05:25:27</t>
        </is>
      </c>
      <c r="P678" t="inlineStr">
        <is>
          <t>2026-06-08 05:25:27</t>
        </is>
      </c>
      <c r="Y678" t="inlineStr">
        <is>
          <t>27769114799</t>
        </is>
      </c>
    </row>
    <row r="679">
      <c r="A679" t="inlineStr">
        <is>
          <t>14827817</t>
        </is>
      </c>
      <c r="B679" t="inlineStr">
        <is>
          <t>485048ff-531a-4f91-9f2a-883e5f025c5a</t>
        </is>
      </c>
      <c r="D679" t="inlineStr">
        <is>
          <t>111111123</t>
        </is>
      </c>
      <c r="E679" t="inlineStr">
        <is>
          <t>Vodacom Life 20260603</t>
        </is>
      </c>
      <c r="J679" t="inlineStr">
        <is>
          <t>AA</t>
        </is>
      </c>
      <c r="K679" t="inlineStr">
        <is>
          <t>Answering Machine Autodial</t>
        </is>
      </c>
      <c r="L679" t="n">
        <v>7</v>
      </c>
      <c r="M679" t="inlineStr">
        <is>
          <t>2026-06-12 12:41:21</t>
        </is>
      </c>
      <c r="N679" t="inlineStr">
        <is>
          <t>system</t>
        </is>
      </c>
      <c r="O679" t="inlineStr">
        <is>
          <t>2026-06-08 05:25:27</t>
        </is>
      </c>
      <c r="P679" t="inlineStr">
        <is>
          <t>2026-06-08 05:25:27</t>
        </is>
      </c>
      <c r="Y679" t="inlineStr">
        <is>
          <t>27728228929</t>
        </is>
      </c>
    </row>
    <row r="680">
      <c r="A680" t="inlineStr">
        <is>
          <t>14827845</t>
        </is>
      </c>
      <c r="B680" t="inlineStr">
        <is>
          <t>62815a7f-d3cc-4d3e-9388-e18e93e399e6</t>
        </is>
      </c>
      <c r="D680" t="inlineStr">
        <is>
          <t>111111123</t>
        </is>
      </c>
      <c r="E680" t="inlineStr">
        <is>
          <t>Vodacom Life 20260603</t>
        </is>
      </c>
      <c r="H680" t="inlineStr">
        <is>
          <t>27665332794</t>
        </is>
      </c>
      <c r="J680" t="inlineStr">
        <is>
          <t>DROP</t>
        </is>
      </c>
      <c r="K680" t="inlineStr">
        <is>
          <t>Dropped</t>
        </is>
      </c>
      <c r="L680" t="n">
        <v>7</v>
      </c>
      <c r="M680" t="inlineStr">
        <is>
          <t>2026-06-12 12:41:21</t>
        </is>
      </c>
      <c r="N680" t="inlineStr">
        <is>
          <t>system</t>
        </is>
      </c>
      <c r="O680" t="inlineStr">
        <is>
          <t>2026-06-08 05:25:27</t>
        </is>
      </c>
      <c r="P680" t="inlineStr">
        <is>
          <t>2026-06-08 05:25:27</t>
        </is>
      </c>
      <c r="Y680" t="inlineStr">
        <is>
          <t>27665332794</t>
        </is>
      </c>
    </row>
    <row r="681">
      <c r="A681" t="inlineStr">
        <is>
          <t>14827858</t>
        </is>
      </c>
      <c r="B681" t="inlineStr">
        <is>
          <t>fe0734fa-4e5a-47b8-b12e-0494a1baa803</t>
        </is>
      </c>
      <c r="D681" t="inlineStr">
        <is>
          <t>111111123</t>
        </is>
      </c>
      <c r="E681" t="inlineStr">
        <is>
          <t>Vodacom Life 20260603</t>
        </is>
      </c>
      <c r="H681" t="inlineStr">
        <is>
          <t>27711036389</t>
        </is>
      </c>
      <c r="J681" t="inlineStr">
        <is>
          <t>AE</t>
        </is>
      </c>
      <c r="K681" t="inlineStr">
        <is>
          <t>Auto Engaged</t>
        </is>
      </c>
      <c r="L681" t="n">
        <v>7</v>
      </c>
      <c r="M681" t="inlineStr">
        <is>
          <t>2026-06-12 12:40:03</t>
        </is>
      </c>
      <c r="N681" t="inlineStr">
        <is>
          <t>system</t>
        </is>
      </c>
      <c r="O681" t="inlineStr">
        <is>
          <t>2026-06-08 05:25:27</t>
        </is>
      </c>
      <c r="P681" t="inlineStr">
        <is>
          <t>2026-06-08 05:25:27</t>
        </is>
      </c>
      <c r="Y681" t="inlineStr">
        <is>
          <t>27711036389</t>
        </is>
      </c>
    </row>
    <row r="682">
      <c r="A682" t="inlineStr">
        <is>
          <t>14827852</t>
        </is>
      </c>
      <c r="B682" t="inlineStr">
        <is>
          <t>21f79626-1418-4ac0-b137-36def84e932a</t>
        </is>
      </c>
      <c r="D682" t="inlineStr">
        <is>
          <t>111111123</t>
        </is>
      </c>
      <c r="E682" t="inlineStr">
        <is>
          <t>Vodacom Life 20260603</t>
        </is>
      </c>
      <c r="J682" t="inlineStr">
        <is>
          <t>AE</t>
        </is>
      </c>
      <c r="K682" t="inlineStr">
        <is>
          <t>Auto Engaged</t>
        </is>
      </c>
      <c r="L682" t="n">
        <v>7</v>
      </c>
      <c r="M682" t="inlineStr">
        <is>
          <t>2026-06-12 12:40:02</t>
        </is>
      </c>
      <c r="N682" t="inlineStr">
        <is>
          <t>system</t>
        </is>
      </c>
      <c r="O682" t="inlineStr">
        <is>
          <t>2026-06-08 05:25:27</t>
        </is>
      </c>
      <c r="P682" t="inlineStr">
        <is>
          <t>2026-06-08 05:25:27</t>
        </is>
      </c>
      <c r="Y682" t="inlineStr">
        <is>
          <t>27663237863</t>
        </is>
      </c>
    </row>
    <row r="683">
      <c r="A683" t="inlineStr">
        <is>
          <t>14800000</t>
        </is>
      </c>
      <c r="B683" t="inlineStr">
        <is>
          <t>e3785720-b54f-4bfa-9832-1a00e1b2d838</t>
        </is>
      </c>
      <c r="D683" t="inlineStr">
        <is>
          <t>111111123</t>
        </is>
      </c>
      <c r="E683" t="inlineStr">
        <is>
          <t>Vodacom Life 20260603</t>
        </is>
      </c>
      <c r="J683" t="inlineStr">
        <is>
          <t>AE</t>
        </is>
      </c>
      <c r="K683" t="inlineStr">
        <is>
          <t>Auto Engaged</t>
        </is>
      </c>
      <c r="L683" t="n">
        <v>7</v>
      </c>
      <c r="M683" t="inlineStr">
        <is>
          <t>2026-06-12 12:40:02</t>
        </is>
      </c>
      <c r="N683" t="inlineStr">
        <is>
          <t>system</t>
        </is>
      </c>
      <c r="O683" t="inlineStr">
        <is>
          <t>2026-06-08 05:25:27</t>
        </is>
      </c>
      <c r="P683" t="inlineStr">
        <is>
          <t>2026-06-08 05:25:27</t>
        </is>
      </c>
      <c r="Y683" t="inlineStr">
        <is>
          <t>27715521462</t>
        </is>
      </c>
    </row>
    <row r="684">
      <c r="A684" t="inlineStr">
        <is>
          <t>14828141</t>
        </is>
      </c>
      <c r="B684" t="inlineStr">
        <is>
          <t>5bad6518-c5e1-4e86-a12d-704f6b837173</t>
        </is>
      </c>
      <c r="D684" t="inlineStr">
        <is>
          <t>111111123</t>
        </is>
      </c>
      <c r="E684" t="inlineStr">
        <is>
          <t>Vodacom Life 20260603</t>
        </is>
      </c>
      <c r="H684" t="inlineStr">
        <is>
          <t>27824724306</t>
        </is>
      </c>
      <c r="J684" t="inlineStr">
        <is>
          <t>IABDN</t>
        </is>
      </c>
      <c r="K684" t="inlineStr">
        <is>
          <t>Inbound Abandon</t>
        </is>
      </c>
      <c r="L684" t="n">
        <v>7</v>
      </c>
      <c r="M684" t="inlineStr">
        <is>
          <t>2026-06-12 12:39:19</t>
        </is>
      </c>
      <c r="N684" t="inlineStr">
        <is>
          <t>system</t>
        </is>
      </c>
      <c r="O684" t="inlineStr">
        <is>
          <t>2026-06-08 05:25:27</t>
        </is>
      </c>
      <c r="P684" t="inlineStr">
        <is>
          <t>2026-06-08 05:25:27</t>
        </is>
      </c>
      <c r="Y684" t="inlineStr">
        <is>
          <t>27824724306</t>
        </is>
      </c>
    </row>
    <row r="685">
      <c r="A685" t="inlineStr">
        <is>
          <t>14828107</t>
        </is>
      </c>
      <c r="B685" t="inlineStr">
        <is>
          <t>150d0124-330d-4d95-9761-d56e8b5dbd84</t>
        </is>
      </c>
      <c r="D685" t="inlineStr">
        <is>
          <t>111111123</t>
        </is>
      </c>
      <c r="E685" t="inlineStr">
        <is>
          <t>Vodacom Life 20260603</t>
        </is>
      </c>
      <c r="H685" t="inlineStr">
        <is>
          <t>27765672049</t>
        </is>
      </c>
      <c r="J685" t="inlineStr">
        <is>
          <t>AA</t>
        </is>
      </c>
      <c r="K685" t="inlineStr">
        <is>
          <t>Answering Machine Autodial</t>
        </is>
      </c>
      <c r="L685" t="n">
        <v>7</v>
      </c>
      <c r="M685" t="inlineStr">
        <is>
          <t>2026-06-12 12:38:25</t>
        </is>
      </c>
      <c r="N685" t="inlineStr">
        <is>
          <t>system</t>
        </is>
      </c>
      <c r="O685" t="inlineStr">
        <is>
          <t>2026-06-08 05:25:27</t>
        </is>
      </c>
      <c r="P685" t="inlineStr">
        <is>
          <t>2026-06-08 05:25:27</t>
        </is>
      </c>
      <c r="Y685" t="inlineStr">
        <is>
          <t>27765672049</t>
        </is>
      </c>
    </row>
    <row r="686">
      <c r="A686" t="inlineStr">
        <is>
          <t>14828137</t>
        </is>
      </c>
      <c r="B686" t="inlineStr">
        <is>
          <t>7c434e95-cd76-465e-9150-d870fbf7c4af</t>
        </is>
      </c>
      <c r="D686" t="inlineStr">
        <is>
          <t>111111123</t>
        </is>
      </c>
      <c r="E686" t="inlineStr">
        <is>
          <t>Vodacom Life 20260603</t>
        </is>
      </c>
      <c r="J686" t="inlineStr">
        <is>
          <t>DROP</t>
        </is>
      </c>
      <c r="K686" t="inlineStr">
        <is>
          <t>Dropped</t>
        </is>
      </c>
      <c r="L686" t="n">
        <v>7</v>
      </c>
      <c r="M686" t="inlineStr">
        <is>
          <t>2026-06-12 12:38:25</t>
        </is>
      </c>
      <c r="N686" t="inlineStr">
        <is>
          <t>system</t>
        </is>
      </c>
      <c r="O686" t="inlineStr">
        <is>
          <t>2026-06-08 05:25:27</t>
        </is>
      </c>
      <c r="P686" t="inlineStr">
        <is>
          <t>2026-06-08 05:25:27</t>
        </is>
      </c>
      <c r="Y686" t="inlineStr">
        <is>
          <t>27714338082</t>
        </is>
      </c>
    </row>
    <row r="687">
      <c r="A687" t="inlineStr">
        <is>
          <t>14828138</t>
        </is>
      </c>
      <c r="B687" t="inlineStr">
        <is>
          <t>3163adae-dbb5-4173-a12b-8ccb17b1b2a1</t>
        </is>
      </c>
      <c r="D687" t="inlineStr">
        <is>
          <t>111111123</t>
        </is>
      </c>
      <c r="E687" t="inlineStr">
        <is>
          <t>Vodacom Life 20260603</t>
        </is>
      </c>
      <c r="J687" t="inlineStr">
        <is>
          <t>AE</t>
        </is>
      </c>
      <c r="K687" t="inlineStr">
        <is>
          <t>Auto Engaged</t>
        </is>
      </c>
      <c r="L687" t="n">
        <v>7</v>
      </c>
      <c r="M687" t="inlineStr">
        <is>
          <t>2026-06-12 12:38:23</t>
        </is>
      </c>
      <c r="N687" t="inlineStr">
        <is>
          <t>system</t>
        </is>
      </c>
      <c r="O687" t="inlineStr">
        <is>
          <t>2026-06-08 05:25:27</t>
        </is>
      </c>
      <c r="P687" t="inlineStr">
        <is>
          <t>2026-06-08 05:25:27</t>
        </is>
      </c>
      <c r="Y687" t="inlineStr">
        <is>
          <t>27729739710</t>
        </is>
      </c>
    </row>
    <row r="688">
      <c r="A688" t="inlineStr">
        <is>
          <t>14828143</t>
        </is>
      </c>
      <c r="B688" t="inlineStr">
        <is>
          <t>c36a5b86-3f21-4ff2-b930-7d297d33d620</t>
        </is>
      </c>
      <c r="D688" t="inlineStr">
        <is>
          <t>111111123</t>
        </is>
      </c>
      <c r="E688" t="inlineStr">
        <is>
          <t>Vodacom Life 20260603</t>
        </is>
      </c>
      <c r="J688" t="inlineStr">
        <is>
          <t>AE</t>
        </is>
      </c>
      <c r="K688" t="inlineStr">
        <is>
          <t>Auto Engaged</t>
        </is>
      </c>
      <c r="L688" t="n">
        <v>7</v>
      </c>
      <c r="M688" t="inlineStr">
        <is>
          <t>2026-06-12 12:38:20</t>
        </is>
      </c>
      <c r="N688" t="inlineStr">
        <is>
          <t>system</t>
        </is>
      </c>
      <c r="O688" t="inlineStr">
        <is>
          <t>2026-06-08 05:25:27</t>
        </is>
      </c>
      <c r="P688" t="inlineStr">
        <is>
          <t>2026-06-08 05:25:27</t>
        </is>
      </c>
      <c r="Y688" t="inlineStr">
        <is>
          <t>27648225044</t>
        </is>
      </c>
    </row>
    <row r="689">
      <c r="A689" t="inlineStr">
        <is>
          <t>14828144</t>
        </is>
      </c>
      <c r="B689" t="inlineStr">
        <is>
          <t>a8114bc7-fe1c-4bb0-99c3-b68fea697f08</t>
        </is>
      </c>
      <c r="D689" t="inlineStr">
        <is>
          <t>111111123</t>
        </is>
      </c>
      <c r="E689" t="inlineStr">
        <is>
          <t>Vodacom Life 20260603</t>
        </is>
      </c>
      <c r="J689" t="inlineStr">
        <is>
          <t>AE</t>
        </is>
      </c>
      <c r="K689" t="inlineStr">
        <is>
          <t>Auto Engaged</t>
        </is>
      </c>
      <c r="L689" t="n">
        <v>7</v>
      </c>
      <c r="M689" t="inlineStr">
        <is>
          <t>2026-06-12 12:38:20</t>
        </is>
      </c>
      <c r="N689" t="inlineStr">
        <is>
          <t>system</t>
        </is>
      </c>
      <c r="O689" t="inlineStr">
        <is>
          <t>2026-06-08 05:25:27</t>
        </is>
      </c>
      <c r="P689" t="inlineStr">
        <is>
          <t>2026-06-08 05:25:27</t>
        </is>
      </c>
      <c r="Y689" t="inlineStr">
        <is>
          <t>27722696967</t>
        </is>
      </c>
    </row>
    <row r="690">
      <c r="A690" t="inlineStr">
        <is>
          <t>14828145</t>
        </is>
      </c>
      <c r="B690" t="inlineStr">
        <is>
          <t>b8e41ec3-254e-4820-b785-871d13b64352</t>
        </is>
      </c>
      <c r="D690" t="inlineStr">
        <is>
          <t>111111123</t>
        </is>
      </c>
      <c r="E690" t="inlineStr">
        <is>
          <t>Vodacom Life 20260603</t>
        </is>
      </c>
      <c r="J690" t="inlineStr">
        <is>
          <t>AE</t>
        </is>
      </c>
      <c r="K690" t="inlineStr">
        <is>
          <t>Auto Engaged</t>
        </is>
      </c>
      <c r="L690" t="n">
        <v>7</v>
      </c>
      <c r="M690" t="inlineStr">
        <is>
          <t>2026-06-12 12:38:20</t>
        </is>
      </c>
      <c r="N690" t="inlineStr">
        <is>
          <t>system</t>
        </is>
      </c>
      <c r="O690" t="inlineStr">
        <is>
          <t>2026-06-08 05:25:27</t>
        </is>
      </c>
      <c r="P690" t="inlineStr">
        <is>
          <t>2026-06-08 05:25:27</t>
        </is>
      </c>
      <c r="Y690" t="inlineStr">
        <is>
          <t>27608679067</t>
        </is>
      </c>
    </row>
    <row r="691">
      <c r="A691" t="inlineStr">
        <is>
          <t>14800000</t>
        </is>
      </c>
      <c r="B691" t="inlineStr">
        <is>
          <t>e978ea20-e167-4a5d-855e-2b36f7c01e95</t>
        </is>
      </c>
      <c r="D691" t="inlineStr">
        <is>
          <t>111111123</t>
        </is>
      </c>
      <c r="E691" t="inlineStr">
        <is>
          <t>Vodacom Life 20260603</t>
        </is>
      </c>
      <c r="J691" t="inlineStr">
        <is>
          <t>CU</t>
        </is>
      </c>
      <c r="K691" t="inlineStr">
        <is>
          <t>Client Hung Up</t>
        </is>
      </c>
      <c r="L691" t="n">
        <v>7</v>
      </c>
      <c r="M691" t="inlineStr">
        <is>
          <t>2026-06-12 12:38:20</t>
        </is>
      </c>
      <c r="N691" t="inlineStr">
        <is>
          <t>bongiwe lushaba</t>
        </is>
      </c>
      <c r="O691" t="inlineStr">
        <is>
          <t>2026-06-08 05:25:27</t>
        </is>
      </c>
      <c r="P691" t="inlineStr">
        <is>
          <t>2026-06-08 05:25:27</t>
        </is>
      </c>
      <c r="Y691" t="inlineStr">
        <is>
          <t>27767449093</t>
        </is>
      </c>
    </row>
    <row r="692">
      <c r="A692" t="inlineStr">
        <is>
          <t>14828149</t>
        </is>
      </c>
      <c r="B692" t="inlineStr">
        <is>
          <t>9a8c2dbc-e2a9-4a14-9dec-ca27db1fb290</t>
        </is>
      </c>
      <c r="D692" t="inlineStr">
        <is>
          <t>111111123</t>
        </is>
      </c>
      <c r="E692" t="inlineStr">
        <is>
          <t>Vodacom Life 20260603</t>
        </is>
      </c>
      <c r="H692" t="inlineStr">
        <is>
          <t>27726438337</t>
        </is>
      </c>
      <c r="J692" t="inlineStr">
        <is>
          <t>DROP</t>
        </is>
      </c>
      <c r="K692" t="inlineStr">
        <is>
          <t>Dropped</t>
        </is>
      </c>
      <c r="L692" t="n">
        <v>7</v>
      </c>
      <c r="M692" t="inlineStr">
        <is>
          <t>2026-06-12 12:37:15</t>
        </is>
      </c>
      <c r="N692" t="inlineStr">
        <is>
          <t>system</t>
        </is>
      </c>
      <c r="O692" t="inlineStr">
        <is>
          <t>2026-06-08 05:25:27</t>
        </is>
      </c>
      <c r="P692" t="inlineStr">
        <is>
          <t>2026-06-08 05:25:27</t>
        </is>
      </c>
      <c r="Y692" t="inlineStr">
        <is>
          <t>27726438337</t>
        </is>
      </c>
    </row>
    <row r="693">
      <c r="A693" t="inlineStr">
        <is>
          <t>14828465</t>
        </is>
      </c>
      <c r="B693" t="inlineStr">
        <is>
          <t>527a286d-176d-4992-9b31-198bfb7a6257</t>
        </is>
      </c>
      <c r="D693" t="inlineStr">
        <is>
          <t>111111123</t>
        </is>
      </c>
      <c r="E693" t="inlineStr">
        <is>
          <t>Vodacom Life 20260603</t>
        </is>
      </c>
      <c r="J693" t="inlineStr">
        <is>
          <t>DROP</t>
        </is>
      </c>
      <c r="K693" t="inlineStr">
        <is>
          <t>Dropped</t>
        </is>
      </c>
      <c r="L693" t="n">
        <v>7</v>
      </c>
      <c r="M693" t="inlineStr">
        <is>
          <t>2026-06-12 12:37:13</t>
        </is>
      </c>
      <c r="N693" t="inlineStr">
        <is>
          <t>system</t>
        </is>
      </c>
      <c r="O693" t="inlineStr">
        <is>
          <t>2026-06-08 05:25:27</t>
        </is>
      </c>
      <c r="P693" t="inlineStr">
        <is>
          <t>2026-06-08 05:25:27</t>
        </is>
      </c>
      <c r="Y693" t="inlineStr">
        <is>
          <t>27722059133</t>
        </is>
      </c>
    </row>
    <row r="694">
      <c r="A694" t="inlineStr">
        <is>
          <t>14828155</t>
        </is>
      </c>
      <c r="B694" t="inlineStr">
        <is>
          <t>20a02496-fad6-4cd4-851a-d3414033c7dd</t>
        </is>
      </c>
      <c r="D694" t="inlineStr">
        <is>
          <t>111111123</t>
        </is>
      </c>
      <c r="E694" t="inlineStr">
        <is>
          <t>Vodacom Life 20260603</t>
        </is>
      </c>
      <c r="J694" t="inlineStr">
        <is>
          <t>AE</t>
        </is>
      </c>
      <c r="K694" t="inlineStr">
        <is>
          <t>Auto Engaged</t>
        </is>
      </c>
      <c r="L694" t="n">
        <v>7</v>
      </c>
      <c r="M694" t="inlineStr">
        <is>
          <t>2026-06-12 12:37:12</t>
        </is>
      </c>
      <c r="N694" t="inlineStr">
        <is>
          <t>system</t>
        </is>
      </c>
      <c r="O694" t="inlineStr">
        <is>
          <t>2026-06-08 05:25:27</t>
        </is>
      </c>
      <c r="P694" t="inlineStr">
        <is>
          <t>2026-06-08 05:25:27</t>
        </is>
      </c>
      <c r="Y694" t="inlineStr">
        <is>
          <t>27723967343</t>
        </is>
      </c>
    </row>
    <row r="695">
      <c r="A695" t="inlineStr">
        <is>
          <t>14828158</t>
        </is>
      </c>
      <c r="B695" t="inlineStr">
        <is>
          <t>2f7f708a-b30e-4bae-b244-6913c2188246</t>
        </is>
      </c>
      <c r="D695" t="inlineStr">
        <is>
          <t>111111123</t>
        </is>
      </c>
      <c r="E695" t="inlineStr">
        <is>
          <t>Vodacom Life 20260603</t>
        </is>
      </c>
      <c r="J695" t="inlineStr">
        <is>
          <t>DROP</t>
        </is>
      </c>
      <c r="K695" t="inlineStr">
        <is>
          <t>Dropped</t>
        </is>
      </c>
      <c r="L695" t="n">
        <v>7</v>
      </c>
      <c r="M695" t="inlineStr">
        <is>
          <t>2026-06-12 12:37:10</t>
        </is>
      </c>
      <c r="N695" t="inlineStr">
        <is>
          <t>system</t>
        </is>
      </c>
      <c r="O695" t="inlineStr">
        <is>
          <t>2026-06-08 05:25:27</t>
        </is>
      </c>
      <c r="P695" t="inlineStr">
        <is>
          <t>2026-06-08 05:25:27</t>
        </is>
      </c>
      <c r="Y695" t="inlineStr">
        <is>
          <t>27827309612</t>
        </is>
      </c>
    </row>
    <row r="696">
      <c r="A696" t="inlineStr">
        <is>
          <t>14828160</t>
        </is>
      </c>
      <c r="B696" t="inlineStr">
        <is>
          <t>33cabb6a-0137-4894-9796-f2cf34631a8f</t>
        </is>
      </c>
      <c r="D696" t="inlineStr">
        <is>
          <t>111111123</t>
        </is>
      </c>
      <c r="E696" t="inlineStr">
        <is>
          <t>Vodacom Life 20260603</t>
        </is>
      </c>
      <c r="H696" t="inlineStr">
        <is>
          <t>27714485649</t>
        </is>
      </c>
      <c r="J696" t="inlineStr">
        <is>
          <t>DROP</t>
        </is>
      </c>
      <c r="K696" t="inlineStr">
        <is>
          <t>Dropped</t>
        </is>
      </c>
      <c r="L696" t="n">
        <v>7</v>
      </c>
      <c r="M696" t="inlineStr">
        <is>
          <t>2026-06-12 12:37:10</t>
        </is>
      </c>
      <c r="N696" t="inlineStr">
        <is>
          <t>system</t>
        </is>
      </c>
      <c r="O696" t="inlineStr">
        <is>
          <t>2026-06-08 05:25:27</t>
        </is>
      </c>
      <c r="P696" t="inlineStr">
        <is>
          <t>2026-06-08 05:25:27</t>
        </is>
      </c>
      <c r="Y696" t="inlineStr">
        <is>
          <t>27714485649</t>
        </is>
      </c>
    </row>
    <row r="697">
      <c r="A697" t="inlineStr">
        <is>
          <t>14828169</t>
        </is>
      </c>
      <c r="B697" t="inlineStr">
        <is>
          <t>77be0715-00ec-40d5-b867-b3ad1ea4e090</t>
        </is>
      </c>
      <c r="D697" t="inlineStr">
        <is>
          <t>111111123</t>
        </is>
      </c>
      <c r="E697" t="inlineStr">
        <is>
          <t>Vodacom Life 20260603</t>
        </is>
      </c>
      <c r="J697" t="inlineStr">
        <is>
          <t>AE</t>
        </is>
      </c>
      <c r="K697" t="inlineStr">
        <is>
          <t>Auto Engaged</t>
        </is>
      </c>
      <c r="L697" t="n">
        <v>7</v>
      </c>
      <c r="M697" t="inlineStr">
        <is>
          <t>2026-06-12 12:37:09</t>
        </is>
      </c>
      <c r="N697" t="inlineStr">
        <is>
          <t>system</t>
        </is>
      </c>
      <c r="O697" t="inlineStr">
        <is>
          <t>2026-06-08 05:25:27</t>
        </is>
      </c>
      <c r="P697" t="inlineStr">
        <is>
          <t>2026-06-08 05:25:27</t>
        </is>
      </c>
      <c r="Y697" t="inlineStr">
        <is>
          <t>27722601967</t>
        </is>
      </c>
    </row>
    <row r="698">
      <c r="A698" t="inlineStr">
        <is>
          <t>14827828</t>
        </is>
      </c>
      <c r="B698" t="inlineStr">
        <is>
          <t>c27f916a-bb55-45b3-b35a-1230ab3063c5</t>
        </is>
      </c>
      <c r="D698" t="inlineStr">
        <is>
          <t>111111123</t>
        </is>
      </c>
      <c r="E698" t="inlineStr">
        <is>
          <t>Vodacom Life 20260603</t>
        </is>
      </c>
      <c r="J698" t="inlineStr">
        <is>
          <t>AE</t>
        </is>
      </c>
      <c r="K698" t="inlineStr">
        <is>
          <t>Auto Engaged</t>
        </is>
      </c>
      <c r="L698" t="n">
        <v>7</v>
      </c>
      <c r="M698" t="inlineStr">
        <is>
          <t>2026-06-12 12:37:08</t>
        </is>
      </c>
      <c r="N698" t="inlineStr">
        <is>
          <t>system</t>
        </is>
      </c>
      <c r="O698" t="inlineStr">
        <is>
          <t>2026-06-08 05:25:27</t>
        </is>
      </c>
      <c r="P698" t="inlineStr">
        <is>
          <t>2026-06-08 05:25:27</t>
        </is>
      </c>
      <c r="Y698" t="inlineStr">
        <is>
          <t>27724096089</t>
        </is>
      </c>
    </row>
    <row r="699">
      <c r="A699" t="inlineStr">
        <is>
          <t>14828170</t>
        </is>
      </c>
      <c r="B699" t="inlineStr">
        <is>
          <t>ba77748e-f683-4a2c-a364-997698a82ea8</t>
        </is>
      </c>
      <c r="D699" t="inlineStr">
        <is>
          <t>111111123</t>
        </is>
      </c>
      <c r="E699" t="inlineStr">
        <is>
          <t>Vodacom Life 20260603</t>
        </is>
      </c>
      <c r="J699" t="inlineStr">
        <is>
          <t>CU</t>
        </is>
      </c>
      <c r="K699" t="inlineStr">
        <is>
          <t>Client Hung Up</t>
        </is>
      </c>
      <c r="L699" t="n">
        <v>7</v>
      </c>
      <c r="M699" t="inlineStr">
        <is>
          <t>2026-06-12 12:37:08</t>
        </is>
      </c>
      <c r="N699" t="inlineStr">
        <is>
          <t>bongiwe lushaba</t>
        </is>
      </c>
      <c r="O699" t="inlineStr">
        <is>
          <t>2026-06-08 05:25:27</t>
        </is>
      </c>
      <c r="P699" t="inlineStr">
        <is>
          <t>2026-06-08 05:25:27</t>
        </is>
      </c>
      <c r="Y699" t="inlineStr">
        <is>
          <t>27797420910</t>
        </is>
      </c>
    </row>
    <row r="700">
      <c r="A700" t="inlineStr">
        <is>
          <t>14828176</t>
        </is>
      </c>
      <c r="B700" t="inlineStr">
        <is>
          <t>d8f2b844-af4b-4122-a202-0d70363e0707</t>
        </is>
      </c>
      <c r="D700" t="inlineStr">
        <is>
          <t>111111123</t>
        </is>
      </c>
      <c r="E700" t="inlineStr">
        <is>
          <t>Vodacom Life 20260603</t>
        </is>
      </c>
      <c r="J700" t="inlineStr">
        <is>
          <t>AE</t>
        </is>
      </c>
      <c r="K700" t="inlineStr">
        <is>
          <t>Auto Engaged</t>
        </is>
      </c>
      <c r="L700" t="n">
        <v>7</v>
      </c>
      <c r="M700" t="inlineStr">
        <is>
          <t>2026-06-12 12:37:08</t>
        </is>
      </c>
      <c r="N700" t="inlineStr">
        <is>
          <t>system</t>
        </is>
      </c>
      <c r="O700" t="inlineStr">
        <is>
          <t>2026-06-08 05:25:27</t>
        </is>
      </c>
      <c r="P700" t="inlineStr">
        <is>
          <t>2026-06-08 05:25:27</t>
        </is>
      </c>
      <c r="Y700" t="inlineStr">
        <is>
          <t>27769515576</t>
        </is>
      </c>
    </row>
    <row r="701">
      <c r="A701" t="inlineStr">
        <is>
          <t>14827834</t>
        </is>
      </c>
      <c r="B701" t="inlineStr">
        <is>
          <t>3f9f9bee-d74a-4743-81ac-72e5bb4335f5</t>
        </is>
      </c>
      <c r="D701" t="inlineStr">
        <is>
          <t>111111123</t>
        </is>
      </c>
      <c r="E701" t="inlineStr">
        <is>
          <t>Vodacom Life 20260603</t>
        </is>
      </c>
      <c r="J701" t="inlineStr">
        <is>
          <t>AA</t>
        </is>
      </c>
      <c r="K701" t="inlineStr">
        <is>
          <t>Answering Machine Autodial</t>
        </is>
      </c>
      <c r="L701" t="n">
        <v>7</v>
      </c>
      <c r="M701" t="inlineStr">
        <is>
          <t>2026-06-12 12:36:56</t>
        </is>
      </c>
      <c r="N701" t="inlineStr">
        <is>
          <t>system</t>
        </is>
      </c>
      <c r="O701" t="inlineStr">
        <is>
          <t>2026-06-08 05:25:27</t>
        </is>
      </c>
      <c r="P701" t="inlineStr">
        <is>
          <t>2026-06-08 05:25:27</t>
        </is>
      </c>
      <c r="Y701" t="inlineStr">
        <is>
          <t>27792651350</t>
        </is>
      </c>
    </row>
    <row r="702">
      <c r="A702" t="inlineStr">
        <is>
          <t>14827836</t>
        </is>
      </c>
      <c r="B702" t="inlineStr">
        <is>
          <t>2d0ffde4-9ed1-4206-b1db-362a9a314602</t>
        </is>
      </c>
      <c r="D702" t="inlineStr">
        <is>
          <t>111111123</t>
        </is>
      </c>
      <c r="E702" t="inlineStr">
        <is>
          <t>Vodacom Life 20260603</t>
        </is>
      </c>
      <c r="J702" t="inlineStr">
        <is>
          <t>AE</t>
        </is>
      </c>
      <c r="K702" t="inlineStr">
        <is>
          <t>Auto Engaged</t>
        </is>
      </c>
      <c r="L702" t="n">
        <v>7</v>
      </c>
      <c r="M702" t="inlineStr">
        <is>
          <t>2026-06-12 12:36:55</t>
        </is>
      </c>
      <c r="N702" t="inlineStr">
        <is>
          <t>system</t>
        </is>
      </c>
      <c r="O702" t="inlineStr">
        <is>
          <t>2026-06-08 05:25:27</t>
        </is>
      </c>
      <c r="P702" t="inlineStr">
        <is>
          <t>2026-06-08 05:25:27</t>
        </is>
      </c>
      <c r="Y702" t="inlineStr">
        <is>
          <t>27793700719</t>
        </is>
      </c>
    </row>
    <row r="703">
      <c r="A703" t="inlineStr">
        <is>
          <t>14827839</t>
        </is>
      </c>
      <c r="B703" t="inlineStr">
        <is>
          <t>76001104-cdaa-4d23-9901-203bf280417a</t>
        </is>
      </c>
      <c r="D703" t="inlineStr">
        <is>
          <t>111111123</t>
        </is>
      </c>
      <c r="E703" t="inlineStr">
        <is>
          <t>Vodacom Life 20260603</t>
        </is>
      </c>
      <c r="J703" t="inlineStr">
        <is>
          <t>AE</t>
        </is>
      </c>
      <c r="K703" t="inlineStr">
        <is>
          <t>Auto Engaged</t>
        </is>
      </c>
      <c r="L703" t="n">
        <v>7</v>
      </c>
      <c r="M703" t="inlineStr">
        <is>
          <t>2026-06-12 12:36:51</t>
        </is>
      </c>
      <c r="N703" t="inlineStr">
        <is>
          <t>system</t>
        </is>
      </c>
      <c r="O703" t="inlineStr">
        <is>
          <t>2026-06-08 05:25:27</t>
        </is>
      </c>
      <c r="P703" t="inlineStr">
        <is>
          <t>2026-06-08 05:25:27</t>
        </is>
      </c>
      <c r="Y703" t="inlineStr">
        <is>
          <t>27762466231</t>
        </is>
      </c>
    </row>
    <row r="704">
      <c r="A704" t="inlineStr">
        <is>
          <t>14800000</t>
        </is>
      </c>
      <c r="B704" t="inlineStr">
        <is>
          <t>05e38986-95ca-4934-8404-5cf892496b06</t>
        </is>
      </c>
      <c r="D704" t="inlineStr">
        <is>
          <t>111111123</t>
        </is>
      </c>
      <c r="E704" t="inlineStr">
        <is>
          <t>Vodacom Life 20260603</t>
        </is>
      </c>
      <c r="H704" t="inlineStr">
        <is>
          <t>27790802767</t>
        </is>
      </c>
      <c r="J704" t="inlineStr">
        <is>
          <t>AA</t>
        </is>
      </c>
      <c r="K704" t="inlineStr">
        <is>
          <t>Answering Machine Autodial</t>
        </is>
      </c>
      <c r="L704" t="n">
        <v>7</v>
      </c>
      <c r="M704" t="inlineStr">
        <is>
          <t>2026-06-12 12:36:50</t>
        </is>
      </c>
      <c r="N704" t="inlineStr">
        <is>
          <t>system</t>
        </is>
      </c>
      <c r="O704" t="inlineStr">
        <is>
          <t>2026-06-08 05:25:27</t>
        </is>
      </c>
      <c r="P704" t="inlineStr">
        <is>
          <t>2026-06-08 05:25:27</t>
        </is>
      </c>
      <c r="Y704" t="inlineStr">
        <is>
          <t>27790802767</t>
        </is>
      </c>
    </row>
    <row r="705">
      <c r="A705" t="inlineStr">
        <is>
          <t>14827851</t>
        </is>
      </c>
      <c r="B705" t="inlineStr">
        <is>
          <t>b5225564-ee43-4a50-bcef-fc50c4beb158</t>
        </is>
      </c>
      <c r="D705" t="inlineStr">
        <is>
          <t>111111123</t>
        </is>
      </c>
      <c r="E705" t="inlineStr">
        <is>
          <t>Vodacom Life 20260603</t>
        </is>
      </c>
      <c r="J705" t="inlineStr">
        <is>
          <t>A</t>
        </is>
      </c>
      <c r="K705" t="inlineStr">
        <is>
          <t>Answering Machine</t>
        </is>
      </c>
      <c r="L705" t="n">
        <v>7</v>
      </c>
      <c r="M705" t="inlineStr">
        <is>
          <t>2026-06-12 12:36:50</t>
        </is>
      </c>
      <c r="N705" t="inlineStr">
        <is>
          <t>Musiiwa Mary Mabirimisa</t>
        </is>
      </c>
      <c r="O705" t="inlineStr">
        <is>
          <t>2026-06-08 05:25:27</t>
        </is>
      </c>
      <c r="P705" t="inlineStr">
        <is>
          <t>2026-06-08 05:25:27</t>
        </is>
      </c>
      <c r="Y705" t="inlineStr">
        <is>
          <t>27660556199</t>
        </is>
      </c>
    </row>
    <row r="706">
      <c r="A706" t="inlineStr">
        <is>
          <t>14827857</t>
        </is>
      </c>
      <c r="B706" t="inlineStr">
        <is>
          <t>d514bedb-2d4a-42f8-8aee-0845f026f130</t>
        </is>
      </c>
      <c r="D706" t="inlineStr">
        <is>
          <t>111111123</t>
        </is>
      </c>
      <c r="E706" t="inlineStr">
        <is>
          <t>Vodacom Life 20260603</t>
        </is>
      </c>
      <c r="J706" t="inlineStr">
        <is>
          <t>AE</t>
        </is>
      </c>
      <c r="K706" t="inlineStr">
        <is>
          <t>Auto Engaged</t>
        </is>
      </c>
      <c r="L706" t="n">
        <v>7</v>
      </c>
      <c r="M706" t="inlineStr">
        <is>
          <t>2026-06-12 12:36:39</t>
        </is>
      </c>
      <c r="N706" t="inlineStr">
        <is>
          <t>system</t>
        </is>
      </c>
      <c r="O706" t="inlineStr">
        <is>
          <t>2026-06-08 05:25:27</t>
        </is>
      </c>
      <c r="P706" t="inlineStr">
        <is>
          <t>2026-06-08 05:25:27</t>
        </is>
      </c>
      <c r="Y706" t="inlineStr">
        <is>
          <t>27674814169</t>
        </is>
      </c>
    </row>
    <row r="707">
      <c r="A707" t="inlineStr">
        <is>
          <t>14828452</t>
        </is>
      </c>
      <c r="B707" t="inlineStr">
        <is>
          <t>69ab6e3b-9e8d-4030-a6f2-27d57c62a9a4</t>
        </is>
      </c>
      <c r="D707" t="inlineStr">
        <is>
          <t>111111123</t>
        </is>
      </c>
      <c r="E707" t="inlineStr">
        <is>
          <t>Vodacom Life 20260603</t>
        </is>
      </c>
      <c r="J707" t="inlineStr">
        <is>
          <t>AA</t>
        </is>
      </c>
      <c r="K707" t="inlineStr">
        <is>
          <t>Answering Machine Autodial</t>
        </is>
      </c>
      <c r="L707" t="n">
        <v>7</v>
      </c>
      <c r="M707" t="inlineStr">
        <is>
          <t>2026-06-12 12:36:29</t>
        </is>
      </c>
      <c r="N707" t="inlineStr">
        <is>
          <t>system</t>
        </is>
      </c>
      <c r="O707" t="inlineStr">
        <is>
          <t>2026-06-08 05:25:27</t>
        </is>
      </c>
      <c r="P707" t="inlineStr">
        <is>
          <t>2026-06-08 05:25:27</t>
        </is>
      </c>
      <c r="Y707" t="inlineStr">
        <is>
          <t>27673469776</t>
        </is>
      </c>
    </row>
    <row r="708">
      <c r="A708" t="inlineStr">
        <is>
          <t>14828033</t>
        </is>
      </c>
      <c r="B708" t="inlineStr">
        <is>
          <t>a772845e-4761-456f-89c9-bf08c7ce1722</t>
        </is>
      </c>
      <c r="D708" t="inlineStr">
        <is>
          <t>111111123</t>
        </is>
      </c>
      <c r="E708" t="inlineStr">
        <is>
          <t>Vodacom Life 20260603</t>
        </is>
      </c>
      <c r="J708" t="inlineStr">
        <is>
          <t>AE</t>
        </is>
      </c>
      <c r="K708" t="inlineStr">
        <is>
          <t>Auto Engaged</t>
        </is>
      </c>
      <c r="L708" t="n">
        <v>7</v>
      </c>
      <c r="M708" t="inlineStr">
        <is>
          <t>2026-06-12 12:36:27</t>
        </is>
      </c>
      <c r="N708" t="inlineStr">
        <is>
          <t>system</t>
        </is>
      </c>
      <c r="O708" t="inlineStr">
        <is>
          <t>2026-06-08 05:25:27</t>
        </is>
      </c>
      <c r="P708" t="inlineStr">
        <is>
          <t>2026-06-08 05:25:27</t>
        </is>
      </c>
      <c r="Y708" t="inlineStr">
        <is>
          <t>27791615359</t>
        </is>
      </c>
    </row>
    <row r="709">
      <c r="A709" t="inlineStr">
        <is>
          <t>14828043</t>
        </is>
      </c>
      <c r="B709" t="inlineStr">
        <is>
          <t>25d03c7a-a5a2-4885-b7a8-597340b7adbe</t>
        </is>
      </c>
      <c r="D709" t="inlineStr">
        <is>
          <t>111111123</t>
        </is>
      </c>
      <c r="E709" t="inlineStr">
        <is>
          <t>Vodacom Life 20260603</t>
        </is>
      </c>
      <c r="J709" t="inlineStr">
        <is>
          <t>A</t>
        </is>
      </c>
      <c r="K709" t="inlineStr">
        <is>
          <t>Answering Machine</t>
        </is>
      </c>
      <c r="L709" t="n">
        <v>7</v>
      </c>
      <c r="M709" t="inlineStr">
        <is>
          <t>2026-06-12 12:36:25</t>
        </is>
      </c>
      <c r="N709" t="inlineStr">
        <is>
          <t>Musiiwa Mary Mabirimisa</t>
        </is>
      </c>
      <c r="O709" t="inlineStr">
        <is>
          <t>2026-06-08 05:25:27</t>
        </is>
      </c>
      <c r="P709" t="inlineStr">
        <is>
          <t>2026-06-08 05:25:27</t>
        </is>
      </c>
      <c r="Y709" t="inlineStr">
        <is>
          <t>27727114521</t>
        </is>
      </c>
    </row>
    <row r="710">
      <c r="A710" t="inlineStr">
        <is>
          <t>14828048</t>
        </is>
      </c>
      <c r="B710" t="inlineStr">
        <is>
          <t>1f686aa1-0e40-427e-8c86-c00fc98f6b91</t>
        </is>
      </c>
      <c r="D710" t="inlineStr">
        <is>
          <t>111111123</t>
        </is>
      </c>
      <c r="E710" t="inlineStr">
        <is>
          <t>Vodacom Life 20260603</t>
        </is>
      </c>
      <c r="J710" t="inlineStr">
        <is>
          <t>AE</t>
        </is>
      </c>
      <c r="K710" t="inlineStr">
        <is>
          <t>Auto Engaged</t>
        </is>
      </c>
      <c r="L710" t="n">
        <v>7</v>
      </c>
      <c r="M710" t="inlineStr">
        <is>
          <t>2026-06-12 12:36:22</t>
        </is>
      </c>
      <c r="N710" t="inlineStr">
        <is>
          <t>system</t>
        </is>
      </c>
      <c r="O710" t="inlineStr">
        <is>
          <t>2026-06-08 05:25:27</t>
        </is>
      </c>
      <c r="P710" t="inlineStr">
        <is>
          <t>2026-06-08 05:25:27</t>
        </is>
      </c>
      <c r="Y710" t="inlineStr">
        <is>
          <t>27763388563</t>
        </is>
      </c>
    </row>
    <row r="711">
      <c r="A711" t="inlineStr">
        <is>
          <t>14828059</t>
        </is>
      </c>
      <c r="B711" t="inlineStr">
        <is>
          <t>0ad54997-e190-4883-8973-7de1b659ca3b</t>
        </is>
      </c>
      <c r="D711" t="inlineStr">
        <is>
          <t>111111123</t>
        </is>
      </c>
      <c r="E711" t="inlineStr">
        <is>
          <t>Vodacom Life 20260603</t>
        </is>
      </c>
      <c r="J711" t="inlineStr">
        <is>
          <t>TDN</t>
        </is>
      </c>
      <c r="K711" t="inlineStr">
        <is>
          <t>Temporary Disconnected Number</t>
        </is>
      </c>
      <c r="L711" t="n">
        <v>7</v>
      </c>
      <c r="M711" t="inlineStr">
        <is>
          <t>2026-06-12 12:36:10</t>
        </is>
      </c>
      <c r="N711" t="inlineStr">
        <is>
          <t>system</t>
        </is>
      </c>
      <c r="O711" t="inlineStr">
        <is>
          <t>2026-06-08 05:25:27</t>
        </is>
      </c>
      <c r="P711" t="inlineStr">
        <is>
          <t>2026-06-08 05:25:27</t>
        </is>
      </c>
      <c r="Y711" t="inlineStr">
        <is>
          <t>27673437015</t>
        </is>
      </c>
    </row>
    <row r="712">
      <c r="A712" t="inlineStr">
        <is>
          <t>14828060</t>
        </is>
      </c>
      <c r="B712" t="inlineStr">
        <is>
          <t>85989f9b-5135-4e16-b7ef-cf097eba58b5</t>
        </is>
      </c>
      <c r="D712" t="inlineStr">
        <is>
          <t>111111123</t>
        </is>
      </c>
      <c r="E712" t="inlineStr">
        <is>
          <t>Vodacom Life 20260603</t>
        </is>
      </c>
      <c r="J712" t="inlineStr">
        <is>
          <t>AE</t>
        </is>
      </c>
      <c r="K712" t="inlineStr">
        <is>
          <t>Auto Engaged</t>
        </is>
      </c>
      <c r="L712" t="n">
        <v>7</v>
      </c>
      <c r="M712" t="inlineStr">
        <is>
          <t>2026-06-12 12:36:07</t>
        </is>
      </c>
      <c r="N712" t="inlineStr">
        <is>
          <t>system</t>
        </is>
      </c>
      <c r="O712" t="inlineStr">
        <is>
          <t>2026-06-08 05:25:27</t>
        </is>
      </c>
      <c r="P712" t="inlineStr">
        <is>
          <t>2026-06-08 05:25:27</t>
        </is>
      </c>
      <c r="Y712" t="inlineStr">
        <is>
          <t>27762311337</t>
        </is>
      </c>
    </row>
    <row r="713">
      <c r="A713" t="inlineStr">
        <is>
          <t>14828078</t>
        </is>
      </c>
      <c r="B713" t="inlineStr">
        <is>
          <t>e31f9f7a-e554-4ecf-af1d-06df03b4fc34</t>
        </is>
      </c>
      <c r="D713" t="inlineStr">
        <is>
          <t>111111123</t>
        </is>
      </c>
      <c r="E713" t="inlineStr">
        <is>
          <t>Vodacom Life 20260603</t>
        </is>
      </c>
      <c r="J713" t="inlineStr">
        <is>
          <t>AA</t>
        </is>
      </c>
      <c r="K713" t="inlineStr">
        <is>
          <t>Answering Machine Autodial</t>
        </is>
      </c>
      <c r="L713" t="n">
        <v>7</v>
      </c>
      <c r="M713" t="inlineStr">
        <is>
          <t>2026-06-12 12:36:06</t>
        </is>
      </c>
      <c r="N713" t="inlineStr">
        <is>
          <t>system</t>
        </is>
      </c>
      <c r="O713" t="inlineStr">
        <is>
          <t>2026-06-08 05:25:27</t>
        </is>
      </c>
      <c r="P713" t="inlineStr">
        <is>
          <t>2026-06-08 05:25:27</t>
        </is>
      </c>
      <c r="Y713" t="inlineStr">
        <is>
          <t>27795626454</t>
        </is>
      </c>
    </row>
    <row r="714">
      <c r="A714" t="inlineStr">
        <is>
          <t>14828084</t>
        </is>
      </c>
      <c r="B714" t="inlineStr">
        <is>
          <t>7551bcec-ac76-4c93-a846-d0803ab47eaa</t>
        </is>
      </c>
      <c r="D714" t="inlineStr">
        <is>
          <t>111111123</t>
        </is>
      </c>
      <c r="E714" t="inlineStr">
        <is>
          <t>Vodacom Life 20260603</t>
        </is>
      </c>
      <c r="J714" t="inlineStr">
        <is>
          <t>AE</t>
        </is>
      </c>
      <c r="K714" t="inlineStr">
        <is>
          <t>Auto Engaged</t>
        </is>
      </c>
      <c r="L714" t="n">
        <v>7</v>
      </c>
      <c r="M714" t="inlineStr">
        <is>
          <t>2026-06-12 12:36:04</t>
        </is>
      </c>
      <c r="N714" t="inlineStr">
        <is>
          <t>system</t>
        </is>
      </c>
      <c r="O714" t="inlineStr">
        <is>
          <t>2026-06-08 05:25:27</t>
        </is>
      </c>
      <c r="P714" t="inlineStr">
        <is>
          <t>2026-06-08 05:25:27</t>
        </is>
      </c>
      <c r="Y714" t="inlineStr">
        <is>
          <t>27661185652</t>
        </is>
      </c>
    </row>
    <row r="715">
      <c r="A715" t="inlineStr">
        <is>
          <t>14828097</t>
        </is>
      </c>
      <c r="B715" t="inlineStr">
        <is>
          <t>2e08c278-a85b-44f7-9173-dbfc560b4d45</t>
        </is>
      </c>
      <c r="D715" t="inlineStr">
        <is>
          <t>111111123</t>
        </is>
      </c>
      <c r="E715" t="inlineStr">
        <is>
          <t>Vodacom Life 20260603</t>
        </is>
      </c>
      <c r="H715" t="inlineStr">
        <is>
          <t>27723809558</t>
        </is>
      </c>
      <c r="J715" t="inlineStr">
        <is>
          <t>CCB</t>
        </is>
      </c>
      <c r="K715" t="inlineStr">
        <is>
          <t>Call Dropped</t>
        </is>
      </c>
      <c r="L715" t="n">
        <v>7</v>
      </c>
      <c r="M715" t="inlineStr">
        <is>
          <t>2026-06-12 12:36:04</t>
        </is>
      </c>
      <c r="N715" t="inlineStr">
        <is>
          <t>Khensane Mabasa</t>
        </is>
      </c>
      <c r="O715" t="inlineStr">
        <is>
          <t>2026-06-08 05:25:27</t>
        </is>
      </c>
      <c r="P715" t="inlineStr">
        <is>
          <t>2026-06-08 05:25:27</t>
        </is>
      </c>
      <c r="Y715" t="inlineStr">
        <is>
          <t>27723809558</t>
        </is>
      </c>
    </row>
    <row r="716">
      <c r="A716" t="inlineStr">
        <is>
          <t>14828106</t>
        </is>
      </c>
      <c r="B716" t="inlineStr">
        <is>
          <t>2d57b34d-59c5-40df-920b-f31e1f13b974</t>
        </is>
      </c>
      <c r="D716" t="inlineStr">
        <is>
          <t>111111123</t>
        </is>
      </c>
      <c r="E716" t="inlineStr">
        <is>
          <t>Vodacom Life 20260603</t>
        </is>
      </c>
      <c r="H716" t="inlineStr">
        <is>
          <t>27721427252</t>
        </is>
      </c>
      <c r="J716" t="inlineStr">
        <is>
          <t>AE</t>
        </is>
      </c>
      <c r="K716" t="inlineStr">
        <is>
          <t>Auto Engaged</t>
        </is>
      </c>
      <c r="L716" t="n">
        <v>7</v>
      </c>
      <c r="M716" t="inlineStr">
        <is>
          <t>2026-06-12 12:36:02</t>
        </is>
      </c>
      <c r="N716" t="inlineStr">
        <is>
          <t>system</t>
        </is>
      </c>
      <c r="O716" t="inlineStr">
        <is>
          <t>2026-06-08 05:25:27</t>
        </is>
      </c>
      <c r="P716" t="inlineStr">
        <is>
          <t>2026-06-08 05:25:27</t>
        </is>
      </c>
      <c r="Y716" t="inlineStr">
        <is>
          <t>27721427252</t>
        </is>
      </c>
    </row>
    <row r="717">
      <c r="A717" t="inlineStr">
        <is>
          <t>14828110</t>
        </is>
      </c>
      <c r="B717" t="inlineStr">
        <is>
          <t>580a2a01-2500-4ea2-a194-422fd63a5501</t>
        </is>
      </c>
      <c r="D717" t="inlineStr">
        <is>
          <t>111111123</t>
        </is>
      </c>
      <c r="E717" t="inlineStr">
        <is>
          <t>Vodacom Life 20260603</t>
        </is>
      </c>
      <c r="J717" t="inlineStr">
        <is>
          <t>AE</t>
        </is>
      </c>
      <c r="K717" t="inlineStr">
        <is>
          <t>Auto Engaged</t>
        </is>
      </c>
      <c r="L717" t="n">
        <v>7</v>
      </c>
      <c r="M717" t="inlineStr">
        <is>
          <t>2026-06-12 12:36:01</t>
        </is>
      </c>
      <c r="N717" t="inlineStr">
        <is>
          <t>system</t>
        </is>
      </c>
      <c r="O717" t="inlineStr">
        <is>
          <t>2026-06-08 05:25:27</t>
        </is>
      </c>
      <c r="P717" t="inlineStr">
        <is>
          <t>2026-06-08 05:25:27</t>
        </is>
      </c>
      <c r="Y717" t="inlineStr">
        <is>
          <t>27611516699</t>
        </is>
      </c>
    </row>
    <row r="718">
      <c r="A718" t="inlineStr">
        <is>
          <t>14828114</t>
        </is>
      </c>
      <c r="B718" t="inlineStr">
        <is>
          <t>a384be38-c06f-4b29-b2f2-744e90d831fc</t>
        </is>
      </c>
      <c r="D718" t="inlineStr">
        <is>
          <t>111111123</t>
        </is>
      </c>
      <c r="E718" t="inlineStr">
        <is>
          <t>Vodacom Life 20260603</t>
        </is>
      </c>
      <c r="J718" t="inlineStr">
        <is>
          <t>AE</t>
        </is>
      </c>
      <c r="K718" t="inlineStr">
        <is>
          <t>Auto Engaged</t>
        </is>
      </c>
      <c r="L718" t="n">
        <v>7</v>
      </c>
      <c r="M718" t="inlineStr">
        <is>
          <t>2026-06-12 12:36:01</t>
        </is>
      </c>
      <c r="N718" t="inlineStr">
        <is>
          <t>system</t>
        </is>
      </c>
      <c r="O718" t="inlineStr">
        <is>
          <t>2026-06-08 05:25:27</t>
        </is>
      </c>
      <c r="P718" t="inlineStr">
        <is>
          <t>2026-06-08 05:25:27</t>
        </is>
      </c>
      <c r="Y718" t="inlineStr">
        <is>
          <t>27829400143</t>
        </is>
      </c>
    </row>
    <row r="719">
      <c r="A719" t="inlineStr">
        <is>
          <t>14828115</t>
        </is>
      </c>
      <c r="B719" t="inlineStr">
        <is>
          <t>24ce77ee-bfcd-4175-aafe-91b5870226c2</t>
        </is>
      </c>
      <c r="D719" t="inlineStr">
        <is>
          <t>111111123</t>
        </is>
      </c>
      <c r="E719" t="inlineStr">
        <is>
          <t>Vodacom Life 20260603</t>
        </is>
      </c>
      <c r="H719" t="inlineStr">
        <is>
          <t>27608411472</t>
        </is>
      </c>
      <c r="J719" t="inlineStr">
        <is>
          <t>CBACK</t>
        </is>
      </c>
      <c r="K719" t="inlineStr">
        <is>
          <t>Callback</t>
        </is>
      </c>
      <c r="L719" t="n">
        <v>7</v>
      </c>
      <c r="M719" t="inlineStr">
        <is>
          <t>2026-06-12 12:36:01</t>
        </is>
      </c>
      <c r="N719" t="inlineStr">
        <is>
          <t>bongiwe lushaba</t>
        </is>
      </c>
      <c r="O719" t="inlineStr">
        <is>
          <t>2026-06-08 05:25:27</t>
        </is>
      </c>
      <c r="P719" t="inlineStr">
        <is>
          <t>2026-06-08 05:25:27</t>
        </is>
      </c>
      <c r="Y719" t="inlineStr">
        <is>
          <t>27608411472</t>
        </is>
      </c>
    </row>
    <row r="720">
      <c r="A720" t="inlineStr">
        <is>
          <t>14828118</t>
        </is>
      </c>
      <c r="B720" t="inlineStr">
        <is>
          <t>a98b7d53-637a-4bbe-907b-c19027d8c3fa</t>
        </is>
      </c>
      <c r="D720" t="inlineStr">
        <is>
          <t>111111123</t>
        </is>
      </c>
      <c r="E720" t="inlineStr">
        <is>
          <t>Vodacom Life 20260603</t>
        </is>
      </c>
      <c r="J720" t="inlineStr">
        <is>
          <t>AE</t>
        </is>
      </c>
      <c r="K720" t="inlineStr">
        <is>
          <t>Auto Engaged</t>
        </is>
      </c>
      <c r="L720" t="n">
        <v>7</v>
      </c>
      <c r="M720" t="inlineStr">
        <is>
          <t>2026-06-12 12:35:25</t>
        </is>
      </c>
      <c r="N720" t="inlineStr">
        <is>
          <t>system</t>
        </is>
      </c>
      <c r="O720" t="inlineStr">
        <is>
          <t>2026-06-08 05:25:27</t>
        </is>
      </c>
      <c r="P720" t="inlineStr">
        <is>
          <t>2026-06-08 05:25:27</t>
        </is>
      </c>
      <c r="Y720" t="inlineStr">
        <is>
          <t>27636271163</t>
        </is>
      </c>
    </row>
    <row r="721">
      <c r="A721" t="inlineStr">
        <is>
          <t>14828120</t>
        </is>
      </c>
      <c r="B721" t="inlineStr">
        <is>
          <t>d7dfc04f-4fdd-4653-9401-3b942bd515a6</t>
        </is>
      </c>
      <c r="D721" t="inlineStr">
        <is>
          <t>111111123</t>
        </is>
      </c>
      <c r="E721" t="inlineStr">
        <is>
          <t>Vodacom Life 20260603</t>
        </is>
      </c>
      <c r="J721" t="inlineStr">
        <is>
          <t>AA</t>
        </is>
      </c>
      <c r="K721" t="inlineStr">
        <is>
          <t>Answering Machine Autodial</t>
        </is>
      </c>
      <c r="L721" t="n">
        <v>7</v>
      </c>
      <c r="M721" t="inlineStr">
        <is>
          <t>2026-06-12 12:35:02</t>
        </is>
      </c>
      <c r="N721" t="inlineStr">
        <is>
          <t>system</t>
        </is>
      </c>
      <c r="O721" t="inlineStr">
        <is>
          <t>2026-06-08 05:25:27</t>
        </is>
      </c>
      <c r="P721" t="inlineStr">
        <is>
          <t>2026-06-08 05:25:27</t>
        </is>
      </c>
      <c r="Y721" t="inlineStr">
        <is>
          <t>27661387379</t>
        </is>
      </c>
    </row>
    <row r="722">
      <c r="A722" t="inlineStr">
        <is>
          <t>14828121</t>
        </is>
      </c>
      <c r="B722" t="inlineStr">
        <is>
          <t>e55b28d7-0855-4bae-8082-dc7958cf9572</t>
        </is>
      </c>
      <c r="D722" t="inlineStr">
        <is>
          <t>111111123</t>
        </is>
      </c>
      <c r="E722" t="inlineStr">
        <is>
          <t>Vodacom Life 20260603</t>
        </is>
      </c>
      <c r="J722" t="inlineStr">
        <is>
          <t>AA</t>
        </is>
      </c>
      <c r="K722" t="inlineStr">
        <is>
          <t>Answering Machine Autodial</t>
        </is>
      </c>
      <c r="L722" t="n">
        <v>7</v>
      </c>
      <c r="M722" t="inlineStr">
        <is>
          <t>2026-06-12 12:35:02</t>
        </is>
      </c>
      <c r="N722" t="inlineStr">
        <is>
          <t>system</t>
        </is>
      </c>
      <c r="O722" t="inlineStr">
        <is>
          <t>2026-06-08 05:25:27</t>
        </is>
      </c>
      <c r="P722" t="inlineStr">
        <is>
          <t>2026-06-08 05:25:27</t>
        </is>
      </c>
      <c r="Y722" t="inlineStr">
        <is>
          <t>27723543999</t>
        </is>
      </c>
    </row>
    <row r="723">
      <c r="A723" t="inlineStr">
        <is>
          <t>14828126</t>
        </is>
      </c>
      <c r="B723" t="inlineStr">
        <is>
          <t>7b162f2c-d293-4e0f-9412-4fb15ef17c98</t>
        </is>
      </c>
      <c r="D723" t="inlineStr">
        <is>
          <t>111111123</t>
        </is>
      </c>
      <c r="E723" t="inlineStr">
        <is>
          <t>Vodacom Life 20260603</t>
        </is>
      </c>
      <c r="J723" t="inlineStr">
        <is>
          <t>AE</t>
        </is>
      </c>
      <c r="K723" t="inlineStr">
        <is>
          <t>Auto Engaged</t>
        </is>
      </c>
      <c r="L723" t="n">
        <v>7</v>
      </c>
      <c r="M723" t="inlineStr">
        <is>
          <t>2026-06-12 12:34:53</t>
        </is>
      </c>
      <c r="N723" t="inlineStr">
        <is>
          <t>system</t>
        </is>
      </c>
      <c r="O723" t="inlineStr">
        <is>
          <t>2026-06-08 05:25:27</t>
        </is>
      </c>
      <c r="P723" t="inlineStr">
        <is>
          <t>2026-06-08 05:25:27</t>
        </is>
      </c>
      <c r="Y723" t="inlineStr">
        <is>
          <t>27721570948</t>
        </is>
      </c>
    </row>
    <row r="724">
      <c r="A724" t="inlineStr">
        <is>
          <t>14828127</t>
        </is>
      </c>
      <c r="B724" t="inlineStr">
        <is>
          <t>de5963af-b59b-4759-8466-aa4c26cbbd15</t>
        </is>
      </c>
      <c r="D724" t="inlineStr">
        <is>
          <t>111111123</t>
        </is>
      </c>
      <c r="E724" t="inlineStr">
        <is>
          <t>Vodacom Life 20260603</t>
        </is>
      </c>
      <c r="J724" t="inlineStr">
        <is>
          <t>ADC</t>
        </is>
      </c>
      <c r="K724" t="inlineStr">
        <is>
          <t>Auto Dial Disconnected</t>
        </is>
      </c>
      <c r="L724" t="n">
        <v>7</v>
      </c>
      <c r="M724" t="inlineStr">
        <is>
          <t>2026-06-12 12:34:53</t>
        </is>
      </c>
      <c r="N724" t="inlineStr">
        <is>
          <t>system</t>
        </is>
      </c>
      <c r="O724" t="inlineStr">
        <is>
          <t>2026-06-08 05:25:27</t>
        </is>
      </c>
      <c r="P724" t="inlineStr">
        <is>
          <t>2026-06-08 05:25:27</t>
        </is>
      </c>
      <c r="Y724" t="inlineStr">
        <is>
          <t>27716439185</t>
        </is>
      </c>
    </row>
    <row r="725">
      <c r="A725" t="inlineStr">
        <is>
          <t>14827820</t>
        </is>
      </c>
      <c r="B725" t="inlineStr">
        <is>
          <t>15687ce4-d4f2-4729-8826-f56d4c8b621b</t>
        </is>
      </c>
      <c r="D725" t="inlineStr">
        <is>
          <t>111111123</t>
        </is>
      </c>
      <c r="E725" t="inlineStr">
        <is>
          <t>Vodacom Life 20260603</t>
        </is>
      </c>
      <c r="J725" t="inlineStr">
        <is>
          <t>DROP</t>
        </is>
      </c>
      <c r="K725" t="inlineStr">
        <is>
          <t>Dropped</t>
        </is>
      </c>
      <c r="L725" t="n">
        <v>7</v>
      </c>
      <c r="M725" t="inlineStr">
        <is>
          <t>2026-06-12 12:34:33</t>
        </is>
      </c>
      <c r="N725" t="inlineStr">
        <is>
          <t>system</t>
        </is>
      </c>
      <c r="O725" t="inlineStr">
        <is>
          <t>2026-06-08 05:25:27</t>
        </is>
      </c>
      <c r="P725" t="inlineStr">
        <is>
          <t>2026-06-08 05:25:27</t>
        </is>
      </c>
      <c r="Y725" t="inlineStr">
        <is>
          <t>27768061505</t>
        </is>
      </c>
    </row>
    <row r="726">
      <c r="A726" t="inlineStr">
        <is>
          <t>14827822</t>
        </is>
      </c>
      <c r="B726" t="inlineStr">
        <is>
          <t>f0e39323-442c-4071-91dd-cd97b2b47b65</t>
        </is>
      </c>
      <c r="D726" t="inlineStr">
        <is>
          <t>111111123</t>
        </is>
      </c>
      <c r="E726" t="inlineStr">
        <is>
          <t>Vodacom Life 20260603</t>
        </is>
      </c>
      <c r="J726" t="inlineStr">
        <is>
          <t>DROP</t>
        </is>
      </c>
      <c r="K726" t="inlineStr">
        <is>
          <t>Dropped</t>
        </is>
      </c>
      <c r="L726" t="n">
        <v>7</v>
      </c>
      <c r="M726" t="inlineStr">
        <is>
          <t>2026-06-12 12:34:23</t>
        </is>
      </c>
      <c r="N726" t="inlineStr">
        <is>
          <t>system</t>
        </is>
      </c>
      <c r="O726" t="inlineStr">
        <is>
          <t>2026-06-08 05:25:27</t>
        </is>
      </c>
      <c r="P726" t="inlineStr">
        <is>
          <t>2026-06-08 05:25:27</t>
        </is>
      </c>
      <c r="Y726" t="inlineStr">
        <is>
          <t>27631267225</t>
        </is>
      </c>
    </row>
    <row r="727">
      <c r="A727" t="inlineStr">
        <is>
          <t>14827823</t>
        </is>
      </c>
      <c r="B727" t="inlineStr">
        <is>
          <t>3b6dfa3f-66c8-4f73-b07f-d88ebafec1d7</t>
        </is>
      </c>
      <c r="D727" t="inlineStr">
        <is>
          <t>111111123</t>
        </is>
      </c>
      <c r="E727" t="inlineStr">
        <is>
          <t>Vodacom Life 20260603</t>
        </is>
      </c>
      <c r="H727" t="inlineStr">
        <is>
          <t>27827007395</t>
        </is>
      </c>
      <c r="J727" t="inlineStr">
        <is>
          <t>TDN</t>
        </is>
      </c>
      <c r="K727" t="inlineStr">
        <is>
          <t>Temporary Disconnected Number</t>
        </is>
      </c>
      <c r="L727" t="n">
        <v>7</v>
      </c>
      <c r="M727" t="inlineStr">
        <is>
          <t>2026-06-12 12:34:21</t>
        </is>
      </c>
      <c r="N727" t="inlineStr">
        <is>
          <t>system</t>
        </is>
      </c>
      <c r="O727" t="inlineStr">
        <is>
          <t>2026-06-08 05:25:27</t>
        </is>
      </c>
      <c r="P727" t="inlineStr">
        <is>
          <t>2026-06-08 05:25:27</t>
        </is>
      </c>
      <c r="Y727" t="inlineStr">
        <is>
          <t>27827007395</t>
        </is>
      </c>
    </row>
    <row r="728">
      <c r="A728" t="inlineStr">
        <is>
          <t>14827825</t>
        </is>
      </c>
      <c r="B728" t="inlineStr">
        <is>
          <t>a3ddd528-d1c4-4545-8bb4-414983381045</t>
        </is>
      </c>
      <c r="D728" t="inlineStr">
        <is>
          <t>111111123</t>
        </is>
      </c>
      <c r="E728" t="inlineStr">
        <is>
          <t>Vodacom Life 20260603</t>
        </is>
      </c>
      <c r="J728" t="inlineStr">
        <is>
          <t>CU</t>
        </is>
      </c>
      <c r="K728" t="inlineStr">
        <is>
          <t>Client Hung Up</t>
        </is>
      </c>
      <c r="L728" t="n">
        <v>7</v>
      </c>
      <c r="M728" t="inlineStr">
        <is>
          <t>2026-06-12 12:34:09</t>
        </is>
      </c>
      <c r="N728" t="inlineStr">
        <is>
          <t>bongiwe lushaba</t>
        </is>
      </c>
      <c r="O728" t="inlineStr">
        <is>
          <t>2026-06-08 05:25:27</t>
        </is>
      </c>
      <c r="P728" t="inlineStr">
        <is>
          <t>2026-06-08 05:25:27</t>
        </is>
      </c>
      <c r="Y728" t="inlineStr">
        <is>
          <t>27824424564</t>
        </is>
      </c>
    </row>
    <row r="729">
      <c r="A729" t="inlineStr">
        <is>
          <t>14827826</t>
        </is>
      </c>
      <c r="B729" t="inlineStr">
        <is>
          <t>1ccbbe2b-bebd-4e8b-b07f-23590fb6a3c5</t>
        </is>
      </c>
      <c r="D729" t="inlineStr">
        <is>
          <t>111111123</t>
        </is>
      </c>
      <c r="E729" t="inlineStr">
        <is>
          <t>Vodacom Life 20260603</t>
        </is>
      </c>
      <c r="J729" t="inlineStr">
        <is>
          <t>AE</t>
        </is>
      </c>
      <c r="K729" t="inlineStr">
        <is>
          <t>Auto Engaged</t>
        </is>
      </c>
      <c r="L729" t="n">
        <v>7</v>
      </c>
      <c r="M729" t="inlineStr">
        <is>
          <t>2026-06-12 12:34:07</t>
        </is>
      </c>
      <c r="N729" t="inlineStr">
        <is>
          <t>system</t>
        </is>
      </c>
      <c r="O729" t="inlineStr">
        <is>
          <t>2026-06-08 05:25:27</t>
        </is>
      </c>
      <c r="P729" t="inlineStr">
        <is>
          <t>2026-06-08 05:25:27</t>
        </is>
      </c>
      <c r="Y729" t="inlineStr">
        <is>
          <t>27825824173</t>
        </is>
      </c>
    </row>
    <row r="730">
      <c r="A730" t="inlineStr">
        <is>
          <t>14827827</t>
        </is>
      </c>
      <c r="B730" t="inlineStr">
        <is>
          <t>aeacbb42-d2cb-4df0-b800-4c60d02f733c</t>
        </is>
      </c>
      <c r="D730" t="inlineStr">
        <is>
          <t>111111123</t>
        </is>
      </c>
      <c r="E730" t="inlineStr">
        <is>
          <t>Vodacom Life 20260603</t>
        </is>
      </c>
      <c r="J730" t="inlineStr">
        <is>
          <t>AA</t>
        </is>
      </c>
      <c r="K730" t="inlineStr">
        <is>
          <t>Answering Machine Autodial</t>
        </is>
      </c>
      <c r="L730" t="n">
        <v>7</v>
      </c>
      <c r="M730" t="inlineStr">
        <is>
          <t>2026-06-12 12:33:56</t>
        </is>
      </c>
      <c r="N730" t="inlineStr">
        <is>
          <t>system</t>
        </is>
      </c>
      <c r="O730" t="inlineStr">
        <is>
          <t>2026-06-08 05:25:27</t>
        </is>
      </c>
      <c r="P730" t="inlineStr">
        <is>
          <t>2026-06-08 05:25:27</t>
        </is>
      </c>
      <c r="Y730" t="inlineStr">
        <is>
          <t>27766434919</t>
        </is>
      </c>
    </row>
    <row r="731">
      <c r="A731" t="inlineStr">
        <is>
          <t>14827830</t>
        </is>
      </c>
      <c r="B731" t="inlineStr">
        <is>
          <t>6c7cd7ca-a936-4626-96d0-1a251fcf372a</t>
        </is>
      </c>
      <c r="D731" t="inlineStr">
        <is>
          <t>111111123</t>
        </is>
      </c>
      <c r="E731" t="inlineStr">
        <is>
          <t>Vodacom Life 20260603</t>
        </is>
      </c>
      <c r="J731" t="inlineStr">
        <is>
          <t>NA</t>
        </is>
      </c>
      <c r="K731" t="inlineStr">
        <is>
          <t>No Answer Autodial</t>
        </is>
      </c>
      <c r="L731" t="n">
        <v>7</v>
      </c>
      <c r="M731" t="inlineStr">
        <is>
          <t>2026-06-12 12:33:56</t>
        </is>
      </c>
      <c r="N731" t="inlineStr">
        <is>
          <t>system</t>
        </is>
      </c>
      <c r="O731" t="inlineStr">
        <is>
          <t>2026-06-08 05:25:27</t>
        </is>
      </c>
      <c r="P731" t="inlineStr">
        <is>
          <t>2026-06-08 05:25:27</t>
        </is>
      </c>
      <c r="Y731" t="inlineStr">
        <is>
          <t>27674895916</t>
        </is>
      </c>
    </row>
    <row r="732">
      <c r="A732" t="inlineStr">
        <is>
          <t>14827932</t>
        </is>
      </c>
      <c r="B732" t="inlineStr">
        <is>
          <t>10c8384d-fda5-4ab2-bfd2-0cbd58a3ed6d</t>
        </is>
      </c>
      <c r="D732" t="inlineStr">
        <is>
          <t>111111123</t>
        </is>
      </c>
      <c r="E732" t="inlineStr">
        <is>
          <t>Vodacom Life 20260603</t>
        </is>
      </c>
      <c r="J732" t="inlineStr">
        <is>
          <t>AE</t>
        </is>
      </c>
      <c r="K732" t="inlineStr">
        <is>
          <t>Auto Engaged</t>
        </is>
      </c>
      <c r="L732" t="n">
        <v>7</v>
      </c>
      <c r="M732" t="inlineStr">
        <is>
          <t>2026-06-12 12:33:24</t>
        </is>
      </c>
      <c r="N732" t="inlineStr">
        <is>
          <t>system</t>
        </is>
      </c>
      <c r="O732" t="inlineStr">
        <is>
          <t>2026-06-08 05:25:27</t>
        </is>
      </c>
      <c r="P732" t="inlineStr">
        <is>
          <t>2026-06-08 05:25:27</t>
        </is>
      </c>
      <c r="Y732" t="inlineStr">
        <is>
          <t>27822515022</t>
        </is>
      </c>
    </row>
    <row r="733">
      <c r="A733" t="inlineStr">
        <is>
          <t>14827935</t>
        </is>
      </c>
      <c r="B733" t="inlineStr">
        <is>
          <t>eaa06216-9e93-41e3-b041-9e7c384edc38</t>
        </is>
      </c>
      <c r="D733" t="inlineStr">
        <is>
          <t>111111123</t>
        </is>
      </c>
      <c r="E733" t="inlineStr">
        <is>
          <t>Vodacom Life 20260603</t>
        </is>
      </c>
      <c r="J733" t="inlineStr">
        <is>
          <t>AE</t>
        </is>
      </c>
      <c r="K733" t="inlineStr">
        <is>
          <t>Auto Engaged</t>
        </is>
      </c>
      <c r="L733" t="n">
        <v>7</v>
      </c>
      <c r="M733" t="inlineStr">
        <is>
          <t>2026-06-12 12:33:21</t>
        </is>
      </c>
      <c r="N733" t="inlineStr">
        <is>
          <t>system</t>
        </is>
      </c>
      <c r="O733" t="inlineStr">
        <is>
          <t>2026-06-08 05:25:27</t>
        </is>
      </c>
      <c r="P733" t="inlineStr">
        <is>
          <t>2026-06-08 05:25:27</t>
        </is>
      </c>
      <c r="Y733" t="inlineStr">
        <is>
          <t>27762687966</t>
        </is>
      </c>
    </row>
    <row r="734">
      <c r="A734" t="inlineStr">
        <is>
          <t>14827939</t>
        </is>
      </c>
      <c r="B734" t="inlineStr">
        <is>
          <t>6e60a776-6a19-4c41-8124-0d9d2905c4cf</t>
        </is>
      </c>
      <c r="D734" t="inlineStr">
        <is>
          <t>111111123</t>
        </is>
      </c>
      <c r="E734" t="inlineStr">
        <is>
          <t>Vodacom Life 20260603</t>
        </is>
      </c>
      <c r="H734" t="inlineStr">
        <is>
          <t>27769358650</t>
        </is>
      </c>
      <c r="J734" t="inlineStr">
        <is>
          <t>AA</t>
        </is>
      </c>
      <c r="K734" t="inlineStr">
        <is>
          <t>Answering Machine Autodial</t>
        </is>
      </c>
      <c r="L734" t="n">
        <v>7</v>
      </c>
      <c r="M734" t="inlineStr">
        <is>
          <t>2026-06-12 12:33:21</t>
        </is>
      </c>
      <c r="N734" t="inlineStr">
        <is>
          <t>system</t>
        </is>
      </c>
      <c r="O734" t="inlineStr">
        <is>
          <t>2026-06-08 05:25:27</t>
        </is>
      </c>
      <c r="P734" t="inlineStr">
        <is>
          <t>2026-06-08 05:25:27</t>
        </is>
      </c>
      <c r="Y734" t="inlineStr">
        <is>
          <t>27769358650</t>
        </is>
      </c>
    </row>
    <row r="735">
      <c r="A735" t="inlineStr">
        <is>
          <t>14827946</t>
        </is>
      </c>
      <c r="B735" t="inlineStr">
        <is>
          <t>6ebc2e22-0578-4943-9b79-62a35876460c</t>
        </is>
      </c>
      <c r="D735" t="inlineStr">
        <is>
          <t>111111123</t>
        </is>
      </c>
      <c r="E735" t="inlineStr">
        <is>
          <t>Vodacom Life 20260603</t>
        </is>
      </c>
      <c r="J735" t="inlineStr">
        <is>
          <t>AE</t>
        </is>
      </c>
      <c r="K735" t="inlineStr">
        <is>
          <t>Auto Engaged</t>
        </is>
      </c>
      <c r="L735" t="n">
        <v>7</v>
      </c>
      <c r="M735" t="inlineStr">
        <is>
          <t>2026-06-12 12:33:18</t>
        </is>
      </c>
      <c r="N735" t="inlineStr">
        <is>
          <t>system</t>
        </is>
      </c>
      <c r="O735" t="inlineStr">
        <is>
          <t>2026-06-08 05:25:27</t>
        </is>
      </c>
      <c r="P735" t="inlineStr">
        <is>
          <t>2026-06-08 05:25:27</t>
        </is>
      </c>
      <c r="Y735" t="inlineStr">
        <is>
          <t>27766701015</t>
        </is>
      </c>
    </row>
    <row r="736">
      <c r="A736" t="inlineStr">
        <is>
          <t>14827952</t>
        </is>
      </c>
      <c r="B736" t="inlineStr">
        <is>
          <t>63a57390-c6dc-4a6e-a468-e1d72ebf515d</t>
        </is>
      </c>
      <c r="D736" t="inlineStr">
        <is>
          <t>111111123</t>
        </is>
      </c>
      <c r="E736" t="inlineStr">
        <is>
          <t>Vodacom Life 20260603</t>
        </is>
      </c>
      <c r="J736" t="inlineStr">
        <is>
          <t>AE</t>
        </is>
      </c>
      <c r="K736" t="inlineStr">
        <is>
          <t>Auto Engaged</t>
        </is>
      </c>
      <c r="L736" t="n">
        <v>7</v>
      </c>
      <c r="M736" t="inlineStr">
        <is>
          <t>2026-06-12 12:33:18</t>
        </is>
      </c>
      <c r="N736" t="inlineStr">
        <is>
          <t>system</t>
        </is>
      </c>
      <c r="O736" t="inlineStr">
        <is>
          <t>2026-06-08 05:25:27</t>
        </is>
      </c>
      <c r="P736" t="inlineStr">
        <is>
          <t>2026-06-08 05:25:27</t>
        </is>
      </c>
      <c r="Y736" t="inlineStr">
        <is>
          <t>27826316149</t>
        </is>
      </c>
    </row>
    <row r="737">
      <c r="A737" t="inlineStr">
        <is>
          <t>14827966</t>
        </is>
      </c>
      <c r="B737" t="inlineStr">
        <is>
          <t>efc1391c-fe8d-44fd-9fa2-c801fc8cece4</t>
        </is>
      </c>
      <c r="D737" t="inlineStr">
        <is>
          <t>111111123</t>
        </is>
      </c>
      <c r="E737" t="inlineStr">
        <is>
          <t>Vodacom Life 20260603</t>
        </is>
      </c>
      <c r="H737" t="inlineStr">
        <is>
          <t>27638420163</t>
        </is>
      </c>
      <c r="J737" t="inlineStr">
        <is>
          <t>NA</t>
        </is>
      </c>
      <c r="K737" t="inlineStr">
        <is>
          <t>No Answer Autodial</t>
        </is>
      </c>
      <c r="L737" t="n">
        <v>7</v>
      </c>
      <c r="M737" t="inlineStr">
        <is>
          <t>2026-06-12 12:33:03</t>
        </is>
      </c>
      <c r="N737" t="inlineStr">
        <is>
          <t>system</t>
        </is>
      </c>
      <c r="O737" t="inlineStr">
        <is>
          <t>2026-06-08 05:25:27</t>
        </is>
      </c>
      <c r="P737" t="inlineStr">
        <is>
          <t>2026-06-08 05:25:27</t>
        </is>
      </c>
      <c r="Y737" t="inlineStr">
        <is>
          <t>27638420163</t>
        </is>
      </c>
    </row>
    <row r="738">
      <c r="A738" t="inlineStr">
        <is>
          <t>14827973</t>
        </is>
      </c>
      <c r="B738" t="inlineStr">
        <is>
          <t>42bf059d-3e07-40b1-a941-989ce178f7e1</t>
        </is>
      </c>
      <c r="D738" t="inlineStr">
        <is>
          <t>111111123</t>
        </is>
      </c>
      <c r="E738" t="inlineStr">
        <is>
          <t>Vodacom Life 20260603</t>
        </is>
      </c>
      <c r="J738" t="inlineStr">
        <is>
          <t>AE</t>
        </is>
      </c>
      <c r="K738" t="inlineStr">
        <is>
          <t>Auto Engaged</t>
        </is>
      </c>
      <c r="L738" t="n">
        <v>7</v>
      </c>
      <c r="M738" t="inlineStr">
        <is>
          <t>2026-06-12 12:32:59</t>
        </is>
      </c>
      <c r="N738" t="inlineStr">
        <is>
          <t>system</t>
        </is>
      </c>
      <c r="O738" t="inlineStr">
        <is>
          <t>2026-06-08 05:25:27</t>
        </is>
      </c>
      <c r="P738" t="inlineStr">
        <is>
          <t>2026-06-08 05:25:27</t>
        </is>
      </c>
      <c r="Y738" t="inlineStr">
        <is>
          <t>27762915780</t>
        </is>
      </c>
    </row>
    <row r="739">
      <c r="A739" t="inlineStr">
        <is>
          <t>14827978</t>
        </is>
      </c>
      <c r="B739" t="inlineStr">
        <is>
          <t>66cb02b6-b87e-48a1-8e1e-a93478c14d65</t>
        </is>
      </c>
      <c r="D739" t="inlineStr">
        <is>
          <t>111111123</t>
        </is>
      </c>
      <c r="E739" t="inlineStr">
        <is>
          <t>Vodacom Life 20260603</t>
        </is>
      </c>
      <c r="H739" t="inlineStr">
        <is>
          <t>27606957593</t>
        </is>
      </c>
      <c r="J739" t="inlineStr">
        <is>
          <t>AE</t>
        </is>
      </c>
      <c r="K739" t="inlineStr">
        <is>
          <t>Auto Engaged</t>
        </is>
      </c>
      <c r="L739" t="n">
        <v>7</v>
      </c>
      <c r="M739" t="inlineStr">
        <is>
          <t>2026-06-12 12:32:57</t>
        </is>
      </c>
      <c r="N739" t="inlineStr">
        <is>
          <t>system</t>
        </is>
      </c>
      <c r="O739" t="inlineStr">
        <is>
          <t>2026-06-08 05:25:27</t>
        </is>
      </c>
      <c r="P739" t="inlineStr">
        <is>
          <t>2026-06-08 05:25:27</t>
        </is>
      </c>
      <c r="Y739" t="inlineStr">
        <is>
          <t>27606957593</t>
        </is>
      </c>
    </row>
    <row r="740">
      <c r="A740" t="inlineStr">
        <is>
          <t>14827979</t>
        </is>
      </c>
      <c r="B740" t="inlineStr">
        <is>
          <t>04bc2069-e3b6-42c2-bff1-98a0631ea2f7</t>
        </is>
      </c>
      <c r="D740" t="inlineStr">
        <is>
          <t>111111123</t>
        </is>
      </c>
      <c r="E740" t="inlineStr">
        <is>
          <t>Vodacom Life 20260603</t>
        </is>
      </c>
      <c r="J740" t="inlineStr">
        <is>
          <t>AE</t>
        </is>
      </c>
      <c r="K740" t="inlineStr">
        <is>
          <t>Auto Engaged</t>
        </is>
      </c>
      <c r="L740" t="n">
        <v>7</v>
      </c>
      <c r="M740" t="inlineStr">
        <is>
          <t>2026-06-12 12:32:55</t>
        </is>
      </c>
      <c r="N740" t="inlineStr">
        <is>
          <t>system</t>
        </is>
      </c>
      <c r="O740" t="inlineStr">
        <is>
          <t>2026-06-08 05:25:27</t>
        </is>
      </c>
      <c r="P740" t="inlineStr">
        <is>
          <t>2026-06-08 05:25:27</t>
        </is>
      </c>
      <c r="Y740" t="inlineStr">
        <is>
          <t>27648646382</t>
        </is>
      </c>
    </row>
    <row r="741">
      <c r="A741" t="inlineStr">
        <is>
          <t>14827986</t>
        </is>
      </c>
      <c r="B741" t="inlineStr">
        <is>
          <t>623a92b8-0c4b-4aaa-9b7c-a56745986d00</t>
        </is>
      </c>
      <c r="D741" t="inlineStr">
        <is>
          <t>111111123</t>
        </is>
      </c>
      <c r="E741" t="inlineStr">
        <is>
          <t>Vodacom Life 20260603</t>
        </is>
      </c>
      <c r="J741" t="inlineStr">
        <is>
          <t>DROP</t>
        </is>
      </c>
      <c r="K741" t="inlineStr">
        <is>
          <t>Dropped</t>
        </is>
      </c>
      <c r="L741" t="n">
        <v>7</v>
      </c>
      <c r="M741" t="inlineStr">
        <is>
          <t>2026-06-12 12:32:51</t>
        </is>
      </c>
      <c r="N741" t="inlineStr">
        <is>
          <t>system</t>
        </is>
      </c>
      <c r="O741" t="inlineStr">
        <is>
          <t>2026-06-08 05:25:27</t>
        </is>
      </c>
      <c r="P741" t="inlineStr">
        <is>
          <t>2026-06-08 05:25:27</t>
        </is>
      </c>
      <c r="Y741" t="inlineStr">
        <is>
          <t>27674482692</t>
        </is>
      </c>
    </row>
    <row r="742">
      <c r="A742" t="inlineStr">
        <is>
          <t>14827980</t>
        </is>
      </c>
      <c r="B742" t="inlineStr">
        <is>
          <t>264aa763-3358-48a4-9657-8d4978bf432a</t>
        </is>
      </c>
      <c r="D742" t="inlineStr">
        <is>
          <t>111111123</t>
        </is>
      </c>
      <c r="E742" t="inlineStr">
        <is>
          <t>Vodacom Life 20260603</t>
        </is>
      </c>
      <c r="J742" t="inlineStr">
        <is>
          <t>AE</t>
        </is>
      </c>
      <c r="K742" t="inlineStr">
        <is>
          <t>Auto Engaged</t>
        </is>
      </c>
      <c r="L742" t="n">
        <v>7</v>
      </c>
      <c r="M742" t="inlineStr">
        <is>
          <t>2026-06-12 12:32:51</t>
        </is>
      </c>
      <c r="N742" t="inlineStr">
        <is>
          <t>system</t>
        </is>
      </c>
      <c r="O742" t="inlineStr">
        <is>
          <t>2026-06-08 05:25:27</t>
        </is>
      </c>
      <c r="P742" t="inlineStr">
        <is>
          <t>2026-06-08 05:25:27</t>
        </is>
      </c>
      <c r="Y742" t="inlineStr">
        <is>
          <t>27762610204</t>
        </is>
      </c>
    </row>
    <row r="743">
      <c r="A743" t="inlineStr">
        <is>
          <t>14827981</t>
        </is>
      </c>
      <c r="B743" t="inlineStr">
        <is>
          <t>8673d123-8c3b-448d-9420-6a31f4e5cc8e</t>
        </is>
      </c>
      <c r="D743" t="inlineStr">
        <is>
          <t>111111123</t>
        </is>
      </c>
      <c r="E743" t="inlineStr">
        <is>
          <t>Vodacom Life 20260603</t>
        </is>
      </c>
      <c r="J743" t="inlineStr">
        <is>
          <t>AA</t>
        </is>
      </c>
      <c r="K743" t="inlineStr">
        <is>
          <t>Answering Machine Autodial</t>
        </is>
      </c>
      <c r="L743" t="n">
        <v>7</v>
      </c>
      <c r="M743" t="inlineStr">
        <is>
          <t>2026-06-12 12:32:51</t>
        </is>
      </c>
      <c r="N743" t="inlineStr">
        <is>
          <t>system</t>
        </is>
      </c>
      <c r="O743" t="inlineStr">
        <is>
          <t>2026-06-08 05:25:27</t>
        </is>
      </c>
      <c r="P743" t="inlineStr">
        <is>
          <t>2026-06-08 05:25:27</t>
        </is>
      </c>
      <c r="Y743" t="inlineStr">
        <is>
          <t>27727477914</t>
        </is>
      </c>
    </row>
    <row r="744">
      <c r="A744" t="inlineStr">
        <is>
          <t>14827982</t>
        </is>
      </c>
      <c r="B744" t="inlineStr">
        <is>
          <t>2234f7b5-0c23-4d00-ac09-ca6ba367d92e</t>
        </is>
      </c>
      <c r="D744" t="inlineStr">
        <is>
          <t>111111123</t>
        </is>
      </c>
      <c r="E744" t="inlineStr">
        <is>
          <t>Vodacom Life 20260603</t>
        </is>
      </c>
      <c r="J744" t="inlineStr">
        <is>
          <t>NA</t>
        </is>
      </c>
      <c r="K744" t="inlineStr">
        <is>
          <t>No Answer Autodial</t>
        </is>
      </c>
      <c r="L744" t="n">
        <v>7</v>
      </c>
      <c r="M744" t="inlineStr">
        <is>
          <t>2026-06-12 12:32:51</t>
        </is>
      </c>
      <c r="N744" t="inlineStr">
        <is>
          <t>system</t>
        </is>
      </c>
      <c r="O744" t="inlineStr">
        <is>
          <t>2026-06-08 05:25:27</t>
        </is>
      </c>
      <c r="P744" t="inlineStr">
        <is>
          <t>2026-06-08 05:25:27</t>
        </is>
      </c>
      <c r="Y744" t="inlineStr">
        <is>
          <t>27766807675</t>
        </is>
      </c>
    </row>
    <row r="745">
      <c r="A745" t="inlineStr">
        <is>
          <t>14827991</t>
        </is>
      </c>
      <c r="B745" t="inlineStr">
        <is>
          <t>8c6c04bb-6104-4d15-99b7-e5a5da7ff414</t>
        </is>
      </c>
      <c r="D745" t="inlineStr">
        <is>
          <t>111111123</t>
        </is>
      </c>
      <c r="E745" t="inlineStr">
        <is>
          <t>Vodacom Life 20260603</t>
        </is>
      </c>
      <c r="J745" t="inlineStr">
        <is>
          <t>AE</t>
        </is>
      </c>
      <c r="K745" t="inlineStr">
        <is>
          <t>Auto Engaged</t>
        </is>
      </c>
      <c r="L745" t="n">
        <v>7</v>
      </c>
      <c r="M745" t="inlineStr">
        <is>
          <t>2026-06-12 12:32:36</t>
        </is>
      </c>
      <c r="N745" t="inlineStr">
        <is>
          <t>system</t>
        </is>
      </c>
      <c r="O745" t="inlineStr">
        <is>
          <t>2026-06-08 05:25:27</t>
        </is>
      </c>
      <c r="P745" t="inlineStr">
        <is>
          <t>2026-06-08 05:25:27</t>
        </is>
      </c>
      <c r="Y745" t="inlineStr">
        <is>
          <t>27769339625</t>
        </is>
      </c>
    </row>
    <row r="746">
      <c r="A746" t="inlineStr">
        <is>
          <t>14827993</t>
        </is>
      </c>
      <c r="B746" t="inlineStr">
        <is>
          <t>3db0d05a-37c9-4120-869f-9057aa0cc8af</t>
        </is>
      </c>
      <c r="D746" t="inlineStr">
        <is>
          <t>111111123</t>
        </is>
      </c>
      <c r="E746" t="inlineStr">
        <is>
          <t>Vodacom Life 20260603</t>
        </is>
      </c>
      <c r="J746" t="inlineStr">
        <is>
          <t>AE</t>
        </is>
      </c>
      <c r="K746" t="inlineStr">
        <is>
          <t>Auto Engaged</t>
        </is>
      </c>
      <c r="L746" t="n">
        <v>7</v>
      </c>
      <c r="M746" t="inlineStr">
        <is>
          <t>2026-06-12 12:32:36</t>
        </is>
      </c>
      <c r="N746" t="inlineStr">
        <is>
          <t>system</t>
        </is>
      </c>
      <c r="O746" t="inlineStr">
        <is>
          <t>2026-06-08 05:25:27</t>
        </is>
      </c>
      <c r="P746" t="inlineStr">
        <is>
          <t>2026-06-08 05:25:27</t>
        </is>
      </c>
      <c r="Y746" t="inlineStr">
        <is>
          <t>27796991757</t>
        </is>
      </c>
    </row>
    <row r="747">
      <c r="A747" t="inlineStr">
        <is>
          <t>14827995</t>
        </is>
      </c>
      <c r="B747" t="inlineStr">
        <is>
          <t>cdfad9c9-df4a-43a8-a997-c9cc34e643de</t>
        </is>
      </c>
      <c r="D747" t="inlineStr">
        <is>
          <t>111111123</t>
        </is>
      </c>
      <c r="E747" t="inlineStr">
        <is>
          <t>Vodacom Life 20260603</t>
        </is>
      </c>
      <c r="J747" t="inlineStr">
        <is>
          <t>AE</t>
        </is>
      </c>
      <c r="K747" t="inlineStr">
        <is>
          <t>Auto Engaged</t>
        </is>
      </c>
      <c r="L747" t="n">
        <v>7</v>
      </c>
      <c r="M747" t="inlineStr">
        <is>
          <t>2026-06-12 12:32:36</t>
        </is>
      </c>
      <c r="N747" t="inlineStr">
        <is>
          <t>system</t>
        </is>
      </c>
      <c r="O747" t="inlineStr">
        <is>
          <t>2026-06-08 05:25:27</t>
        </is>
      </c>
      <c r="P747" t="inlineStr">
        <is>
          <t>2026-06-08 05:25:27</t>
        </is>
      </c>
      <c r="Y747" t="inlineStr">
        <is>
          <t>27792667920</t>
        </is>
      </c>
    </row>
    <row r="748">
      <c r="A748" t="inlineStr">
        <is>
          <t>14828000</t>
        </is>
      </c>
      <c r="B748" t="inlineStr">
        <is>
          <t>7c9c788e-d9ff-4608-b5eb-ff220e32cb26</t>
        </is>
      </c>
      <c r="D748" t="inlineStr">
        <is>
          <t>111111123</t>
        </is>
      </c>
      <c r="E748" t="inlineStr">
        <is>
          <t>Vodacom Life 20260603</t>
        </is>
      </c>
      <c r="J748" t="inlineStr">
        <is>
          <t>AE</t>
        </is>
      </c>
      <c r="K748" t="inlineStr">
        <is>
          <t>Auto Engaged</t>
        </is>
      </c>
      <c r="L748" t="n">
        <v>7</v>
      </c>
      <c r="M748" t="inlineStr">
        <is>
          <t>2026-06-12 12:32:14</t>
        </is>
      </c>
      <c r="N748" t="inlineStr">
        <is>
          <t>system</t>
        </is>
      </c>
      <c r="O748" t="inlineStr">
        <is>
          <t>2026-06-08 05:25:27</t>
        </is>
      </c>
      <c r="P748" t="inlineStr">
        <is>
          <t>2026-06-08 05:25:27</t>
        </is>
      </c>
      <c r="Y748" t="inlineStr">
        <is>
          <t>27720398687</t>
        </is>
      </c>
    </row>
    <row r="749">
      <c r="A749" t="inlineStr">
        <is>
          <t>14828002</t>
        </is>
      </c>
      <c r="B749" t="inlineStr">
        <is>
          <t>97083654-bb73-466b-9cff-e7660ae5dbf7</t>
        </is>
      </c>
      <c r="D749" t="inlineStr">
        <is>
          <t>111111123</t>
        </is>
      </c>
      <c r="E749" t="inlineStr">
        <is>
          <t>Vodacom Life 20260603</t>
        </is>
      </c>
      <c r="J749" t="inlineStr">
        <is>
          <t>AE</t>
        </is>
      </c>
      <c r="K749" t="inlineStr">
        <is>
          <t>Auto Engaged</t>
        </is>
      </c>
      <c r="L749" t="n">
        <v>7</v>
      </c>
      <c r="M749" t="inlineStr">
        <is>
          <t>2026-06-12 12:32:14</t>
        </is>
      </c>
      <c r="N749" t="inlineStr">
        <is>
          <t>system</t>
        </is>
      </c>
      <c r="O749" t="inlineStr">
        <is>
          <t>2026-06-08 05:25:27</t>
        </is>
      </c>
      <c r="P749" t="inlineStr">
        <is>
          <t>2026-06-08 05:25:27</t>
        </is>
      </c>
      <c r="Y749" t="inlineStr">
        <is>
          <t>27760870947</t>
        </is>
      </c>
    </row>
    <row r="750">
      <c r="A750" t="inlineStr">
        <is>
          <t>14828438</t>
        </is>
      </c>
      <c r="B750" t="inlineStr">
        <is>
          <t>bea1bb3d-09f9-4a8e-9cba-4a6c0bfc0c9c</t>
        </is>
      </c>
      <c r="D750" t="inlineStr">
        <is>
          <t>111111123</t>
        </is>
      </c>
      <c r="E750" t="inlineStr">
        <is>
          <t>Vodacom Life 20260603</t>
        </is>
      </c>
      <c r="H750" t="inlineStr">
        <is>
          <t>27713749777</t>
        </is>
      </c>
      <c r="J750" t="inlineStr">
        <is>
          <t>DROP</t>
        </is>
      </c>
      <c r="K750" t="inlineStr">
        <is>
          <t>Dropped</t>
        </is>
      </c>
      <c r="L750" t="n">
        <v>7</v>
      </c>
      <c r="M750" t="inlineStr">
        <is>
          <t>2026-06-12 12:32:14</t>
        </is>
      </c>
      <c r="N750" t="inlineStr">
        <is>
          <t>system</t>
        </is>
      </c>
      <c r="O750" t="inlineStr">
        <is>
          <t>2026-06-08 05:25:27</t>
        </is>
      </c>
      <c r="P750" t="inlineStr">
        <is>
          <t>2026-06-08 05:25:27</t>
        </is>
      </c>
      <c r="Y750" t="inlineStr">
        <is>
          <t>27713749777</t>
        </is>
      </c>
    </row>
    <row r="751">
      <c r="A751" t="inlineStr">
        <is>
          <t>14828005</t>
        </is>
      </c>
      <c r="B751" t="inlineStr">
        <is>
          <t>d1b4a4fe-772a-4219-97fc-dff431dbee28</t>
        </is>
      </c>
      <c r="D751" t="inlineStr">
        <is>
          <t>111111123</t>
        </is>
      </c>
      <c r="E751" t="inlineStr">
        <is>
          <t>Vodacom Life 20260603</t>
        </is>
      </c>
      <c r="J751" t="inlineStr">
        <is>
          <t>AE</t>
        </is>
      </c>
      <c r="K751" t="inlineStr">
        <is>
          <t>Auto Engaged</t>
        </is>
      </c>
      <c r="L751" t="n">
        <v>7</v>
      </c>
      <c r="M751" t="inlineStr">
        <is>
          <t>2026-06-12 12:32:11</t>
        </is>
      </c>
      <c r="N751" t="inlineStr">
        <is>
          <t>system</t>
        </is>
      </c>
      <c r="O751" t="inlineStr">
        <is>
          <t>2026-06-08 05:25:27</t>
        </is>
      </c>
      <c r="P751" t="inlineStr">
        <is>
          <t>2026-06-08 05:25:27</t>
        </is>
      </c>
      <c r="Y751" t="inlineStr">
        <is>
          <t>27722651554</t>
        </is>
      </c>
    </row>
    <row r="752">
      <c r="A752" t="inlineStr">
        <is>
          <t>14828008</t>
        </is>
      </c>
      <c r="B752" t="inlineStr">
        <is>
          <t>3b202bac-6d51-4765-a3cc-5a1a18ddc473</t>
        </is>
      </c>
      <c r="D752" t="inlineStr">
        <is>
          <t>111111123</t>
        </is>
      </c>
      <c r="E752" t="inlineStr">
        <is>
          <t>Vodacom Life 20260603</t>
        </is>
      </c>
      <c r="H752" t="inlineStr">
        <is>
          <t>27769314484</t>
        </is>
      </c>
      <c r="J752" t="inlineStr">
        <is>
          <t>AE</t>
        </is>
      </c>
      <c r="K752" t="inlineStr">
        <is>
          <t>Auto Engaged</t>
        </is>
      </c>
      <c r="L752" t="n">
        <v>7</v>
      </c>
      <c r="M752" t="inlineStr">
        <is>
          <t>2026-06-12 12:32:10</t>
        </is>
      </c>
      <c r="N752" t="inlineStr">
        <is>
          <t>system</t>
        </is>
      </c>
      <c r="O752" t="inlineStr">
        <is>
          <t>2026-06-08 05:25:27</t>
        </is>
      </c>
      <c r="P752" t="inlineStr">
        <is>
          <t>2026-06-08 05:25:27</t>
        </is>
      </c>
      <c r="Y752" t="inlineStr">
        <is>
          <t>27769314484</t>
        </is>
      </c>
    </row>
    <row r="753">
      <c r="A753" t="inlineStr">
        <is>
          <t>14827810</t>
        </is>
      </c>
      <c r="B753" t="inlineStr">
        <is>
          <t>13229d69-58dd-4016-a49e-7c4f9891aeb3</t>
        </is>
      </c>
      <c r="D753" t="inlineStr">
        <is>
          <t>111111123</t>
        </is>
      </c>
      <c r="E753" t="inlineStr">
        <is>
          <t>Vodacom Life 20260603</t>
        </is>
      </c>
      <c r="J753" t="inlineStr">
        <is>
          <t>AA</t>
        </is>
      </c>
      <c r="K753" t="inlineStr">
        <is>
          <t>Answering Machine Autodial</t>
        </is>
      </c>
      <c r="L753" t="n">
        <v>7</v>
      </c>
      <c r="M753" t="inlineStr">
        <is>
          <t>2026-06-12 12:32:08</t>
        </is>
      </c>
      <c r="N753" t="inlineStr">
        <is>
          <t>system</t>
        </is>
      </c>
      <c r="O753" t="inlineStr">
        <is>
          <t>2026-06-08 05:25:27</t>
        </is>
      </c>
      <c r="P753" t="inlineStr">
        <is>
          <t>2026-06-08 05:25:27</t>
        </is>
      </c>
      <c r="Y753" t="inlineStr">
        <is>
          <t>27793693377</t>
        </is>
      </c>
    </row>
    <row r="754">
      <c r="A754" t="inlineStr">
        <is>
          <t>14827813</t>
        </is>
      </c>
      <c r="B754" t="inlineStr">
        <is>
          <t>2edcaa57-0a8d-4cd2-bc70-43f67f727298</t>
        </is>
      </c>
      <c r="D754" t="inlineStr">
        <is>
          <t>111111123</t>
        </is>
      </c>
      <c r="E754" t="inlineStr">
        <is>
          <t>Vodacom Life 20260603</t>
        </is>
      </c>
      <c r="H754" t="inlineStr">
        <is>
          <t>27791865237</t>
        </is>
      </c>
      <c r="J754" t="inlineStr">
        <is>
          <t>AE</t>
        </is>
      </c>
      <c r="K754" t="inlineStr">
        <is>
          <t>Auto Engaged</t>
        </is>
      </c>
      <c r="L754" t="n">
        <v>7</v>
      </c>
      <c r="M754" t="inlineStr">
        <is>
          <t>2026-06-12 12:32:07</t>
        </is>
      </c>
      <c r="N754" t="inlineStr">
        <is>
          <t>system</t>
        </is>
      </c>
      <c r="O754" t="inlineStr">
        <is>
          <t>2026-06-08 05:25:27</t>
        </is>
      </c>
      <c r="P754" t="inlineStr">
        <is>
          <t>2026-06-08 05:25:27</t>
        </is>
      </c>
      <c r="Y754" t="inlineStr">
        <is>
          <t>27791865237</t>
        </is>
      </c>
    </row>
    <row r="755">
      <c r="A755" t="inlineStr">
        <is>
          <t>14827814</t>
        </is>
      </c>
      <c r="B755" t="inlineStr">
        <is>
          <t>4f67f5c1-a8de-43e2-952e-6484f76d1c98</t>
        </is>
      </c>
      <c r="D755" t="inlineStr">
        <is>
          <t>111111123</t>
        </is>
      </c>
      <c r="E755" t="inlineStr">
        <is>
          <t>Vodacom Life 20260603</t>
        </is>
      </c>
      <c r="J755" t="inlineStr">
        <is>
          <t>AA</t>
        </is>
      </c>
      <c r="K755" t="inlineStr">
        <is>
          <t>Answering Machine Autodial</t>
        </is>
      </c>
      <c r="L755" t="n">
        <v>7</v>
      </c>
      <c r="M755" t="inlineStr">
        <is>
          <t>2026-06-12 12:32:07</t>
        </is>
      </c>
      <c r="N755" t="inlineStr">
        <is>
          <t>system</t>
        </is>
      </c>
      <c r="O755" t="inlineStr">
        <is>
          <t>2026-06-08 05:25:27</t>
        </is>
      </c>
      <c r="P755" t="inlineStr">
        <is>
          <t>2026-06-08 05:25:27</t>
        </is>
      </c>
      <c r="Y755" t="inlineStr">
        <is>
          <t>27713577700</t>
        </is>
      </c>
    </row>
    <row r="756">
      <c r="A756" t="inlineStr">
        <is>
          <t>14827815</t>
        </is>
      </c>
      <c r="B756" t="inlineStr">
        <is>
          <t>04a1be39-f887-4110-9222-c04cf7b9dd82</t>
        </is>
      </c>
      <c r="D756" t="inlineStr">
        <is>
          <t>111111123</t>
        </is>
      </c>
      <c r="E756" t="inlineStr">
        <is>
          <t>Vodacom Life 20260603</t>
        </is>
      </c>
      <c r="H756" t="inlineStr">
        <is>
          <t>27714255001</t>
        </is>
      </c>
      <c r="J756" t="inlineStr">
        <is>
          <t>CU</t>
        </is>
      </c>
      <c r="K756" t="inlineStr">
        <is>
          <t>Client Hung Up</t>
        </is>
      </c>
      <c r="L756" t="n">
        <v>7</v>
      </c>
      <c r="M756" t="inlineStr">
        <is>
          <t>2026-06-12 12:32:07</t>
        </is>
      </c>
      <c r="N756" t="inlineStr">
        <is>
          <t>Maureen Ntsoko</t>
        </is>
      </c>
      <c r="O756" t="inlineStr">
        <is>
          <t>2026-06-08 05:25:27</t>
        </is>
      </c>
      <c r="P756" t="inlineStr">
        <is>
          <t>2026-06-08 05:25:27</t>
        </is>
      </c>
      <c r="Y756" t="inlineStr">
        <is>
          <t>27714255001</t>
        </is>
      </c>
    </row>
    <row r="757">
      <c r="A757" t="inlineStr">
        <is>
          <t>14827816</t>
        </is>
      </c>
      <c r="B757" t="inlineStr">
        <is>
          <t>b6833710-f930-4c9a-ba3b-695ddb43c40f</t>
        </is>
      </c>
      <c r="D757" t="inlineStr">
        <is>
          <t>111111123</t>
        </is>
      </c>
      <c r="E757" t="inlineStr">
        <is>
          <t>Vodacom Life 20260603</t>
        </is>
      </c>
      <c r="J757" t="inlineStr">
        <is>
          <t>AE</t>
        </is>
      </c>
      <c r="K757" t="inlineStr">
        <is>
          <t>Auto Engaged</t>
        </is>
      </c>
      <c r="L757" t="n">
        <v>7</v>
      </c>
      <c r="M757" t="inlineStr">
        <is>
          <t>2026-06-12 12:31:54</t>
        </is>
      </c>
      <c r="N757" t="inlineStr">
        <is>
          <t>system</t>
        </is>
      </c>
      <c r="O757" t="inlineStr">
        <is>
          <t>2026-06-08 05:25:27</t>
        </is>
      </c>
      <c r="P757" t="inlineStr">
        <is>
          <t>2026-06-08 05:25:27</t>
        </is>
      </c>
      <c r="Y757" t="inlineStr">
        <is>
          <t>27661766574</t>
        </is>
      </c>
    </row>
    <row r="758">
      <c r="A758" t="inlineStr">
        <is>
          <t>14827818</t>
        </is>
      </c>
      <c r="B758" t="inlineStr">
        <is>
          <t>6daa060f-5027-4494-bbbd-0a9860084970</t>
        </is>
      </c>
      <c r="D758" t="inlineStr">
        <is>
          <t>111111123</t>
        </is>
      </c>
      <c r="E758" t="inlineStr">
        <is>
          <t>Vodacom Life 20260603</t>
        </is>
      </c>
      <c r="J758" t="inlineStr">
        <is>
          <t>AE</t>
        </is>
      </c>
      <c r="K758" t="inlineStr">
        <is>
          <t>Auto Engaged</t>
        </is>
      </c>
      <c r="L758" t="n">
        <v>7</v>
      </c>
      <c r="M758" t="inlineStr">
        <is>
          <t>2026-06-12 12:31:53</t>
        </is>
      </c>
      <c r="N758" t="inlineStr">
        <is>
          <t>system</t>
        </is>
      </c>
      <c r="O758" t="inlineStr">
        <is>
          <t>2026-06-08 05:25:27</t>
        </is>
      </c>
      <c r="P758" t="inlineStr">
        <is>
          <t>2026-06-08 05:25:27</t>
        </is>
      </c>
      <c r="Y758" t="inlineStr">
        <is>
          <t>27720953547</t>
        </is>
      </c>
    </row>
    <row r="759">
      <c r="A759" t="inlineStr">
        <is>
          <t>14828437</t>
        </is>
      </c>
      <c r="B759" t="inlineStr">
        <is>
          <t>16f4510c-391e-4f4e-8f38-17ad00bb689a</t>
        </is>
      </c>
      <c r="D759" t="inlineStr">
        <is>
          <t>111111123</t>
        </is>
      </c>
      <c r="E759" t="inlineStr">
        <is>
          <t>Vodacom Life 20260603</t>
        </is>
      </c>
      <c r="J759" t="inlineStr">
        <is>
          <t>AE</t>
        </is>
      </c>
      <c r="K759" t="inlineStr">
        <is>
          <t>Auto Engaged</t>
        </is>
      </c>
      <c r="L759" t="n">
        <v>7</v>
      </c>
      <c r="M759" t="inlineStr">
        <is>
          <t>2026-06-12 12:31:53</t>
        </is>
      </c>
      <c r="N759" t="inlineStr">
        <is>
          <t>system</t>
        </is>
      </c>
      <c r="O759" t="inlineStr">
        <is>
          <t>2026-06-08 05:25:27</t>
        </is>
      </c>
      <c r="P759" t="inlineStr">
        <is>
          <t>2026-06-08 05:25:27</t>
        </is>
      </c>
      <c r="Y759" t="inlineStr">
        <is>
          <t>27673243816</t>
        </is>
      </c>
    </row>
    <row r="760">
      <c r="A760" t="inlineStr">
        <is>
          <t>14827840</t>
        </is>
      </c>
      <c r="B760" t="inlineStr">
        <is>
          <t>b083f5cd-fc96-44a1-8e6b-25fd724d3589</t>
        </is>
      </c>
      <c r="D760" t="inlineStr">
        <is>
          <t>111111123</t>
        </is>
      </c>
      <c r="E760" t="inlineStr">
        <is>
          <t>Vodacom Life 20260603</t>
        </is>
      </c>
      <c r="H760" t="inlineStr">
        <is>
          <t>27722125497</t>
        </is>
      </c>
      <c r="J760" t="inlineStr">
        <is>
          <t>DROP</t>
        </is>
      </c>
      <c r="K760" t="inlineStr">
        <is>
          <t>Dropped</t>
        </is>
      </c>
      <c r="L760" t="n">
        <v>7</v>
      </c>
      <c r="M760" t="inlineStr">
        <is>
          <t>2026-06-12 12:31:27</t>
        </is>
      </c>
      <c r="N760" t="inlineStr">
        <is>
          <t>system</t>
        </is>
      </c>
      <c r="O760" t="inlineStr">
        <is>
          <t>2026-06-08 05:25:27</t>
        </is>
      </c>
      <c r="P760" t="inlineStr">
        <is>
          <t>2026-06-08 05:25:27</t>
        </is>
      </c>
      <c r="Y760" t="inlineStr">
        <is>
          <t>27722125497</t>
        </is>
      </c>
    </row>
    <row r="761">
      <c r="A761" t="inlineStr">
        <is>
          <t>14827846</t>
        </is>
      </c>
      <c r="B761" t="inlineStr">
        <is>
          <t>42cdd73a-f03f-4b0a-94db-4efa7e32701c</t>
        </is>
      </c>
      <c r="D761" t="inlineStr">
        <is>
          <t>111111123</t>
        </is>
      </c>
      <c r="E761" t="inlineStr">
        <is>
          <t>Vodacom Life 20260603</t>
        </is>
      </c>
      <c r="J761" t="inlineStr">
        <is>
          <t>AE</t>
        </is>
      </c>
      <c r="K761" t="inlineStr">
        <is>
          <t>Auto Engaged</t>
        </is>
      </c>
      <c r="L761" t="n">
        <v>7</v>
      </c>
      <c r="M761" t="inlineStr">
        <is>
          <t>2026-06-12 12:31:22</t>
        </is>
      </c>
      <c r="N761" t="inlineStr">
        <is>
          <t>system</t>
        </is>
      </c>
      <c r="O761" t="inlineStr">
        <is>
          <t>2026-06-08 05:25:27</t>
        </is>
      </c>
      <c r="P761" t="inlineStr">
        <is>
          <t>2026-06-08 05:25:27</t>
        </is>
      </c>
      <c r="Y761" t="inlineStr">
        <is>
          <t>27725546836</t>
        </is>
      </c>
    </row>
    <row r="762">
      <c r="A762" t="inlineStr">
        <is>
          <t>14827853</t>
        </is>
      </c>
      <c r="B762" t="inlineStr">
        <is>
          <t>ab260b25-ca01-471a-af78-02b26597b0fd</t>
        </is>
      </c>
      <c r="D762" t="inlineStr">
        <is>
          <t>111111123</t>
        </is>
      </c>
      <c r="E762" t="inlineStr">
        <is>
          <t>Vodacom Life 20260603</t>
        </is>
      </c>
      <c r="H762" t="inlineStr">
        <is>
          <t>27768289568</t>
        </is>
      </c>
      <c r="J762" t="inlineStr">
        <is>
          <t>A</t>
        </is>
      </c>
      <c r="K762" t="inlineStr">
        <is>
          <t>Answering Machine</t>
        </is>
      </c>
      <c r="L762" t="n">
        <v>7</v>
      </c>
      <c r="M762" t="inlineStr">
        <is>
          <t>2026-06-12 12:31:22</t>
        </is>
      </c>
      <c r="N762" t="inlineStr">
        <is>
          <t>Maureen Ntsoko</t>
        </is>
      </c>
      <c r="O762" t="inlineStr">
        <is>
          <t>2026-06-08 05:25:27</t>
        </is>
      </c>
      <c r="P762" t="inlineStr">
        <is>
          <t>2026-06-08 05:25:27</t>
        </is>
      </c>
      <c r="Y762" t="inlineStr">
        <is>
          <t>27768289568</t>
        </is>
      </c>
    </row>
    <row r="763">
      <c r="A763" t="inlineStr">
        <is>
          <t>14827856</t>
        </is>
      </c>
      <c r="B763" t="inlineStr">
        <is>
          <t>55bb9075-f577-4cb1-a286-d6734bf74e70</t>
        </is>
      </c>
      <c r="D763" t="inlineStr">
        <is>
          <t>111111123</t>
        </is>
      </c>
      <c r="E763" t="inlineStr">
        <is>
          <t>Vodacom Life 20260603</t>
        </is>
      </c>
      <c r="J763" t="inlineStr">
        <is>
          <t>AE</t>
        </is>
      </c>
      <c r="K763" t="inlineStr">
        <is>
          <t>Auto Engaged</t>
        </is>
      </c>
      <c r="L763" t="n">
        <v>7</v>
      </c>
      <c r="M763" t="inlineStr">
        <is>
          <t>2026-06-12 12:31:22</t>
        </is>
      </c>
      <c r="N763" t="inlineStr">
        <is>
          <t>system</t>
        </is>
      </c>
      <c r="O763" t="inlineStr">
        <is>
          <t>2026-06-08 05:25:27</t>
        </is>
      </c>
      <c r="P763" t="inlineStr">
        <is>
          <t>2026-06-08 05:25:27</t>
        </is>
      </c>
      <c r="Y763" t="inlineStr">
        <is>
          <t>27763203820</t>
        </is>
      </c>
    </row>
    <row r="764">
      <c r="A764" t="inlineStr">
        <is>
          <t>14827873</t>
        </is>
      </c>
      <c r="B764" t="inlineStr">
        <is>
          <t>f40c6c83-e98b-44e3-a23f-f735630f1186</t>
        </is>
      </c>
      <c r="D764" t="inlineStr">
        <is>
          <t>111111123</t>
        </is>
      </c>
      <c r="E764" t="inlineStr">
        <is>
          <t>Vodacom Life 20260603</t>
        </is>
      </c>
      <c r="J764" t="inlineStr">
        <is>
          <t>N</t>
        </is>
      </c>
      <c r="K764" t="inlineStr">
        <is>
          <t>No Answer</t>
        </is>
      </c>
      <c r="L764" t="n">
        <v>7</v>
      </c>
      <c r="M764" t="inlineStr">
        <is>
          <t>2026-06-12 12:31:12</t>
        </is>
      </c>
      <c r="N764" t="inlineStr">
        <is>
          <t>Maureen Ntsoko</t>
        </is>
      </c>
      <c r="O764" t="inlineStr">
        <is>
          <t>2026-06-08 05:25:27</t>
        </is>
      </c>
      <c r="P764" t="inlineStr">
        <is>
          <t>2026-06-08 05:25:27</t>
        </is>
      </c>
      <c r="Y764" t="inlineStr">
        <is>
          <t>27647349511</t>
        </is>
      </c>
    </row>
    <row r="765">
      <c r="A765" t="inlineStr">
        <is>
          <t>14827887</t>
        </is>
      </c>
      <c r="B765" t="inlineStr">
        <is>
          <t>ab989372-f3d9-43ba-b985-25e5e6737114</t>
        </is>
      </c>
      <c r="D765" t="inlineStr">
        <is>
          <t>111111123</t>
        </is>
      </c>
      <c r="E765" t="inlineStr">
        <is>
          <t>Vodacom Life 20260603</t>
        </is>
      </c>
      <c r="J765" t="inlineStr">
        <is>
          <t>DROP</t>
        </is>
      </c>
      <c r="K765" t="inlineStr">
        <is>
          <t>Dropped</t>
        </is>
      </c>
      <c r="L765" t="n">
        <v>7</v>
      </c>
      <c r="M765" t="inlineStr">
        <is>
          <t>2026-06-12 12:31:11</t>
        </is>
      </c>
      <c r="N765" t="inlineStr">
        <is>
          <t>system</t>
        </is>
      </c>
      <c r="O765" t="inlineStr">
        <is>
          <t>2026-06-08 05:25:27</t>
        </is>
      </c>
      <c r="P765" t="inlineStr">
        <is>
          <t>2026-06-08 05:25:27</t>
        </is>
      </c>
      <c r="Y765" t="inlineStr">
        <is>
          <t>27827668005</t>
        </is>
      </c>
    </row>
    <row r="766">
      <c r="A766" t="inlineStr">
        <is>
          <t>14827888</t>
        </is>
      </c>
      <c r="B766" t="inlineStr">
        <is>
          <t>7bdf91fb-443d-4241-807a-ab1250c68fb1</t>
        </is>
      </c>
      <c r="D766" t="inlineStr">
        <is>
          <t>111111123</t>
        </is>
      </c>
      <c r="E766" t="inlineStr">
        <is>
          <t>Vodacom Life 20260603</t>
        </is>
      </c>
      <c r="H766" t="inlineStr">
        <is>
          <t>27790549009</t>
        </is>
      </c>
      <c r="J766" t="inlineStr">
        <is>
          <t>CCB</t>
        </is>
      </c>
      <c r="K766" t="inlineStr">
        <is>
          <t>Call Dropped</t>
        </is>
      </c>
      <c r="L766" t="n">
        <v>7</v>
      </c>
      <c r="M766" t="inlineStr">
        <is>
          <t>2026-06-12 12:31:11</t>
        </is>
      </c>
      <c r="N766" t="inlineStr">
        <is>
          <t>Musiiwa Mary Mabirimisa</t>
        </is>
      </c>
      <c r="O766" t="inlineStr">
        <is>
          <t>2026-06-08 05:25:27</t>
        </is>
      </c>
      <c r="P766" t="inlineStr">
        <is>
          <t>2026-06-08 05:25:27</t>
        </is>
      </c>
      <c r="Y766" t="inlineStr">
        <is>
          <t>27790549009</t>
        </is>
      </c>
    </row>
    <row r="767">
      <c r="A767" t="inlineStr">
        <is>
          <t>14827896</t>
        </is>
      </c>
      <c r="B767" t="inlineStr">
        <is>
          <t>93fd4ca1-d728-4247-9fa2-7ef4b0232ebf</t>
        </is>
      </c>
      <c r="D767" t="inlineStr">
        <is>
          <t>111111123</t>
        </is>
      </c>
      <c r="E767" t="inlineStr">
        <is>
          <t>Vodacom Life 20260603</t>
        </is>
      </c>
      <c r="J767" t="inlineStr">
        <is>
          <t>ADC</t>
        </is>
      </c>
      <c r="K767" t="inlineStr">
        <is>
          <t>Auto Dial Disconnected</t>
        </is>
      </c>
      <c r="L767" t="n">
        <v>7</v>
      </c>
      <c r="M767" t="inlineStr">
        <is>
          <t>2026-06-12 12:31:08</t>
        </is>
      </c>
      <c r="N767" t="inlineStr">
        <is>
          <t>system</t>
        </is>
      </c>
      <c r="O767" t="inlineStr">
        <is>
          <t>2026-06-08 05:25:27</t>
        </is>
      </c>
      <c r="P767" t="inlineStr">
        <is>
          <t>2026-06-08 05:25:27</t>
        </is>
      </c>
      <c r="Y767" t="inlineStr">
        <is>
          <t>27792072370</t>
        </is>
      </c>
    </row>
    <row r="768">
      <c r="A768" t="inlineStr">
        <is>
          <t>14827897</t>
        </is>
      </c>
      <c r="B768" t="inlineStr">
        <is>
          <t>06e81afe-318a-4fa7-891c-bcf8440f25b7</t>
        </is>
      </c>
      <c r="D768" t="inlineStr">
        <is>
          <t>111111123</t>
        </is>
      </c>
      <c r="E768" t="inlineStr">
        <is>
          <t>Vodacom Life 20260603</t>
        </is>
      </c>
      <c r="J768" t="inlineStr">
        <is>
          <t>AE</t>
        </is>
      </c>
      <c r="K768" t="inlineStr">
        <is>
          <t>Auto Engaged</t>
        </is>
      </c>
      <c r="L768" t="n">
        <v>7</v>
      </c>
      <c r="M768" t="inlineStr">
        <is>
          <t>2026-06-12 12:31:06</t>
        </is>
      </c>
      <c r="N768" t="inlineStr">
        <is>
          <t>system</t>
        </is>
      </c>
      <c r="O768" t="inlineStr">
        <is>
          <t>2026-06-08 05:25:27</t>
        </is>
      </c>
      <c r="P768" t="inlineStr">
        <is>
          <t>2026-06-08 05:25:27</t>
        </is>
      </c>
      <c r="Y768" t="inlineStr">
        <is>
          <t>27768130906</t>
        </is>
      </c>
    </row>
    <row r="769">
      <c r="A769" t="inlineStr">
        <is>
          <t>14827899</t>
        </is>
      </c>
      <c r="B769" t="inlineStr">
        <is>
          <t>a4b14e47-a645-4501-bd49-9c28d8971663</t>
        </is>
      </c>
      <c r="D769" t="inlineStr">
        <is>
          <t>111111123</t>
        </is>
      </c>
      <c r="E769" t="inlineStr">
        <is>
          <t>Vodacom Life 20260603</t>
        </is>
      </c>
      <c r="J769" t="inlineStr">
        <is>
          <t>AA</t>
        </is>
      </c>
      <c r="K769" t="inlineStr">
        <is>
          <t>Answering Machine Autodial</t>
        </is>
      </c>
      <c r="L769" t="n">
        <v>7</v>
      </c>
      <c r="M769" t="inlineStr">
        <is>
          <t>2026-06-12 12:31:06</t>
        </is>
      </c>
      <c r="N769" t="inlineStr">
        <is>
          <t>system</t>
        </is>
      </c>
      <c r="O769" t="inlineStr">
        <is>
          <t>2026-06-08 05:25:27</t>
        </is>
      </c>
      <c r="P769" t="inlineStr">
        <is>
          <t>2026-06-08 05:25:27</t>
        </is>
      </c>
      <c r="Y769" t="inlineStr">
        <is>
          <t>27721365531</t>
        </is>
      </c>
    </row>
    <row r="770">
      <c r="A770" t="inlineStr">
        <is>
          <t>14827900</t>
        </is>
      </c>
      <c r="B770" t="inlineStr">
        <is>
          <t>a83db43f-40a4-46f4-8565-95ac5c8efba0</t>
        </is>
      </c>
      <c r="D770" t="inlineStr">
        <is>
          <t>111111123</t>
        </is>
      </c>
      <c r="E770" t="inlineStr">
        <is>
          <t>Vodacom Life 20260603</t>
        </is>
      </c>
      <c r="J770" t="inlineStr">
        <is>
          <t>AE</t>
        </is>
      </c>
      <c r="K770" t="inlineStr">
        <is>
          <t>Auto Engaged</t>
        </is>
      </c>
      <c r="L770" t="n">
        <v>7</v>
      </c>
      <c r="M770" t="inlineStr">
        <is>
          <t>2026-06-12 12:31:06</t>
        </is>
      </c>
      <c r="N770" t="inlineStr">
        <is>
          <t>system</t>
        </is>
      </c>
      <c r="O770" t="inlineStr">
        <is>
          <t>2026-06-08 05:25:27</t>
        </is>
      </c>
      <c r="P770" t="inlineStr">
        <is>
          <t>2026-06-08 05:25:27</t>
        </is>
      </c>
      <c r="Y770" t="inlineStr">
        <is>
          <t>27637446754</t>
        </is>
      </c>
    </row>
    <row r="771">
      <c r="A771" t="inlineStr">
        <is>
          <t>14827901</t>
        </is>
      </c>
      <c r="B771" t="inlineStr">
        <is>
          <t>9ff3a45f-7a96-4e5e-b695-1845b6cede30</t>
        </is>
      </c>
      <c r="D771" t="inlineStr">
        <is>
          <t>111111123</t>
        </is>
      </c>
      <c r="E771" t="inlineStr">
        <is>
          <t>Vodacom Life 20260603</t>
        </is>
      </c>
      <c r="J771" t="inlineStr">
        <is>
          <t>AA</t>
        </is>
      </c>
      <c r="K771" t="inlineStr">
        <is>
          <t>Answering Machine Autodial</t>
        </is>
      </c>
      <c r="L771" t="n">
        <v>7</v>
      </c>
      <c r="M771" t="inlineStr">
        <is>
          <t>2026-06-12 12:30:48</t>
        </is>
      </c>
      <c r="N771" t="inlineStr">
        <is>
          <t>system</t>
        </is>
      </c>
      <c r="O771" t="inlineStr">
        <is>
          <t>2026-06-08 05:25:27</t>
        </is>
      </c>
      <c r="P771" t="inlineStr">
        <is>
          <t>2026-06-08 05:25:27</t>
        </is>
      </c>
      <c r="Y771" t="inlineStr">
        <is>
          <t>27721485329</t>
        </is>
      </c>
    </row>
    <row r="772">
      <c r="A772" t="inlineStr">
        <is>
          <t>14827903</t>
        </is>
      </c>
      <c r="B772" t="inlineStr">
        <is>
          <t>cad75843-59d9-4cca-9b3a-70998d5413a5</t>
        </is>
      </c>
      <c r="D772" t="inlineStr">
        <is>
          <t>111111123</t>
        </is>
      </c>
      <c r="E772" t="inlineStr">
        <is>
          <t>Vodacom Life 20260603</t>
        </is>
      </c>
      <c r="H772" t="inlineStr">
        <is>
          <t>27767180967</t>
        </is>
      </c>
      <c r="J772" t="inlineStr">
        <is>
          <t>A</t>
        </is>
      </c>
      <c r="K772" t="inlineStr">
        <is>
          <t>Answering Machine</t>
        </is>
      </c>
      <c r="L772" t="n">
        <v>7</v>
      </c>
      <c r="M772" t="inlineStr">
        <is>
          <t>2026-06-12 12:30:45</t>
        </is>
      </c>
      <c r="N772" t="inlineStr">
        <is>
          <t>Maureen Ntsoko</t>
        </is>
      </c>
      <c r="O772" t="inlineStr">
        <is>
          <t>2026-06-08 05:25:27</t>
        </is>
      </c>
      <c r="P772" t="inlineStr">
        <is>
          <t>2026-06-08 05:25:27</t>
        </is>
      </c>
      <c r="Y772" t="inlineStr">
        <is>
          <t>27767180967</t>
        </is>
      </c>
    </row>
    <row r="773">
      <c r="A773" t="inlineStr">
        <is>
          <t>14827904</t>
        </is>
      </c>
      <c r="B773" t="inlineStr">
        <is>
          <t>b53db679-644c-4603-adf6-be8626061036</t>
        </is>
      </c>
      <c r="D773" t="inlineStr">
        <is>
          <t>111111123</t>
        </is>
      </c>
      <c r="E773" t="inlineStr">
        <is>
          <t>Vodacom Life 20260603</t>
        </is>
      </c>
      <c r="J773" t="inlineStr">
        <is>
          <t>AA</t>
        </is>
      </c>
      <c r="K773" t="inlineStr">
        <is>
          <t>Answering Machine Autodial</t>
        </is>
      </c>
      <c r="L773" t="n">
        <v>7</v>
      </c>
      <c r="M773" t="inlineStr">
        <is>
          <t>2026-06-12 12:30:45</t>
        </is>
      </c>
      <c r="N773" t="inlineStr">
        <is>
          <t>system</t>
        </is>
      </c>
      <c r="O773" t="inlineStr">
        <is>
          <t>2026-06-08 05:25:27</t>
        </is>
      </c>
      <c r="P773" t="inlineStr">
        <is>
          <t>2026-06-08 05:25:27</t>
        </is>
      </c>
      <c r="Y773" t="inlineStr">
        <is>
          <t>27839831955</t>
        </is>
      </c>
    </row>
    <row r="774">
      <c r="A774" t="inlineStr">
        <is>
          <t>14827905</t>
        </is>
      </c>
      <c r="B774" t="inlineStr">
        <is>
          <t>78d3c446-fa14-47e0-888c-de7a54d59d3a</t>
        </is>
      </c>
      <c r="D774" t="inlineStr">
        <is>
          <t>111111123</t>
        </is>
      </c>
      <c r="E774" t="inlineStr">
        <is>
          <t>Vodacom Life 20260603</t>
        </is>
      </c>
      <c r="J774" t="inlineStr">
        <is>
          <t>DROP</t>
        </is>
      </c>
      <c r="K774" t="inlineStr">
        <is>
          <t>Dropped</t>
        </is>
      </c>
      <c r="L774" t="n">
        <v>7</v>
      </c>
      <c r="M774" t="inlineStr">
        <is>
          <t>2026-06-12 12:30:45</t>
        </is>
      </c>
      <c r="N774" t="inlineStr">
        <is>
          <t>system</t>
        </is>
      </c>
      <c r="O774" t="inlineStr">
        <is>
          <t>2026-06-08 05:25:27</t>
        </is>
      </c>
      <c r="P774" t="inlineStr">
        <is>
          <t>2026-06-08 05:25:27</t>
        </is>
      </c>
      <c r="Y774" t="inlineStr">
        <is>
          <t>27725616955</t>
        </is>
      </c>
    </row>
    <row r="775">
      <c r="A775" t="inlineStr">
        <is>
          <t>14827907</t>
        </is>
      </c>
      <c r="B775" t="inlineStr">
        <is>
          <t>35226a12-7e5c-45e7-904b-57091de4f5f9</t>
        </is>
      </c>
      <c r="D775" t="inlineStr">
        <is>
          <t>111111123</t>
        </is>
      </c>
      <c r="E775" t="inlineStr">
        <is>
          <t>Vodacom Life 20260603</t>
        </is>
      </c>
      <c r="J775" t="inlineStr">
        <is>
          <t>AE</t>
        </is>
      </c>
      <c r="K775" t="inlineStr">
        <is>
          <t>Auto Engaged</t>
        </is>
      </c>
      <c r="L775" t="n">
        <v>7</v>
      </c>
      <c r="M775" t="inlineStr">
        <is>
          <t>2026-06-12 12:30:45</t>
        </is>
      </c>
      <c r="N775" t="inlineStr">
        <is>
          <t>system</t>
        </is>
      </c>
      <c r="O775" t="inlineStr">
        <is>
          <t>2026-06-08 05:25:27</t>
        </is>
      </c>
      <c r="P775" t="inlineStr">
        <is>
          <t>2026-06-08 05:25:27</t>
        </is>
      </c>
      <c r="Y775" t="inlineStr">
        <is>
          <t>27762624271</t>
        </is>
      </c>
    </row>
    <row r="776">
      <c r="A776" t="inlineStr">
        <is>
          <t>14828094</t>
        </is>
      </c>
      <c r="B776" t="inlineStr">
        <is>
          <t>3c542df5-5e9b-45af-8549-c3160be5e077</t>
        </is>
      </c>
      <c r="D776" t="inlineStr">
        <is>
          <t>111111123</t>
        </is>
      </c>
      <c r="E776" t="inlineStr">
        <is>
          <t>Vodacom Life 20260603</t>
        </is>
      </c>
      <c r="J776" t="inlineStr">
        <is>
          <t>N</t>
        </is>
      </c>
      <c r="K776" t="inlineStr">
        <is>
          <t>No Answer</t>
        </is>
      </c>
      <c r="L776" t="n">
        <v>8</v>
      </c>
      <c r="M776" t="inlineStr">
        <is>
          <t>2026-06-12 12:30:27</t>
        </is>
      </c>
      <c r="N776" t="inlineStr">
        <is>
          <t>Musiiwa Mary Mabirimisa</t>
        </is>
      </c>
      <c r="O776" t="inlineStr">
        <is>
          <t>2026-06-08 05:25:27</t>
        </is>
      </c>
      <c r="P776" t="inlineStr">
        <is>
          <t>2026-06-08 05:25:27</t>
        </is>
      </c>
      <c r="Y776" t="inlineStr">
        <is>
          <t>27826631319</t>
        </is>
      </c>
    </row>
    <row r="777">
      <c r="A777" t="inlineStr">
        <is>
          <t>14827908</t>
        </is>
      </c>
      <c r="B777" t="inlineStr">
        <is>
          <t>7cce4958-e0bd-4ee6-b64c-d0734530ec75</t>
        </is>
      </c>
      <c r="D777" t="inlineStr">
        <is>
          <t>111111123</t>
        </is>
      </c>
      <c r="E777" t="inlineStr">
        <is>
          <t>Vodacom Life 20260603</t>
        </is>
      </c>
      <c r="H777" t="inlineStr">
        <is>
          <t>27769348054</t>
        </is>
      </c>
      <c r="J777" t="inlineStr">
        <is>
          <t>DROP</t>
        </is>
      </c>
      <c r="K777" t="inlineStr">
        <is>
          <t>Dropped</t>
        </is>
      </c>
      <c r="L777" t="n">
        <v>7</v>
      </c>
      <c r="M777" t="inlineStr">
        <is>
          <t>2026-06-12 12:29:13</t>
        </is>
      </c>
      <c r="N777" t="inlineStr">
        <is>
          <t>system</t>
        </is>
      </c>
      <c r="O777" t="inlineStr">
        <is>
          <t>2026-06-08 05:25:27</t>
        </is>
      </c>
      <c r="P777" t="inlineStr">
        <is>
          <t>2026-06-08 05:25:27</t>
        </is>
      </c>
      <c r="Y777" t="inlineStr">
        <is>
          <t>27769348054</t>
        </is>
      </c>
    </row>
    <row r="778">
      <c r="A778" t="inlineStr">
        <is>
          <t>14827909</t>
        </is>
      </c>
      <c r="B778" t="inlineStr">
        <is>
          <t>4d55130e-9a63-41ab-a59e-a638d64cfcc6</t>
        </is>
      </c>
      <c r="D778" t="inlineStr">
        <is>
          <t>111111123</t>
        </is>
      </c>
      <c r="E778" t="inlineStr">
        <is>
          <t>Vodacom Life 20260603</t>
        </is>
      </c>
      <c r="H778" t="inlineStr">
        <is>
          <t>27765286028</t>
        </is>
      </c>
      <c r="J778" t="inlineStr">
        <is>
          <t>AA</t>
        </is>
      </c>
      <c r="K778" t="inlineStr">
        <is>
          <t>Answering Machine Autodial</t>
        </is>
      </c>
      <c r="L778" t="n">
        <v>7</v>
      </c>
      <c r="M778" t="inlineStr">
        <is>
          <t>2026-06-12 12:29:12</t>
        </is>
      </c>
      <c r="N778" t="inlineStr">
        <is>
          <t>system</t>
        </is>
      </c>
      <c r="O778" t="inlineStr">
        <is>
          <t>2026-06-08 05:25:27</t>
        </is>
      </c>
      <c r="P778" t="inlineStr">
        <is>
          <t>2026-06-08 05:25:27</t>
        </is>
      </c>
      <c r="Y778" t="inlineStr">
        <is>
          <t>27765286028</t>
        </is>
      </c>
    </row>
    <row r="779">
      <c r="A779" t="inlineStr">
        <is>
          <t>14827910</t>
        </is>
      </c>
      <c r="B779" t="inlineStr">
        <is>
          <t>334d18a8-7e4e-419f-8b87-f5828b302764</t>
        </is>
      </c>
      <c r="D779" t="inlineStr">
        <is>
          <t>111111123</t>
        </is>
      </c>
      <c r="E779" t="inlineStr">
        <is>
          <t>Vodacom Life 20260603</t>
        </is>
      </c>
      <c r="H779" t="inlineStr">
        <is>
          <t>27765412407</t>
        </is>
      </c>
      <c r="J779" t="inlineStr">
        <is>
          <t>AA</t>
        </is>
      </c>
      <c r="K779" t="inlineStr">
        <is>
          <t>Answering Machine Autodial</t>
        </is>
      </c>
      <c r="L779" t="n">
        <v>7</v>
      </c>
      <c r="M779" t="inlineStr">
        <is>
          <t>2026-06-12 12:29:12</t>
        </is>
      </c>
      <c r="N779" t="inlineStr">
        <is>
          <t>system</t>
        </is>
      </c>
      <c r="O779" t="inlineStr">
        <is>
          <t>2026-06-08 05:25:27</t>
        </is>
      </c>
      <c r="P779" t="inlineStr">
        <is>
          <t>2026-06-08 05:25:27</t>
        </is>
      </c>
      <c r="Y779" t="inlineStr">
        <is>
          <t>27765412407</t>
        </is>
      </c>
    </row>
    <row r="780">
      <c r="A780" t="inlineStr">
        <is>
          <t>14827911</t>
        </is>
      </c>
      <c r="B780" t="inlineStr">
        <is>
          <t>5402df97-3848-472f-a173-03b8c04182d7</t>
        </is>
      </c>
      <c r="D780" t="inlineStr">
        <is>
          <t>111111123</t>
        </is>
      </c>
      <c r="E780" t="inlineStr">
        <is>
          <t>Vodacom Life 20260603</t>
        </is>
      </c>
      <c r="J780" t="inlineStr">
        <is>
          <t>AE</t>
        </is>
      </c>
      <c r="K780" t="inlineStr">
        <is>
          <t>Auto Engaged</t>
        </is>
      </c>
      <c r="L780" t="n">
        <v>7</v>
      </c>
      <c r="M780" t="inlineStr">
        <is>
          <t>2026-06-12 12:29:06</t>
        </is>
      </c>
      <c r="N780" t="inlineStr">
        <is>
          <t>system</t>
        </is>
      </c>
      <c r="O780" t="inlineStr">
        <is>
          <t>2026-06-08 05:25:27</t>
        </is>
      </c>
      <c r="P780" t="inlineStr">
        <is>
          <t>2026-06-08 05:25:27</t>
        </is>
      </c>
      <c r="Y780" t="inlineStr">
        <is>
          <t>27722222900</t>
        </is>
      </c>
    </row>
    <row r="781">
      <c r="A781" t="inlineStr">
        <is>
          <t>14827920</t>
        </is>
      </c>
      <c r="B781" t="inlineStr">
        <is>
          <t>053654d6-961d-4529-b912-94ff368b557a</t>
        </is>
      </c>
      <c r="D781" t="inlineStr">
        <is>
          <t>111111123</t>
        </is>
      </c>
      <c r="E781" t="inlineStr">
        <is>
          <t>Vodacom Life 20260603</t>
        </is>
      </c>
      <c r="J781" t="inlineStr">
        <is>
          <t>ADC</t>
        </is>
      </c>
      <c r="K781" t="inlineStr">
        <is>
          <t>Auto Dial Disconnected</t>
        </is>
      </c>
      <c r="L781" t="n">
        <v>7</v>
      </c>
      <c r="M781" t="inlineStr">
        <is>
          <t>2026-06-12 12:28:55</t>
        </is>
      </c>
      <c r="N781" t="inlineStr">
        <is>
          <t>system</t>
        </is>
      </c>
      <c r="O781" t="inlineStr">
        <is>
          <t>2026-06-08 05:25:27</t>
        </is>
      </c>
      <c r="P781" t="inlineStr">
        <is>
          <t>2026-06-08 05:25:27</t>
        </is>
      </c>
      <c r="Y781" t="inlineStr">
        <is>
          <t>27784315542</t>
        </is>
      </c>
    </row>
    <row r="782">
      <c r="A782" t="inlineStr">
        <is>
          <t>14827794</t>
        </is>
      </c>
      <c r="B782" t="inlineStr">
        <is>
          <t>5a37793d-3f50-492d-b836-47e4a3fc7181</t>
        </is>
      </c>
      <c r="D782" t="inlineStr">
        <is>
          <t>111111123</t>
        </is>
      </c>
      <c r="E782" t="inlineStr">
        <is>
          <t>Vodacom Life 20260603</t>
        </is>
      </c>
      <c r="H782" t="inlineStr">
        <is>
          <t>27828133629</t>
        </is>
      </c>
      <c r="J782" t="inlineStr">
        <is>
          <t>AE</t>
        </is>
      </c>
      <c r="K782" t="inlineStr">
        <is>
          <t>Auto Engaged</t>
        </is>
      </c>
      <c r="L782" t="n">
        <v>7</v>
      </c>
      <c r="M782" t="inlineStr">
        <is>
          <t>2026-06-12 12:28:52</t>
        </is>
      </c>
      <c r="N782" t="inlineStr">
        <is>
          <t>system</t>
        </is>
      </c>
      <c r="O782" t="inlineStr">
        <is>
          <t>2026-06-08 05:25:27</t>
        </is>
      </c>
      <c r="P782" t="inlineStr">
        <is>
          <t>2026-06-08 05:25:27</t>
        </is>
      </c>
      <c r="Y782" t="inlineStr">
        <is>
          <t>27828133629</t>
        </is>
      </c>
    </row>
    <row r="783">
      <c r="A783" t="inlineStr">
        <is>
          <t>14827802</t>
        </is>
      </c>
      <c r="B783" t="inlineStr">
        <is>
          <t>9eb2cd02-d447-43bc-8ba4-7ff8865907e5</t>
        </is>
      </c>
      <c r="D783" t="inlineStr">
        <is>
          <t>111111123</t>
        </is>
      </c>
      <c r="E783" t="inlineStr">
        <is>
          <t>Vodacom Life 20260603</t>
        </is>
      </c>
      <c r="J783" t="inlineStr">
        <is>
          <t>AE</t>
        </is>
      </c>
      <c r="K783" t="inlineStr">
        <is>
          <t>Auto Engaged</t>
        </is>
      </c>
      <c r="L783" t="n">
        <v>7</v>
      </c>
      <c r="M783" t="inlineStr">
        <is>
          <t>2026-06-12 12:28:49</t>
        </is>
      </c>
      <c r="N783" t="inlineStr">
        <is>
          <t>system</t>
        </is>
      </c>
      <c r="O783" t="inlineStr">
        <is>
          <t>2026-06-08 05:25:27</t>
        </is>
      </c>
      <c r="P783" t="inlineStr">
        <is>
          <t>2026-06-08 05:25:27</t>
        </is>
      </c>
      <c r="Y783" t="inlineStr">
        <is>
          <t>27828916430</t>
        </is>
      </c>
    </row>
    <row r="784">
      <c r="A784" t="inlineStr">
        <is>
          <t>14827806</t>
        </is>
      </c>
      <c r="B784" t="inlineStr">
        <is>
          <t>ba5e7edc-d809-4569-8c7a-24b3c9e23bba</t>
        </is>
      </c>
      <c r="D784" t="inlineStr">
        <is>
          <t>111111123</t>
        </is>
      </c>
      <c r="E784" t="inlineStr">
        <is>
          <t>Vodacom Life 20260603</t>
        </is>
      </c>
      <c r="J784" t="inlineStr">
        <is>
          <t>AE</t>
        </is>
      </c>
      <c r="K784" t="inlineStr">
        <is>
          <t>Auto Engaged</t>
        </is>
      </c>
      <c r="L784" t="n">
        <v>7</v>
      </c>
      <c r="M784" t="inlineStr">
        <is>
          <t>2026-06-12 12:28:44</t>
        </is>
      </c>
      <c r="N784" t="inlineStr">
        <is>
          <t>system</t>
        </is>
      </c>
      <c r="O784" t="inlineStr">
        <is>
          <t>2026-06-08 05:25:27</t>
        </is>
      </c>
      <c r="P784" t="inlineStr">
        <is>
          <t>2026-06-08 05:25:27</t>
        </is>
      </c>
      <c r="Y784" t="inlineStr">
        <is>
          <t>27729262903</t>
        </is>
      </c>
    </row>
    <row r="785">
      <c r="A785" t="inlineStr">
        <is>
          <t>14827807</t>
        </is>
      </c>
      <c r="B785" t="inlineStr">
        <is>
          <t>feb0fac6-2969-48b9-85e1-c74d16ee49da</t>
        </is>
      </c>
      <c r="D785" t="inlineStr">
        <is>
          <t>111111123</t>
        </is>
      </c>
      <c r="E785" t="inlineStr">
        <is>
          <t>Vodacom Life 20260603</t>
        </is>
      </c>
      <c r="J785" t="inlineStr">
        <is>
          <t>AE</t>
        </is>
      </c>
      <c r="K785" t="inlineStr">
        <is>
          <t>Auto Engaged</t>
        </is>
      </c>
      <c r="L785" t="n">
        <v>7</v>
      </c>
      <c r="M785" t="inlineStr">
        <is>
          <t>2026-06-12 12:28:41</t>
        </is>
      </c>
      <c r="N785" t="inlineStr">
        <is>
          <t>system</t>
        </is>
      </c>
      <c r="O785" t="inlineStr">
        <is>
          <t>2026-06-08 05:25:27</t>
        </is>
      </c>
      <c r="P785" t="inlineStr">
        <is>
          <t>2026-06-08 05:25:27</t>
        </is>
      </c>
      <c r="Y785" t="inlineStr">
        <is>
          <t>27793110400</t>
        </is>
      </c>
    </row>
    <row r="786">
      <c r="A786" t="inlineStr">
        <is>
          <t>14827808</t>
        </is>
      </c>
      <c r="B786" t="inlineStr">
        <is>
          <t>f9aecabd-6139-4d2b-916a-e99d67972356</t>
        </is>
      </c>
      <c r="D786" t="inlineStr">
        <is>
          <t>111111123</t>
        </is>
      </c>
      <c r="E786" t="inlineStr">
        <is>
          <t>Vodacom Life 20260603</t>
        </is>
      </c>
      <c r="J786" t="inlineStr">
        <is>
          <t>AA</t>
        </is>
      </c>
      <c r="K786" t="inlineStr">
        <is>
          <t>Answering Machine Autodial</t>
        </is>
      </c>
      <c r="L786" t="n">
        <v>7</v>
      </c>
      <c r="M786" t="inlineStr">
        <is>
          <t>2026-06-12 12:28:41</t>
        </is>
      </c>
      <c r="N786" t="inlineStr">
        <is>
          <t>system</t>
        </is>
      </c>
      <c r="O786" t="inlineStr">
        <is>
          <t>2026-06-08 05:25:27</t>
        </is>
      </c>
      <c r="P786" t="inlineStr">
        <is>
          <t>2026-06-08 05:25:27</t>
        </is>
      </c>
      <c r="Y786" t="inlineStr">
        <is>
          <t>27829727383</t>
        </is>
      </c>
    </row>
    <row r="787">
      <c r="A787" t="inlineStr">
        <is>
          <t>14827809</t>
        </is>
      </c>
      <c r="B787" t="inlineStr">
        <is>
          <t>bc2f4e5b-eb80-4e26-b5f0-60bbc2710af6</t>
        </is>
      </c>
      <c r="D787" t="inlineStr">
        <is>
          <t>111111123</t>
        </is>
      </c>
      <c r="E787" t="inlineStr">
        <is>
          <t>Vodacom Life 20260603</t>
        </is>
      </c>
      <c r="H787" t="inlineStr">
        <is>
          <t>27768500943</t>
        </is>
      </c>
      <c r="J787" t="inlineStr">
        <is>
          <t>AA</t>
        </is>
      </c>
      <c r="K787" t="inlineStr">
        <is>
          <t>Answering Machine Autodial</t>
        </is>
      </c>
      <c r="L787" t="n">
        <v>7</v>
      </c>
      <c r="M787" t="inlineStr">
        <is>
          <t>2026-06-12 12:28:40</t>
        </is>
      </c>
      <c r="N787" t="inlineStr">
        <is>
          <t>system</t>
        </is>
      </c>
      <c r="O787" t="inlineStr">
        <is>
          <t>2026-06-08 05:25:27</t>
        </is>
      </c>
      <c r="P787" t="inlineStr">
        <is>
          <t>2026-06-08 05:25:27</t>
        </is>
      </c>
      <c r="Y787" t="inlineStr">
        <is>
          <t>27768500943</t>
        </is>
      </c>
    </row>
    <row r="788">
      <c r="A788" t="inlineStr">
        <is>
          <t>14827812</t>
        </is>
      </c>
      <c r="B788" t="inlineStr">
        <is>
          <t>2bbd9bc2-bd49-4f2c-bc51-725da6c59cd0</t>
        </is>
      </c>
      <c r="D788" t="inlineStr">
        <is>
          <t>111111123</t>
        </is>
      </c>
      <c r="E788" t="inlineStr">
        <is>
          <t>Vodacom Life 20260603</t>
        </is>
      </c>
      <c r="H788" t="inlineStr">
        <is>
          <t>27728516094</t>
        </is>
      </c>
      <c r="J788" t="inlineStr">
        <is>
          <t>NA</t>
        </is>
      </c>
      <c r="K788" t="inlineStr">
        <is>
          <t>No Answer Autodial</t>
        </is>
      </c>
      <c r="L788" t="n">
        <v>7</v>
      </c>
      <c r="M788" t="inlineStr">
        <is>
          <t>2026-06-12 12:28:40</t>
        </is>
      </c>
      <c r="N788" t="inlineStr">
        <is>
          <t>system</t>
        </is>
      </c>
      <c r="O788" t="inlineStr">
        <is>
          <t>2026-06-08 05:25:27</t>
        </is>
      </c>
      <c r="P788" t="inlineStr">
        <is>
          <t>2026-06-08 05:25:27</t>
        </is>
      </c>
      <c r="Y788" t="inlineStr">
        <is>
          <t>27728516094</t>
        </is>
      </c>
    </row>
    <row r="789">
      <c r="A789" t="inlineStr">
        <is>
          <t>14827796</t>
        </is>
      </c>
      <c r="B789" t="inlineStr">
        <is>
          <t>08c08c0a-691b-4a03-b4a4-76e7a5efd6ab</t>
        </is>
      </c>
      <c r="D789" t="inlineStr">
        <is>
          <t>111111123</t>
        </is>
      </c>
      <c r="E789" t="inlineStr">
        <is>
          <t>Vodacom Life 20260603</t>
        </is>
      </c>
      <c r="H789" t="inlineStr">
        <is>
          <t>27715387040</t>
        </is>
      </c>
      <c r="J789" t="inlineStr">
        <is>
          <t>AE</t>
        </is>
      </c>
      <c r="K789" t="inlineStr">
        <is>
          <t>Auto Engaged</t>
        </is>
      </c>
      <c r="L789" t="n">
        <v>7</v>
      </c>
      <c r="M789" t="inlineStr">
        <is>
          <t>2026-06-12 12:27:15</t>
        </is>
      </c>
      <c r="N789" t="inlineStr">
        <is>
          <t>system</t>
        </is>
      </c>
      <c r="O789" t="inlineStr">
        <is>
          <t>2026-06-08 05:25:27</t>
        </is>
      </c>
      <c r="P789" t="inlineStr">
        <is>
          <t>2026-06-08 05:25:27</t>
        </is>
      </c>
      <c r="Y789" t="inlineStr">
        <is>
          <t>27715387040</t>
        </is>
      </c>
    </row>
    <row r="790">
      <c r="A790" t="inlineStr">
        <is>
          <t>14827797</t>
        </is>
      </c>
      <c r="B790" t="inlineStr">
        <is>
          <t>4e9a04a8-646f-4162-acfb-8ac65337903c</t>
        </is>
      </c>
      <c r="D790" t="inlineStr">
        <is>
          <t>111111123</t>
        </is>
      </c>
      <c r="E790" t="inlineStr">
        <is>
          <t>Vodacom Life 20260603</t>
        </is>
      </c>
      <c r="H790" t="inlineStr">
        <is>
          <t>27765953873</t>
        </is>
      </c>
      <c r="J790" t="inlineStr">
        <is>
          <t>AE</t>
        </is>
      </c>
      <c r="K790" t="inlineStr">
        <is>
          <t>Auto Engaged</t>
        </is>
      </c>
      <c r="L790" t="n">
        <v>7</v>
      </c>
      <c r="M790" t="inlineStr">
        <is>
          <t>2026-06-12 12:27:15</t>
        </is>
      </c>
      <c r="N790" t="inlineStr">
        <is>
          <t>system</t>
        </is>
      </c>
      <c r="O790" t="inlineStr">
        <is>
          <t>2026-06-08 05:25:27</t>
        </is>
      </c>
      <c r="P790" t="inlineStr">
        <is>
          <t>2026-06-08 05:25:27</t>
        </is>
      </c>
      <c r="Y790" t="inlineStr">
        <is>
          <t>27765953873</t>
        </is>
      </c>
    </row>
    <row r="791">
      <c r="A791" t="inlineStr">
        <is>
          <t>14827798</t>
        </is>
      </c>
      <c r="B791" t="inlineStr">
        <is>
          <t>520dff5d-481c-4a22-bd21-aaf80775e2a5</t>
        </is>
      </c>
      <c r="D791" t="inlineStr">
        <is>
          <t>111111123</t>
        </is>
      </c>
      <c r="E791" t="inlineStr">
        <is>
          <t>Vodacom Life 20260603</t>
        </is>
      </c>
      <c r="J791" t="inlineStr">
        <is>
          <t>AE</t>
        </is>
      </c>
      <c r="K791" t="inlineStr">
        <is>
          <t>Auto Engaged</t>
        </is>
      </c>
      <c r="L791" t="n">
        <v>7</v>
      </c>
      <c r="M791" t="inlineStr">
        <is>
          <t>2026-06-12 12:27:14</t>
        </is>
      </c>
      <c r="N791" t="inlineStr">
        <is>
          <t>system</t>
        </is>
      </c>
      <c r="O791" t="inlineStr">
        <is>
          <t>2026-06-08 05:25:27</t>
        </is>
      </c>
      <c r="P791" t="inlineStr">
        <is>
          <t>2026-06-08 05:25:27</t>
        </is>
      </c>
      <c r="Y791" t="inlineStr">
        <is>
          <t>27825263548</t>
        </is>
      </c>
    </row>
    <row r="792">
      <c r="A792" t="inlineStr">
        <is>
          <t>14827800</t>
        </is>
      </c>
      <c r="B792" t="inlineStr">
        <is>
          <t>e7a0e2ca-6df9-42b1-bdbc-c148888e0db0</t>
        </is>
      </c>
      <c r="D792" t="inlineStr">
        <is>
          <t>111111123</t>
        </is>
      </c>
      <c r="E792" t="inlineStr">
        <is>
          <t>Vodacom Life 20260603</t>
        </is>
      </c>
      <c r="H792" t="inlineStr">
        <is>
          <t>27792839621</t>
        </is>
      </c>
      <c r="J792" t="inlineStr">
        <is>
          <t>NA</t>
        </is>
      </c>
      <c r="K792" t="inlineStr">
        <is>
          <t>No Answer Autodial</t>
        </is>
      </c>
      <c r="L792" t="n">
        <v>7</v>
      </c>
      <c r="M792" t="inlineStr">
        <is>
          <t>2026-06-12 12:26:33</t>
        </is>
      </c>
      <c r="N792" t="inlineStr">
        <is>
          <t>system</t>
        </is>
      </c>
      <c r="O792" t="inlineStr">
        <is>
          <t>2026-06-08 05:25:27</t>
        </is>
      </c>
      <c r="P792" t="inlineStr">
        <is>
          <t>2026-06-08 05:25:27</t>
        </is>
      </c>
      <c r="Y792" t="inlineStr">
        <is>
          <t>27792839621</t>
        </is>
      </c>
    </row>
    <row r="793">
      <c r="A793" t="inlineStr">
        <is>
          <t>14827801</t>
        </is>
      </c>
      <c r="B793" t="inlineStr">
        <is>
          <t>ad6e95a5-84e1-4071-8510-5aa2af52dd1b</t>
        </is>
      </c>
      <c r="D793" t="inlineStr">
        <is>
          <t>111111123</t>
        </is>
      </c>
      <c r="E793" t="inlineStr">
        <is>
          <t>Vodacom Life 20260603</t>
        </is>
      </c>
      <c r="J793" t="inlineStr">
        <is>
          <t>CU</t>
        </is>
      </c>
      <c r="K793" t="inlineStr">
        <is>
          <t>Client Hung Up</t>
        </is>
      </c>
      <c r="L793" t="n">
        <v>7</v>
      </c>
      <c r="M793" t="inlineStr">
        <is>
          <t>2026-06-12 12:26:32</t>
        </is>
      </c>
      <c r="N793" t="inlineStr">
        <is>
          <t>bongiwe lushaba</t>
        </is>
      </c>
      <c r="O793" t="inlineStr">
        <is>
          <t>2026-06-08 05:25:27</t>
        </is>
      </c>
      <c r="P793" t="inlineStr">
        <is>
          <t>2026-06-08 05:25:27</t>
        </is>
      </c>
      <c r="Y793" t="inlineStr">
        <is>
          <t>27844566050</t>
        </is>
      </c>
    </row>
    <row r="794">
      <c r="A794" t="inlineStr">
        <is>
          <t>14827804</t>
        </is>
      </c>
      <c r="B794" t="inlineStr">
        <is>
          <t>fe27da30-5a6e-46b4-a03f-928330e00582</t>
        </is>
      </c>
      <c r="D794" t="inlineStr">
        <is>
          <t>111111123</t>
        </is>
      </c>
      <c r="E794" t="inlineStr">
        <is>
          <t>Vodacom Life 20260603</t>
        </is>
      </c>
      <c r="H794" t="inlineStr">
        <is>
          <t>27825492217</t>
        </is>
      </c>
      <c r="J794" t="inlineStr">
        <is>
          <t>AA</t>
        </is>
      </c>
      <c r="K794" t="inlineStr">
        <is>
          <t>Answering Machine Autodial</t>
        </is>
      </c>
      <c r="L794" t="n">
        <v>7</v>
      </c>
      <c r="M794" t="inlineStr">
        <is>
          <t>2026-06-12 12:26:32</t>
        </is>
      </c>
      <c r="N794" t="inlineStr">
        <is>
          <t>system</t>
        </is>
      </c>
      <c r="O794" t="inlineStr">
        <is>
          <t>2026-06-08 05:25:27</t>
        </is>
      </c>
      <c r="P794" t="inlineStr">
        <is>
          <t>2026-06-08 05:25:27</t>
        </is>
      </c>
      <c r="Y794" t="inlineStr">
        <is>
          <t>27825492217</t>
        </is>
      </c>
    </row>
    <row r="795">
      <c r="A795" t="inlineStr">
        <is>
          <t>14827746</t>
        </is>
      </c>
      <c r="B795" t="inlineStr">
        <is>
          <t>c8535e95-db5b-4cec-a185-221e99257937</t>
        </is>
      </c>
      <c r="D795" t="inlineStr">
        <is>
          <t>111111123</t>
        </is>
      </c>
      <c r="E795" t="inlineStr">
        <is>
          <t>Vodacom Life 20260603</t>
        </is>
      </c>
      <c r="H795" t="inlineStr">
        <is>
          <t>27762872349</t>
        </is>
      </c>
      <c r="J795" t="inlineStr">
        <is>
          <t>AA</t>
        </is>
      </c>
      <c r="K795" t="inlineStr">
        <is>
          <t>Answering Machine Autodial</t>
        </is>
      </c>
      <c r="L795" t="n">
        <v>7</v>
      </c>
      <c r="M795" t="inlineStr">
        <is>
          <t>2026-06-12 12:26:29</t>
        </is>
      </c>
      <c r="N795" t="inlineStr">
        <is>
          <t>system</t>
        </is>
      </c>
      <c r="O795" t="inlineStr">
        <is>
          <t>2026-06-08 05:25:27</t>
        </is>
      </c>
      <c r="P795" t="inlineStr">
        <is>
          <t>2026-06-08 05:25:27</t>
        </is>
      </c>
      <c r="Y795" t="inlineStr">
        <is>
          <t>27762872349</t>
        </is>
      </c>
    </row>
    <row r="796">
      <c r="A796" t="inlineStr">
        <is>
          <t>14827769</t>
        </is>
      </c>
      <c r="B796" t="inlineStr">
        <is>
          <t>607a9c58-4d51-4e06-b00f-242c5da46ec9</t>
        </is>
      </c>
      <c r="D796" t="inlineStr">
        <is>
          <t>111111123</t>
        </is>
      </c>
      <c r="E796" t="inlineStr">
        <is>
          <t>Vodacom Life 20260603</t>
        </is>
      </c>
      <c r="H796" t="inlineStr">
        <is>
          <t>27769097456</t>
        </is>
      </c>
      <c r="J796" t="inlineStr">
        <is>
          <t>AE</t>
        </is>
      </c>
      <c r="K796" t="inlineStr">
        <is>
          <t>Auto Engaged</t>
        </is>
      </c>
      <c r="L796" t="n">
        <v>7</v>
      </c>
      <c r="M796" t="inlineStr">
        <is>
          <t>2026-06-12 12:26:28</t>
        </is>
      </c>
      <c r="N796" t="inlineStr">
        <is>
          <t>system</t>
        </is>
      </c>
      <c r="O796" t="inlineStr">
        <is>
          <t>2026-06-08 05:25:27</t>
        </is>
      </c>
      <c r="P796" t="inlineStr">
        <is>
          <t>2026-06-08 05:25:27</t>
        </is>
      </c>
      <c r="Y796" t="inlineStr">
        <is>
          <t>27769097456</t>
        </is>
      </c>
    </row>
    <row r="797">
      <c r="A797" t="inlineStr">
        <is>
          <t>14827785</t>
        </is>
      </c>
      <c r="B797" t="inlineStr">
        <is>
          <t>2f58a123-94a6-4a26-bdc1-fa81ba486ad6</t>
        </is>
      </c>
      <c r="D797" t="inlineStr">
        <is>
          <t>111111123</t>
        </is>
      </c>
      <c r="E797" t="inlineStr">
        <is>
          <t>Vodacom Life 20260603</t>
        </is>
      </c>
      <c r="J797" t="inlineStr">
        <is>
          <t>AA</t>
        </is>
      </c>
      <c r="K797" t="inlineStr">
        <is>
          <t>Answering Machine Autodial</t>
        </is>
      </c>
      <c r="L797" t="n">
        <v>7</v>
      </c>
      <c r="M797" t="inlineStr">
        <is>
          <t>2026-06-12 12:26:28</t>
        </is>
      </c>
      <c r="N797" t="inlineStr">
        <is>
          <t>system</t>
        </is>
      </c>
      <c r="O797" t="inlineStr">
        <is>
          <t>2026-06-08 05:25:27</t>
        </is>
      </c>
      <c r="P797" t="inlineStr">
        <is>
          <t>2026-06-08 05:25:27</t>
        </is>
      </c>
      <c r="Y797" t="inlineStr">
        <is>
          <t>27764711343</t>
        </is>
      </c>
    </row>
    <row r="798">
      <c r="A798" t="inlineStr">
        <is>
          <t>14827703</t>
        </is>
      </c>
      <c r="B798" t="inlineStr">
        <is>
          <t>284260fb-a4b0-4630-a7b7-75b4de970540</t>
        </is>
      </c>
      <c r="D798" t="inlineStr">
        <is>
          <t>111111123</t>
        </is>
      </c>
      <c r="E798" t="inlineStr">
        <is>
          <t>Vodacom Life 20260603</t>
        </is>
      </c>
      <c r="H798" t="inlineStr">
        <is>
          <t>27796817118</t>
        </is>
      </c>
      <c r="J798" t="inlineStr">
        <is>
          <t>IABDN</t>
        </is>
      </c>
      <c r="K798" t="inlineStr">
        <is>
          <t>Inbound Abandon</t>
        </is>
      </c>
      <c r="L798" t="n">
        <v>7</v>
      </c>
      <c r="M798" t="inlineStr">
        <is>
          <t>2026-06-12 12:26:26</t>
        </is>
      </c>
      <c r="N798" t="inlineStr">
        <is>
          <t>system</t>
        </is>
      </c>
      <c r="O798" t="inlineStr">
        <is>
          <t>2026-06-08 05:25:27</t>
        </is>
      </c>
      <c r="P798" t="inlineStr">
        <is>
          <t>2026-06-08 05:25:27</t>
        </is>
      </c>
      <c r="Y798" t="inlineStr">
        <is>
          <t>27796817118</t>
        </is>
      </c>
    </row>
    <row r="799">
      <c r="A799" t="inlineStr">
        <is>
          <t>14827733</t>
        </is>
      </c>
      <c r="B799" t="inlineStr">
        <is>
          <t>43645468-9c8d-41b4-804c-2169dd8b0866</t>
        </is>
      </c>
      <c r="D799" t="inlineStr">
        <is>
          <t>111111123</t>
        </is>
      </c>
      <c r="E799" t="inlineStr">
        <is>
          <t>Vodacom Life 20260603</t>
        </is>
      </c>
      <c r="J799" t="inlineStr">
        <is>
          <t>AE</t>
        </is>
      </c>
      <c r="K799" t="inlineStr">
        <is>
          <t>Auto Engaged</t>
        </is>
      </c>
      <c r="L799" t="n">
        <v>7</v>
      </c>
      <c r="M799" t="inlineStr">
        <is>
          <t>2026-06-12 12:26:25</t>
        </is>
      </c>
      <c r="N799" t="inlineStr">
        <is>
          <t>system</t>
        </is>
      </c>
      <c r="O799" t="inlineStr">
        <is>
          <t>2026-06-08 05:25:27</t>
        </is>
      </c>
      <c r="P799" t="inlineStr">
        <is>
          <t>2026-06-08 05:25:27</t>
        </is>
      </c>
      <c r="Y799" t="inlineStr">
        <is>
          <t>27608731180</t>
        </is>
      </c>
    </row>
    <row r="800">
      <c r="A800" t="inlineStr">
        <is>
          <t>14827789</t>
        </is>
      </c>
      <c r="B800" t="inlineStr">
        <is>
          <t>de074bfb-463f-4946-a2dc-f3e16d0d7fd8</t>
        </is>
      </c>
      <c r="D800" t="inlineStr">
        <is>
          <t>111111123</t>
        </is>
      </c>
      <c r="E800" t="inlineStr">
        <is>
          <t>Vodacom Life 20260603</t>
        </is>
      </c>
      <c r="J800" t="inlineStr">
        <is>
          <t>AA</t>
        </is>
      </c>
      <c r="K800" t="inlineStr">
        <is>
          <t>Answering Machine Autodial</t>
        </is>
      </c>
      <c r="L800" t="n">
        <v>7</v>
      </c>
      <c r="M800" t="inlineStr">
        <is>
          <t>2026-06-12 12:26:22</t>
        </is>
      </c>
      <c r="N800" t="inlineStr">
        <is>
          <t>system</t>
        </is>
      </c>
      <c r="O800" t="inlineStr">
        <is>
          <t>2026-06-08 05:25:27</t>
        </is>
      </c>
      <c r="P800" t="inlineStr">
        <is>
          <t>2026-06-08 05:25:27</t>
        </is>
      </c>
      <c r="Y800" t="inlineStr">
        <is>
          <t>27765135708</t>
        </is>
      </c>
    </row>
    <row r="801">
      <c r="A801" t="inlineStr">
        <is>
          <t>14827791</t>
        </is>
      </c>
      <c r="B801" t="inlineStr">
        <is>
          <t>3ba2ae97-9773-4306-84ed-0e207d45ba62</t>
        </is>
      </c>
      <c r="D801" t="inlineStr">
        <is>
          <t>111111123</t>
        </is>
      </c>
      <c r="E801" t="inlineStr">
        <is>
          <t>Vodacom Life 20260603</t>
        </is>
      </c>
      <c r="H801" t="inlineStr">
        <is>
          <t>27790873685</t>
        </is>
      </c>
      <c r="J801" t="inlineStr">
        <is>
          <t>AA</t>
        </is>
      </c>
      <c r="K801" t="inlineStr">
        <is>
          <t>Answering Machine Autodial</t>
        </is>
      </c>
      <c r="L801" t="n">
        <v>7</v>
      </c>
      <c r="M801" t="inlineStr">
        <is>
          <t>2026-06-12 12:26:20</t>
        </is>
      </c>
      <c r="N801" t="inlineStr">
        <is>
          <t>system</t>
        </is>
      </c>
      <c r="O801" t="inlineStr">
        <is>
          <t>2026-06-08 05:25:27</t>
        </is>
      </c>
      <c r="P801" t="inlineStr">
        <is>
          <t>2026-06-08 05:25:27</t>
        </is>
      </c>
      <c r="Y801" t="inlineStr">
        <is>
          <t>27790873685</t>
        </is>
      </c>
    </row>
    <row r="802">
      <c r="A802" t="inlineStr">
        <is>
          <t>14827795</t>
        </is>
      </c>
      <c r="B802" t="inlineStr">
        <is>
          <t>3084d01c-84b8-4221-a937-fad14933e973</t>
        </is>
      </c>
      <c r="D802" t="inlineStr">
        <is>
          <t>111111123</t>
        </is>
      </c>
      <c r="E802" t="inlineStr">
        <is>
          <t>Vodacom Life 20260603</t>
        </is>
      </c>
      <c r="J802" t="inlineStr">
        <is>
          <t>AA</t>
        </is>
      </c>
      <c r="K802" t="inlineStr">
        <is>
          <t>Answering Machine Autodial</t>
        </is>
      </c>
      <c r="L802" t="n">
        <v>7</v>
      </c>
      <c r="M802" t="inlineStr">
        <is>
          <t>2026-06-12 12:26:20</t>
        </is>
      </c>
      <c r="N802" t="inlineStr">
        <is>
          <t>system</t>
        </is>
      </c>
      <c r="O802" t="inlineStr">
        <is>
          <t>2026-06-08 05:25:27</t>
        </is>
      </c>
      <c r="P802" t="inlineStr">
        <is>
          <t>2026-06-08 05:25:27</t>
        </is>
      </c>
      <c r="Y802" t="inlineStr">
        <is>
          <t>27661048173</t>
        </is>
      </c>
    </row>
    <row r="803">
      <c r="A803" t="inlineStr">
        <is>
          <t>14827736</t>
        </is>
      </c>
      <c r="B803" t="inlineStr">
        <is>
          <t>48922092-62ad-4ed8-8c05-7bd2f8ae27d4</t>
        </is>
      </c>
      <c r="D803" t="inlineStr">
        <is>
          <t>111111123</t>
        </is>
      </c>
      <c r="E803" t="inlineStr">
        <is>
          <t>Vodacom Life 20260603</t>
        </is>
      </c>
      <c r="H803" t="inlineStr">
        <is>
          <t>27637155467</t>
        </is>
      </c>
      <c r="J803" t="inlineStr">
        <is>
          <t>AE</t>
        </is>
      </c>
      <c r="K803" t="inlineStr">
        <is>
          <t>Auto Engaged</t>
        </is>
      </c>
      <c r="L803" t="n">
        <v>7</v>
      </c>
      <c r="M803" t="inlineStr">
        <is>
          <t>2026-06-12 12:26:09</t>
        </is>
      </c>
      <c r="N803" t="inlineStr">
        <is>
          <t>system</t>
        </is>
      </c>
      <c r="O803" t="inlineStr">
        <is>
          <t>2026-06-08 05:25:27</t>
        </is>
      </c>
      <c r="P803" t="inlineStr">
        <is>
          <t>2026-06-08 05:25:27</t>
        </is>
      </c>
      <c r="Y803" t="inlineStr">
        <is>
          <t>27637155467</t>
        </is>
      </c>
    </row>
    <row r="804">
      <c r="A804" t="inlineStr">
        <is>
          <t>14827702</t>
        </is>
      </c>
      <c r="B804" t="inlineStr">
        <is>
          <t>e08a371c-69e0-4467-9631-afeca7885422</t>
        </is>
      </c>
      <c r="D804" t="inlineStr">
        <is>
          <t>111111123</t>
        </is>
      </c>
      <c r="E804" t="inlineStr">
        <is>
          <t>Vodacom Life 20260603</t>
        </is>
      </c>
      <c r="H804" t="inlineStr">
        <is>
          <t>27827062508</t>
        </is>
      </c>
      <c r="J804" t="inlineStr">
        <is>
          <t>ADC</t>
        </is>
      </c>
      <c r="K804" t="inlineStr">
        <is>
          <t>Auto Dial Disconnected</t>
        </is>
      </c>
      <c r="L804" t="n">
        <v>7</v>
      </c>
      <c r="M804" t="inlineStr">
        <is>
          <t>2026-06-12 12:26:08</t>
        </is>
      </c>
      <c r="N804" t="inlineStr">
        <is>
          <t>system</t>
        </is>
      </c>
      <c r="O804" t="inlineStr">
        <is>
          <t>2026-06-08 05:25:27</t>
        </is>
      </c>
      <c r="P804" t="inlineStr">
        <is>
          <t>2026-06-08 05:25:27</t>
        </is>
      </c>
      <c r="Y804" t="inlineStr">
        <is>
          <t>27827062508</t>
        </is>
      </c>
    </row>
    <row r="805">
      <c r="A805" t="inlineStr">
        <is>
          <t>14827705</t>
        </is>
      </c>
      <c r="B805" t="inlineStr">
        <is>
          <t>fb0049f4-9934-4889-adf0-d1bf302aa992</t>
        </is>
      </c>
      <c r="D805" t="inlineStr">
        <is>
          <t>111111123</t>
        </is>
      </c>
      <c r="E805" t="inlineStr">
        <is>
          <t>Vodacom Life 20260603</t>
        </is>
      </c>
      <c r="H805" t="inlineStr">
        <is>
          <t>27764743572</t>
        </is>
      </c>
      <c r="J805" t="inlineStr">
        <is>
          <t>AE</t>
        </is>
      </c>
      <c r="K805" t="inlineStr">
        <is>
          <t>Auto Engaged</t>
        </is>
      </c>
      <c r="L805" t="n">
        <v>7</v>
      </c>
      <c r="M805" t="inlineStr">
        <is>
          <t>2026-06-12 12:25:03</t>
        </is>
      </c>
      <c r="N805" t="inlineStr">
        <is>
          <t>system</t>
        </is>
      </c>
      <c r="O805" t="inlineStr">
        <is>
          <t>2026-06-08 05:25:27</t>
        </is>
      </c>
      <c r="P805" t="inlineStr">
        <is>
          <t>2026-06-08 05:25:27</t>
        </is>
      </c>
      <c r="Y805" t="inlineStr">
        <is>
          <t>27764743572</t>
        </is>
      </c>
    </row>
    <row r="806">
      <c r="A806" t="inlineStr">
        <is>
          <t>14827701</t>
        </is>
      </c>
      <c r="B806" t="inlineStr">
        <is>
          <t>0861da6e-828a-444b-ac56-696ccd317091</t>
        </is>
      </c>
      <c r="D806" t="inlineStr">
        <is>
          <t>111111123</t>
        </is>
      </c>
      <c r="E806" t="inlineStr">
        <is>
          <t>Vodacom Life 20260603</t>
        </is>
      </c>
      <c r="J806" t="inlineStr">
        <is>
          <t>AA</t>
        </is>
      </c>
      <c r="K806" t="inlineStr">
        <is>
          <t>Answering Machine Autodial</t>
        </is>
      </c>
      <c r="L806" t="n">
        <v>7</v>
      </c>
      <c r="M806" t="inlineStr">
        <is>
          <t>2026-06-12 12:24:56</t>
        </is>
      </c>
      <c r="N806" t="inlineStr">
        <is>
          <t>system</t>
        </is>
      </c>
      <c r="O806" t="inlineStr">
        <is>
          <t>2026-06-08 05:25:27</t>
        </is>
      </c>
      <c r="P806" t="inlineStr">
        <is>
          <t>2026-06-08 05:25:27</t>
        </is>
      </c>
      <c r="Y806" t="inlineStr">
        <is>
          <t>27818822172</t>
        </is>
      </c>
    </row>
    <row r="807">
      <c r="A807" t="inlineStr">
        <is>
          <t>14828178</t>
        </is>
      </c>
      <c r="B807" t="inlineStr">
        <is>
          <t>00c9ba57-4260-46c8-90c9-e638b9b4916b</t>
        </is>
      </c>
      <c r="D807" t="inlineStr">
        <is>
          <t>111111123</t>
        </is>
      </c>
      <c r="E807" t="inlineStr">
        <is>
          <t>Vodacom Life 20260603</t>
        </is>
      </c>
      <c r="H807" t="inlineStr">
        <is>
          <t>27824803798</t>
        </is>
      </c>
      <c r="J807" t="inlineStr">
        <is>
          <t>CU</t>
        </is>
      </c>
      <c r="K807" t="inlineStr">
        <is>
          <t>Client Hung Up</t>
        </is>
      </c>
      <c r="L807" t="n">
        <v>7</v>
      </c>
      <c r="M807" t="inlineStr">
        <is>
          <t>2026-06-12 12:23:01</t>
        </is>
      </c>
      <c r="N807" t="inlineStr">
        <is>
          <t>Musiiwa Mary Mabirimisa</t>
        </is>
      </c>
      <c r="O807" t="inlineStr">
        <is>
          <t>2026-06-08 05:25:27</t>
        </is>
      </c>
      <c r="P807" t="inlineStr">
        <is>
          <t>2026-06-08 05:25:27</t>
        </is>
      </c>
      <c r="Y807" t="inlineStr">
        <is>
          <t>27824803798</t>
        </is>
      </c>
    </row>
    <row r="808">
      <c r="A808" t="inlineStr">
        <is>
          <t>14828041</t>
        </is>
      </c>
      <c r="B808" t="inlineStr">
        <is>
          <t>b9a9b6a3-bc70-4a39-a35c-f9961163a1f7</t>
        </is>
      </c>
      <c r="D808" t="inlineStr">
        <is>
          <t>111111123</t>
        </is>
      </c>
      <c r="E808" t="inlineStr">
        <is>
          <t>Vodacom Life 20260603</t>
        </is>
      </c>
      <c r="J808" t="inlineStr">
        <is>
          <t>CU</t>
        </is>
      </c>
      <c r="K808" t="inlineStr">
        <is>
          <t>Client Hung Up</t>
        </is>
      </c>
      <c r="L808" t="n">
        <v>7</v>
      </c>
      <c r="M808" t="inlineStr">
        <is>
          <t>2026-06-12 10:03:59</t>
        </is>
      </c>
      <c r="N808" t="inlineStr">
        <is>
          <t>Maureen Ntsoko</t>
        </is>
      </c>
      <c r="O808" t="inlineStr">
        <is>
          <t>2026-06-08 05:25:27</t>
        </is>
      </c>
      <c r="P808" t="inlineStr">
        <is>
          <t>2026-06-08 05:25:27</t>
        </is>
      </c>
      <c r="Y808" t="inlineStr">
        <is>
          <t>27715474340</t>
        </is>
      </c>
    </row>
    <row r="809">
      <c r="A809" t="inlineStr">
        <is>
          <t>14827956</t>
        </is>
      </c>
      <c r="B809" t="inlineStr">
        <is>
          <t>ecf7fe62-bfbd-49c5-b1f2-e1b464a03bde</t>
        </is>
      </c>
      <c r="D809" t="inlineStr">
        <is>
          <t>111111123</t>
        </is>
      </c>
      <c r="E809" t="inlineStr">
        <is>
          <t>Vodacom Life 20260603</t>
        </is>
      </c>
      <c r="J809" t="inlineStr">
        <is>
          <t>AGE</t>
        </is>
      </c>
      <c r="K809" t="inlineStr">
        <is>
          <t>Under Age</t>
        </is>
      </c>
      <c r="L809" t="n">
        <v>6</v>
      </c>
      <c r="M809" t="inlineStr">
        <is>
          <t>2026-06-12 09:38:53</t>
        </is>
      </c>
      <c r="N809" t="inlineStr">
        <is>
          <t>bongiwe lushaba</t>
        </is>
      </c>
      <c r="O809" t="inlineStr">
        <is>
          <t>2026-06-08 05:25:27</t>
        </is>
      </c>
      <c r="P809" t="inlineStr">
        <is>
          <t>2026-06-08 05:25:27</t>
        </is>
      </c>
      <c r="Y809" t="inlineStr">
        <is>
          <t>27711636813</t>
        </is>
      </c>
    </row>
    <row r="810">
      <c r="A810" t="inlineStr">
        <is>
          <t>14828128</t>
        </is>
      </c>
      <c r="B810" t="inlineStr">
        <is>
          <t>23cf6619-8d3a-4c58-80fb-018b4e142aae</t>
        </is>
      </c>
      <c r="D810" t="inlineStr">
        <is>
          <t>111111123</t>
        </is>
      </c>
      <c r="E810" t="inlineStr">
        <is>
          <t>Vodacom Life 20260603</t>
        </is>
      </c>
      <c r="J810" t="inlineStr">
        <is>
          <t>SELECTED</t>
        </is>
      </c>
      <c r="K810" t="inlineStr">
        <is>
          <t>Selected</t>
        </is>
      </c>
      <c r="L810" t="n">
        <v>7</v>
      </c>
      <c r="M810" t="inlineStr">
        <is>
          <t>2026-06-12 09:37:57</t>
        </is>
      </c>
      <c r="N810" t="inlineStr">
        <is>
          <t>system</t>
        </is>
      </c>
      <c r="O810" t="inlineStr">
        <is>
          <t>2026-06-08 05:25:27</t>
        </is>
      </c>
      <c r="P810" t="inlineStr">
        <is>
          <t>2026-06-08 05:25:27</t>
        </is>
      </c>
      <c r="Y810" t="inlineStr">
        <is>
          <t>27608561500</t>
        </is>
      </c>
    </row>
    <row r="811">
      <c r="A811" t="inlineStr">
        <is>
          <t>14828133</t>
        </is>
      </c>
      <c r="B811" t="inlineStr">
        <is>
          <t>34c0fd9d-ba47-442b-884f-059c7c62460e</t>
        </is>
      </c>
      <c r="D811" t="inlineStr">
        <is>
          <t>111111123</t>
        </is>
      </c>
      <c r="E811" t="inlineStr">
        <is>
          <t>Vodacom Life 20260603</t>
        </is>
      </c>
      <c r="H811" t="inlineStr">
        <is>
          <t>27760616492</t>
        </is>
      </c>
      <c r="J811" t="inlineStr">
        <is>
          <t>U</t>
        </is>
      </c>
      <c r="K811" t="inlineStr">
        <is>
          <t>Unemployed</t>
        </is>
      </c>
      <c r="L811" t="n">
        <v>5</v>
      </c>
      <c r="M811" t="inlineStr">
        <is>
          <t>2026-06-12 09:35:55</t>
        </is>
      </c>
      <c r="N811" t="inlineStr">
        <is>
          <t>Khensane Mabasa</t>
        </is>
      </c>
      <c r="O811" t="inlineStr">
        <is>
          <t>2026-06-08 05:25:27</t>
        </is>
      </c>
      <c r="P811" t="inlineStr">
        <is>
          <t>2026-06-08 05:25:27</t>
        </is>
      </c>
      <c r="Y811" t="inlineStr">
        <is>
          <t>27760616492</t>
        </is>
      </c>
    </row>
    <row r="812">
      <c r="A812" t="inlineStr">
        <is>
          <t>14828039</t>
        </is>
      </c>
      <c r="B812" t="inlineStr">
        <is>
          <t>10aaa864-5719-45da-81dd-dc52229d0256</t>
        </is>
      </c>
      <c r="D812" t="inlineStr">
        <is>
          <t>111111123</t>
        </is>
      </c>
      <c r="E812" t="inlineStr">
        <is>
          <t>Vodacom Life 20260603</t>
        </is>
      </c>
      <c r="J812" t="inlineStr">
        <is>
          <t>NIUP</t>
        </is>
      </c>
      <c r="K812" t="inlineStr">
        <is>
          <t>Not Interested Upfront</t>
        </is>
      </c>
      <c r="L812" t="n">
        <v>6</v>
      </c>
      <c r="M812" t="inlineStr">
        <is>
          <t>2026-06-12 09:31:30</t>
        </is>
      </c>
      <c r="N812" t="inlineStr">
        <is>
          <t>bongiwe lushaba</t>
        </is>
      </c>
      <c r="O812" t="inlineStr">
        <is>
          <t>2026-06-08 05:25:27</t>
        </is>
      </c>
      <c r="P812" t="inlineStr">
        <is>
          <t>2026-06-08 05:25:27</t>
        </is>
      </c>
      <c r="Y812" t="inlineStr">
        <is>
          <t>27824728684</t>
        </is>
      </c>
    </row>
    <row r="813">
      <c r="A813" t="inlineStr">
        <is>
          <t>14828101</t>
        </is>
      </c>
      <c r="B813" t="inlineStr">
        <is>
          <t>116a0bf7-c61b-438a-ac7c-697a1d79a0fc</t>
        </is>
      </c>
      <c r="D813" t="inlineStr">
        <is>
          <t>111111123</t>
        </is>
      </c>
      <c r="E813" t="inlineStr">
        <is>
          <t>Vodacom Life 20260603</t>
        </is>
      </c>
      <c r="H813" t="inlineStr">
        <is>
          <t>27761810737</t>
        </is>
      </c>
      <c r="J813" t="inlineStr">
        <is>
          <t>AC</t>
        </is>
      </c>
      <c r="K813" t="inlineStr">
        <is>
          <t>Already Contacted</t>
        </is>
      </c>
      <c r="L813" t="n">
        <v>6</v>
      </c>
      <c r="M813" t="inlineStr">
        <is>
          <t>2026-06-12 09:25:48</t>
        </is>
      </c>
      <c r="N813" t="inlineStr">
        <is>
          <t>Maureen Ntsoko</t>
        </is>
      </c>
      <c r="O813" t="inlineStr">
        <is>
          <t>2026-06-08 05:25:27</t>
        </is>
      </c>
      <c r="P813" t="inlineStr">
        <is>
          <t>2026-06-08 05:25:27</t>
        </is>
      </c>
      <c r="Y813" t="inlineStr">
        <is>
          <t>27761810737</t>
        </is>
      </c>
    </row>
    <row r="814">
      <c r="A814" t="inlineStr">
        <is>
          <t>14828103</t>
        </is>
      </c>
      <c r="B814" t="inlineStr">
        <is>
          <t>037a961b-c91d-4135-8077-a9b2839aed4f</t>
        </is>
      </c>
      <c r="D814" t="inlineStr">
        <is>
          <t>111111123</t>
        </is>
      </c>
      <c r="E814" t="inlineStr">
        <is>
          <t>Vodacom Life 20260603</t>
        </is>
      </c>
      <c r="H814" t="inlineStr">
        <is>
          <t>27711648790</t>
        </is>
      </c>
      <c r="J814" t="inlineStr">
        <is>
          <t>AC</t>
        </is>
      </c>
      <c r="K814" t="inlineStr">
        <is>
          <t>Already Contacted</t>
        </is>
      </c>
      <c r="L814" t="n">
        <v>6</v>
      </c>
      <c r="M814" t="inlineStr">
        <is>
          <t>2026-06-12 09:23:36</t>
        </is>
      </c>
      <c r="N814" t="inlineStr">
        <is>
          <t>Maureen Ntsoko</t>
        </is>
      </c>
      <c r="O814" t="inlineStr">
        <is>
          <t>2026-06-08 05:25:27</t>
        </is>
      </c>
      <c r="P814" t="inlineStr">
        <is>
          <t>2026-06-08 05:25:27</t>
        </is>
      </c>
      <c r="Y814" t="inlineStr">
        <is>
          <t>27711648790</t>
        </is>
      </c>
    </row>
    <row r="815">
      <c r="A815" t="inlineStr">
        <is>
          <t>14828226</t>
        </is>
      </c>
      <c r="B815" t="inlineStr">
        <is>
          <t>74747364-88f8-4d84-b356-e36e907c349f</t>
        </is>
      </c>
      <c r="D815" t="inlineStr">
        <is>
          <t>111111123</t>
        </is>
      </c>
      <c r="E815" t="inlineStr">
        <is>
          <t>Vodacom Life 20260603</t>
        </is>
      </c>
      <c r="H815" t="inlineStr">
        <is>
          <t>27766840075</t>
        </is>
      </c>
      <c r="J815" t="inlineStr">
        <is>
          <t>U</t>
        </is>
      </c>
      <c r="K815" t="inlineStr">
        <is>
          <t>Unemployed</t>
        </is>
      </c>
      <c r="L815" t="n">
        <v>6</v>
      </c>
      <c r="M815" t="inlineStr">
        <is>
          <t>2026-06-12 09:22:11</t>
        </is>
      </c>
      <c r="N815" t="inlineStr">
        <is>
          <t>Khensane Mabasa</t>
        </is>
      </c>
      <c r="O815" t="inlineStr">
        <is>
          <t>2026-06-08 05:25:27</t>
        </is>
      </c>
      <c r="P815" t="inlineStr">
        <is>
          <t>2026-06-08 05:25:27</t>
        </is>
      </c>
      <c r="Y815" t="inlineStr">
        <is>
          <t>27766840075</t>
        </is>
      </c>
    </row>
    <row r="816">
      <c r="A816" t="inlineStr">
        <is>
          <t>14827922</t>
        </is>
      </c>
      <c r="B816" t="inlineStr">
        <is>
          <t>80809633-cee6-4673-83b6-7617bc0af307</t>
        </is>
      </c>
      <c r="D816" t="inlineStr">
        <is>
          <t>111111123</t>
        </is>
      </c>
      <c r="E816" t="inlineStr">
        <is>
          <t>Vodacom Life 20260603</t>
        </is>
      </c>
      <c r="H816" t="inlineStr">
        <is>
          <t>27784847077</t>
        </is>
      </c>
      <c r="J816" t="inlineStr">
        <is>
          <t>NI</t>
        </is>
      </c>
      <c r="K816" t="inlineStr">
        <is>
          <t>Not Interested</t>
        </is>
      </c>
      <c r="L816" t="n">
        <v>6</v>
      </c>
      <c r="M816" t="inlineStr">
        <is>
          <t>2026-06-12 09:20:19</t>
        </is>
      </c>
      <c r="N816" t="inlineStr">
        <is>
          <t>Musiiwa Mary Mabirimisa</t>
        </is>
      </c>
      <c r="O816" t="inlineStr">
        <is>
          <t>2026-06-08 05:25:27</t>
        </is>
      </c>
      <c r="P816" t="inlineStr">
        <is>
          <t>2026-06-08 05:25:27</t>
        </is>
      </c>
      <c r="Y816" t="inlineStr">
        <is>
          <t>27784847077</t>
        </is>
      </c>
    </row>
    <row r="817">
      <c r="A817" t="inlineStr">
        <is>
          <t>14827996</t>
        </is>
      </c>
      <c r="B817" t="inlineStr">
        <is>
          <t>7a436121-04f6-4445-8a85-d03622a183aa</t>
        </is>
      </c>
      <c r="D817" t="inlineStr">
        <is>
          <t>111111123</t>
        </is>
      </c>
      <c r="E817" t="inlineStr">
        <is>
          <t>Vodacom Life 20260603</t>
        </is>
      </c>
      <c r="J817" t="inlineStr">
        <is>
          <t>WN</t>
        </is>
      </c>
      <c r="K817" t="inlineStr">
        <is>
          <t>Wrong Number</t>
        </is>
      </c>
      <c r="L817" t="n">
        <v>6</v>
      </c>
      <c r="M817" t="inlineStr">
        <is>
          <t>2026-06-12 09:08:14</t>
        </is>
      </c>
      <c r="N817" t="inlineStr">
        <is>
          <t>Musiiwa Mary Mabirimisa</t>
        </is>
      </c>
      <c r="O817" t="inlineStr">
        <is>
          <t>2026-06-08 05:25:27</t>
        </is>
      </c>
      <c r="P817" t="inlineStr">
        <is>
          <t>2026-06-08 05:25:27</t>
        </is>
      </c>
      <c r="Y817" t="inlineStr">
        <is>
          <t>27823907425</t>
        </is>
      </c>
    </row>
    <row r="818">
      <c r="A818" t="inlineStr">
        <is>
          <t>14828334</t>
        </is>
      </c>
      <c r="B818" t="inlineStr">
        <is>
          <t>86fdf91f-4580-4bc8-b2ee-34464b2070a6</t>
        </is>
      </c>
      <c r="D818" t="inlineStr">
        <is>
          <t>111111123</t>
        </is>
      </c>
      <c r="E818" t="inlineStr">
        <is>
          <t>Vodacom Life 20260603</t>
        </is>
      </c>
      <c r="H818" t="inlineStr">
        <is>
          <t>27734199272</t>
        </is>
      </c>
      <c r="J818" t="inlineStr">
        <is>
          <t>NI</t>
        </is>
      </c>
      <c r="K818" t="inlineStr">
        <is>
          <t>Not Interested</t>
        </is>
      </c>
      <c r="L818" t="n">
        <v>6</v>
      </c>
      <c r="M818" t="inlineStr">
        <is>
          <t>2026-06-12 08:54:12</t>
        </is>
      </c>
      <c r="N818" t="inlineStr">
        <is>
          <t>Khensane Mabasa</t>
        </is>
      </c>
      <c r="O818" t="inlineStr">
        <is>
          <t>2026-06-08 05:25:27</t>
        </is>
      </c>
      <c r="P818" t="inlineStr">
        <is>
          <t>2026-06-08 05:25:27</t>
        </is>
      </c>
      <c r="Y818" t="inlineStr">
        <is>
          <t>27734199272</t>
        </is>
      </c>
    </row>
    <row r="819">
      <c r="A819" t="inlineStr">
        <is>
          <t>14828409</t>
        </is>
      </c>
      <c r="B819" t="inlineStr">
        <is>
          <t>392eb77a-d37d-479c-8e3f-11d1db6d5c1a</t>
        </is>
      </c>
      <c r="D819" t="inlineStr">
        <is>
          <t>111111123</t>
        </is>
      </c>
      <c r="E819" t="inlineStr">
        <is>
          <t>Vodacom Life 20260603</t>
        </is>
      </c>
      <c r="H819" t="inlineStr">
        <is>
          <t>27724378167</t>
        </is>
      </c>
      <c r="J819" t="inlineStr">
        <is>
          <t>CU</t>
        </is>
      </c>
      <c r="K819" t="inlineStr">
        <is>
          <t>Client Hung Up</t>
        </is>
      </c>
      <c r="L819" t="n">
        <v>7</v>
      </c>
      <c r="M819" t="inlineStr">
        <is>
          <t>2026-06-12 08:53:33</t>
        </is>
      </c>
      <c r="N819" t="inlineStr">
        <is>
          <t>bongiwe lushaba</t>
        </is>
      </c>
      <c r="O819" t="inlineStr">
        <is>
          <t>2026-06-08 05:25:27</t>
        </is>
      </c>
      <c r="P819" t="inlineStr">
        <is>
          <t>2026-06-08 05:25:27</t>
        </is>
      </c>
      <c r="Y819" t="inlineStr">
        <is>
          <t>27724378167</t>
        </is>
      </c>
    </row>
    <row r="820">
      <c r="A820" t="inlineStr">
        <is>
          <t>14828408</t>
        </is>
      </c>
      <c r="B820" t="inlineStr">
        <is>
          <t>0c39044f-2a12-48b3-8525-e6aa2c95d3ac</t>
        </is>
      </c>
      <c r="D820" t="inlineStr">
        <is>
          <t>111111123</t>
        </is>
      </c>
      <c r="E820" t="inlineStr">
        <is>
          <t>Vodacom Life 20260603</t>
        </is>
      </c>
      <c r="H820" t="inlineStr">
        <is>
          <t>27713346010</t>
        </is>
      </c>
      <c r="J820" t="inlineStr">
        <is>
          <t>CU</t>
        </is>
      </c>
      <c r="K820" t="inlineStr">
        <is>
          <t>Client Hung Up</t>
        </is>
      </c>
      <c r="L820" t="n">
        <v>8</v>
      </c>
      <c r="M820" t="inlineStr">
        <is>
          <t>2026-06-12 08:52:02</t>
        </is>
      </c>
      <c r="N820" t="inlineStr">
        <is>
          <t>Musiiwa Mary Mabirimisa</t>
        </is>
      </c>
      <c r="O820" t="inlineStr">
        <is>
          <t>2026-06-08 05:25:27</t>
        </is>
      </c>
      <c r="P820" t="inlineStr">
        <is>
          <t>2026-06-08 05:25:27</t>
        </is>
      </c>
      <c r="Y820" t="inlineStr">
        <is>
          <t>27713346010</t>
        </is>
      </c>
    </row>
    <row r="821">
      <c r="A821" t="inlineStr">
        <is>
          <t>14828329</t>
        </is>
      </c>
      <c r="B821" t="inlineStr">
        <is>
          <t>eceb96fd-73a1-4ce1-b900-8da56895786b</t>
        </is>
      </c>
      <c r="D821" t="inlineStr">
        <is>
          <t>111111123</t>
        </is>
      </c>
      <c r="E821" t="inlineStr">
        <is>
          <t>Vodacom Life 20260603</t>
        </is>
      </c>
      <c r="J821" t="inlineStr">
        <is>
          <t>U</t>
        </is>
      </c>
      <c r="K821" t="inlineStr">
        <is>
          <t>Unemployed</t>
        </is>
      </c>
      <c r="L821" t="n">
        <v>6</v>
      </c>
      <c r="M821" t="inlineStr">
        <is>
          <t>2026-06-12 08:48:05</t>
        </is>
      </c>
      <c r="N821" t="inlineStr">
        <is>
          <t>Khensane Mabasa</t>
        </is>
      </c>
      <c r="O821" t="inlineStr">
        <is>
          <t>2026-06-08 05:25:27</t>
        </is>
      </c>
      <c r="P821" t="inlineStr">
        <is>
          <t>2026-06-08 05:25:27</t>
        </is>
      </c>
      <c r="Y821" t="inlineStr">
        <is>
          <t>27724365354</t>
        </is>
      </c>
    </row>
    <row r="822">
      <c r="A822" t="inlineStr">
        <is>
          <t>14828445</t>
        </is>
      </c>
      <c r="B822" t="inlineStr">
        <is>
          <t>fafabb26-aa67-4300-99f2-ee9b190f88f5</t>
        </is>
      </c>
      <c r="D822" t="inlineStr">
        <is>
          <t>111111123</t>
        </is>
      </c>
      <c r="E822" t="inlineStr">
        <is>
          <t>Vodacom Life 20260603</t>
        </is>
      </c>
      <c r="H822" t="inlineStr">
        <is>
          <t>27790689157</t>
        </is>
      </c>
      <c r="J822" t="inlineStr">
        <is>
          <t>U</t>
        </is>
      </c>
      <c r="K822" t="inlineStr">
        <is>
          <t>Unemployed</t>
        </is>
      </c>
      <c r="L822" t="n">
        <v>6</v>
      </c>
      <c r="M822" t="inlineStr">
        <is>
          <t>2026-06-12 08:44:15</t>
        </is>
      </c>
      <c r="N822" t="inlineStr">
        <is>
          <t>Khensane Mabasa</t>
        </is>
      </c>
      <c r="O822" t="inlineStr">
        <is>
          <t>2026-06-08 05:25:27</t>
        </is>
      </c>
      <c r="P822" t="inlineStr">
        <is>
          <t>2026-06-08 05:25:27</t>
        </is>
      </c>
      <c r="Y822" t="inlineStr">
        <is>
          <t>27790689157</t>
        </is>
      </c>
    </row>
    <row r="823">
      <c r="A823" t="inlineStr">
        <is>
          <t>14828429</t>
        </is>
      </c>
      <c r="B823" t="inlineStr">
        <is>
          <t>c219e4cf-9337-42cb-b1aa-b15e93604441</t>
        </is>
      </c>
      <c r="D823" t="inlineStr">
        <is>
          <t>111111123</t>
        </is>
      </c>
      <c r="E823" t="inlineStr">
        <is>
          <t>Vodacom Life 20260603</t>
        </is>
      </c>
      <c r="H823" t="inlineStr">
        <is>
          <t>27768068297</t>
        </is>
      </c>
      <c r="J823" t="inlineStr">
        <is>
          <t>QAVET</t>
        </is>
      </c>
      <c r="K823" t="inlineStr">
        <is>
          <t>Sale Made</t>
        </is>
      </c>
      <c r="L823" t="n">
        <v>6</v>
      </c>
      <c r="M823" t="inlineStr">
        <is>
          <t>2026-06-12 08:42:39</t>
        </is>
      </c>
      <c r="N823" t="inlineStr">
        <is>
          <t>Maureen Ntsoko</t>
        </is>
      </c>
      <c r="O823" t="inlineStr">
        <is>
          <t>2026-06-08 05:25:27</t>
        </is>
      </c>
      <c r="P823" t="inlineStr">
        <is>
          <t>2026-06-08 05:25:27</t>
        </is>
      </c>
      <c r="Y823" t="inlineStr">
        <is>
          <t>27768068297</t>
        </is>
      </c>
    </row>
    <row r="824">
      <c r="A824" t="inlineStr">
        <is>
          <t>14827555</t>
        </is>
      </c>
      <c r="B824" t="inlineStr">
        <is>
          <t>934bd80b-baa7-4b79-9c89-706476fdec32</t>
        </is>
      </c>
      <c r="D824" t="inlineStr">
        <is>
          <t>111111123</t>
        </is>
      </c>
      <c r="E824" t="inlineStr">
        <is>
          <t>Vodacom Life 20260603</t>
        </is>
      </c>
      <c r="J824" t="inlineStr">
        <is>
          <t>NI</t>
        </is>
      </c>
      <c r="K824" t="inlineStr">
        <is>
          <t>Not Interested</t>
        </is>
      </c>
      <c r="L824" t="n">
        <v>6</v>
      </c>
      <c r="M824" t="inlineStr">
        <is>
          <t>2026-06-12 08:23:07</t>
        </is>
      </c>
      <c r="N824" t="inlineStr">
        <is>
          <t>Musiiwa Mary Mabirimisa</t>
        </is>
      </c>
      <c r="O824" t="inlineStr">
        <is>
          <t>2026-06-08 05:25:27</t>
        </is>
      </c>
      <c r="P824" t="inlineStr">
        <is>
          <t>2026-06-08 05:25:27</t>
        </is>
      </c>
      <c r="Y824" t="inlineStr">
        <is>
          <t>27728412709</t>
        </is>
      </c>
    </row>
    <row r="825">
      <c r="A825" t="inlineStr">
        <is>
          <t>14827570</t>
        </is>
      </c>
      <c r="B825" t="inlineStr">
        <is>
          <t>e040da91-8361-443a-bb96-83946ec32853</t>
        </is>
      </c>
      <c r="D825" t="inlineStr">
        <is>
          <t>111111123</t>
        </is>
      </c>
      <c r="E825" t="inlineStr">
        <is>
          <t>Vodacom Life 20260603</t>
        </is>
      </c>
      <c r="H825" t="inlineStr">
        <is>
          <t>27608918585</t>
        </is>
      </c>
      <c r="J825" t="inlineStr">
        <is>
          <t>SELECTED</t>
        </is>
      </c>
      <c r="K825" t="inlineStr">
        <is>
          <t>Selected</t>
        </is>
      </c>
      <c r="L825" t="n">
        <v>7</v>
      </c>
      <c r="M825" t="inlineStr">
        <is>
          <t>2026-06-12 08:17:04</t>
        </is>
      </c>
      <c r="N825" t="inlineStr">
        <is>
          <t>system</t>
        </is>
      </c>
      <c r="O825" t="inlineStr">
        <is>
          <t>2026-06-08 05:25:27</t>
        </is>
      </c>
      <c r="P825" t="inlineStr">
        <is>
          <t>2026-06-08 05:25:27</t>
        </is>
      </c>
      <c r="Y825" t="inlineStr">
        <is>
          <t>27608918585</t>
        </is>
      </c>
    </row>
    <row r="826">
      <c r="A826" t="inlineStr">
        <is>
          <t>14827599</t>
        </is>
      </c>
      <c r="B826" t="inlineStr">
        <is>
          <t>463b865f-84de-4c3b-9138-0bcfbb2b339b</t>
        </is>
      </c>
      <c r="D826" t="inlineStr">
        <is>
          <t>111111123</t>
        </is>
      </c>
      <c r="E826" t="inlineStr">
        <is>
          <t>Vodacom Life 20260603</t>
        </is>
      </c>
      <c r="J826" t="inlineStr">
        <is>
          <t>U</t>
        </is>
      </c>
      <c r="K826" t="inlineStr">
        <is>
          <t>Unemployed</t>
        </is>
      </c>
      <c r="L826" t="n">
        <v>6</v>
      </c>
      <c r="M826" t="inlineStr">
        <is>
          <t>2026-06-12 08:12:54</t>
        </is>
      </c>
      <c r="N826" t="inlineStr">
        <is>
          <t>bongiwe lushaba</t>
        </is>
      </c>
      <c r="O826" t="inlineStr">
        <is>
          <t>2026-06-08 05:25:27</t>
        </is>
      </c>
      <c r="P826" t="inlineStr">
        <is>
          <t>2026-06-08 05:25:27</t>
        </is>
      </c>
      <c r="Y826" t="inlineStr">
        <is>
          <t>27769248619</t>
        </is>
      </c>
    </row>
    <row r="827">
      <c r="A827" t="inlineStr">
        <is>
          <t>14828267</t>
        </is>
      </c>
      <c r="B827" t="inlineStr">
        <is>
          <t>b6cfc9bc-02e9-46df-a0a7-f43cc72e663c</t>
        </is>
      </c>
      <c r="D827" t="inlineStr">
        <is>
          <t>111111123</t>
        </is>
      </c>
      <c r="E827" t="inlineStr">
        <is>
          <t>Vodacom Life 20260603</t>
        </is>
      </c>
      <c r="H827" t="inlineStr">
        <is>
          <t>27646281596</t>
        </is>
      </c>
      <c r="J827" t="inlineStr">
        <is>
          <t>CBACK</t>
        </is>
      </c>
      <c r="K827" t="inlineStr">
        <is>
          <t>Callback</t>
        </is>
      </c>
      <c r="L827" t="n">
        <v>4</v>
      </c>
      <c r="M827" t="inlineStr">
        <is>
          <t>2026-06-12 08:12:01</t>
        </is>
      </c>
      <c r="N827" t="inlineStr">
        <is>
          <t>bongiwe lushaba</t>
        </is>
      </c>
      <c r="O827" t="inlineStr">
        <is>
          <t>2026-06-08 05:25:27</t>
        </is>
      </c>
      <c r="P827" t="inlineStr">
        <is>
          <t>2026-06-08 05:25:27</t>
        </is>
      </c>
      <c r="Y827" t="inlineStr">
        <is>
          <t>27646281596</t>
        </is>
      </c>
    </row>
    <row r="828">
      <c r="A828" t="inlineStr">
        <is>
          <t>14827913</t>
        </is>
      </c>
      <c r="B828" t="inlineStr">
        <is>
          <t>8fbf420e-3c59-4556-bcc7-3a9f366389ee</t>
        </is>
      </c>
      <c r="D828" t="inlineStr">
        <is>
          <t>111111123</t>
        </is>
      </c>
      <c r="E828" t="inlineStr">
        <is>
          <t>Vodacom Life 20260603</t>
        </is>
      </c>
      <c r="J828" t="inlineStr">
        <is>
          <t>CBACK</t>
        </is>
      </c>
      <c r="K828" t="inlineStr">
        <is>
          <t>Callback</t>
        </is>
      </c>
      <c r="L828" t="n">
        <v>6</v>
      </c>
      <c r="M828" t="inlineStr">
        <is>
          <t>2026-06-12 08:07:33</t>
        </is>
      </c>
      <c r="N828" t="inlineStr">
        <is>
          <t>bongiwe lushaba</t>
        </is>
      </c>
      <c r="O828" t="inlineStr">
        <is>
          <t>2026-06-08 05:25:27</t>
        </is>
      </c>
      <c r="P828" t="inlineStr">
        <is>
          <t>2026-06-08 05:25:27</t>
        </is>
      </c>
      <c r="Y828" t="inlineStr">
        <is>
          <t>27726360245</t>
        </is>
      </c>
    </row>
    <row r="829">
      <c r="A829" t="inlineStr">
        <is>
          <t>14828139</t>
        </is>
      </c>
      <c r="B829" t="inlineStr">
        <is>
          <t>9b9875c5-6796-4fa1-ba6a-683fa8bc8cb5</t>
        </is>
      </c>
      <c r="D829" t="inlineStr">
        <is>
          <t>111111123</t>
        </is>
      </c>
      <c r="E829" t="inlineStr">
        <is>
          <t>Vodacom Life 20260603</t>
        </is>
      </c>
      <c r="H829" t="inlineStr">
        <is>
          <t>27649732702</t>
        </is>
      </c>
      <c r="J829" t="inlineStr">
        <is>
          <t>DNQS</t>
        </is>
      </c>
      <c r="K829" t="inlineStr">
        <is>
          <t>Does Not Qualify</t>
        </is>
      </c>
      <c r="L829" t="n">
        <v>5</v>
      </c>
      <c r="M829" t="inlineStr">
        <is>
          <t>2026-06-12 07:59:51</t>
        </is>
      </c>
      <c r="N829" t="inlineStr">
        <is>
          <t>Musiiwa Mary Mabirimisa</t>
        </is>
      </c>
      <c r="O829" t="inlineStr">
        <is>
          <t>2026-06-08 05:25:27</t>
        </is>
      </c>
      <c r="P829" t="inlineStr">
        <is>
          <t>2026-06-08 05:25:27</t>
        </is>
      </c>
      <c r="Y829" t="inlineStr">
        <is>
          <t>27649732702</t>
        </is>
      </c>
    </row>
    <row r="830">
      <c r="A830" t="inlineStr">
        <is>
          <t>14827745</t>
        </is>
      </c>
      <c r="B830" t="inlineStr">
        <is>
          <t>7c3b1aa5-eab2-4d11-9277-dd15601bd6d1</t>
        </is>
      </c>
      <c r="D830" t="inlineStr">
        <is>
          <t>111111123</t>
        </is>
      </c>
      <c r="E830" t="inlineStr">
        <is>
          <t>Vodacom Life 20260603</t>
        </is>
      </c>
      <c r="J830" t="inlineStr">
        <is>
          <t>OAL</t>
        </is>
      </c>
      <c r="K830" t="inlineStr">
        <is>
          <t>Over Age Limit</t>
        </is>
      </c>
      <c r="L830" t="n">
        <v>6</v>
      </c>
      <c r="M830" t="inlineStr">
        <is>
          <t>2026-06-12 07:59:50</t>
        </is>
      </c>
      <c r="N830" t="inlineStr">
        <is>
          <t>Maureen Ntsoko</t>
        </is>
      </c>
      <c r="O830" t="inlineStr">
        <is>
          <t>2026-06-08 05:25:27</t>
        </is>
      </c>
      <c r="P830" t="inlineStr">
        <is>
          <t>2026-06-08 05:25:27</t>
        </is>
      </c>
      <c r="Y830" t="inlineStr">
        <is>
          <t>27797047493</t>
        </is>
      </c>
    </row>
    <row r="831">
      <c r="A831" t="inlineStr">
        <is>
          <t>14828507</t>
        </is>
      </c>
      <c r="B831" t="inlineStr">
        <is>
          <t>6bdc2333-f6b9-40fa-b323-58257961a847</t>
        </is>
      </c>
      <c r="D831" t="inlineStr">
        <is>
          <t>111111123</t>
        </is>
      </c>
      <c r="E831" t="inlineStr">
        <is>
          <t>Vodacom Life 20260603</t>
        </is>
      </c>
      <c r="J831" t="inlineStr">
        <is>
          <t>NI</t>
        </is>
      </c>
      <c r="K831" t="inlineStr">
        <is>
          <t>Not Interested</t>
        </is>
      </c>
      <c r="L831" t="n">
        <v>6</v>
      </c>
      <c r="M831" t="inlineStr">
        <is>
          <t>2026-06-12 07:57:38</t>
        </is>
      </c>
      <c r="N831" t="inlineStr">
        <is>
          <t>Musiiwa Mary Mabirimisa</t>
        </is>
      </c>
      <c r="O831" t="inlineStr">
        <is>
          <t>2026-06-08 05:25:27</t>
        </is>
      </c>
      <c r="P831" t="inlineStr">
        <is>
          <t>2026-06-08 05:25:27</t>
        </is>
      </c>
      <c r="Y831" t="inlineStr">
        <is>
          <t>27769736097</t>
        </is>
      </c>
    </row>
    <row r="832">
      <c r="A832" t="inlineStr">
        <is>
          <t>14827752</t>
        </is>
      </c>
      <c r="B832" t="inlineStr">
        <is>
          <t>85e01f81-be07-4730-9529-cb5d5af6c6cb</t>
        </is>
      </c>
      <c r="D832" t="inlineStr">
        <is>
          <t>111111123</t>
        </is>
      </c>
      <c r="E832" t="inlineStr">
        <is>
          <t>Vodacom Life 20260603</t>
        </is>
      </c>
      <c r="J832" t="inlineStr">
        <is>
          <t>DNCLIFE</t>
        </is>
      </c>
      <c r="K832" t="inlineStr">
        <is>
          <t>Do Not Call</t>
        </is>
      </c>
      <c r="L832" t="n">
        <v>6</v>
      </c>
      <c r="M832" t="inlineStr">
        <is>
          <t>2026-06-12 07:54:56</t>
        </is>
      </c>
      <c r="N832" t="inlineStr">
        <is>
          <t>Musiiwa Mary Mabirimisa</t>
        </is>
      </c>
      <c r="O832" t="inlineStr">
        <is>
          <t>2026-06-08 05:25:27</t>
        </is>
      </c>
      <c r="P832" t="inlineStr">
        <is>
          <t>2026-06-08 05:25:27</t>
        </is>
      </c>
      <c r="Y832" t="inlineStr">
        <is>
          <t>27724975276</t>
        </is>
      </c>
    </row>
    <row r="833">
      <c r="A833" t="inlineStr">
        <is>
          <t>14827803</t>
        </is>
      </c>
      <c r="B833" t="inlineStr">
        <is>
          <t>3f8d272f-133d-483e-b986-6b877fa431ac</t>
        </is>
      </c>
      <c r="D833" t="inlineStr">
        <is>
          <t>111111123</t>
        </is>
      </c>
      <c r="E833" t="inlineStr">
        <is>
          <t>Vodacom Life 20260603</t>
        </is>
      </c>
      <c r="H833" t="inlineStr">
        <is>
          <t>27661653590</t>
        </is>
      </c>
      <c r="J833" t="inlineStr">
        <is>
          <t>AC</t>
        </is>
      </c>
      <c r="K833" t="inlineStr">
        <is>
          <t>Already Contacted</t>
        </is>
      </c>
      <c r="L833" t="n">
        <v>7</v>
      </c>
      <c r="M833" t="inlineStr">
        <is>
          <t>2026-06-12 07:53:57</t>
        </is>
      </c>
      <c r="N833" t="inlineStr">
        <is>
          <t>Musiiwa Mary Mabirimisa</t>
        </is>
      </c>
      <c r="O833" t="inlineStr">
        <is>
          <t>2026-06-08 05:25:27</t>
        </is>
      </c>
      <c r="P833" t="inlineStr">
        <is>
          <t>2026-06-08 05:25:27</t>
        </is>
      </c>
      <c r="Y833" t="inlineStr">
        <is>
          <t>27661653590</t>
        </is>
      </c>
    </row>
    <row r="834">
      <c r="A834" t="inlineStr">
        <is>
          <t>14827793</t>
        </is>
      </c>
      <c r="B834" t="inlineStr">
        <is>
          <t>b13b2aff-2202-4614-83f9-bd9de87ebced</t>
        </is>
      </c>
      <c r="D834" t="inlineStr">
        <is>
          <t>111111123</t>
        </is>
      </c>
      <c r="E834" t="inlineStr">
        <is>
          <t>Vodacom Life 20260603</t>
        </is>
      </c>
      <c r="H834" t="inlineStr">
        <is>
          <t>27720135685</t>
        </is>
      </c>
      <c r="J834" t="inlineStr">
        <is>
          <t>NIUP</t>
        </is>
      </c>
      <c r="K834" t="inlineStr">
        <is>
          <t>Not Interested Upfront</t>
        </is>
      </c>
      <c r="L834" t="n">
        <v>6</v>
      </c>
      <c r="M834" t="inlineStr">
        <is>
          <t>2026-06-12 07:51:58</t>
        </is>
      </c>
      <c r="N834" t="inlineStr">
        <is>
          <t>bongiwe lushaba</t>
        </is>
      </c>
      <c r="O834" t="inlineStr">
        <is>
          <t>2026-06-08 05:25:27</t>
        </is>
      </c>
      <c r="P834" t="inlineStr">
        <is>
          <t>2026-06-08 05:25:27</t>
        </is>
      </c>
      <c r="Y834" t="inlineStr">
        <is>
          <t>27720135685</t>
        </is>
      </c>
    </row>
    <row r="835">
      <c r="A835" t="inlineStr">
        <is>
          <t>14828371</t>
        </is>
      </c>
      <c r="B835" t="inlineStr">
        <is>
          <t>25bc4a7d-d139-400f-bdab-6e9b0b6bd7ef</t>
        </is>
      </c>
      <c r="D835" t="inlineStr">
        <is>
          <t>111111123</t>
        </is>
      </c>
      <c r="E835" t="inlineStr">
        <is>
          <t>Vodacom Life 20260603</t>
        </is>
      </c>
      <c r="J835" t="inlineStr">
        <is>
          <t>NI</t>
        </is>
      </c>
      <c r="K835" t="inlineStr">
        <is>
          <t>Not Interested</t>
        </is>
      </c>
      <c r="L835" t="n">
        <v>6</v>
      </c>
      <c r="M835" t="inlineStr">
        <is>
          <t>2026-06-12 07:48:25</t>
        </is>
      </c>
      <c r="N835" t="inlineStr">
        <is>
          <t>Musiiwa Mary Mabirimisa</t>
        </is>
      </c>
      <c r="O835" t="inlineStr">
        <is>
          <t>2026-06-08 05:25:27</t>
        </is>
      </c>
      <c r="P835" t="inlineStr">
        <is>
          <t>2026-06-08 05:25:27</t>
        </is>
      </c>
      <c r="Y835" t="inlineStr">
        <is>
          <t>27792994014</t>
        </is>
      </c>
    </row>
    <row r="836">
      <c r="A836" t="inlineStr">
        <is>
          <t>14827676</t>
        </is>
      </c>
      <c r="B836" t="inlineStr">
        <is>
          <t>a49423b9-60be-4aec-874a-244c3acdfc2d</t>
        </is>
      </c>
      <c r="D836" t="inlineStr">
        <is>
          <t>111111123</t>
        </is>
      </c>
      <c r="E836" t="inlineStr">
        <is>
          <t>Vodacom Life 20260603</t>
        </is>
      </c>
      <c r="J836" t="inlineStr">
        <is>
          <t>DNCLIFE</t>
        </is>
      </c>
      <c r="K836" t="inlineStr">
        <is>
          <t>Do Not Call</t>
        </is>
      </c>
      <c r="L836" t="n">
        <v>6</v>
      </c>
      <c r="M836" t="inlineStr">
        <is>
          <t>2026-06-12 07:45:14</t>
        </is>
      </c>
      <c r="N836" t="inlineStr">
        <is>
          <t>Musiiwa Mary Mabirimisa</t>
        </is>
      </c>
      <c r="O836" t="inlineStr">
        <is>
          <t>2026-06-08 05:25:27</t>
        </is>
      </c>
      <c r="P836" t="inlineStr">
        <is>
          <t>2026-06-08 05:25:27</t>
        </is>
      </c>
      <c r="Y836" t="inlineStr">
        <is>
          <t>27715365781</t>
        </is>
      </c>
    </row>
    <row r="837">
      <c r="A837" t="inlineStr">
        <is>
          <t>14828332</t>
        </is>
      </c>
      <c r="B837" t="inlineStr">
        <is>
          <t>8db6c4fa-b325-4316-a5fd-979c91a2440c</t>
        </is>
      </c>
      <c r="D837" t="inlineStr">
        <is>
          <t>111111123</t>
        </is>
      </c>
      <c r="E837" t="inlineStr">
        <is>
          <t>Vodacom Life 20260603</t>
        </is>
      </c>
      <c r="J837" t="inlineStr">
        <is>
          <t>AF</t>
        </is>
      </c>
      <c r="K837" t="inlineStr">
        <is>
          <t>Cannot Afford</t>
        </is>
      </c>
      <c r="L837" t="n">
        <v>6</v>
      </c>
      <c r="M837" t="inlineStr">
        <is>
          <t>2026-06-12 07:44:30</t>
        </is>
      </c>
      <c r="N837" t="inlineStr">
        <is>
          <t>Maureen Ntsoko</t>
        </is>
      </c>
      <c r="O837" t="inlineStr">
        <is>
          <t>2026-06-08 05:25:27</t>
        </is>
      </c>
      <c r="P837" t="inlineStr">
        <is>
          <t>2026-06-08 05:25:27</t>
        </is>
      </c>
      <c r="Y837" t="inlineStr">
        <is>
          <t>27720268743</t>
        </is>
      </c>
    </row>
    <row r="838">
      <c r="A838" t="inlineStr">
        <is>
          <t>14828321</t>
        </is>
      </c>
      <c r="B838" t="inlineStr">
        <is>
          <t>92862404-cd07-4916-a7a2-3cb4199bebbb</t>
        </is>
      </c>
      <c r="D838" t="inlineStr">
        <is>
          <t>111111123</t>
        </is>
      </c>
      <c r="E838" t="inlineStr">
        <is>
          <t>Vodacom Life 20260603</t>
        </is>
      </c>
      <c r="H838" t="inlineStr">
        <is>
          <t>27665144692</t>
        </is>
      </c>
      <c r="J838" t="inlineStr">
        <is>
          <t>ADC</t>
        </is>
      </c>
      <c r="K838" t="inlineStr">
        <is>
          <t>Auto Dial Disconnected</t>
        </is>
      </c>
      <c r="L838" t="n">
        <v>7</v>
      </c>
      <c r="M838" t="inlineStr">
        <is>
          <t>2026-06-12 07:16:05</t>
        </is>
      </c>
      <c r="N838" t="inlineStr">
        <is>
          <t>system</t>
        </is>
      </c>
      <c r="O838" t="inlineStr">
        <is>
          <t>2026-06-08 05:25:27</t>
        </is>
      </c>
      <c r="P838" t="inlineStr">
        <is>
          <t>2026-06-08 05:25:27</t>
        </is>
      </c>
      <c r="Y838" t="inlineStr">
        <is>
          <t>27665144692</t>
        </is>
      </c>
    </row>
    <row r="839">
      <c r="A839" t="inlineStr">
        <is>
          <t>14827906</t>
        </is>
      </c>
      <c r="B839" t="inlineStr">
        <is>
          <t>d535eda6-3cf7-432c-aeef-1d065783fbe4</t>
        </is>
      </c>
      <c r="D839" t="inlineStr">
        <is>
          <t>111111123</t>
        </is>
      </c>
      <c r="E839" t="inlineStr">
        <is>
          <t>Vodacom Life 20260603</t>
        </is>
      </c>
      <c r="J839" t="inlineStr">
        <is>
          <t>ADC</t>
        </is>
      </c>
      <c r="K839" t="inlineStr">
        <is>
          <t>Auto Dial Disconnected</t>
        </is>
      </c>
      <c r="L839" t="n">
        <v>7</v>
      </c>
      <c r="M839" t="inlineStr">
        <is>
          <t>2026-06-12 07:16:04</t>
        </is>
      </c>
      <c r="N839" t="inlineStr">
        <is>
          <t>system</t>
        </is>
      </c>
      <c r="O839" t="inlineStr">
        <is>
          <t>2026-06-08 05:25:27</t>
        </is>
      </c>
      <c r="P839" t="inlineStr">
        <is>
          <t>2026-06-08 05:25:27</t>
        </is>
      </c>
      <c r="Y839" t="inlineStr">
        <is>
          <t>27763077929</t>
        </is>
      </c>
    </row>
    <row r="840">
      <c r="A840" t="inlineStr">
        <is>
          <t>14828079</t>
        </is>
      </c>
      <c r="B840" t="inlineStr">
        <is>
          <t>7a0dafd8-36d7-42c6-9c8a-dbbb596ae784</t>
        </is>
      </c>
      <c r="D840" t="inlineStr">
        <is>
          <t>111111123</t>
        </is>
      </c>
      <c r="E840" t="inlineStr">
        <is>
          <t>Vodacom Life 20260603</t>
        </is>
      </c>
      <c r="J840" t="inlineStr">
        <is>
          <t>AC</t>
        </is>
      </c>
      <c r="K840" t="inlineStr">
        <is>
          <t>Already Contacted</t>
        </is>
      </c>
      <c r="L840" t="n">
        <v>4</v>
      </c>
      <c r="M840" t="inlineStr">
        <is>
          <t>2026-06-11 13:50:50</t>
        </is>
      </c>
      <c r="N840" t="inlineStr">
        <is>
          <t>Maureen Ntsoko</t>
        </is>
      </c>
      <c r="O840" t="inlineStr">
        <is>
          <t>2026-06-08 05:25:27</t>
        </is>
      </c>
      <c r="P840" t="inlineStr">
        <is>
          <t>2026-06-08 05:25:27</t>
        </is>
      </c>
      <c r="Y840" t="inlineStr">
        <is>
          <t>27791670908</t>
        </is>
      </c>
    </row>
    <row r="841">
      <c r="A841" t="inlineStr">
        <is>
          <t>14827964</t>
        </is>
      </c>
      <c r="B841" t="inlineStr">
        <is>
          <t>1417a362-6835-418f-ae11-5ae9b833fff5</t>
        </is>
      </c>
      <c r="D841" t="inlineStr">
        <is>
          <t>111111123</t>
        </is>
      </c>
      <c r="E841" t="inlineStr">
        <is>
          <t>Vodacom Life 20260603</t>
        </is>
      </c>
      <c r="J841" t="inlineStr">
        <is>
          <t>AF</t>
        </is>
      </c>
      <c r="K841" t="inlineStr">
        <is>
          <t>Cannot Afford</t>
        </is>
      </c>
      <c r="L841" t="n">
        <v>4</v>
      </c>
      <c r="M841" t="inlineStr">
        <is>
          <t>2026-06-11 13:32:56</t>
        </is>
      </c>
      <c r="N841" t="inlineStr">
        <is>
          <t>Maureen Ntsoko</t>
        </is>
      </c>
      <c r="O841" t="inlineStr">
        <is>
          <t>2026-06-08 05:25:27</t>
        </is>
      </c>
      <c r="P841" t="inlineStr">
        <is>
          <t>2026-06-08 05:25:27</t>
        </is>
      </c>
      <c r="Y841" t="inlineStr">
        <is>
          <t>27765841660</t>
        </is>
      </c>
    </row>
    <row r="842">
      <c r="A842" t="inlineStr">
        <is>
          <t>14827957</t>
        </is>
      </c>
      <c r="B842" t="inlineStr">
        <is>
          <t>8424dd11-3169-4548-9cc7-1b5cb662683a</t>
        </is>
      </c>
      <c r="D842" t="inlineStr">
        <is>
          <t>111111123</t>
        </is>
      </c>
      <c r="E842" t="inlineStr">
        <is>
          <t>Vodacom Life 20260603</t>
        </is>
      </c>
      <c r="H842" t="inlineStr">
        <is>
          <t>27727619248</t>
        </is>
      </c>
      <c r="J842" t="inlineStr">
        <is>
          <t>NIUP</t>
        </is>
      </c>
      <c r="K842" t="inlineStr">
        <is>
          <t>Not Interested Upfront</t>
        </is>
      </c>
      <c r="L842" t="n">
        <v>5</v>
      </c>
      <c r="M842" t="inlineStr">
        <is>
          <t>2026-06-11 13:32:20</t>
        </is>
      </c>
      <c r="N842" t="inlineStr">
        <is>
          <t>bongiwe lushaba</t>
        </is>
      </c>
      <c r="O842" t="inlineStr">
        <is>
          <t>2026-06-08 05:25:27</t>
        </is>
      </c>
      <c r="P842" t="inlineStr">
        <is>
          <t>2026-06-08 05:25:27</t>
        </is>
      </c>
      <c r="Y842" t="inlineStr">
        <is>
          <t>27727619248</t>
        </is>
      </c>
    </row>
    <row r="843">
      <c r="A843" t="inlineStr">
        <is>
          <t>14827959</t>
        </is>
      </c>
      <c r="B843" t="inlineStr">
        <is>
          <t>f12b6e03-78da-42e8-a55f-e57e7fdd68c4</t>
        </is>
      </c>
      <c r="D843" t="inlineStr">
        <is>
          <t>111111123</t>
        </is>
      </c>
      <c r="E843" t="inlineStr">
        <is>
          <t>Vodacom Life 20260603</t>
        </is>
      </c>
      <c r="J843" t="inlineStr">
        <is>
          <t>DNCLIFE</t>
        </is>
      </c>
      <c r="K843" t="inlineStr">
        <is>
          <t>Do Not Call</t>
        </is>
      </c>
      <c r="L843" t="n">
        <v>4</v>
      </c>
      <c r="M843" t="inlineStr">
        <is>
          <t>2026-06-11 13:30:56</t>
        </is>
      </c>
      <c r="N843" t="inlineStr">
        <is>
          <t>Musiiwa Mary Mabirimisa</t>
        </is>
      </c>
      <c r="O843" t="inlineStr">
        <is>
          <t>2026-06-08 05:25:27</t>
        </is>
      </c>
      <c r="P843" t="inlineStr">
        <is>
          <t>2026-06-08 05:25:27</t>
        </is>
      </c>
      <c r="Y843" t="inlineStr">
        <is>
          <t>27715095693</t>
        </is>
      </c>
    </row>
    <row r="844">
      <c r="A844" t="inlineStr">
        <is>
          <t>14827951</t>
        </is>
      </c>
      <c r="B844" t="inlineStr">
        <is>
          <t>8f0a7a87-bfee-446a-9f14-e764f014ed32</t>
        </is>
      </c>
      <c r="D844" t="inlineStr">
        <is>
          <t>111111123</t>
        </is>
      </c>
      <c r="E844" t="inlineStr">
        <is>
          <t>Vodacom Life 20260603</t>
        </is>
      </c>
      <c r="J844" t="inlineStr">
        <is>
          <t>DNQF</t>
        </is>
      </c>
      <c r="K844" t="inlineStr">
        <is>
          <t>Do Not Qualify Failed Medical Question</t>
        </is>
      </c>
      <c r="L844" t="n">
        <v>4</v>
      </c>
      <c r="M844" t="inlineStr">
        <is>
          <t>2026-06-11 13:29:04</t>
        </is>
      </c>
      <c r="N844" t="inlineStr">
        <is>
          <t>Maureen Ntsoko</t>
        </is>
      </c>
      <c r="O844" t="inlineStr">
        <is>
          <t>2026-06-08 05:25:27</t>
        </is>
      </c>
      <c r="P844" t="inlineStr">
        <is>
          <t>2026-06-08 05:25:27</t>
        </is>
      </c>
      <c r="Y844" t="inlineStr">
        <is>
          <t>27791739387</t>
        </is>
      </c>
    </row>
    <row r="845">
      <c r="A845" t="inlineStr">
        <is>
          <t>14827950</t>
        </is>
      </c>
      <c r="B845" t="inlineStr">
        <is>
          <t>bbaa3986-abc5-4b83-9497-a2ed81a39ed5</t>
        </is>
      </c>
      <c r="D845" t="inlineStr">
        <is>
          <t>111111123</t>
        </is>
      </c>
      <c r="E845" t="inlineStr">
        <is>
          <t>Vodacom Life 20260603</t>
        </is>
      </c>
      <c r="J845" t="inlineStr">
        <is>
          <t>NIUP</t>
        </is>
      </c>
      <c r="K845" t="inlineStr">
        <is>
          <t>Not Interested Upfront</t>
        </is>
      </c>
      <c r="L845" t="n">
        <v>4</v>
      </c>
      <c r="M845" t="inlineStr">
        <is>
          <t>2026-06-11 13:29:00</t>
        </is>
      </c>
      <c r="N845" t="inlineStr">
        <is>
          <t>bongiwe lushaba</t>
        </is>
      </c>
      <c r="O845" t="inlineStr">
        <is>
          <t>2026-06-08 05:25:27</t>
        </is>
      </c>
      <c r="P845" t="inlineStr">
        <is>
          <t>2026-06-08 05:25:27</t>
        </is>
      </c>
      <c r="Y845" t="inlineStr">
        <is>
          <t>27609161084</t>
        </is>
      </c>
    </row>
    <row r="846">
      <c r="A846" t="inlineStr">
        <is>
          <t>14827916</t>
        </is>
      </c>
      <c r="B846" t="inlineStr">
        <is>
          <t>4ef814f1-694b-475b-8323-02432731f813</t>
        </is>
      </c>
      <c r="D846" t="inlineStr">
        <is>
          <t>111111123</t>
        </is>
      </c>
      <c r="E846" t="inlineStr">
        <is>
          <t>Vodacom Life 20260603</t>
        </is>
      </c>
      <c r="J846" t="inlineStr">
        <is>
          <t>DNCLIFE</t>
        </is>
      </c>
      <c r="K846" t="inlineStr">
        <is>
          <t>Do Not Call</t>
        </is>
      </c>
      <c r="L846" t="n">
        <v>4</v>
      </c>
      <c r="M846" t="inlineStr">
        <is>
          <t>2026-06-11 13:26:17</t>
        </is>
      </c>
      <c r="N846" t="inlineStr">
        <is>
          <t>Musiiwa Mary Mabirimisa</t>
        </is>
      </c>
      <c r="O846" t="inlineStr">
        <is>
          <t>2026-06-08 05:25:27</t>
        </is>
      </c>
      <c r="P846" t="inlineStr">
        <is>
          <t>2026-06-08 05:25:27</t>
        </is>
      </c>
      <c r="Y846" t="inlineStr">
        <is>
          <t>27792885870</t>
        </is>
      </c>
    </row>
    <row r="847">
      <c r="A847" t="inlineStr">
        <is>
          <t>14827882</t>
        </is>
      </c>
      <c r="B847" t="inlineStr">
        <is>
          <t>88bd67b7-338f-4ead-baf7-679ba25ff797</t>
        </is>
      </c>
      <c r="D847" t="inlineStr">
        <is>
          <t>111111123</t>
        </is>
      </c>
      <c r="E847" t="inlineStr">
        <is>
          <t>Vodacom Life 20260603</t>
        </is>
      </c>
      <c r="H847" t="inlineStr">
        <is>
          <t>27735707684</t>
        </is>
      </c>
      <c r="J847" t="inlineStr">
        <is>
          <t>AC</t>
        </is>
      </c>
      <c r="K847" t="inlineStr">
        <is>
          <t>Already Contacted</t>
        </is>
      </c>
      <c r="L847" t="n">
        <v>5</v>
      </c>
      <c r="M847" t="inlineStr">
        <is>
          <t>2026-06-11 13:25:08</t>
        </is>
      </c>
      <c r="N847" t="inlineStr">
        <is>
          <t>Maureen Ntsoko</t>
        </is>
      </c>
      <c r="O847" t="inlineStr">
        <is>
          <t>2026-06-08 05:25:27</t>
        </is>
      </c>
      <c r="P847" t="inlineStr">
        <is>
          <t>2026-06-08 05:25:27</t>
        </is>
      </c>
      <c r="Y847" t="inlineStr">
        <is>
          <t>27735707684</t>
        </is>
      </c>
    </row>
    <row r="848">
      <c r="A848" t="inlineStr">
        <is>
          <t>14827893</t>
        </is>
      </c>
      <c r="B848" t="inlineStr">
        <is>
          <t>4a7122c5-cd8e-435f-924c-c4ec6ed3e687</t>
        </is>
      </c>
      <c r="D848" t="inlineStr">
        <is>
          <t>111111123</t>
        </is>
      </c>
      <c r="E848" t="inlineStr">
        <is>
          <t>Vodacom Life 20260603</t>
        </is>
      </c>
      <c r="J848" t="inlineStr">
        <is>
          <t>NI</t>
        </is>
      </c>
      <c r="K848" t="inlineStr">
        <is>
          <t>Not Interested</t>
        </is>
      </c>
      <c r="L848" t="n">
        <v>4</v>
      </c>
      <c r="M848" t="inlineStr">
        <is>
          <t>2026-06-11 13:22:49</t>
        </is>
      </c>
      <c r="N848" t="inlineStr">
        <is>
          <t>Musiiwa Mary Mabirimisa</t>
        </is>
      </c>
      <c r="O848" t="inlineStr">
        <is>
          <t>2026-06-08 05:25:27</t>
        </is>
      </c>
      <c r="P848" t="inlineStr">
        <is>
          <t>2026-06-08 05:25:27</t>
        </is>
      </c>
      <c r="Y848" t="inlineStr">
        <is>
          <t>27728197282</t>
        </is>
      </c>
    </row>
    <row r="849">
      <c r="A849" t="inlineStr">
        <is>
          <t>14827861</t>
        </is>
      </c>
      <c r="B849" t="inlineStr">
        <is>
          <t>3730481e-de87-4129-a882-5a67c99ef422</t>
        </is>
      </c>
      <c r="D849" t="inlineStr">
        <is>
          <t>111111123</t>
        </is>
      </c>
      <c r="E849" t="inlineStr">
        <is>
          <t>Vodacom Life 20260603</t>
        </is>
      </c>
      <c r="J849" t="inlineStr">
        <is>
          <t>U</t>
        </is>
      </c>
      <c r="K849" t="inlineStr">
        <is>
          <t>Unemployed</t>
        </is>
      </c>
      <c r="L849" t="n">
        <v>4</v>
      </c>
      <c r="M849" t="inlineStr">
        <is>
          <t>2026-06-11 13:21:32</t>
        </is>
      </c>
      <c r="N849" t="inlineStr">
        <is>
          <t>Maureen Ntsoko</t>
        </is>
      </c>
      <c r="O849" t="inlineStr">
        <is>
          <t>2026-06-08 05:25:27</t>
        </is>
      </c>
      <c r="P849" t="inlineStr">
        <is>
          <t>2026-06-08 05:25:27</t>
        </is>
      </c>
      <c r="Y849" t="inlineStr">
        <is>
          <t>27725218280</t>
        </is>
      </c>
    </row>
    <row r="850">
      <c r="A850" t="inlineStr">
        <is>
          <t>14828192</t>
        </is>
      </c>
      <c r="B850" t="inlineStr">
        <is>
          <t>9dcf285d-d248-403a-a83e-69978aa4af32</t>
        </is>
      </c>
      <c r="D850" t="inlineStr">
        <is>
          <t>111111123</t>
        </is>
      </c>
      <c r="E850" t="inlineStr">
        <is>
          <t>Vodacom Life 20260603</t>
        </is>
      </c>
      <c r="J850" t="inlineStr">
        <is>
          <t>NI</t>
        </is>
      </c>
      <c r="K850" t="inlineStr">
        <is>
          <t>Not Interested</t>
        </is>
      </c>
      <c r="L850" t="n">
        <v>4</v>
      </c>
      <c r="M850" t="inlineStr">
        <is>
          <t>2026-06-11 12:48:20</t>
        </is>
      </c>
      <c r="N850" t="inlineStr">
        <is>
          <t>Khensane Mabasa</t>
        </is>
      </c>
      <c r="O850" t="inlineStr">
        <is>
          <t>2026-06-08 05:25:27</t>
        </is>
      </c>
      <c r="P850" t="inlineStr">
        <is>
          <t>2026-06-08 05:25:27</t>
        </is>
      </c>
      <c r="Y850" t="inlineStr">
        <is>
          <t>27761771239</t>
        </is>
      </c>
    </row>
    <row r="851">
      <c r="A851" t="inlineStr">
        <is>
          <t>14828194</t>
        </is>
      </c>
      <c r="B851" t="inlineStr">
        <is>
          <t>f91e5c5e-5959-4afe-a9b8-f6f0781c97b6</t>
        </is>
      </c>
      <c r="D851" t="inlineStr">
        <is>
          <t>111111123</t>
        </is>
      </c>
      <c r="E851" t="inlineStr">
        <is>
          <t>Vodacom Life 20260603</t>
        </is>
      </c>
      <c r="H851" t="inlineStr">
        <is>
          <t>27647384828</t>
        </is>
      </c>
      <c r="J851" t="inlineStr">
        <is>
          <t>AF</t>
        </is>
      </c>
      <c r="K851" t="inlineStr">
        <is>
          <t>Cannot Afford</t>
        </is>
      </c>
      <c r="L851" t="n">
        <v>4</v>
      </c>
      <c r="M851" t="inlineStr">
        <is>
          <t>2026-06-11 12:43:28</t>
        </is>
      </c>
      <c r="N851" t="inlineStr">
        <is>
          <t>Maureen Ntsoko</t>
        </is>
      </c>
      <c r="O851" t="inlineStr">
        <is>
          <t>2026-06-08 05:25:27</t>
        </is>
      </c>
      <c r="P851" t="inlineStr">
        <is>
          <t>2026-06-08 05:25:27</t>
        </is>
      </c>
      <c r="Y851" t="inlineStr">
        <is>
          <t>27647384828</t>
        </is>
      </c>
    </row>
    <row r="852">
      <c r="A852" t="inlineStr">
        <is>
          <t>14828173</t>
        </is>
      </c>
      <c r="B852" t="inlineStr">
        <is>
          <t>2ab566ed-04c4-46ad-a4a6-497b7eeab716</t>
        </is>
      </c>
      <c r="D852" t="inlineStr">
        <is>
          <t>111111123</t>
        </is>
      </c>
      <c r="E852" t="inlineStr">
        <is>
          <t>Vodacom Life 20260603</t>
        </is>
      </c>
      <c r="J852" t="inlineStr">
        <is>
          <t>NI</t>
        </is>
      </c>
      <c r="K852" t="inlineStr">
        <is>
          <t>Not Interested</t>
        </is>
      </c>
      <c r="L852" t="n">
        <v>4</v>
      </c>
      <c r="M852" t="inlineStr">
        <is>
          <t>2026-06-11 12:43:08</t>
        </is>
      </c>
      <c r="N852" t="inlineStr">
        <is>
          <t>Khensane Mabasa</t>
        </is>
      </c>
      <c r="O852" t="inlineStr">
        <is>
          <t>2026-06-08 05:25:27</t>
        </is>
      </c>
      <c r="P852" t="inlineStr">
        <is>
          <t>2026-06-08 05:25:27</t>
        </is>
      </c>
      <c r="Y852" t="inlineStr">
        <is>
          <t>27829672258</t>
        </is>
      </c>
    </row>
    <row r="853">
      <c r="A853" t="inlineStr">
        <is>
          <t>14827792</t>
        </is>
      </c>
      <c r="B853" t="inlineStr">
        <is>
          <t>82e5def7-c19a-450f-9e49-9cefed0dc980</t>
        </is>
      </c>
      <c r="D853" t="inlineStr">
        <is>
          <t>111111123</t>
        </is>
      </c>
      <c r="E853" t="inlineStr">
        <is>
          <t>Vodacom Life 20260603</t>
        </is>
      </c>
      <c r="J853" t="inlineStr">
        <is>
          <t>NI</t>
        </is>
      </c>
      <c r="K853" t="inlineStr">
        <is>
          <t>Not Interested</t>
        </is>
      </c>
      <c r="L853" t="n">
        <v>4</v>
      </c>
      <c r="M853" t="inlineStr">
        <is>
          <t>2026-06-11 12:37:39</t>
        </is>
      </c>
      <c r="N853" t="inlineStr">
        <is>
          <t>Khensane Mabasa</t>
        </is>
      </c>
      <c r="O853" t="inlineStr">
        <is>
          <t>2026-06-08 05:25:27</t>
        </is>
      </c>
      <c r="P853" t="inlineStr">
        <is>
          <t>2026-06-08 05:25:27</t>
        </is>
      </c>
      <c r="Y853" t="inlineStr">
        <is>
          <t>27792461835</t>
        </is>
      </c>
    </row>
    <row r="854">
      <c r="A854" t="inlineStr">
        <is>
          <t>14828471</t>
        </is>
      </c>
      <c r="B854" t="inlineStr">
        <is>
          <t>8fd52299-b876-46e8-8e57-aff0317b2b54</t>
        </is>
      </c>
      <c r="D854" t="inlineStr">
        <is>
          <t>111111123</t>
        </is>
      </c>
      <c r="E854" t="inlineStr">
        <is>
          <t>Vodacom Life 20260603</t>
        </is>
      </c>
      <c r="J854" t="inlineStr">
        <is>
          <t>DNCLIFE</t>
        </is>
      </c>
      <c r="K854" t="inlineStr">
        <is>
          <t>Do Not Call</t>
        </is>
      </c>
      <c r="L854" t="n">
        <v>4</v>
      </c>
      <c r="M854" t="inlineStr">
        <is>
          <t>2026-06-11 12:32:32</t>
        </is>
      </c>
      <c r="N854" t="inlineStr">
        <is>
          <t>Musiiwa Mary Mabirimisa</t>
        </is>
      </c>
      <c r="O854" t="inlineStr">
        <is>
          <t>2026-06-08 05:25:27</t>
        </is>
      </c>
      <c r="P854" t="inlineStr">
        <is>
          <t>2026-06-08 05:25:27</t>
        </is>
      </c>
      <c r="Y854" t="inlineStr">
        <is>
          <t>27711890638</t>
        </is>
      </c>
    </row>
    <row r="855">
      <c r="A855" t="inlineStr">
        <is>
          <t>14828245</t>
        </is>
      </c>
      <c r="B855" t="inlineStr">
        <is>
          <t>3b5fc329-90db-4cbd-875c-740f1eda4917</t>
        </is>
      </c>
      <c r="D855" t="inlineStr">
        <is>
          <t>111111123</t>
        </is>
      </c>
      <c r="E855" t="inlineStr">
        <is>
          <t>Vodacom Life 20260603</t>
        </is>
      </c>
      <c r="J855" t="inlineStr">
        <is>
          <t>U</t>
        </is>
      </c>
      <c r="K855" t="inlineStr">
        <is>
          <t>Unemployed</t>
        </is>
      </c>
      <c r="L855" t="n">
        <v>4</v>
      </c>
      <c r="M855" t="inlineStr">
        <is>
          <t>2026-06-11 12:27:49</t>
        </is>
      </c>
      <c r="N855" t="inlineStr">
        <is>
          <t>Maureen Ntsoko</t>
        </is>
      </c>
      <c r="O855" t="inlineStr">
        <is>
          <t>2026-06-08 05:25:27</t>
        </is>
      </c>
      <c r="P855" t="inlineStr">
        <is>
          <t>2026-06-08 05:25:27</t>
        </is>
      </c>
      <c r="Y855" t="inlineStr">
        <is>
          <t>27606000653</t>
        </is>
      </c>
    </row>
    <row r="856">
      <c r="A856" t="inlineStr">
        <is>
          <t>14827790</t>
        </is>
      </c>
      <c r="B856" t="inlineStr">
        <is>
          <t>2c75a067-8e4e-41a8-97e7-fd298993c352</t>
        </is>
      </c>
      <c r="D856" t="inlineStr">
        <is>
          <t>111111123</t>
        </is>
      </c>
      <c r="E856" t="inlineStr">
        <is>
          <t>Vodacom Life 20260603</t>
        </is>
      </c>
      <c r="H856" t="inlineStr">
        <is>
          <t>27793732768</t>
        </is>
      </c>
      <c r="J856" t="inlineStr">
        <is>
          <t>CBACK</t>
        </is>
      </c>
      <c r="K856" t="inlineStr">
        <is>
          <t>Callback</t>
        </is>
      </c>
      <c r="L856" t="n">
        <v>4</v>
      </c>
      <c r="M856" t="inlineStr">
        <is>
          <t>2026-06-11 12:24:18</t>
        </is>
      </c>
      <c r="N856" t="inlineStr">
        <is>
          <t>Maureen Ntsoko</t>
        </is>
      </c>
      <c r="O856" t="inlineStr">
        <is>
          <t>2026-06-08 05:25:27</t>
        </is>
      </c>
      <c r="P856" t="inlineStr">
        <is>
          <t>2026-06-08 05:25:27</t>
        </is>
      </c>
      <c r="Y856" t="inlineStr">
        <is>
          <t>27793732768</t>
        </is>
      </c>
    </row>
    <row r="857">
      <c r="A857" t="inlineStr">
        <is>
          <t>14827864</t>
        </is>
      </c>
      <c r="B857" t="inlineStr">
        <is>
          <t>a9fc1d0d-a4db-44d9-b103-33f2fd17b96f</t>
        </is>
      </c>
      <c r="D857" t="inlineStr">
        <is>
          <t>111111123</t>
        </is>
      </c>
      <c r="E857" t="inlineStr">
        <is>
          <t>Vodacom Life 20260603</t>
        </is>
      </c>
      <c r="J857" t="inlineStr">
        <is>
          <t>DNQS</t>
        </is>
      </c>
      <c r="K857" t="inlineStr">
        <is>
          <t>Does Not Qualify</t>
        </is>
      </c>
      <c r="L857" t="n">
        <v>4</v>
      </c>
      <c r="M857" t="inlineStr">
        <is>
          <t>2026-06-11 12:23:21</t>
        </is>
      </c>
      <c r="N857" t="inlineStr">
        <is>
          <t>Maureen Ntsoko</t>
        </is>
      </c>
      <c r="O857" t="inlineStr">
        <is>
          <t>2026-06-08 05:25:27</t>
        </is>
      </c>
      <c r="P857" t="inlineStr">
        <is>
          <t>2026-06-08 05:25:27</t>
        </is>
      </c>
      <c r="Y857" t="inlineStr">
        <is>
          <t>27797309446</t>
        </is>
      </c>
    </row>
    <row r="858">
      <c r="A858" t="inlineStr">
        <is>
          <t>14827659</t>
        </is>
      </c>
      <c r="B858" t="inlineStr">
        <is>
          <t>fc17a0b1-bf98-4be8-8891-e90ec6ec2af7</t>
        </is>
      </c>
      <c r="D858" t="inlineStr">
        <is>
          <t>111111123</t>
        </is>
      </c>
      <c r="E858" t="inlineStr">
        <is>
          <t>Vodacom Life 20260603</t>
        </is>
      </c>
      <c r="H858" t="inlineStr">
        <is>
          <t>27761004042</t>
        </is>
      </c>
      <c r="J858" t="inlineStr">
        <is>
          <t>AC</t>
        </is>
      </c>
      <c r="K858" t="inlineStr">
        <is>
          <t>Already Contacted</t>
        </is>
      </c>
      <c r="L858" t="n">
        <v>4</v>
      </c>
      <c r="M858" t="inlineStr">
        <is>
          <t>2026-06-11 12:20:32</t>
        </is>
      </c>
      <c r="N858" t="inlineStr">
        <is>
          <t>Maureen Ntsoko</t>
        </is>
      </c>
      <c r="O858" t="inlineStr">
        <is>
          <t>2026-06-08 05:25:27</t>
        </is>
      </c>
      <c r="P858" t="inlineStr">
        <is>
          <t>2026-06-08 05:25:27</t>
        </is>
      </c>
      <c r="Y858" t="inlineStr">
        <is>
          <t>27761004042</t>
        </is>
      </c>
    </row>
    <row r="859">
      <c r="A859" t="inlineStr">
        <is>
          <t>14827677</t>
        </is>
      </c>
      <c r="B859" t="inlineStr">
        <is>
          <t>91410dcf-b1d0-4a3d-8a0f-31735f14d5b9</t>
        </is>
      </c>
      <c r="D859" t="inlineStr">
        <is>
          <t>111111123</t>
        </is>
      </c>
      <c r="E859" t="inlineStr">
        <is>
          <t>Vodacom Life 20260603</t>
        </is>
      </c>
      <c r="J859" t="inlineStr">
        <is>
          <t>OAL</t>
        </is>
      </c>
      <c r="K859" t="inlineStr">
        <is>
          <t>Over Age Limit</t>
        </is>
      </c>
      <c r="L859" t="n">
        <v>4</v>
      </c>
      <c r="M859" t="inlineStr">
        <is>
          <t>2026-06-11 12:18:30</t>
        </is>
      </c>
      <c r="N859" t="inlineStr">
        <is>
          <t>Maureen Ntsoko</t>
        </is>
      </c>
      <c r="O859" t="inlineStr">
        <is>
          <t>2026-06-08 05:25:27</t>
        </is>
      </c>
      <c r="P859" t="inlineStr">
        <is>
          <t>2026-06-08 05:25:27</t>
        </is>
      </c>
      <c r="Y859" t="inlineStr">
        <is>
          <t>27725544337</t>
        </is>
      </c>
    </row>
    <row r="860">
      <c r="A860" t="inlineStr">
        <is>
          <t>14827641</t>
        </is>
      </c>
      <c r="B860" t="inlineStr">
        <is>
          <t>83f7d7ce-119f-4faf-86cd-ac81e20b3908</t>
        </is>
      </c>
      <c r="D860" t="inlineStr">
        <is>
          <t>111111123</t>
        </is>
      </c>
      <c r="E860" t="inlineStr">
        <is>
          <t>Vodacom Life 20260603</t>
        </is>
      </c>
      <c r="J860" t="inlineStr">
        <is>
          <t>NI</t>
        </is>
      </c>
      <c r="K860" t="inlineStr">
        <is>
          <t>Not Interested</t>
        </is>
      </c>
      <c r="L860" t="n">
        <v>4</v>
      </c>
      <c r="M860" t="inlineStr">
        <is>
          <t>2026-06-11 12:13:41</t>
        </is>
      </c>
      <c r="N860" t="inlineStr">
        <is>
          <t>Maureen Ntsoko</t>
        </is>
      </c>
      <c r="O860" t="inlineStr">
        <is>
          <t>2026-06-08 05:25:27</t>
        </is>
      </c>
      <c r="P860" t="inlineStr">
        <is>
          <t>2026-06-08 05:25:27</t>
        </is>
      </c>
      <c r="Y860" t="inlineStr">
        <is>
          <t>27766279069</t>
        </is>
      </c>
    </row>
    <row r="861">
      <c r="A861" t="inlineStr">
        <is>
          <t>14827597</t>
        </is>
      </c>
      <c r="B861" t="inlineStr">
        <is>
          <t>1c51d465-810d-4024-84a7-557b5ae6c4aa</t>
        </is>
      </c>
      <c r="D861" t="inlineStr">
        <is>
          <t>111111123</t>
        </is>
      </c>
      <c r="E861" t="inlineStr">
        <is>
          <t>Vodacom Life 20260603</t>
        </is>
      </c>
      <c r="H861" t="inlineStr">
        <is>
          <t>27768878667</t>
        </is>
      </c>
      <c r="J861" t="inlineStr">
        <is>
          <t>NI</t>
        </is>
      </c>
      <c r="K861" t="inlineStr">
        <is>
          <t>Not Interested</t>
        </is>
      </c>
      <c r="L861" t="n">
        <v>4</v>
      </c>
      <c r="M861" t="inlineStr">
        <is>
          <t>2026-06-11 12:11:37</t>
        </is>
      </c>
      <c r="N861" t="inlineStr">
        <is>
          <t>Khensane Mabasa</t>
        </is>
      </c>
      <c r="O861" t="inlineStr">
        <is>
          <t>2026-06-08 05:25:27</t>
        </is>
      </c>
      <c r="P861" t="inlineStr">
        <is>
          <t>2026-06-08 05:25:27</t>
        </is>
      </c>
      <c r="Y861" t="inlineStr">
        <is>
          <t>27768878667</t>
        </is>
      </c>
    </row>
    <row r="862">
      <c r="A862" t="inlineStr">
        <is>
          <t>14827645</t>
        </is>
      </c>
      <c r="B862" t="inlineStr">
        <is>
          <t>987a3348-7eec-49ef-9232-ce68ea198715</t>
        </is>
      </c>
      <c r="D862" t="inlineStr">
        <is>
          <t>111111123</t>
        </is>
      </c>
      <c r="E862" t="inlineStr">
        <is>
          <t>Vodacom Life 20260603</t>
        </is>
      </c>
      <c r="J862" t="inlineStr">
        <is>
          <t>AC</t>
        </is>
      </c>
      <c r="K862" t="inlineStr">
        <is>
          <t>Already Contacted</t>
        </is>
      </c>
      <c r="L862" t="n">
        <v>4</v>
      </c>
      <c r="M862" t="inlineStr">
        <is>
          <t>2026-06-11 12:08:39</t>
        </is>
      </c>
      <c r="N862" t="inlineStr">
        <is>
          <t>Maureen Ntsoko</t>
        </is>
      </c>
      <c r="O862" t="inlineStr">
        <is>
          <t>2026-06-08 05:25:27</t>
        </is>
      </c>
      <c r="P862" t="inlineStr">
        <is>
          <t>2026-06-08 05:25:27</t>
        </is>
      </c>
      <c r="Y862" t="inlineStr">
        <is>
          <t>27727278933</t>
        </is>
      </c>
    </row>
    <row r="863">
      <c r="A863" t="inlineStr">
        <is>
          <t>14827616</t>
        </is>
      </c>
      <c r="B863" t="inlineStr">
        <is>
          <t>1ed00f57-e0ad-439a-9318-454e9cbcf63c</t>
        </is>
      </c>
      <c r="D863" t="inlineStr">
        <is>
          <t>111111123</t>
        </is>
      </c>
      <c r="E863" t="inlineStr">
        <is>
          <t>Vodacom Life 20260603</t>
        </is>
      </c>
      <c r="H863" t="inlineStr">
        <is>
          <t>27727501303</t>
        </is>
      </c>
      <c r="J863" t="inlineStr">
        <is>
          <t>AGE</t>
        </is>
      </c>
      <c r="K863" t="inlineStr">
        <is>
          <t>Under Age</t>
        </is>
      </c>
      <c r="L863" t="n">
        <v>4</v>
      </c>
      <c r="M863" t="inlineStr">
        <is>
          <t>2026-06-11 12:02:33</t>
        </is>
      </c>
      <c r="N863" t="inlineStr">
        <is>
          <t>Maureen Ntsoko</t>
        </is>
      </c>
      <c r="O863" t="inlineStr">
        <is>
          <t>2026-06-08 05:25:27</t>
        </is>
      </c>
      <c r="P863" t="inlineStr">
        <is>
          <t>2026-06-08 05:25:27</t>
        </is>
      </c>
      <c r="Y863" t="inlineStr">
        <is>
          <t>27727501303</t>
        </is>
      </c>
    </row>
    <row r="864">
      <c r="A864" t="inlineStr">
        <is>
          <t>14827775</t>
        </is>
      </c>
      <c r="B864" t="inlineStr">
        <is>
          <t>208ee183-18f0-467a-ac92-f77de9cd4aaf</t>
        </is>
      </c>
      <c r="D864" t="inlineStr">
        <is>
          <t>111111123</t>
        </is>
      </c>
      <c r="E864" t="inlineStr">
        <is>
          <t>Vodacom Life 20260603</t>
        </is>
      </c>
      <c r="H864" t="inlineStr">
        <is>
          <t>27720310994</t>
        </is>
      </c>
      <c r="J864" t="inlineStr">
        <is>
          <t>NI</t>
        </is>
      </c>
      <c r="K864" t="inlineStr">
        <is>
          <t>Not Interested</t>
        </is>
      </c>
      <c r="L864" t="n">
        <v>4</v>
      </c>
      <c r="M864" t="inlineStr">
        <is>
          <t>2026-06-11 12:00:51</t>
        </is>
      </c>
      <c r="N864" t="inlineStr">
        <is>
          <t>Khensane Mabasa</t>
        </is>
      </c>
      <c r="O864" t="inlineStr">
        <is>
          <t>2026-06-08 05:25:27</t>
        </is>
      </c>
      <c r="P864" t="inlineStr">
        <is>
          <t>2026-06-08 05:25:27</t>
        </is>
      </c>
      <c r="Y864" t="inlineStr">
        <is>
          <t>27720310994</t>
        </is>
      </c>
    </row>
    <row r="865">
      <c r="A865" t="inlineStr">
        <is>
          <t>14827679</t>
        </is>
      </c>
      <c r="B865" t="inlineStr">
        <is>
          <t>02afc3b8-3be5-4821-844b-4a4fe4a79883</t>
        </is>
      </c>
      <c r="D865" t="inlineStr">
        <is>
          <t>111111123</t>
        </is>
      </c>
      <c r="E865" t="inlineStr">
        <is>
          <t>Vodacom Life 20260603</t>
        </is>
      </c>
      <c r="J865" t="inlineStr">
        <is>
          <t>CBACK</t>
        </is>
      </c>
      <c r="K865" t="inlineStr">
        <is>
          <t>Callback</t>
        </is>
      </c>
      <c r="L865" t="n">
        <v>4</v>
      </c>
      <c r="M865" t="inlineStr">
        <is>
          <t>2026-06-11 11:59:49</t>
        </is>
      </c>
      <c r="N865" t="inlineStr">
        <is>
          <t>bongiwe lushaba</t>
        </is>
      </c>
      <c r="O865" t="inlineStr">
        <is>
          <t>2026-06-08 05:25:27</t>
        </is>
      </c>
      <c r="P865" t="inlineStr">
        <is>
          <t>2026-06-08 05:25:27</t>
        </is>
      </c>
      <c r="Y865" t="inlineStr">
        <is>
          <t>27674754271</t>
        </is>
      </c>
    </row>
    <row r="866">
      <c r="A866" t="inlineStr">
        <is>
          <t>14827643</t>
        </is>
      </c>
      <c r="B866" t="inlineStr">
        <is>
          <t>309c0c8f-ddc8-4b6f-a81f-f9b2fdd291af</t>
        </is>
      </c>
      <c r="D866" t="inlineStr">
        <is>
          <t>111111123</t>
        </is>
      </c>
      <c r="E866" t="inlineStr">
        <is>
          <t>Vodacom Life 20260603</t>
        </is>
      </c>
      <c r="J866" t="inlineStr">
        <is>
          <t>CBACK</t>
        </is>
      </c>
      <c r="K866" t="inlineStr">
        <is>
          <t>Callback</t>
        </is>
      </c>
      <c r="L866" t="n">
        <v>4</v>
      </c>
      <c r="M866" t="inlineStr">
        <is>
          <t>2026-06-11 11:51:30</t>
        </is>
      </c>
      <c r="N866" t="inlineStr">
        <is>
          <t>Maureen Ntsoko</t>
        </is>
      </c>
      <c r="O866" t="inlineStr">
        <is>
          <t>2026-06-08 05:25:27</t>
        </is>
      </c>
      <c r="P866" t="inlineStr">
        <is>
          <t>2026-06-08 05:25:27</t>
        </is>
      </c>
      <c r="Y866" t="inlineStr">
        <is>
          <t>27827636375</t>
        </is>
      </c>
    </row>
    <row r="867">
      <c r="A867" t="inlineStr">
        <is>
          <t>14828448</t>
        </is>
      </c>
      <c r="B867" t="inlineStr">
        <is>
          <t>210ea4bf-3128-4a9b-b296-e4ffc235782d</t>
        </is>
      </c>
      <c r="D867" t="inlineStr">
        <is>
          <t>111111123</t>
        </is>
      </c>
      <c r="E867" t="inlineStr">
        <is>
          <t>Vodacom Life 20260603</t>
        </is>
      </c>
      <c r="J867" t="inlineStr">
        <is>
          <t>AC</t>
        </is>
      </c>
      <c r="K867" t="inlineStr">
        <is>
          <t>Already Contacted</t>
        </is>
      </c>
      <c r="L867" t="n">
        <v>4</v>
      </c>
      <c r="M867" t="inlineStr">
        <is>
          <t>2026-06-11 10:56:58</t>
        </is>
      </c>
      <c r="N867" t="inlineStr">
        <is>
          <t>Maureen Ntsoko</t>
        </is>
      </c>
      <c r="O867" t="inlineStr">
        <is>
          <t>2026-06-08 05:25:27</t>
        </is>
      </c>
      <c r="P867" t="inlineStr">
        <is>
          <t>2026-06-08 05:25:27</t>
        </is>
      </c>
      <c r="Y867" t="inlineStr">
        <is>
          <t>27610767828</t>
        </is>
      </c>
    </row>
    <row r="868">
      <c r="A868" t="inlineStr">
        <is>
          <t>14828410</t>
        </is>
      </c>
      <c r="B868" t="inlineStr">
        <is>
          <t>0e79fd03-7487-4a05-bb0b-be02c7a1b791</t>
        </is>
      </c>
      <c r="D868" t="inlineStr">
        <is>
          <t>111111123</t>
        </is>
      </c>
      <c r="E868" t="inlineStr">
        <is>
          <t>Vodacom Life 20260603</t>
        </is>
      </c>
      <c r="J868" t="inlineStr">
        <is>
          <t>AGE</t>
        </is>
      </c>
      <c r="K868" t="inlineStr">
        <is>
          <t>Under Age</t>
        </is>
      </c>
      <c r="L868" t="n">
        <v>4</v>
      </c>
      <c r="M868" t="inlineStr">
        <is>
          <t>2026-06-11 10:41:56</t>
        </is>
      </c>
      <c r="N868" t="inlineStr">
        <is>
          <t>bongiwe lushaba</t>
        </is>
      </c>
      <c r="O868" t="inlineStr">
        <is>
          <t>2026-06-08 05:25:27</t>
        </is>
      </c>
      <c r="P868" t="inlineStr">
        <is>
          <t>2026-06-08 05:25:27</t>
        </is>
      </c>
      <c r="Y868" t="inlineStr">
        <is>
          <t>27637171063</t>
        </is>
      </c>
    </row>
    <row r="869">
      <c r="A869" t="inlineStr">
        <is>
          <t>14828400</t>
        </is>
      </c>
      <c r="B869" t="inlineStr">
        <is>
          <t>d62b82e3-86e6-4166-8aea-357b04ca034e</t>
        </is>
      </c>
      <c r="D869" t="inlineStr">
        <is>
          <t>111111123</t>
        </is>
      </c>
      <c r="E869" t="inlineStr">
        <is>
          <t>Vodacom Life 20260603</t>
        </is>
      </c>
      <c r="J869" t="inlineStr">
        <is>
          <t>AGE</t>
        </is>
      </c>
      <c r="K869" t="inlineStr">
        <is>
          <t>Under Age</t>
        </is>
      </c>
      <c r="L869" t="n">
        <v>4</v>
      </c>
      <c r="M869" t="inlineStr">
        <is>
          <t>2026-06-11 10:39:19</t>
        </is>
      </c>
      <c r="N869" t="inlineStr">
        <is>
          <t>bongiwe lushaba</t>
        </is>
      </c>
      <c r="O869" t="inlineStr">
        <is>
          <t>2026-06-08 05:25:27</t>
        </is>
      </c>
      <c r="P869" t="inlineStr">
        <is>
          <t>2026-06-08 05:25:27</t>
        </is>
      </c>
      <c r="Y869" t="inlineStr">
        <is>
          <t>27795882689</t>
        </is>
      </c>
    </row>
    <row r="870">
      <c r="A870" t="inlineStr">
        <is>
          <t>14828347</t>
        </is>
      </c>
      <c r="B870" t="inlineStr">
        <is>
          <t>c5d91bce-27c2-47ae-b515-21eb92918f75</t>
        </is>
      </c>
      <c r="D870" t="inlineStr">
        <is>
          <t>111111123</t>
        </is>
      </c>
      <c r="E870" t="inlineStr">
        <is>
          <t>Vodacom Life 20260603</t>
        </is>
      </c>
      <c r="H870" t="inlineStr">
        <is>
          <t>27836784967</t>
        </is>
      </c>
      <c r="J870" t="inlineStr">
        <is>
          <t>OAL</t>
        </is>
      </c>
      <c r="K870" t="inlineStr">
        <is>
          <t>Over Age Limit</t>
        </is>
      </c>
      <c r="L870" t="n">
        <v>4</v>
      </c>
      <c r="M870" t="inlineStr">
        <is>
          <t>2026-06-11 10:29:53</t>
        </is>
      </c>
      <c r="N870" t="inlineStr">
        <is>
          <t>bongiwe lushaba</t>
        </is>
      </c>
      <c r="O870" t="inlineStr">
        <is>
          <t>2026-06-08 05:25:27</t>
        </is>
      </c>
      <c r="P870" t="inlineStr">
        <is>
          <t>2026-06-08 05:25:27</t>
        </is>
      </c>
      <c r="Y870" t="inlineStr">
        <is>
          <t>27836784967</t>
        </is>
      </c>
    </row>
    <row r="871">
      <c r="A871" t="inlineStr">
        <is>
          <t>14828333</t>
        </is>
      </c>
      <c r="B871" t="inlineStr">
        <is>
          <t>365a3673-3178-4702-b77e-f64b8b482ad2</t>
        </is>
      </c>
      <c r="D871" t="inlineStr">
        <is>
          <t>111111123</t>
        </is>
      </c>
      <c r="E871" t="inlineStr">
        <is>
          <t>Vodacom Life 20260603</t>
        </is>
      </c>
      <c r="J871" t="inlineStr">
        <is>
          <t>U</t>
        </is>
      </c>
      <c r="K871" t="inlineStr">
        <is>
          <t>Unemployed</t>
        </is>
      </c>
      <c r="L871" t="n">
        <v>4</v>
      </c>
      <c r="M871" t="inlineStr">
        <is>
          <t>2026-06-11 10:22:11</t>
        </is>
      </c>
      <c r="N871" t="inlineStr">
        <is>
          <t>bongiwe lushaba</t>
        </is>
      </c>
      <c r="O871" t="inlineStr">
        <is>
          <t>2026-06-08 05:25:27</t>
        </is>
      </c>
      <c r="P871" t="inlineStr">
        <is>
          <t>2026-06-08 05:25:27</t>
        </is>
      </c>
      <c r="Y871" t="inlineStr">
        <is>
          <t>27728183830</t>
        </is>
      </c>
    </row>
    <row r="872">
      <c r="A872" t="inlineStr">
        <is>
          <t>14828293</t>
        </is>
      </c>
      <c r="B872" t="inlineStr">
        <is>
          <t>e206c56e-db2a-42c3-9e59-2b69d7cea857</t>
        </is>
      </c>
      <c r="D872" t="inlineStr">
        <is>
          <t>111111123</t>
        </is>
      </c>
      <c r="E872" t="inlineStr">
        <is>
          <t>Vodacom Life 20260603</t>
        </is>
      </c>
      <c r="H872" t="inlineStr">
        <is>
          <t>27824092613</t>
        </is>
      </c>
      <c r="J872" t="inlineStr">
        <is>
          <t>U</t>
        </is>
      </c>
      <c r="K872" t="inlineStr">
        <is>
          <t>Unemployed</t>
        </is>
      </c>
      <c r="L872" t="n">
        <v>4</v>
      </c>
      <c r="M872" t="inlineStr">
        <is>
          <t>2026-06-11 10:11:49</t>
        </is>
      </c>
      <c r="N872" t="inlineStr">
        <is>
          <t>bongiwe lushaba</t>
        </is>
      </c>
      <c r="O872" t="inlineStr">
        <is>
          <t>2026-06-08 05:25:27</t>
        </is>
      </c>
      <c r="P872" t="inlineStr">
        <is>
          <t>2026-06-08 05:25:27</t>
        </is>
      </c>
      <c r="Y872" t="inlineStr">
        <is>
          <t>27824092613</t>
        </is>
      </c>
    </row>
    <row r="873">
      <c r="A873" t="inlineStr">
        <is>
          <t>14828296</t>
        </is>
      </c>
      <c r="B873" t="inlineStr">
        <is>
          <t>aa012321-0dab-4753-9106-045ff86585b6</t>
        </is>
      </c>
      <c r="D873" t="inlineStr">
        <is>
          <t>111111123</t>
        </is>
      </c>
      <c r="E873" t="inlineStr">
        <is>
          <t>Vodacom Life 20260603</t>
        </is>
      </c>
      <c r="J873" t="inlineStr">
        <is>
          <t>CBACK</t>
        </is>
      </c>
      <c r="K873" t="inlineStr">
        <is>
          <t>Callback</t>
        </is>
      </c>
      <c r="L873" t="n">
        <v>4</v>
      </c>
      <c r="M873" t="inlineStr">
        <is>
          <t>2026-06-11 10:11:43</t>
        </is>
      </c>
      <c r="N873" t="inlineStr">
        <is>
          <t>Maureen Ntsoko</t>
        </is>
      </c>
      <c r="O873" t="inlineStr">
        <is>
          <t>2026-06-08 05:25:27</t>
        </is>
      </c>
      <c r="P873" t="inlineStr">
        <is>
          <t>2026-06-08 05:25:27</t>
        </is>
      </c>
      <c r="Y873" t="inlineStr">
        <is>
          <t>27762329503</t>
        </is>
      </c>
    </row>
    <row r="874">
      <c r="A874" t="inlineStr">
        <is>
          <t>14827755</t>
        </is>
      </c>
      <c r="B874" t="inlineStr">
        <is>
          <t>113204a0-a409-4ea7-838c-6730a49d1e85</t>
        </is>
      </c>
      <c r="D874" t="inlineStr">
        <is>
          <t>111111123</t>
        </is>
      </c>
      <c r="E874" t="inlineStr">
        <is>
          <t>Vodacom Life 20260603</t>
        </is>
      </c>
      <c r="J874" t="inlineStr">
        <is>
          <t>NI</t>
        </is>
      </c>
      <c r="K874" t="inlineStr">
        <is>
          <t>Not Interested</t>
        </is>
      </c>
      <c r="L874" t="n">
        <v>3</v>
      </c>
      <c r="M874" t="inlineStr">
        <is>
          <t>2026-06-11 09:06:09</t>
        </is>
      </c>
      <c r="N874" t="inlineStr">
        <is>
          <t>Khensane Mabasa</t>
        </is>
      </c>
      <c r="O874" t="inlineStr">
        <is>
          <t>2026-06-08 05:25:27</t>
        </is>
      </c>
      <c r="P874" t="inlineStr">
        <is>
          <t>2026-06-08 05:25:27</t>
        </is>
      </c>
      <c r="Y874" t="inlineStr">
        <is>
          <t>27834971397</t>
        </is>
      </c>
    </row>
    <row r="875">
      <c r="A875" t="inlineStr">
        <is>
          <t>14828134</t>
        </is>
      </c>
      <c r="B875" t="inlineStr">
        <is>
          <t>0d73f0cf-0be0-4c69-9c78-f759f4282ea3</t>
        </is>
      </c>
      <c r="D875" t="inlineStr">
        <is>
          <t>111111123</t>
        </is>
      </c>
      <c r="E875" t="inlineStr">
        <is>
          <t>Vodacom Life 20260603</t>
        </is>
      </c>
      <c r="J875" t="inlineStr">
        <is>
          <t>A</t>
        </is>
      </c>
      <c r="K875" t="inlineStr">
        <is>
          <t>Answering Machine</t>
        </is>
      </c>
      <c r="L875" t="n">
        <v>9</v>
      </c>
      <c r="M875" t="inlineStr">
        <is>
          <t>2026-06-10 14:59:35</t>
        </is>
      </c>
      <c r="N875" t="inlineStr">
        <is>
          <t>bongiwe lushaba</t>
        </is>
      </c>
      <c r="O875" t="inlineStr">
        <is>
          <t>2026-06-08 05:25:27</t>
        </is>
      </c>
      <c r="P875" t="inlineStr">
        <is>
          <t>2026-06-08 05:25:27</t>
        </is>
      </c>
      <c r="Y875" t="inlineStr">
        <is>
          <t>27712158218</t>
        </is>
      </c>
    </row>
    <row r="876">
      <c r="A876" t="inlineStr">
        <is>
          <t>14828159</t>
        </is>
      </c>
      <c r="B876" t="inlineStr">
        <is>
          <t>feab250e-287f-4427-8ede-77da799c7ae6</t>
        </is>
      </c>
      <c r="D876" t="inlineStr">
        <is>
          <t>111111123</t>
        </is>
      </c>
      <c r="E876" t="inlineStr">
        <is>
          <t>Vodacom Life 20260603</t>
        </is>
      </c>
      <c r="H876" t="inlineStr">
        <is>
          <t>27712102874</t>
        </is>
      </c>
      <c r="J876" t="inlineStr">
        <is>
          <t>CBACK</t>
        </is>
      </c>
      <c r="K876" t="inlineStr">
        <is>
          <t>Callback</t>
        </is>
      </c>
      <c r="L876" t="n">
        <v>3</v>
      </c>
      <c r="M876" t="inlineStr">
        <is>
          <t>2026-06-10 13:32:47</t>
        </is>
      </c>
      <c r="N876" t="inlineStr">
        <is>
          <t>Maureen Ntsoko</t>
        </is>
      </c>
      <c r="O876" t="inlineStr">
        <is>
          <t>2026-06-08 05:25:27</t>
        </is>
      </c>
      <c r="P876" t="inlineStr">
        <is>
          <t>2026-06-08 05:25:27</t>
        </is>
      </c>
      <c r="Y876" t="inlineStr">
        <is>
          <t>27712102874</t>
        </is>
      </c>
    </row>
    <row r="877">
      <c r="A877" t="inlineStr">
        <is>
          <t>14828123</t>
        </is>
      </c>
      <c r="B877" t="inlineStr">
        <is>
          <t>ed24013c-76ef-4610-9a38-13f6564e5286</t>
        </is>
      </c>
      <c r="D877" t="inlineStr">
        <is>
          <t>111111123</t>
        </is>
      </c>
      <c r="E877" t="inlineStr">
        <is>
          <t>Vodacom Life 20260603</t>
        </is>
      </c>
      <c r="J877" t="inlineStr">
        <is>
          <t>AC</t>
        </is>
      </c>
      <c r="K877" t="inlineStr">
        <is>
          <t>Already Contacted</t>
        </is>
      </c>
      <c r="L877" t="n">
        <v>3</v>
      </c>
      <c r="M877" t="inlineStr">
        <is>
          <t>2026-06-10 13:30:20</t>
        </is>
      </c>
      <c r="N877" t="inlineStr">
        <is>
          <t>Maureen Ntsoko</t>
        </is>
      </c>
      <c r="O877" t="inlineStr">
        <is>
          <t>2026-06-08 05:25:27</t>
        </is>
      </c>
      <c r="P877" t="inlineStr">
        <is>
          <t>2026-06-08 05:25:27</t>
        </is>
      </c>
      <c r="Y877" t="inlineStr">
        <is>
          <t>27823127511</t>
        </is>
      </c>
    </row>
    <row r="878">
      <c r="A878" t="inlineStr">
        <is>
          <t>14828140</t>
        </is>
      </c>
      <c r="B878" t="inlineStr">
        <is>
          <t>899c97cc-d018-4510-bc48-505018524b61</t>
        </is>
      </c>
      <c r="D878" t="inlineStr">
        <is>
          <t>111111123</t>
        </is>
      </c>
      <c r="E878" t="inlineStr">
        <is>
          <t>Vodacom Life 20260603</t>
        </is>
      </c>
      <c r="J878" t="inlineStr">
        <is>
          <t>AC</t>
        </is>
      </c>
      <c r="K878" t="inlineStr">
        <is>
          <t>Already Contacted</t>
        </is>
      </c>
      <c r="L878" t="n">
        <v>3</v>
      </c>
      <c r="M878" t="inlineStr">
        <is>
          <t>2026-06-10 13:25:21</t>
        </is>
      </c>
      <c r="N878" t="inlineStr">
        <is>
          <t>Maureen Ntsoko</t>
        </is>
      </c>
      <c r="O878" t="inlineStr">
        <is>
          <t>2026-06-08 05:25:27</t>
        </is>
      </c>
      <c r="P878" t="inlineStr">
        <is>
          <t>2026-06-08 05:25:27</t>
        </is>
      </c>
      <c r="Y878" t="inlineStr">
        <is>
          <t>27798372668</t>
        </is>
      </c>
    </row>
    <row r="879">
      <c r="A879" t="inlineStr">
        <is>
          <t>14828109</t>
        </is>
      </c>
      <c r="B879" t="inlineStr">
        <is>
          <t>8b48beec-249f-48f4-828c-dac1f9ca52de</t>
        </is>
      </c>
      <c r="D879" t="inlineStr">
        <is>
          <t>111111123</t>
        </is>
      </c>
      <c r="E879" t="inlineStr">
        <is>
          <t>Vodacom Life 20260603</t>
        </is>
      </c>
      <c r="J879" t="inlineStr">
        <is>
          <t>CBACK</t>
        </is>
      </c>
      <c r="K879" t="inlineStr">
        <is>
          <t>Callback</t>
        </is>
      </c>
      <c r="L879" t="n">
        <v>3</v>
      </c>
      <c r="M879" t="inlineStr">
        <is>
          <t>2026-06-10 12:54:49</t>
        </is>
      </c>
      <c r="N879" t="inlineStr">
        <is>
          <t>Khensane Mabasa</t>
        </is>
      </c>
      <c r="O879" t="inlineStr">
        <is>
          <t>2026-06-08 05:25:27</t>
        </is>
      </c>
      <c r="P879" t="inlineStr">
        <is>
          <t>2026-06-08 05:25:27</t>
        </is>
      </c>
      <c r="Y879" t="inlineStr">
        <is>
          <t>27761029760</t>
        </is>
      </c>
    </row>
    <row r="880">
      <c r="A880" t="inlineStr">
        <is>
          <t>14828001</t>
        </is>
      </c>
      <c r="B880" t="inlineStr">
        <is>
          <t>21d3e6aa-89b9-4b73-852c-a0d88cda0839</t>
        </is>
      </c>
      <c r="D880" t="inlineStr">
        <is>
          <t>111111123</t>
        </is>
      </c>
      <c r="E880" t="inlineStr">
        <is>
          <t>Vodacom Life 20260603</t>
        </is>
      </c>
      <c r="H880" t="inlineStr">
        <is>
          <t>27637927188</t>
        </is>
      </c>
      <c r="J880" t="inlineStr">
        <is>
          <t>U</t>
        </is>
      </c>
      <c r="K880" t="inlineStr">
        <is>
          <t>Unemployed</t>
        </is>
      </c>
      <c r="L880" t="n">
        <v>3</v>
      </c>
      <c r="M880" t="inlineStr">
        <is>
          <t>2026-06-10 12:42:51</t>
        </is>
      </c>
      <c r="N880" t="inlineStr">
        <is>
          <t>bongiwe lushaba</t>
        </is>
      </c>
      <c r="O880" t="inlineStr">
        <is>
          <t>2026-06-08 05:25:27</t>
        </is>
      </c>
      <c r="P880" t="inlineStr">
        <is>
          <t>2026-06-08 05:25:27</t>
        </is>
      </c>
      <c r="Y880" t="inlineStr">
        <is>
          <t>27637927188</t>
        </is>
      </c>
    </row>
    <row r="881">
      <c r="A881" t="inlineStr">
        <is>
          <t>14827968</t>
        </is>
      </c>
      <c r="B881" t="inlineStr">
        <is>
          <t>2da3de70-70b1-496c-ae92-269f04384416</t>
        </is>
      </c>
      <c r="D881" t="inlineStr">
        <is>
          <t>111111123</t>
        </is>
      </c>
      <c r="E881" t="inlineStr">
        <is>
          <t>Vodacom Life 20260603</t>
        </is>
      </c>
      <c r="J881" t="inlineStr">
        <is>
          <t>AC</t>
        </is>
      </c>
      <c r="K881" t="inlineStr">
        <is>
          <t>Already Contacted</t>
        </is>
      </c>
      <c r="L881" t="n">
        <v>3</v>
      </c>
      <c r="M881" t="inlineStr">
        <is>
          <t>2026-06-10 12:32:42</t>
        </is>
      </c>
      <c r="N881" t="inlineStr">
        <is>
          <t>Khensane Mabasa</t>
        </is>
      </c>
      <c r="O881" t="inlineStr">
        <is>
          <t>2026-06-08 05:25:27</t>
        </is>
      </c>
      <c r="P881" t="inlineStr">
        <is>
          <t>2026-06-08 05:25:27</t>
        </is>
      </c>
      <c r="Y881" t="inlineStr">
        <is>
          <t>27714571198</t>
        </is>
      </c>
    </row>
    <row r="882">
      <c r="A882" t="inlineStr">
        <is>
          <t>14827937</t>
        </is>
      </c>
      <c r="B882" t="inlineStr">
        <is>
          <t>f9acf6a2-b89c-46f6-bcc8-9bed3c4dae0d</t>
        </is>
      </c>
      <c r="D882" t="inlineStr">
        <is>
          <t>111111123</t>
        </is>
      </c>
      <c r="E882" t="inlineStr">
        <is>
          <t>Vodacom Life 20260603</t>
        </is>
      </c>
      <c r="J882" t="inlineStr">
        <is>
          <t>CBACK</t>
        </is>
      </c>
      <c r="K882" t="inlineStr">
        <is>
          <t>Callback</t>
        </is>
      </c>
      <c r="L882" t="n">
        <v>3</v>
      </c>
      <c r="M882" t="inlineStr">
        <is>
          <t>2026-06-10 12:31:22</t>
        </is>
      </c>
      <c r="N882" t="inlineStr">
        <is>
          <t>Khensane Mabasa</t>
        </is>
      </c>
      <c r="O882" t="inlineStr">
        <is>
          <t>2026-06-08 05:25:27</t>
        </is>
      </c>
      <c r="P882" t="inlineStr">
        <is>
          <t>2026-06-08 05:25:27</t>
        </is>
      </c>
      <c r="Y882" t="inlineStr">
        <is>
          <t>27764434949</t>
        </is>
      </c>
    </row>
    <row r="883">
      <c r="A883" t="inlineStr">
        <is>
          <t>14827898</t>
        </is>
      </c>
      <c r="B883" t="inlineStr">
        <is>
          <t>aca90b50-cbd9-432c-8851-e8b27210b834</t>
        </is>
      </c>
      <c r="D883" t="inlineStr">
        <is>
          <t>111111123</t>
        </is>
      </c>
      <c r="E883" t="inlineStr">
        <is>
          <t>Vodacom Life 20260603</t>
        </is>
      </c>
      <c r="H883" t="inlineStr">
        <is>
          <t>27797293408</t>
        </is>
      </c>
      <c r="J883" t="inlineStr">
        <is>
          <t>CBACK</t>
        </is>
      </c>
      <c r="K883" t="inlineStr">
        <is>
          <t>Callback</t>
        </is>
      </c>
      <c r="L883" t="n">
        <v>3</v>
      </c>
      <c r="M883" t="inlineStr">
        <is>
          <t>2026-06-10 12:26:55</t>
        </is>
      </c>
      <c r="N883" t="inlineStr">
        <is>
          <t>Khensane Mabasa</t>
        </is>
      </c>
      <c r="O883" t="inlineStr">
        <is>
          <t>2026-06-08 05:25:27</t>
        </is>
      </c>
      <c r="P883" t="inlineStr">
        <is>
          <t>2026-06-08 05:25:27</t>
        </is>
      </c>
      <c r="Y883" t="inlineStr">
        <is>
          <t>27797293408</t>
        </is>
      </c>
    </row>
    <row r="884">
      <c r="A884" t="inlineStr">
        <is>
          <t>14827919</t>
        </is>
      </c>
      <c r="B884" t="inlineStr">
        <is>
          <t>27f0bad2-c520-4ce1-8065-d87a554e1095</t>
        </is>
      </c>
      <c r="D884" t="inlineStr">
        <is>
          <t>111111123</t>
        </is>
      </c>
      <c r="E884" t="inlineStr">
        <is>
          <t>Vodacom Life 20260603</t>
        </is>
      </c>
      <c r="H884" t="inlineStr">
        <is>
          <t>27661012228</t>
        </is>
      </c>
      <c r="J884" t="inlineStr">
        <is>
          <t>QAVET</t>
        </is>
      </c>
      <c r="K884" t="inlineStr">
        <is>
          <t>Sale Made</t>
        </is>
      </c>
      <c r="L884" t="n">
        <v>3</v>
      </c>
      <c r="M884" t="inlineStr">
        <is>
          <t>2026-06-10 12:26:05</t>
        </is>
      </c>
      <c r="N884" t="inlineStr">
        <is>
          <t>Maureen Ntsoko</t>
        </is>
      </c>
      <c r="O884" t="inlineStr">
        <is>
          <t>2026-06-08 05:25:27</t>
        </is>
      </c>
      <c r="P884" t="inlineStr">
        <is>
          <t>2026-06-08 05:25:27</t>
        </is>
      </c>
      <c r="Y884" t="inlineStr">
        <is>
          <t>27661012228</t>
        </is>
      </c>
    </row>
    <row r="885">
      <c r="A885" t="inlineStr">
        <is>
          <t>14827902</t>
        </is>
      </c>
      <c r="B885" t="inlineStr">
        <is>
          <t>e63b5308-9235-4f8b-a20b-d2d75aec64f7</t>
        </is>
      </c>
      <c r="D885" t="inlineStr">
        <is>
          <t>111111123</t>
        </is>
      </c>
      <c r="E885" t="inlineStr">
        <is>
          <t>Vodacom Life 20260603</t>
        </is>
      </c>
      <c r="J885" t="inlineStr">
        <is>
          <t>CBACK</t>
        </is>
      </c>
      <c r="K885" t="inlineStr">
        <is>
          <t>Callback</t>
        </is>
      </c>
      <c r="L885" t="n">
        <v>3</v>
      </c>
      <c r="M885" t="inlineStr">
        <is>
          <t>2026-06-10 12:23:28</t>
        </is>
      </c>
      <c r="N885" t="inlineStr">
        <is>
          <t>Maureen Ntsoko</t>
        </is>
      </c>
      <c r="O885" t="inlineStr">
        <is>
          <t>2026-06-08 05:25:27</t>
        </is>
      </c>
      <c r="P885" t="inlineStr">
        <is>
          <t>2026-06-08 05:25:27</t>
        </is>
      </c>
      <c r="Y885" t="inlineStr">
        <is>
          <t>27727045429</t>
        </is>
      </c>
    </row>
    <row r="886">
      <c r="A886" t="inlineStr">
        <is>
          <t>14827890</t>
        </is>
      </c>
      <c r="B886" t="inlineStr">
        <is>
          <t>2ad8b239-93a4-4311-9afe-20bfb64691df</t>
        </is>
      </c>
      <c r="D886" t="inlineStr">
        <is>
          <t>111111123</t>
        </is>
      </c>
      <c r="E886" t="inlineStr">
        <is>
          <t>Vodacom Life 20260603</t>
        </is>
      </c>
      <c r="J886" t="inlineStr">
        <is>
          <t>AC</t>
        </is>
      </c>
      <c r="K886" t="inlineStr">
        <is>
          <t>Already Contacted</t>
        </is>
      </c>
      <c r="L886" t="n">
        <v>3</v>
      </c>
      <c r="M886" t="inlineStr">
        <is>
          <t>2026-06-10 12:22:15</t>
        </is>
      </c>
      <c r="N886" t="inlineStr">
        <is>
          <t>Maureen Ntsoko</t>
        </is>
      </c>
      <c r="O886" t="inlineStr">
        <is>
          <t>2026-06-08 05:25:27</t>
        </is>
      </c>
      <c r="P886" t="inlineStr">
        <is>
          <t>2026-06-08 05:25:27</t>
        </is>
      </c>
      <c r="Y886" t="inlineStr">
        <is>
          <t>27790428521</t>
        </is>
      </c>
    </row>
    <row r="887">
      <c r="A887" t="inlineStr">
        <is>
          <t>14828219</t>
        </is>
      </c>
      <c r="B887" t="inlineStr">
        <is>
          <t>8c9434b4-f4be-46d2-9b54-c8f25f5bc98a</t>
        </is>
      </c>
      <c r="D887" t="inlineStr">
        <is>
          <t>111111123</t>
        </is>
      </c>
      <c r="E887" t="inlineStr">
        <is>
          <t>Vodacom Life 20260603</t>
        </is>
      </c>
      <c r="J887" t="inlineStr">
        <is>
          <t>CBACK</t>
        </is>
      </c>
      <c r="K887" t="inlineStr">
        <is>
          <t>Callback</t>
        </is>
      </c>
      <c r="L887" t="n">
        <v>3</v>
      </c>
      <c r="M887" t="inlineStr">
        <is>
          <t>2026-06-10 12:01:00</t>
        </is>
      </c>
      <c r="N887" t="inlineStr">
        <is>
          <t>Maureen Ntsoko</t>
        </is>
      </c>
      <c r="O887" t="inlineStr">
        <is>
          <t>2026-06-08 05:25:27</t>
        </is>
      </c>
      <c r="P887" t="inlineStr">
        <is>
          <t>2026-06-08 05:25:27</t>
        </is>
      </c>
      <c r="Y887" t="inlineStr">
        <is>
          <t>27761738001</t>
        </is>
      </c>
    </row>
    <row r="888">
      <c r="A888" t="inlineStr">
        <is>
          <t>14828241</t>
        </is>
      </c>
      <c r="B888" t="inlineStr">
        <is>
          <t>66b73ab6-9f73-42f6-a9e6-85f790885795</t>
        </is>
      </c>
      <c r="D888" t="inlineStr">
        <is>
          <t>111111123</t>
        </is>
      </c>
      <c r="E888" t="inlineStr">
        <is>
          <t>Vodacom Life 20260603</t>
        </is>
      </c>
      <c r="J888" t="inlineStr">
        <is>
          <t>CBACK</t>
        </is>
      </c>
      <c r="K888" t="inlineStr">
        <is>
          <t>Callback</t>
        </is>
      </c>
      <c r="L888" t="n">
        <v>3</v>
      </c>
      <c r="M888" t="inlineStr">
        <is>
          <t>2026-06-10 11:59:32</t>
        </is>
      </c>
      <c r="N888" t="inlineStr">
        <is>
          <t>Maureen Ntsoko</t>
        </is>
      </c>
      <c r="O888" t="inlineStr">
        <is>
          <t>2026-06-08 05:25:27</t>
        </is>
      </c>
      <c r="P888" t="inlineStr">
        <is>
          <t>2026-06-08 05:25:27</t>
        </is>
      </c>
      <c r="Y888" t="inlineStr">
        <is>
          <t>27661349627</t>
        </is>
      </c>
    </row>
    <row r="889">
      <c r="A889" t="inlineStr">
        <is>
          <t>14828299</t>
        </is>
      </c>
      <c r="B889" t="inlineStr">
        <is>
          <t>d096c0dd-bc03-4bed-bc49-9f3e9a9774cc</t>
        </is>
      </c>
      <c r="D889" t="inlineStr">
        <is>
          <t>111111123</t>
        </is>
      </c>
      <c r="E889" t="inlineStr">
        <is>
          <t>Vodacom Life 20260603</t>
        </is>
      </c>
      <c r="H889" t="inlineStr">
        <is>
          <t>27791443349</t>
        </is>
      </c>
      <c r="J889" t="inlineStr">
        <is>
          <t>U</t>
        </is>
      </c>
      <c r="K889" t="inlineStr">
        <is>
          <t>Unemployed</t>
        </is>
      </c>
      <c r="L889" t="n">
        <v>3</v>
      </c>
      <c r="M889" t="inlineStr">
        <is>
          <t>2026-06-10 11:40:04</t>
        </is>
      </c>
      <c r="N889" t="inlineStr">
        <is>
          <t>Khensane Mabasa</t>
        </is>
      </c>
      <c r="O889" t="inlineStr">
        <is>
          <t>2026-06-08 05:25:27</t>
        </is>
      </c>
      <c r="P889" t="inlineStr">
        <is>
          <t>2026-06-08 05:25:27</t>
        </is>
      </c>
      <c r="Y889" t="inlineStr">
        <is>
          <t>27791443349</t>
        </is>
      </c>
    </row>
    <row r="890">
      <c r="A890" t="inlineStr">
        <is>
          <t>14828225</t>
        </is>
      </c>
      <c r="B890" t="inlineStr">
        <is>
          <t>9d2fb977-32cf-46d3-891e-08859e8474bf</t>
        </is>
      </c>
      <c r="D890" t="inlineStr">
        <is>
          <t>111111123</t>
        </is>
      </c>
      <c r="E890" t="inlineStr">
        <is>
          <t>Vodacom Life 20260603</t>
        </is>
      </c>
      <c r="J890" t="inlineStr">
        <is>
          <t>DNQS</t>
        </is>
      </c>
      <c r="K890" t="inlineStr">
        <is>
          <t>Does Not Qualify</t>
        </is>
      </c>
      <c r="L890" t="n">
        <v>3</v>
      </c>
      <c r="M890" t="inlineStr">
        <is>
          <t>2026-06-10 11:33:48</t>
        </is>
      </c>
      <c r="N890" t="inlineStr">
        <is>
          <t>bongiwe lushaba</t>
        </is>
      </c>
      <c r="O890" t="inlineStr">
        <is>
          <t>2026-06-08 05:25:27</t>
        </is>
      </c>
      <c r="P890" t="inlineStr">
        <is>
          <t>2026-06-08 05:25:27</t>
        </is>
      </c>
      <c r="Y890" t="inlineStr">
        <is>
          <t>27729668719</t>
        </is>
      </c>
    </row>
    <row r="891">
      <c r="A891" t="inlineStr">
        <is>
          <t>14828279</t>
        </is>
      </c>
      <c r="B891" t="inlineStr">
        <is>
          <t>fb4d4239-20df-456b-b36e-17437808ee2f</t>
        </is>
      </c>
      <c r="D891" t="inlineStr">
        <is>
          <t>111111123</t>
        </is>
      </c>
      <c r="E891" t="inlineStr">
        <is>
          <t>Vodacom Life 20260603</t>
        </is>
      </c>
      <c r="J891" t="inlineStr">
        <is>
          <t>CBACK</t>
        </is>
      </c>
      <c r="K891" t="inlineStr">
        <is>
          <t>Callback</t>
        </is>
      </c>
      <c r="L891" t="n">
        <v>3</v>
      </c>
      <c r="M891" t="inlineStr">
        <is>
          <t>2026-06-10 11:27:02</t>
        </is>
      </c>
      <c r="N891" t="inlineStr">
        <is>
          <t>bongiwe lushaba</t>
        </is>
      </c>
      <c r="O891" t="inlineStr">
        <is>
          <t>2026-06-08 05:25:27</t>
        </is>
      </c>
      <c r="P891" t="inlineStr">
        <is>
          <t>2026-06-08 05:25:27</t>
        </is>
      </c>
      <c r="Y891" t="inlineStr">
        <is>
          <t>27729529306</t>
        </is>
      </c>
    </row>
    <row r="892">
      <c r="A892" t="inlineStr">
        <is>
          <t>14827768</t>
        </is>
      </c>
      <c r="B892" t="inlineStr">
        <is>
          <t>8c57989e-2531-4471-8f05-60a0c19dcb2d</t>
        </is>
      </c>
      <c r="D892" t="inlineStr">
        <is>
          <t>111111123</t>
        </is>
      </c>
      <c r="E892" t="inlineStr">
        <is>
          <t>Vodacom Life 20260603</t>
        </is>
      </c>
      <c r="H892" t="inlineStr">
        <is>
          <t>27727998396</t>
        </is>
      </c>
      <c r="J892" t="inlineStr">
        <is>
          <t>CBACK</t>
        </is>
      </c>
      <c r="K892" t="inlineStr">
        <is>
          <t>Callback</t>
        </is>
      </c>
      <c r="L892" t="n">
        <v>3</v>
      </c>
      <c r="M892" t="inlineStr">
        <is>
          <t>2026-06-10 10:49:17</t>
        </is>
      </c>
      <c r="N892" t="inlineStr">
        <is>
          <t>Maureen Ntsoko</t>
        </is>
      </c>
      <c r="O892" t="inlineStr">
        <is>
          <t>2026-06-08 05:25:27</t>
        </is>
      </c>
      <c r="P892" t="inlineStr">
        <is>
          <t>2026-06-08 05:25:27</t>
        </is>
      </c>
      <c r="Y892" t="inlineStr">
        <is>
          <t>27727998396</t>
        </is>
      </c>
    </row>
    <row r="893">
      <c r="A893" t="inlineStr">
        <is>
          <t>14828405</t>
        </is>
      </c>
      <c r="B893" t="inlineStr">
        <is>
          <t>8f8d9a40-7008-441d-9fbc-81e157e92b93</t>
        </is>
      </c>
      <c r="D893" t="inlineStr">
        <is>
          <t>111111123</t>
        </is>
      </c>
      <c r="E893" t="inlineStr">
        <is>
          <t>Vodacom Life 20260603</t>
        </is>
      </c>
      <c r="J893" t="inlineStr">
        <is>
          <t>DQQD</t>
        </is>
      </c>
      <c r="K893" t="inlineStr">
        <is>
          <t>DNQ Quote Declined</t>
        </is>
      </c>
      <c r="L893" t="n">
        <v>4</v>
      </c>
      <c r="M893" t="inlineStr">
        <is>
          <t>2026-06-10 10:48:47</t>
        </is>
      </c>
      <c r="N893" t="inlineStr">
        <is>
          <t>Khensane Mabasa</t>
        </is>
      </c>
      <c r="O893" t="inlineStr">
        <is>
          <t>2026-06-08 05:25:27</t>
        </is>
      </c>
      <c r="P893" t="inlineStr">
        <is>
          <t>2026-06-08 05:25:27</t>
        </is>
      </c>
      <c r="Y893" t="inlineStr">
        <is>
          <t>27797604351</t>
        </is>
      </c>
    </row>
    <row r="894">
      <c r="A894" t="inlineStr">
        <is>
          <t>14828419</t>
        </is>
      </c>
      <c r="B894" t="inlineStr">
        <is>
          <t>bfe8b48f-585a-4a4a-a9b5-5ce69c8b9f6d</t>
        </is>
      </c>
      <c r="D894" t="inlineStr">
        <is>
          <t>111111123</t>
        </is>
      </c>
      <c r="E894" t="inlineStr">
        <is>
          <t>Vodacom Life 20260603</t>
        </is>
      </c>
      <c r="J894" t="inlineStr">
        <is>
          <t>NI</t>
        </is>
      </c>
      <c r="K894" t="inlineStr">
        <is>
          <t>Not Interested</t>
        </is>
      </c>
      <c r="L894" t="n">
        <v>3</v>
      </c>
      <c r="M894" t="inlineStr">
        <is>
          <t>2026-06-10 10:47:42</t>
        </is>
      </c>
      <c r="N894" t="inlineStr">
        <is>
          <t>Maureen Ntsoko</t>
        </is>
      </c>
      <c r="O894" t="inlineStr">
        <is>
          <t>2026-06-08 05:25:27</t>
        </is>
      </c>
      <c r="P894" t="inlineStr">
        <is>
          <t>2026-06-08 05:25:27</t>
        </is>
      </c>
      <c r="Y894" t="inlineStr">
        <is>
          <t>27765640116</t>
        </is>
      </c>
    </row>
    <row r="895">
      <c r="A895" t="inlineStr">
        <is>
          <t>14828326</t>
        </is>
      </c>
      <c r="B895" t="inlineStr">
        <is>
          <t>5f3bd255-1b58-43b8-962d-5011ad39d5ee</t>
        </is>
      </c>
      <c r="D895" t="inlineStr">
        <is>
          <t>111111123</t>
        </is>
      </c>
      <c r="E895" t="inlineStr">
        <is>
          <t>Vodacom Life 20260603</t>
        </is>
      </c>
      <c r="H895" t="inlineStr">
        <is>
          <t>27664910380</t>
        </is>
      </c>
      <c r="J895" t="inlineStr">
        <is>
          <t>CBACK</t>
        </is>
      </c>
      <c r="K895" t="inlineStr">
        <is>
          <t>Callback</t>
        </is>
      </c>
      <c r="L895" t="n">
        <v>3</v>
      </c>
      <c r="M895" t="inlineStr">
        <is>
          <t>2026-06-10 10:41:56</t>
        </is>
      </c>
      <c r="N895" t="inlineStr">
        <is>
          <t>bongiwe lushaba</t>
        </is>
      </c>
      <c r="O895" t="inlineStr">
        <is>
          <t>2026-06-08 05:25:27</t>
        </is>
      </c>
      <c r="P895" t="inlineStr">
        <is>
          <t>2026-06-08 05:25:27</t>
        </is>
      </c>
      <c r="Y895" t="inlineStr">
        <is>
          <t>27664910380</t>
        </is>
      </c>
    </row>
    <row r="896">
      <c r="A896" t="inlineStr">
        <is>
          <t>14828423</t>
        </is>
      </c>
      <c r="B896" t="inlineStr">
        <is>
          <t>a03320e2-5983-4d72-8626-726b56ff495e</t>
        </is>
      </c>
      <c r="D896" t="inlineStr">
        <is>
          <t>111111123</t>
        </is>
      </c>
      <c r="E896" t="inlineStr">
        <is>
          <t>Vodacom Life 20260603</t>
        </is>
      </c>
      <c r="J896" t="inlineStr">
        <is>
          <t>AC</t>
        </is>
      </c>
      <c r="K896" t="inlineStr">
        <is>
          <t>Already Contacted</t>
        </is>
      </c>
      <c r="L896" t="n">
        <v>3</v>
      </c>
      <c r="M896" t="inlineStr">
        <is>
          <t>2026-06-10 10:34:51</t>
        </is>
      </c>
      <c r="N896" t="inlineStr">
        <is>
          <t>Maureen Ntsoko</t>
        </is>
      </c>
      <c r="O896" t="inlineStr">
        <is>
          <t>2026-06-08 05:25:27</t>
        </is>
      </c>
      <c r="P896" t="inlineStr">
        <is>
          <t>2026-06-08 05:25:27</t>
        </is>
      </c>
      <c r="Y896" t="inlineStr">
        <is>
          <t>27760120129</t>
        </is>
      </c>
    </row>
    <row r="897">
      <c r="A897" t="inlineStr">
        <is>
          <t>14827788</t>
        </is>
      </c>
      <c r="B897" t="inlineStr">
        <is>
          <t>69769920-cb31-4a15-969c-a409c7caf00c</t>
        </is>
      </c>
      <c r="D897" t="inlineStr">
        <is>
          <t>111111123</t>
        </is>
      </c>
      <c r="E897" t="inlineStr">
        <is>
          <t>Vodacom Life 20260603</t>
        </is>
      </c>
      <c r="H897" t="inlineStr">
        <is>
          <t>27711678625</t>
        </is>
      </c>
      <c r="J897" t="inlineStr">
        <is>
          <t>CBACK</t>
        </is>
      </c>
      <c r="K897" t="inlineStr">
        <is>
          <t>Callback</t>
        </is>
      </c>
      <c r="L897" t="n">
        <v>3</v>
      </c>
      <c r="M897" t="inlineStr">
        <is>
          <t>2026-06-10 10:19:33</t>
        </is>
      </c>
      <c r="N897" t="inlineStr">
        <is>
          <t>Maureen Ntsoko</t>
        </is>
      </c>
      <c r="O897" t="inlineStr">
        <is>
          <t>2026-06-08 05:25:27</t>
        </is>
      </c>
      <c r="P897" t="inlineStr">
        <is>
          <t>2026-06-08 05:25:27</t>
        </is>
      </c>
      <c r="Y897" t="inlineStr">
        <is>
          <t>27711678625</t>
        </is>
      </c>
    </row>
    <row r="898">
      <c r="A898" t="inlineStr">
        <is>
          <t>14827593</t>
        </is>
      </c>
      <c r="B898" t="inlineStr">
        <is>
          <t>b91b91b8-7f9d-4a9e-91a6-eb3c4f050391</t>
        </is>
      </c>
      <c r="D898" t="inlineStr">
        <is>
          <t>111111123</t>
        </is>
      </c>
      <c r="E898" t="inlineStr">
        <is>
          <t>Vodacom Life 20260603</t>
        </is>
      </c>
      <c r="J898" t="inlineStr">
        <is>
          <t>CBACK</t>
        </is>
      </c>
      <c r="K898" t="inlineStr">
        <is>
          <t>Callback</t>
        </is>
      </c>
      <c r="L898" t="n">
        <v>3</v>
      </c>
      <c r="M898" t="inlineStr">
        <is>
          <t>2026-06-10 10:07:59</t>
        </is>
      </c>
      <c r="N898" t="inlineStr">
        <is>
          <t>Maureen Ntsoko</t>
        </is>
      </c>
      <c r="O898" t="inlineStr">
        <is>
          <t>2026-06-08 05:25:27</t>
        </is>
      </c>
      <c r="P898" t="inlineStr">
        <is>
          <t>2026-06-08 05:25:27</t>
        </is>
      </c>
      <c r="Y898" t="inlineStr">
        <is>
          <t>27607823772</t>
        </is>
      </c>
    </row>
    <row r="899">
      <c r="A899" t="inlineStr">
        <is>
          <t>14827654</t>
        </is>
      </c>
      <c r="B899" t="inlineStr">
        <is>
          <t>c7698b95-6923-4ae8-9f7a-b124a7d4c0b8</t>
        </is>
      </c>
      <c r="D899" t="inlineStr">
        <is>
          <t>111111123</t>
        </is>
      </c>
      <c r="E899" t="inlineStr">
        <is>
          <t>Vodacom Life 20260603</t>
        </is>
      </c>
      <c r="H899" t="inlineStr">
        <is>
          <t>27660020811</t>
        </is>
      </c>
      <c r="J899" t="inlineStr">
        <is>
          <t>CBACK</t>
        </is>
      </c>
      <c r="K899" t="inlineStr">
        <is>
          <t>Callback</t>
        </is>
      </c>
      <c r="L899" t="n">
        <v>4</v>
      </c>
      <c r="M899" t="inlineStr">
        <is>
          <t>2026-06-10 10:06:37</t>
        </is>
      </c>
      <c r="N899" t="inlineStr">
        <is>
          <t>Maureen Ntsoko</t>
        </is>
      </c>
      <c r="O899" t="inlineStr">
        <is>
          <t>2026-06-08 05:25:27</t>
        </is>
      </c>
      <c r="P899" t="inlineStr">
        <is>
          <t>2026-06-08 05:25:27</t>
        </is>
      </c>
      <c r="Y899" t="inlineStr">
        <is>
          <t>27660020811</t>
        </is>
      </c>
    </row>
    <row r="900">
      <c r="A900" t="inlineStr">
        <is>
          <t>14827594</t>
        </is>
      </c>
      <c r="B900" t="inlineStr">
        <is>
          <t>275148fa-4882-4bc4-a9d1-67b29bedd0f3</t>
        </is>
      </c>
      <c r="D900" t="inlineStr">
        <is>
          <t>111111123</t>
        </is>
      </c>
      <c r="E900" t="inlineStr">
        <is>
          <t>Vodacom Life 20260603</t>
        </is>
      </c>
      <c r="J900" t="inlineStr">
        <is>
          <t>CBACK</t>
        </is>
      </c>
      <c r="K900" t="inlineStr">
        <is>
          <t>Callback</t>
        </is>
      </c>
      <c r="L900" t="n">
        <v>3</v>
      </c>
      <c r="M900" t="inlineStr">
        <is>
          <t>2026-06-10 10:06:29</t>
        </is>
      </c>
      <c r="N900" t="inlineStr">
        <is>
          <t>Khensane Mabasa</t>
        </is>
      </c>
      <c r="O900" t="inlineStr">
        <is>
          <t>2026-06-08 05:25:27</t>
        </is>
      </c>
      <c r="P900" t="inlineStr">
        <is>
          <t>2026-06-08 05:25:27</t>
        </is>
      </c>
      <c r="Y900" t="inlineStr">
        <is>
          <t>27649455916</t>
        </is>
      </c>
    </row>
    <row r="901">
      <c r="A901" t="inlineStr">
        <is>
          <t>14827707</t>
        </is>
      </c>
      <c r="B901" t="inlineStr">
        <is>
          <t>cbf3dee4-b633-4147-8a5b-770dd3b64f02</t>
        </is>
      </c>
      <c r="D901" t="inlineStr">
        <is>
          <t>111111123</t>
        </is>
      </c>
      <c r="E901" t="inlineStr">
        <is>
          <t>Vodacom Life 20260603</t>
        </is>
      </c>
      <c r="H901" t="inlineStr">
        <is>
          <t>27824951536</t>
        </is>
      </c>
      <c r="J901" t="inlineStr">
        <is>
          <t>CBACK</t>
        </is>
      </c>
      <c r="K901" t="inlineStr">
        <is>
          <t>Callback</t>
        </is>
      </c>
      <c r="L901" t="n">
        <v>3</v>
      </c>
      <c r="M901" t="inlineStr">
        <is>
          <t>2026-06-10 10:00:34</t>
        </is>
      </c>
      <c r="N901" t="inlineStr">
        <is>
          <t>Maureen Ntsoko</t>
        </is>
      </c>
      <c r="O901" t="inlineStr">
        <is>
          <t>2026-06-08 05:25:27</t>
        </is>
      </c>
      <c r="P901" t="inlineStr">
        <is>
          <t>2026-06-08 05:25:27</t>
        </is>
      </c>
      <c r="Y901" t="inlineStr">
        <is>
          <t>27824951536</t>
        </is>
      </c>
    </row>
    <row r="902">
      <c r="A902" t="inlineStr">
        <is>
          <t>14827709</t>
        </is>
      </c>
      <c r="B902" t="inlineStr">
        <is>
          <t>a3bedae5-c319-4f98-bd60-5b91c3322b7f</t>
        </is>
      </c>
      <c r="D902" t="inlineStr">
        <is>
          <t>111111123</t>
        </is>
      </c>
      <c r="E902" t="inlineStr">
        <is>
          <t>Vodacom Life 20260603</t>
        </is>
      </c>
      <c r="J902" t="inlineStr">
        <is>
          <t>CBACK</t>
        </is>
      </c>
      <c r="K902" t="inlineStr">
        <is>
          <t>Callback</t>
        </is>
      </c>
      <c r="L902" t="n">
        <v>3</v>
      </c>
      <c r="M902" t="inlineStr">
        <is>
          <t>2026-06-10 09:59:27</t>
        </is>
      </c>
      <c r="N902" t="inlineStr">
        <is>
          <t>Maureen Ntsoko</t>
        </is>
      </c>
      <c r="O902" t="inlineStr">
        <is>
          <t>2026-06-08 05:25:27</t>
        </is>
      </c>
      <c r="P902" t="inlineStr">
        <is>
          <t>2026-06-08 05:25:27</t>
        </is>
      </c>
      <c r="Y902" t="inlineStr">
        <is>
          <t>27790502217</t>
        </is>
      </c>
    </row>
    <row r="903">
      <c r="A903" t="inlineStr">
        <is>
          <t>14828302</t>
        </is>
      </c>
      <c r="B903" t="inlineStr">
        <is>
          <t>39ba258d-d5b7-4271-af93-08bd968802f6</t>
        </is>
      </c>
      <c r="D903" t="inlineStr">
        <is>
          <t>111111123</t>
        </is>
      </c>
      <c r="E903" t="inlineStr">
        <is>
          <t>Vodacom Life 20260603</t>
        </is>
      </c>
      <c r="H903" t="inlineStr">
        <is>
          <t>27827148570</t>
        </is>
      </c>
      <c r="J903" t="inlineStr">
        <is>
          <t>AC</t>
        </is>
      </c>
      <c r="K903" t="inlineStr">
        <is>
          <t>Already Contacted</t>
        </is>
      </c>
      <c r="L903" t="n">
        <v>3</v>
      </c>
      <c r="M903" t="inlineStr">
        <is>
          <t>2026-06-10 09:54:57</t>
        </is>
      </c>
      <c r="N903" t="inlineStr">
        <is>
          <t>Maureen Ntsoko</t>
        </is>
      </c>
      <c r="O903" t="inlineStr">
        <is>
          <t>2026-06-08 05:25:27</t>
        </is>
      </c>
      <c r="P903" t="inlineStr">
        <is>
          <t>2026-06-08 05:25:27</t>
        </is>
      </c>
      <c r="Y903" t="inlineStr">
        <is>
          <t>27827148570</t>
        </is>
      </c>
    </row>
    <row r="904">
      <c r="A904" t="inlineStr">
        <is>
          <t>14827692</t>
        </is>
      </c>
      <c r="B904" t="inlineStr">
        <is>
          <t>45409102-564c-4226-afbf-681b096f4a59</t>
        </is>
      </c>
      <c r="D904" t="inlineStr">
        <is>
          <t>111111123</t>
        </is>
      </c>
      <c r="E904" t="inlineStr">
        <is>
          <t>Vodacom Life 20260603</t>
        </is>
      </c>
      <c r="J904" t="inlineStr">
        <is>
          <t>U</t>
        </is>
      </c>
      <c r="K904" t="inlineStr">
        <is>
          <t>Unemployed</t>
        </is>
      </c>
      <c r="L904" t="n">
        <v>3</v>
      </c>
      <c r="M904" t="inlineStr">
        <is>
          <t>2026-06-10 09:51:47</t>
        </is>
      </c>
      <c r="N904" t="inlineStr">
        <is>
          <t>bongiwe lushaba</t>
        </is>
      </c>
      <c r="O904" t="inlineStr">
        <is>
          <t>2026-06-08 05:25:27</t>
        </is>
      </c>
      <c r="P904" t="inlineStr">
        <is>
          <t>2026-06-08 05:25:27</t>
        </is>
      </c>
      <c r="Y904" t="inlineStr">
        <is>
          <t>27774142480</t>
        </is>
      </c>
    </row>
    <row r="905">
      <c r="A905" t="inlineStr">
        <is>
          <t>14827626</t>
        </is>
      </c>
      <c r="B905" t="inlineStr">
        <is>
          <t>8f6c528d-f3d4-4d44-8026-55ef763a3c37</t>
        </is>
      </c>
      <c r="D905" t="inlineStr">
        <is>
          <t>111111123</t>
        </is>
      </c>
      <c r="E905" t="inlineStr">
        <is>
          <t>Vodacom Life 20260603</t>
        </is>
      </c>
      <c r="J905" t="inlineStr">
        <is>
          <t>CBACK</t>
        </is>
      </c>
      <c r="K905" t="inlineStr">
        <is>
          <t>Callback</t>
        </is>
      </c>
      <c r="L905" t="n">
        <v>3</v>
      </c>
      <c r="M905" t="inlineStr">
        <is>
          <t>2026-06-10 09:47:39</t>
        </is>
      </c>
      <c r="N905" t="inlineStr">
        <is>
          <t>bongiwe lushaba</t>
        </is>
      </c>
      <c r="O905" t="inlineStr">
        <is>
          <t>2026-06-08 05:25:27</t>
        </is>
      </c>
      <c r="P905" t="inlineStr">
        <is>
          <t>2026-06-08 05:25:27</t>
        </is>
      </c>
      <c r="Y905" t="inlineStr">
        <is>
          <t>27711004074</t>
        </is>
      </c>
    </row>
    <row r="906">
      <c r="A906" t="inlineStr">
        <is>
          <t>14828513</t>
        </is>
      </c>
      <c r="B906" t="inlineStr">
        <is>
          <t>d5285e73-f577-4ddc-9b0f-ca970c8f1edf</t>
        </is>
      </c>
      <c r="D906" t="inlineStr">
        <is>
          <t>111111123</t>
        </is>
      </c>
      <c r="E906" t="inlineStr">
        <is>
          <t>Vodacom Life 20260603</t>
        </is>
      </c>
      <c r="H906" t="inlineStr">
        <is>
          <t>27793763062</t>
        </is>
      </c>
      <c r="J906" t="inlineStr">
        <is>
          <t>AC</t>
        </is>
      </c>
      <c r="K906" t="inlineStr">
        <is>
          <t>Already Contacted</t>
        </is>
      </c>
      <c r="L906" t="n">
        <v>4</v>
      </c>
      <c r="M906" t="inlineStr">
        <is>
          <t>2026-06-10 09:39:21</t>
        </is>
      </c>
      <c r="N906" t="inlineStr">
        <is>
          <t>Maureen Ntsoko</t>
        </is>
      </c>
      <c r="O906" t="inlineStr">
        <is>
          <t>2026-06-08 05:25:27</t>
        </is>
      </c>
      <c r="P906" t="inlineStr">
        <is>
          <t>2026-06-08 05:25:27</t>
        </is>
      </c>
      <c r="Y906" t="inlineStr">
        <is>
          <t>27793763062</t>
        </is>
      </c>
    </row>
    <row r="907">
      <c r="A907" t="inlineStr">
        <is>
          <t>14828477</t>
        </is>
      </c>
      <c r="B907" t="inlineStr">
        <is>
          <t>a45e20ba-365a-438d-9171-839cf9005bdb</t>
        </is>
      </c>
      <c r="D907" t="inlineStr">
        <is>
          <t>111111123</t>
        </is>
      </c>
      <c r="E907" t="inlineStr">
        <is>
          <t>Vodacom Life 20260603</t>
        </is>
      </c>
      <c r="J907" t="inlineStr">
        <is>
          <t>SELECTED</t>
        </is>
      </c>
      <c r="K907" t="inlineStr">
        <is>
          <t>Selected</t>
        </is>
      </c>
      <c r="L907" t="n">
        <v>4</v>
      </c>
      <c r="M907" t="inlineStr">
        <is>
          <t>2026-06-10 09:33:00</t>
        </is>
      </c>
      <c r="N907" t="inlineStr">
        <is>
          <t>system</t>
        </is>
      </c>
      <c r="O907" t="inlineStr">
        <is>
          <t>2026-06-08 05:25:27</t>
        </is>
      </c>
      <c r="P907" t="inlineStr">
        <is>
          <t>2026-06-08 05:25:27</t>
        </is>
      </c>
      <c r="Y907" t="inlineStr">
        <is>
          <t>27727033572</t>
        </is>
      </c>
    </row>
    <row r="908">
      <c r="A908" t="inlineStr">
        <is>
          <t>14828456</t>
        </is>
      </c>
      <c r="B908" t="inlineStr">
        <is>
          <t>523bcf38-f44f-43e0-9ad5-0a1979adc922</t>
        </is>
      </c>
      <c r="D908" t="inlineStr">
        <is>
          <t>111111123</t>
        </is>
      </c>
      <c r="E908" t="inlineStr">
        <is>
          <t>Vodacom Life 20260603</t>
        </is>
      </c>
      <c r="J908" t="inlineStr">
        <is>
          <t>AC</t>
        </is>
      </c>
      <c r="K908" t="inlineStr">
        <is>
          <t>Already Contacted</t>
        </is>
      </c>
      <c r="L908" t="n">
        <v>3</v>
      </c>
      <c r="M908" t="inlineStr">
        <is>
          <t>2026-06-10 09:30:08</t>
        </is>
      </c>
      <c r="N908" t="inlineStr">
        <is>
          <t>Maureen Ntsoko</t>
        </is>
      </c>
      <c r="O908" t="inlineStr">
        <is>
          <t>2026-06-08 05:25:27</t>
        </is>
      </c>
      <c r="P908" t="inlineStr">
        <is>
          <t>2026-06-08 05:25:27</t>
        </is>
      </c>
      <c r="Y908" t="inlineStr">
        <is>
          <t>27761226735</t>
        </is>
      </c>
    </row>
    <row r="909">
      <c r="A909" t="inlineStr">
        <is>
          <t>14828028</t>
        </is>
      </c>
      <c r="B909" t="inlineStr">
        <is>
          <t>606c22f7-dfd4-45af-bcc3-7db45a2a4d8f</t>
        </is>
      </c>
      <c r="D909" t="inlineStr">
        <is>
          <t>111111123</t>
        </is>
      </c>
      <c r="E909" t="inlineStr">
        <is>
          <t>Vodacom Life 20260603</t>
        </is>
      </c>
      <c r="J909" t="inlineStr">
        <is>
          <t>NI</t>
        </is>
      </c>
      <c r="K909" t="inlineStr">
        <is>
          <t>Not Interested</t>
        </is>
      </c>
      <c r="L909" t="n">
        <v>2</v>
      </c>
      <c r="M909" t="inlineStr">
        <is>
          <t>2026-06-09 12:15:11</t>
        </is>
      </c>
      <c r="N909" t="inlineStr">
        <is>
          <t>Maureen Ntsoko</t>
        </is>
      </c>
      <c r="O909" t="inlineStr">
        <is>
          <t>2026-06-08 05:25:27</t>
        </is>
      </c>
      <c r="P909" t="inlineStr">
        <is>
          <t>2026-06-08 05:25:27</t>
        </is>
      </c>
      <c r="Y909" t="inlineStr">
        <is>
          <t>27829699062</t>
        </is>
      </c>
    </row>
    <row r="910">
      <c r="A910" t="inlineStr">
        <is>
          <t>14827997</t>
        </is>
      </c>
      <c r="B910" t="inlineStr">
        <is>
          <t>87c41468-b633-4b97-9689-91229131b6e8</t>
        </is>
      </c>
      <c r="D910" t="inlineStr">
        <is>
          <t>111111123</t>
        </is>
      </c>
      <c r="E910" t="inlineStr">
        <is>
          <t>Vodacom Life 20260603</t>
        </is>
      </c>
      <c r="H910" t="inlineStr">
        <is>
          <t>27648724377</t>
        </is>
      </c>
      <c r="J910" t="inlineStr">
        <is>
          <t>CBACK</t>
        </is>
      </c>
      <c r="K910" t="inlineStr">
        <is>
          <t>Callback</t>
        </is>
      </c>
      <c r="L910" t="n">
        <v>2</v>
      </c>
      <c r="M910" t="inlineStr">
        <is>
          <t>2026-06-09 12:06:45</t>
        </is>
      </c>
      <c r="N910" t="inlineStr">
        <is>
          <t>Maureen Ntsoko</t>
        </is>
      </c>
      <c r="O910" t="inlineStr">
        <is>
          <t>2026-06-08 05:25:27</t>
        </is>
      </c>
      <c r="P910" t="inlineStr">
        <is>
          <t>2026-06-08 05:25:27</t>
        </is>
      </c>
      <c r="Y910" t="inlineStr">
        <is>
          <t>27648724377</t>
        </is>
      </c>
    </row>
    <row r="911">
      <c r="A911" t="inlineStr">
        <is>
          <t>14827998</t>
        </is>
      </c>
      <c r="B911" t="inlineStr">
        <is>
          <t>7ec3dbe5-8620-4828-843c-90464737a8f1</t>
        </is>
      </c>
      <c r="D911" t="inlineStr">
        <is>
          <t>111111123</t>
        </is>
      </c>
      <c r="E911" t="inlineStr">
        <is>
          <t>Vodacom Life 20260603</t>
        </is>
      </c>
      <c r="J911" t="inlineStr">
        <is>
          <t>CBACK</t>
        </is>
      </c>
      <c r="K911" t="inlineStr">
        <is>
          <t>Callback</t>
        </is>
      </c>
      <c r="L911" t="n">
        <v>2</v>
      </c>
      <c r="M911" t="inlineStr">
        <is>
          <t>2026-06-09 12:04:45</t>
        </is>
      </c>
      <c r="N911" t="inlineStr">
        <is>
          <t>Maureen Ntsoko</t>
        </is>
      </c>
      <c r="O911" t="inlineStr">
        <is>
          <t>2026-06-08 05:25:27</t>
        </is>
      </c>
      <c r="P911" t="inlineStr">
        <is>
          <t>2026-06-08 05:25:27</t>
        </is>
      </c>
      <c r="Y911" t="inlineStr">
        <is>
          <t>27711334993</t>
        </is>
      </c>
    </row>
    <row r="912">
      <c r="A912" t="inlineStr">
        <is>
          <t>14828029</t>
        </is>
      </c>
      <c r="B912" t="inlineStr">
        <is>
          <t>cf50a4ce-5aab-4d50-b78d-892af820adb7</t>
        </is>
      </c>
      <c r="D912" t="inlineStr">
        <is>
          <t>111111123</t>
        </is>
      </c>
      <c r="E912" t="inlineStr">
        <is>
          <t>Vodacom Life 20260603</t>
        </is>
      </c>
      <c r="H912" t="inlineStr">
        <is>
          <t>27636189484</t>
        </is>
      </c>
      <c r="J912" t="inlineStr">
        <is>
          <t>AC</t>
        </is>
      </c>
      <c r="K912" t="inlineStr">
        <is>
          <t>Already Contacted</t>
        </is>
      </c>
      <c r="L912" t="n">
        <v>2</v>
      </c>
      <c r="M912" t="inlineStr">
        <is>
          <t>2026-06-09 11:59:10</t>
        </is>
      </c>
      <c r="N912" t="inlineStr">
        <is>
          <t>Maureen Ntsoko</t>
        </is>
      </c>
      <c r="O912" t="inlineStr">
        <is>
          <t>2026-06-08 05:25:27</t>
        </is>
      </c>
      <c r="P912" t="inlineStr">
        <is>
          <t>2026-06-08 05:25:27</t>
        </is>
      </c>
      <c r="Y912" t="inlineStr">
        <is>
          <t>27636189484</t>
        </is>
      </c>
    </row>
    <row r="913">
      <c r="A913" t="inlineStr">
        <is>
          <t>14827989</t>
        </is>
      </c>
      <c r="B913" t="inlineStr">
        <is>
          <t>d8cbf2bd-98d8-42da-99e0-ac3ec7843cae</t>
        </is>
      </c>
      <c r="D913" t="inlineStr">
        <is>
          <t>111111123</t>
        </is>
      </c>
      <c r="E913" t="inlineStr">
        <is>
          <t>Vodacom Life 20260603</t>
        </is>
      </c>
      <c r="H913" t="inlineStr">
        <is>
          <t>27768528053</t>
        </is>
      </c>
      <c r="J913" t="inlineStr">
        <is>
          <t>CBACK</t>
        </is>
      </c>
      <c r="K913" t="inlineStr">
        <is>
          <t>Callback</t>
        </is>
      </c>
      <c r="L913" t="n">
        <v>2</v>
      </c>
      <c r="M913" t="inlineStr">
        <is>
          <t>2026-06-09 11:57:35</t>
        </is>
      </c>
      <c r="N913" t="inlineStr">
        <is>
          <t>Maureen Ntsoko</t>
        </is>
      </c>
      <c r="O913" t="inlineStr">
        <is>
          <t>2026-06-08 05:25:27</t>
        </is>
      </c>
      <c r="P913" t="inlineStr">
        <is>
          <t>2026-06-08 05:25:27</t>
        </is>
      </c>
      <c r="Y913" t="inlineStr">
        <is>
          <t>27768528053</t>
        </is>
      </c>
    </row>
    <row r="914">
      <c r="A914" t="inlineStr">
        <is>
          <t>14827945</t>
        </is>
      </c>
      <c r="B914" t="inlineStr">
        <is>
          <t>4027f892-a938-4de3-921c-2900d56462cb</t>
        </is>
      </c>
      <c r="D914" t="inlineStr">
        <is>
          <t>111111123</t>
        </is>
      </c>
      <c r="E914" t="inlineStr">
        <is>
          <t>Vodacom Life 20260603</t>
        </is>
      </c>
      <c r="H914" t="inlineStr">
        <is>
          <t>27714142808</t>
        </is>
      </c>
      <c r="J914" t="inlineStr">
        <is>
          <t>CBACK</t>
        </is>
      </c>
      <c r="K914" t="inlineStr">
        <is>
          <t>Callback</t>
        </is>
      </c>
      <c r="L914" t="n">
        <v>2</v>
      </c>
      <c r="M914" t="inlineStr">
        <is>
          <t>2026-06-09 11:05:48</t>
        </is>
      </c>
      <c r="N914" t="inlineStr">
        <is>
          <t>bongiwe lushaba</t>
        </is>
      </c>
      <c r="O914" t="inlineStr">
        <is>
          <t>2026-06-08 05:25:27</t>
        </is>
      </c>
      <c r="P914" t="inlineStr">
        <is>
          <t>2026-06-08 05:25:27</t>
        </is>
      </c>
      <c r="Y914" t="inlineStr">
        <is>
          <t>27714142808</t>
        </is>
      </c>
    </row>
    <row r="915">
      <c r="A915" t="inlineStr">
        <is>
          <t>14828058</t>
        </is>
      </c>
      <c r="B915" t="inlineStr">
        <is>
          <t>073b6c0d-c9e8-470a-bc87-523a00f86932</t>
        </is>
      </c>
      <c r="D915" t="inlineStr">
        <is>
          <t>111111123</t>
        </is>
      </c>
      <c r="E915" t="inlineStr">
        <is>
          <t>Vodacom Life 20260603</t>
        </is>
      </c>
      <c r="J915" t="inlineStr">
        <is>
          <t>U</t>
        </is>
      </c>
      <c r="K915" t="inlineStr">
        <is>
          <t>Unemployed</t>
        </is>
      </c>
      <c r="L915" t="n">
        <v>2</v>
      </c>
      <c r="M915" t="inlineStr">
        <is>
          <t>2026-06-09 11:00:21</t>
        </is>
      </c>
      <c r="N915" t="inlineStr">
        <is>
          <t>bongiwe lushaba</t>
        </is>
      </c>
      <c r="O915" t="inlineStr">
        <is>
          <t>2026-06-08 05:25:27</t>
        </is>
      </c>
      <c r="P915" t="inlineStr">
        <is>
          <t>2026-06-08 05:25:27</t>
        </is>
      </c>
      <c r="Y915" t="inlineStr">
        <is>
          <t>27648464891</t>
        </is>
      </c>
    </row>
    <row r="916">
      <c r="A916" t="inlineStr">
        <is>
          <t>14827925</t>
        </is>
      </c>
      <c r="B916" t="inlineStr">
        <is>
          <t>c30e28b4-6ab1-4aa9-b4f5-37c951720833</t>
        </is>
      </c>
      <c r="D916" t="inlineStr">
        <is>
          <t>111111123</t>
        </is>
      </c>
      <c r="E916" t="inlineStr">
        <is>
          <t>Vodacom Life 20260603</t>
        </is>
      </c>
      <c r="J916" t="inlineStr">
        <is>
          <t>CBACK</t>
        </is>
      </c>
      <c r="K916" t="inlineStr">
        <is>
          <t>Callback</t>
        </is>
      </c>
      <c r="L916" t="n">
        <v>2</v>
      </c>
      <c r="M916" t="inlineStr">
        <is>
          <t>2026-06-09 10:54:27</t>
        </is>
      </c>
      <c r="N916" t="inlineStr">
        <is>
          <t>Maureen Ntsoko</t>
        </is>
      </c>
      <c r="O916" t="inlineStr">
        <is>
          <t>2026-06-08 05:25:27</t>
        </is>
      </c>
      <c r="P916" t="inlineStr">
        <is>
          <t>2026-06-08 05:25:27</t>
        </is>
      </c>
      <c r="Y916" t="inlineStr">
        <is>
          <t>27646735149</t>
        </is>
      </c>
    </row>
    <row r="917">
      <c r="A917" t="inlineStr">
        <is>
          <t>14827912</t>
        </is>
      </c>
      <c r="B917" t="inlineStr">
        <is>
          <t>9e06afeb-ce95-449f-95b6-84fc4ce2b3d9</t>
        </is>
      </c>
      <c r="D917" t="inlineStr">
        <is>
          <t>111111123</t>
        </is>
      </c>
      <c r="E917" t="inlineStr">
        <is>
          <t>Vodacom Life 20260603</t>
        </is>
      </c>
      <c r="H917" t="inlineStr">
        <is>
          <t>27727050161</t>
        </is>
      </c>
      <c r="J917" t="inlineStr">
        <is>
          <t>NI</t>
        </is>
      </c>
      <c r="K917" t="inlineStr">
        <is>
          <t>Not Interested</t>
        </is>
      </c>
      <c r="L917" t="n">
        <v>2</v>
      </c>
      <c r="M917" t="inlineStr">
        <is>
          <t>2026-06-09 10:52:16</t>
        </is>
      </c>
      <c r="N917" t="inlineStr">
        <is>
          <t>Maureen Ntsoko</t>
        </is>
      </c>
      <c r="O917" t="inlineStr">
        <is>
          <t>2026-06-08 05:25:27</t>
        </is>
      </c>
      <c r="P917" t="inlineStr">
        <is>
          <t>2026-06-08 05:25:27</t>
        </is>
      </c>
      <c r="Y917" t="inlineStr">
        <is>
          <t>27727050161</t>
        </is>
      </c>
    </row>
    <row r="918">
      <c r="A918" t="inlineStr">
        <is>
          <t>14828104</t>
        </is>
      </c>
      <c r="B918" t="inlineStr">
        <is>
          <t>743ec2ac-84c2-4929-b4b5-905f6ce85a94</t>
        </is>
      </c>
      <c r="D918" t="inlineStr">
        <is>
          <t>111111123</t>
        </is>
      </c>
      <c r="E918" t="inlineStr">
        <is>
          <t>Vodacom Life 20260603</t>
        </is>
      </c>
      <c r="J918" t="inlineStr">
        <is>
          <t>CBACK</t>
        </is>
      </c>
      <c r="K918" t="inlineStr">
        <is>
          <t>Callback</t>
        </is>
      </c>
      <c r="L918" t="n">
        <v>2</v>
      </c>
      <c r="M918" t="inlineStr">
        <is>
          <t>2026-06-09 10:25:02</t>
        </is>
      </c>
      <c r="N918" t="inlineStr">
        <is>
          <t>bongiwe lushaba</t>
        </is>
      </c>
      <c r="O918" t="inlineStr">
        <is>
          <t>2026-06-08 05:25:27</t>
        </is>
      </c>
      <c r="P918" t="inlineStr">
        <is>
          <t>2026-06-08 05:25:27</t>
        </is>
      </c>
      <c r="Y918" t="inlineStr">
        <is>
          <t>27825827882</t>
        </is>
      </c>
    </row>
    <row r="919">
      <c r="A919" t="inlineStr">
        <is>
          <t>14828195</t>
        </is>
      </c>
      <c r="B919" t="inlineStr">
        <is>
          <t>73fef119-fcd3-4024-aa27-db23c7de5ef7</t>
        </is>
      </c>
      <c r="D919" t="inlineStr">
        <is>
          <t>111111123</t>
        </is>
      </c>
      <c r="E919" t="inlineStr">
        <is>
          <t>Vodacom Life 20260603</t>
        </is>
      </c>
      <c r="J919" t="inlineStr">
        <is>
          <t>U</t>
        </is>
      </c>
      <c r="K919" t="inlineStr">
        <is>
          <t>Unemployed</t>
        </is>
      </c>
      <c r="L919" t="n">
        <v>2</v>
      </c>
      <c r="M919" t="inlineStr">
        <is>
          <t>2026-06-09 10:22:03</t>
        </is>
      </c>
      <c r="N919" t="inlineStr">
        <is>
          <t>bongiwe lushaba</t>
        </is>
      </c>
      <c r="O919" t="inlineStr">
        <is>
          <t>2026-06-08 05:25:27</t>
        </is>
      </c>
      <c r="P919" t="inlineStr">
        <is>
          <t>2026-06-08 05:25:27</t>
        </is>
      </c>
      <c r="Y919" t="inlineStr">
        <is>
          <t>27760904980</t>
        </is>
      </c>
    </row>
    <row r="920">
      <c r="A920" t="inlineStr">
        <is>
          <t>14828182</t>
        </is>
      </c>
      <c r="B920" t="inlineStr">
        <is>
          <t>dbe65f2c-34ad-47e6-b6ce-a966ccfeb51f</t>
        </is>
      </c>
      <c r="D920" t="inlineStr">
        <is>
          <t>111111123</t>
        </is>
      </c>
      <c r="E920" t="inlineStr">
        <is>
          <t>Vodacom Life 20260603</t>
        </is>
      </c>
      <c r="J920" t="inlineStr">
        <is>
          <t>CBACK</t>
        </is>
      </c>
      <c r="K920" t="inlineStr">
        <is>
          <t>Callback</t>
        </is>
      </c>
      <c r="L920" t="n">
        <v>2</v>
      </c>
      <c r="M920" t="inlineStr">
        <is>
          <t>2026-06-09 10:13:58</t>
        </is>
      </c>
      <c r="N920" t="inlineStr">
        <is>
          <t>Maureen Ntsoko</t>
        </is>
      </c>
      <c r="O920" t="inlineStr">
        <is>
          <t>2026-06-08 05:25:27</t>
        </is>
      </c>
      <c r="P920" t="inlineStr">
        <is>
          <t>2026-06-08 05:25:27</t>
        </is>
      </c>
      <c r="Y920" t="inlineStr">
        <is>
          <t>27760915003</t>
        </is>
      </c>
    </row>
    <row r="921">
      <c r="A921" t="inlineStr">
        <is>
          <t>14828167</t>
        </is>
      </c>
      <c r="B921" t="inlineStr">
        <is>
          <t>b3468372-e363-45f0-b203-8edba9777037</t>
        </is>
      </c>
      <c r="D921" t="inlineStr">
        <is>
          <t>111111123</t>
        </is>
      </c>
      <c r="E921" t="inlineStr">
        <is>
          <t>Vodacom Life 20260603</t>
        </is>
      </c>
      <c r="H921" t="inlineStr">
        <is>
          <t>27716286578</t>
        </is>
      </c>
      <c r="J921" t="inlineStr">
        <is>
          <t>CBACK</t>
        </is>
      </c>
      <c r="K921" t="inlineStr">
        <is>
          <t>Callback</t>
        </is>
      </c>
      <c r="L921" t="n">
        <v>2</v>
      </c>
      <c r="M921" t="inlineStr">
        <is>
          <t>2026-06-09 10:10:53</t>
        </is>
      </c>
      <c r="N921" t="inlineStr">
        <is>
          <t>Maureen Ntsoko</t>
        </is>
      </c>
      <c r="O921" t="inlineStr">
        <is>
          <t>2026-06-08 05:25:27</t>
        </is>
      </c>
      <c r="P921" t="inlineStr">
        <is>
          <t>2026-06-08 05:25:27</t>
        </is>
      </c>
      <c r="Y921" t="inlineStr">
        <is>
          <t>27716286578</t>
        </is>
      </c>
    </row>
    <row r="922">
      <c r="A922" t="inlineStr">
        <is>
          <t>14827821</t>
        </is>
      </c>
      <c r="B922" t="inlineStr">
        <is>
          <t>09387c4e-c4af-4cdb-8488-80e90c2661a4</t>
        </is>
      </c>
      <c r="D922" t="inlineStr">
        <is>
          <t>111111123</t>
        </is>
      </c>
      <c r="E922" t="inlineStr">
        <is>
          <t>Vodacom Life 20260603</t>
        </is>
      </c>
      <c r="H922" t="inlineStr">
        <is>
          <t>27661333834</t>
        </is>
      </c>
      <c r="J922" t="inlineStr">
        <is>
          <t>CBACK</t>
        </is>
      </c>
      <c r="K922" t="inlineStr">
        <is>
          <t>Callback</t>
        </is>
      </c>
      <c r="L922" t="n">
        <v>2</v>
      </c>
      <c r="M922" t="inlineStr">
        <is>
          <t>2026-06-09 10:06:43</t>
        </is>
      </c>
      <c r="N922" t="inlineStr">
        <is>
          <t>bongiwe lushaba</t>
        </is>
      </c>
      <c r="O922" t="inlineStr">
        <is>
          <t>2026-06-08 05:25:27</t>
        </is>
      </c>
      <c r="P922" t="inlineStr">
        <is>
          <t>2026-06-08 05:25:27</t>
        </is>
      </c>
      <c r="Y922" t="inlineStr">
        <is>
          <t>27661333834</t>
        </is>
      </c>
    </row>
    <row r="923">
      <c r="A923" t="inlineStr">
        <is>
          <t>14827805</t>
        </is>
      </c>
      <c r="B923" t="inlineStr">
        <is>
          <t>bb215584-911f-4a6a-a307-9cc838a8500b</t>
        </is>
      </c>
      <c r="D923" t="inlineStr">
        <is>
          <t>111111123</t>
        </is>
      </c>
      <c r="E923" t="inlineStr">
        <is>
          <t>Vodacom Life 20260603</t>
        </is>
      </c>
      <c r="J923" t="inlineStr">
        <is>
          <t>CBACK</t>
        </is>
      </c>
      <c r="K923" t="inlineStr">
        <is>
          <t>Callback</t>
        </is>
      </c>
      <c r="L923" t="n">
        <v>2</v>
      </c>
      <c r="M923" t="inlineStr">
        <is>
          <t>2026-06-09 09:54:54</t>
        </is>
      </c>
      <c r="N923" t="inlineStr">
        <is>
          <t>Maureen Ntsoko</t>
        </is>
      </c>
      <c r="O923" t="inlineStr">
        <is>
          <t>2026-06-08 05:25:27</t>
        </is>
      </c>
      <c r="P923" t="inlineStr">
        <is>
          <t>2026-06-08 05:25:27</t>
        </is>
      </c>
      <c r="Y923" t="inlineStr">
        <is>
          <t>27727241065</t>
        </is>
      </c>
    </row>
    <row r="924">
      <c r="A924" t="inlineStr">
        <is>
          <t>14827799</t>
        </is>
      </c>
      <c r="B924" t="inlineStr">
        <is>
          <t>9a1e8908-dd09-4243-a807-0debb5723bad</t>
        </is>
      </c>
      <c r="D924" t="inlineStr">
        <is>
          <t>111111123</t>
        </is>
      </c>
      <c r="E924" t="inlineStr">
        <is>
          <t>Vodacom Life 20260603</t>
        </is>
      </c>
      <c r="H924" t="inlineStr">
        <is>
          <t>27715757032</t>
        </is>
      </c>
      <c r="J924" t="inlineStr">
        <is>
          <t>NIUP</t>
        </is>
      </c>
      <c r="K924" t="inlineStr">
        <is>
          <t>Not Interested Upfront</t>
        </is>
      </c>
      <c r="L924" t="n">
        <v>2</v>
      </c>
      <c r="M924" t="inlineStr">
        <is>
          <t>2026-06-09 09:53:34</t>
        </is>
      </c>
      <c r="N924" t="inlineStr">
        <is>
          <t>Maureen Ntsoko</t>
        </is>
      </c>
      <c r="O924" t="inlineStr">
        <is>
          <t>2026-06-08 05:25:27</t>
        </is>
      </c>
      <c r="P924" t="inlineStr">
        <is>
          <t>2026-06-08 05:25:27</t>
        </is>
      </c>
      <c r="Y924" t="inlineStr">
        <is>
          <t>27715757032</t>
        </is>
      </c>
    </row>
    <row r="925">
      <c r="A925" t="inlineStr">
        <is>
          <t>14828339</t>
        </is>
      </c>
      <c r="B925" t="inlineStr">
        <is>
          <t>8ded8a62-3580-4240-8c8e-12c62556f490</t>
        </is>
      </c>
      <c r="D925" t="inlineStr">
        <is>
          <t>111111123</t>
        </is>
      </c>
      <c r="E925" t="inlineStr">
        <is>
          <t>Vodacom Life 20260603</t>
        </is>
      </c>
      <c r="J925" t="inlineStr">
        <is>
          <t>AF</t>
        </is>
      </c>
      <c r="K925" t="inlineStr">
        <is>
          <t>Cannot Afford</t>
        </is>
      </c>
      <c r="L925" t="n">
        <v>2</v>
      </c>
      <c r="M925" t="inlineStr">
        <is>
          <t>2026-06-09 09:46:55</t>
        </is>
      </c>
      <c r="N925" t="inlineStr">
        <is>
          <t>Maureen Ntsoko</t>
        </is>
      </c>
      <c r="O925" t="inlineStr">
        <is>
          <t>2026-06-08 05:25:27</t>
        </is>
      </c>
      <c r="P925" t="inlineStr">
        <is>
          <t>2026-06-08 05:25:27</t>
        </is>
      </c>
      <c r="Y925" t="inlineStr">
        <is>
          <t>27649183159</t>
        </is>
      </c>
    </row>
    <row r="926">
      <c r="A926" t="inlineStr">
        <is>
          <t>14828379</t>
        </is>
      </c>
      <c r="B926" t="inlineStr">
        <is>
          <t>c8d6300a-fb3e-44d9-88d4-5471a7992dd4</t>
        </is>
      </c>
      <c r="D926" t="inlineStr">
        <is>
          <t>111111123</t>
        </is>
      </c>
      <c r="E926" t="inlineStr">
        <is>
          <t>Vodacom Life 20260603</t>
        </is>
      </c>
      <c r="J926" t="inlineStr">
        <is>
          <t>OAL</t>
        </is>
      </c>
      <c r="K926" t="inlineStr">
        <is>
          <t>Over Age Limit</t>
        </is>
      </c>
      <c r="L926" t="n">
        <v>2</v>
      </c>
      <c r="M926" t="inlineStr">
        <is>
          <t>2026-06-09 09:23:22</t>
        </is>
      </c>
      <c r="N926" t="inlineStr">
        <is>
          <t>Maureen Ntsoko</t>
        </is>
      </c>
      <c r="O926" t="inlineStr">
        <is>
          <t>2026-06-08 05:25:27</t>
        </is>
      </c>
      <c r="P926" t="inlineStr">
        <is>
          <t>2026-06-08 05:25:27</t>
        </is>
      </c>
      <c r="Y926" t="inlineStr">
        <is>
          <t>27721026765</t>
        </is>
      </c>
    </row>
    <row r="927">
      <c r="A927" t="inlineStr">
        <is>
          <t>14828382</t>
        </is>
      </c>
      <c r="B927" t="inlineStr">
        <is>
          <t>af961faf-30a0-475d-9089-2bb24206662e</t>
        </is>
      </c>
      <c r="D927" t="inlineStr">
        <is>
          <t>111111123</t>
        </is>
      </c>
      <c r="E927" t="inlineStr">
        <is>
          <t>Vodacom Life 20260603</t>
        </is>
      </c>
      <c r="J927" t="inlineStr">
        <is>
          <t>CBACK</t>
        </is>
      </c>
      <c r="K927" t="inlineStr">
        <is>
          <t>Callback</t>
        </is>
      </c>
      <c r="L927" t="n">
        <v>2</v>
      </c>
      <c r="M927" t="inlineStr">
        <is>
          <t>2026-06-09 09:22:24</t>
        </is>
      </c>
      <c r="N927" t="inlineStr">
        <is>
          <t>Maureen Ntsoko</t>
        </is>
      </c>
      <c r="O927" t="inlineStr">
        <is>
          <t>2026-06-08 05:25:27</t>
        </is>
      </c>
      <c r="P927" t="inlineStr">
        <is>
          <t>2026-06-08 05:25:27</t>
        </is>
      </c>
      <c r="Y927" t="inlineStr">
        <is>
          <t>27663552907</t>
        </is>
      </c>
    </row>
    <row r="928">
      <c r="A928" t="inlineStr">
        <is>
          <t>14828415</t>
        </is>
      </c>
      <c r="B928" t="inlineStr">
        <is>
          <t>24886be3-6123-48ed-b801-ab479c0c57df</t>
        </is>
      </c>
      <c r="D928" t="inlineStr">
        <is>
          <t>111111123</t>
        </is>
      </c>
      <c r="E928" t="inlineStr">
        <is>
          <t>Vodacom Life 20260603</t>
        </is>
      </c>
      <c r="H928" t="inlineStr">
        <is>
          <t>27607456019</t>
        </is>
      </c>
      <c r="J928" t="inlineStr">
        <is>
          <t>NI</t>
        </is>
      </c>
      <c r="K928" t="inlineStr">
        <is>
          <t>Not Interested</t>
        </is>
      </c>
      <c r="L928" t="n">
        <v>2</v>
      </c>
      <c r="M928" t="inlineStr">
        <is>
          <t>2026-06-09 09:18:29</t>
        </is>
      </c>
      <c r="N928" t="inlineStr">
        <is>
          <t>Maureen Ntsoko</t>
        </is>
      </c>
      <c r="O928" t="inlineStr">
        <is>
          <t>2026-06-08 05:25:27</t>
        </is>
      </c>
      <c r="P928" t="inlineStr">
        <is>
          <t>2026-06-08 05:25:27</t>
        </is>
      </c>
      <c r="Y928" t="inlineStr">
        <is>
          <t>27607456019</t>
        </is>
      </c>
    </row>
    <row r="929">
      <c r="A929" t="inlineStr">
        <is>
          <t>14828446</t>
        </is>
      </c>
      <c r="B929" t="inlineStr">
        <is>
          <t>6803f5ab-0371-4592-a56b-3bad8b23dec8</t>
        </is>
      </c>
      <c r="D929" t="inlineStr">
        <is>
          <t>111111123</t>
        </is>
      </c>
      <c r="E929" t="inlineStr">
        <is>
          <t>Vodacom Life 20260603</t>
        </is>
      </c>
      <c r="J929" t="inlineStr">
        <is>
          <t>U</t>
        </is>
      </c>
      <c r="K929" t="inlineStr">
        <is>
          <t>Unemployed</t>
        </is>
      </c>
      <c r="L929" t="n">
        <v>2</v>
      </c>
      <c r="M929" t="inlineStr">
        <is>
          <t>2026-06-09 09:14:30</t>
        </is>
      </c>
      <c r="N929" t="inlineStr">
        <is>
          <t>Maureen Ntsoko</t>
        </is>
      </c>
      <c r="O929" t="inlineStr">
        <is>
          <t>2026-06-08 05:25:27</t>
        </is>
      </c>
      <c r="P929" t="inlineStr">
        <is>
          <t>2026-06-08 05:25:27</t>
        </is>
      </c>
      <c r="Y929" t="inlineStr">
        <is>
          <t>27660502673</t>
        </is>
      </c>
    </row>
    <row r="930">
      <c r="A930" t="inlineStr">
        <is>
          <t>14827759</t>
        </is>
      </c>
      <c r="B930" t="inlineStr">
        <is>
          <t>8ef2d6d1-f611-4792-ad8c-a8d65dde40a4</t>
        </is>
      </c>
      <c r="D930" t="inlineStr">
        <is>
          <t>111111123</t>
        </is>
      </c>
      <c r="E930" t="inlineStr">
        <is>
          <t>Vodacom Life 20260603</t>
        </is>
      </c>
      <c r="J930" t="inlineStr">
        <is>
          <t>OAL</t>
        </is>
      </c>
      <c r="K930" t="inlineStr">
        <is>
          <t>Over Age Limit</t>
        </is>
      </c>
      <c r="L930" t="n">
        <v>2</v>
      </c>
      <c r="M930" t="inlineStr">
        <is>
          <t>2026-06-09 09:04:48</t>
        </is>
      </c>
      <c r="N930" t="inlineStr">
        <is>
          <t>bongiwe lushaba</t>
        </is>
      </c>
      <c r="O930" t="inlineStr">
        <is>
          <t>2026-06-08 05:25:27</t>
        </is>
      </c>
      <c r="P930" t="inlineStr">
        <is>
          <t>2026-06-08 05:25:27</t>
        </is>
      </c>
      <c r="Y930" t="inlineStr">
        <is>
          <t>27679862646</t>
        </is>
      </c>
    </row>
    <row r="931">
      <c r="A931" t="inlineStr">
        <is>
          <t>14827669</t>
        </is>
      </c>
      <c r="B931" t="inlineStr">
        <is>
          <t>97856804-eeab-4a50-89ed-47620e787c9d</t>
        </is>
      </c>
      <c r="D931" t="inlineStr">
        <is>
          <t>111111123</t>
        </is>
      </c>
      <c r="E931" t="inlineStr">
        <is>
          <t>Vodacom Life 20260603</t>
        </is>
      </c>
      <c r="H931" t="inlineStr">
        <is>
          <t>27763232859</t>
        </is>
      </c>
      <c r="J931" t="inlineStr">
        <is>
          <t>CBACK</t>
        </is>
      </c>
      <c r="K931" t="inlineStr">
        <is>
          <t>Callback</t>
        </is>
      </c>
      <c r="L931" t="n">
        <v>2</v>
      </c>
      <c r="M931" t="inlineStr">
        <is>
          <t>2026-06-09 08:59:11</t>
        </is>
      </c>
      <c r="N931" t="inlineStr">
        <is>
          <t>bongiwe lushaba</t>
        </is>
      </c>
      <c r="O931" t="inlineStr">
        <is>
          <t>2026-06-08 05:25:27</t>
        </is>
      </c>
      <c r="P931" t="inlineStr">
        <is>
          <t>2026-06-08 05:25:27</t>
        </is>
      </c>
      <c r="Y931" t="inlineStr">
        <is>
          <t>27763232859</t>
        </is>
      </c>
    </row>
    <row r="932">
      <c r="A932" t="inlineStr">
        <is>
          <t>14828449</t>
        </is>
      </c>
      <c r="B932" t="inlineStr">
        <is>
          <t>06baaf5a-73f9-4a9f-a3ce-aad13bc5ae5f</t>
        </is>
      </c>
      <c r="D932" t="inlineStr">
        <is>
          <t>111111123</t>
        </is>
      </c>
      <c r="E932" t="inlineStr">
        <is>
          <t>Vodacom Life 20260603</t>
        </is>
      </c>
      <c r="J932" t="inlineStr">
        <is>
          <t>CBACK</t>
        </is>
      </c>
      <c r="K932" t="inlineStr">
        <is>
          <t>Callback</t>
        </is>
      </c>
      <c r="L932" t="n">
        <v>2</v>
      </c>
      <c r="M932" t="inlineStr">
        <is>
          <t>2026-06-09 08:52:47</t>
        </is>
      </c>
      <c r="N932" t="inlineStr">
        <is>
          <t>Maureen Ntsoko</t>
        </is>
      </c>
      <c r="O932" t="inlineStr">
        <is>
          <t>2026-06-08 05:25:27</t>
        </is>
      </c>
      <c r="P932" t="inlineStr">
        <is>
          <t>2026-06-08 05:25:27</t>
        </is>
      </c>
      <c r="Y932" t="inlineStr">
        <is>
          <t>27766472912</t>
        </is>
      </c>
    </row>
    <row r="933">
      <c r="A933" t="inlineStr">
        <is>
          <t>14827611</t>
        </is>
      </c>
      <c r="B933" t="inlineStr">
        <is>
          <t>d6754677-1146-431c-81f3-feda9ac3d21c</t>
        </is>
      </c>
      <c r="D933" t="inlineStr">
        <is>
          <t>111111123</t>
        </is>
      </c>
      <c r="E933" t="inlineStr">
        <is>
          <t>Vodacom Life 20260603</t>
        </is>
      </c>
      <c r="J933" t="inlineStr">
        <is>
          <t>CBACK</t>
        </is>
      </c>
      <c r="K933" t="inlineStr">
        <is>
          <t>Callback</t>
        </is>
      </c>
      <c r="L933" t="n">
        <v>2</v>
      </c>
      <c r="M933" t="inlineStr">
        <is>
          <t>2026-06-09 08:44:35</t>
        </is>
      </c>
      <c r="N933" t="inlineStr">
        <is>
          <t>Maureen Ntsoko</t>
        </is>
      </c>
      <c r="O933" t="inlineStr">
        <is>
          <t>2026-06-08 05:25:27</t>
        </is>
      </c>
      <c r="P933" t="inlineStr">
        <is>
          <t>2026-06-08 05:25:27</t>
        </is>
      </c>
      <c r="Y933" t="inlineStr">
        <is>
          <t>27673366793</t>
        </is>
      </c>
    </row>
    <row r="934">
      <c r="A934" t="inlineStr">
        <is>
          <t>14827605</t>
        </is>
      </c>
      <c r="B934" t="inlineStr">
        <is>
          <t>7ee54a09-129b-4284-af1e-dd6341d80411</t>
        </is>
      </c>
      <c r="D934" t="inlineStr">
        <is>
          <t>111111123</t>
        </is>
      </c>
      <c r="E934" t="inlineStr">
        <is>
          <t>Vodacom Life 20260603</t>
        </is>
      </c>
      <c r="J934" t="inlineStr">
        <is>
          <t>NI</t>
        </is>
      </c>
      <c r="K934" t="inlineStr">
        <is>
          <t>Not Interested</t>
        </is>
      </c>
      <c r="L934" t="n">
        <v>2</v>
      </c>
      <c r="M934" t="inlineStr">
        <is>
          <t>2026-06-09 08:42:48</t>
        </is>
      </c>
      <c r="N934" t="inlineStr">
        <is>
          <t>Khensane Mabasa</t>
        </is>
      </c>
      <c r="O934" t="inlineStr">
        <is>
          <t>2026-06-08 05:25:27</t>
        </is>
      </c>
      <c r="P934" t="inlineStr">
        <is>
          <t>2026-06-08 05:25:27</t>
        </is>
      </c>
      <c r="Y934" t="inlineStr">
        <is>
          <t>27767644778</t>
        </is>
      </c>
    </row>
    <row r="935">
      <c r="A935" t="inlineStr">
        <is>
          <t>14828481</t>
        </is>
      </c>
      <c r="B935" t="inlineStr">
        <is>
          <t>5e67fbb0-c0d2-4882-9052-1bd5de65633a</t>
        </is>
      </c>
      <c r="D935" t="inlineStr">
        <is>
          <t>111111123</t>
        </is>
      </c>
      <c r="E935" t="inlineStr">
        <is>
          <t>Vodacom Life 20260603</t>
        </is>
      </c>
      <c r="J935" t="inlineStr">
        <is>
          <t>SELECTED</t>
        </is>
      </c>
      <c r="K935" t="inlineStr">
        <is>
          <t>Selected</t>
        </is>
      </c>
      <c r="L935" t="n">
        <v>3</v>
      </c>
      <c r="M935" t="inlineStr">
        <is>
          <t>2026-06-09 08:40:13</t>
        </is>
      </c>
      <c r="N935" t="inlineStr">
        <is>
          <t>system</t>
        </is>
      </c>
      <c r="O935" t="inlineStr">
        <is>
          <t>2026-06-08 05:25:27</t>
        </is>
      </c>
      <c r="P935" t="inlineStr">
        <is>
          <t>2026-06-08 05:25:27</t>
        </is>
      </c>
      <c r="Y935" t="inlineStr">
        <is>
          <t>27822599940</t>
        </is>
      </c>
    </row>
    <row r="936">
      <c r="A936" t="inlineStr">
        <is>
          <t>14827551</t>
        </is>
      </c>
      <c r="B936" t="inlineStr">
        <is>
          <t>8b2baad8-0cde-4cf3-b8fb-cc5ca3f9d6b0</t>
        </is>
      </c>
      <c r="D936" t="inlineStr">
        <is>
          <t>111111123</t>
        </is>
      </c>
      <c r="E936" t="inlineStr">
        <is>
          <t>Vodacom Life 20260603</t>
        </is>
      </c>
      <c r="J936" t="inlineStr">
        <is>
          <t>CBACK</t>
        </is>
      </c>
      <c r="K936" t="inlineStr">
        <is>
          <t>Callback</t>
        </is>
      </c>
      <c r="L936" t="n">
        <v>2</v>
      </c>
      <c r="M936" t="inlineStr">
        <is>
          <t>2026-06-09 08:40:06</t>
        </is>
      </c>
      <c r="N936" t="inlineStr">
        <is>
          <t>Maureen Ntsoko</t>
        </is>
      </c>
      <c r="O936" t="inlineStr">
        <is>
          <t>2026-06-08 05:25:27</t>
        </is>
      </c>
      <c r="P936" t="inlineStr">
        <is>
          <t>2026-06-08 05:25:27</t>
        </is>
      </c>
      <c r="Y936" t="inlineStr">
        <is>
          <t>27660144108</t>
        </is>
      </c>
    </row>
    <row r="937">
      <c r="A937" t="inlineStr">
        <is>
          <t>14828542</t>
        </is>
      </c>
      <c r="B937" t="inlineStr">
        <is>
          <t>3fc1e355-d7e6-458c-b1c3-55d6e55dc71e</t>
        </is>
      </c>
      <c r="D937" t="inlineStr">
        <is>
          <t>111111123</t>
        </is>
      </c>
      <c r="E937" t="inlineStr">
        <is>
          <t>Vodacom Life 20260603</t>
        </is>
      </c>
      <c r="J937" t="inlineStr">
        <is>
          <t>AC</t>
        </is>
      </c>
      <c r="K937" t="inlineStr">
        <is>
          <t>Already Contacted</t>
        </is>
      </c>
      <c r="L937" t="n">
        <v>2</v>
      </c>
      <c r="M937" t="inlineStr">
        <is>
          <t>2026-06-09 08:32:07</t>
        </is>
      </c>
      <c r="N937" t="inlineStr">
        <is>
          <t>Maureen Ntsoko</t>
        </is>
      </c>
      <c r="O937" t="inlineStr">
        <is>
          <t>2026-06-08 05:25:27</t>
        </is>
      </c>
      <c r="P937" t="inlineStr">
        <is>
          <t>2026-06-08 05:25:27</t>
        </is>
      </c>
      <c r="Y937" t="inlineStr">
        <is>
          <t>27661912011</t>
        </is>
      </c>
    </row>
    <row r="938">
      <c r="A938" t="inlineStr">
        <is>
          <t>14828489</t>
        </is>
      </c>
      <c r="B938" t="inlineStr">
        <is>
          <t>d7c09546-0775-4b32-9a71-53b25347c1fb</t>
        </is>
      </c>
      <c r="D938" t="inlineStr">
        <is>
          <t>111111123</t>
        </is>
      </c>
      <c r="E938" t="inlineStr">
        <is>
          <t>Vodacom Life 20260603</t>
        </is>
      </c>
      <c r="J938" t="inlineStr">
        <is>
          <t>CBACK</t>
        </is>
      </c>
      <c r="K938" t="inlineStr">
        <is>
          <t>Callback</t>
        </is>
      </c>
      <c r="L938" t="n">
        <v>2</v>
      </c>
      <c r="M938" t="inlineStr">
        <is>
          <t>2026-06-09 08:04:13</t>
        </is>
      </c>
      <c r="N938" t="inlineStr">
        <is>
          <t>Maureen Ntsoko</t>
        </is>
      </c>
      <c r="O938" t="inlineStr">
        <is>
          <t>2026-06-08 05:25:27</t>
        </is>
      </c>
      <c r="P938" t="inlineStr">
        <is>
          <t>2026-06-08 05:25:27</t>
        </is>
      </c>
      <c r="Y938" t="inlineStr">
        <is>
          <t>27766381438</t>
        </is>
      </c>
    </row>
    <row r="939">
      <c r="A939" t="inlineStr">
        <is>
          <t>14828461</t>
        </is>
      </c>
      <c r="B939" t="inlineStr">
        <is>
          <t>705eded0-1600-4755-b2ac-c81a13b805bf</t>
        </is>
      </c>
      <c r="D939" t="inlineStr">
        <is>
          <t>111111123</t>
        </is>
      </c>
      <c r="E939" t="inlineStr">
        <is>
          <t>Vodacom Life 20260603</t>
        </is>
      </c>
      <c r="J939" t="inlineStr">
        <is>
          <t>CBACK</t>
        </is>
      </c>
      <c r="K939" t="inlineStr">
        <is>
          <t>Callback</t>
        </is>
      </c>
      <c r="L939" t="n">
        <v>2</v>
      </c>
      <c r="M939" t="inlineStr">
        <is>
          <t>2026-06-09 08:01:51</t>
        </is>
      </c>
      <c r="N939" t="inlineStr">
        <is>
          <t>Maureen Ntsoko</t>
        </is>
      </c>
      <c r="O939" t="inlineStr">
        <is>
          <t>2026-06-08 05:25:27</t>
        </is>
      </c>
      <c r="P939" t="inlineStr">
        <is>
          <t>2026-06-08 05:25:27</t>
        </is>
      </c>
      <c r="Y939" t="inlineStr">
        <is>
          <t>27764433941</t>
        </is>
      </c>
    </row>
    <row r="940">
      <c r="A940" t="inlineStr">
        <is>
          <t>14828469</t>
        </is>
      </c>
      <c r="B940" t="inlineStr">
        <is>
          <t>d8d052e7-c11c-4c60-8385-78c1828690d0</t>
        </is>
      </c>
      <c r="D940" t="inlineStr">
        <is>
          <t>111111123</t>
        </is>
      </c>
      <c r="E940" t="inlineStr">
        <is>
          <t>Vodacom Life 20260603</t>
        </is>
      </c>
      <c r="J940" t="inlineStr">
        <is>
          <t>SELECTED</t>
        </is>
      </c>
      <c r="K940" t="inlineStr">
        <is>
          <t>Selected</t>
        </is>
      </c>
      <c r="L940" t="n">
        <v>3</v>
      </c>
      <c r="M940" t="inlineStr">
        <is>
          <t>2026-06-09 07:57:49</t>
        </is>
      </c>
      <c r="N940" t="inlineStr">
        <is>
          <t>system</t>
        </is>
      </c>
      <c r="O940" t="inlineStr">
        <is>
          <t>2026-06-08 05:25:27</t>
        </is>
      </c>
      <c r="P940" t="inlineStr">
        <is>
          <t>2026-06-08 05:25:27</t>
        </is>
      </c>
      <c r="Y940" t="inlineStr">
        <is>
          <t>27712516930</t>
        </is>
      </c>
    </row>
    <row r="941">
      <c r="A941" t="inlineStr">
        <is>
          <t>14828470</t>
        </is>
      </c>
      <c r="B941" t="inlineStr">
        <is>
          <t>a3184885-a3b6-4d0f-853d-5cff4e565036</t>
        </is>
      </c>
      <c r="D941" t="inlineStr">
        <is>
          <t>111111123</t>
        </is>
      </c>
      <c r="E941" t="inlineStr">
        <is>
          <t>Vodacom Life 20260603</t>
        </is>
      </c>
      <c r="J941" t="inlineStr">
        <is>
          <t>U</t>
        </is>
      </c>
      <c r="K941" t="inlineStr">
        <is>
          <t>Unemployed</t>
        </is>
      </c>
      <c r="L941" t="n">
        <v>2</v>
      </c>
      <c r="M941" t="inlineStr">
        <is>
          <t>2026-06-09 07:57:49</t>
        </is>
      </c>
      <c r="N941" t="inlineStr">
        <is>
          <t>Maureen Ntsoko</t>
        </is>
      </c>
      <c r="O941" t="inlineStr">
        <is>
          <t>2026-06-08 05:25:27</t>
        </is>
      </c>
      <c r="P941" t="inlineStr">
        <is>
          <t>2026-06-08 05:25:27</t>
        </is>
      </c>
      <c r="Y941" t="inlineStr">
        <is>
          <t>27723962119</t>
        </is>
      </c>
    </row>
    <row r="942">
      <c r="A942" t="inlineStr">
        <is>
          <t>14828537</t>
        </is>
      </c>
      <c r="B942" t="inlineStr">
        <is>
          <t>0058c011-060e-49f1-badb-6e61a04e258b</t>
        </is>
      </c>
      <c r="D942" t="inlineStr">
        <is>
          <t>111111123</t>
        </is>
      </c>
      <c r="E942" t="inlineStr">
        <is>
          <t>Vodacom Life 20260603</t>
        </is>
      </c>
      <c r="J942" t="inlineStr">
        <is>
          <t>NI</t>
        </is>
      </c>
      <c r="K942" t="inlineStr">
        <is>
          <t>Not Interested</t>
        </is>
      </c>
      <c r="L942" t="n">
        <v>2</v>
      </c>
      <c r="M942" t="inlineStr">
        <is>
          <t>2026-06-08 12:39:49</t>
        </is>
      </c>
      <c r="N942" t="inlineStr">
        <is>
          <t>Musiiwa Mary Mabirimisa</t>
        </is>
      </c>
      <c r="O942" t="inlineStr">
        <is>
          <t>2026-06-08 05:25:27</t>
        </is>
      </c>
      <c r="P942" t="inlineStr">
        <is>
          <t>2026-06-08 05:25:27</t>
        </is>
      </c>
      <c r="Y942" t="inlineStr">
        <is>
          <t>27792306458</t>
        </is>
      </c>
    </row>
    <row r="943">
      <c r="A943" t="inlineStr">
        <is>
          <t>14828524</t>
        </is>
      </c>
      <c r="B943" t="inlineStr">
        <is>
          <t>fb32e8ae-523c-42fa-a765-177586f3e99f</t>
        </is>
      </c>
      <c r="D943" t="inlineStr">
        <is>
          <t>111111123</t>
        </is>
      </c>
      <c r="E943" t="inlineStr">
        <is>
          <t>Vodacom Life 20260603</t>
        </is>
      </c>
      <c r="J943" t="inlineStr">
        <is>
          <t>SELECTED</t>
        </is>
      </c>
      <c r="K943" t="inlineStr">
        <is>
          <t>Selected</t>
        </is>
      </c>
      <c r="L943" t="n">
        <v>2</v>
      </c>
      <c r="M943" t="inlineStr">
        <is>
          <t>2026-06-08 11:47:56</t>
        </is>
      </c>
      <c r="N943" t="inlineStr">
        <is>
          <t>system</t>
        </is>
      </c>
      <c r="O943" t="inlineStr">
        <is>
          <t>2026-06-08 05:25:27</t>
        </is>
      </c>
      <c r="P943" t="inlineStr">
        <is>
          <t>2026-06-08 05:25:27</t>
        </is>
      </c>
      <c r="Y943" t="inlineStr">
        <is>
          <t>27646642043</t>
        </is>
      </c>
    </row>
    <row r="944">
      <c r="A944" t="inlineStr">
        <is>
          <t>14828526</t>
        </is>
      </c>
      <c r="B944" t="inlineStr">
        <is>
          <t>b0261717-ca53-4ec0-ab59-bdc00749ec6c</t>
        </is>
      </c>
      <c r="D944" t="inlineStr">
        <is>
          <t>111111123</t>
        </is>
      </c>
      <c r="E944" t="inlineStr">
        <is>
          <t>Vodacom Life 20260603</t>
        </is>
      </c>
      <c r="J944" t="inlineStr">
        <is>
          <t>CBACK</t>
        </is>
      </c>
      <c r="K944" t="inlineStr">
        <is>
          <t>Callback</t>
        </is>
      </c>
      <c r="L944" t="n">
        <v>1</v>
      </c>
      <c r="M944" t="inlineStr">
        <is>
          <t>2026-06-08 11:47:56</t>
        </is>
      </c>
      <c r="N944" t="inlineStr">
        <is>
          <t>Maureen Ntsoko</t>
        </is>
      </c>
      <c r="O944" t="inlineStr">
        <is>
          <t>2026-06-08 05:25:27</t>
        </is>
      </c>
      <c r="P944" t="inlineStr">
        <is>
          <t>2026-06-08 05:25:27</t>
        </is>
      </c>
      <c r="Y944" t="inlineStr">
        <is>
          <t>27636574155</t>
        </is>
      </c>
    </row>
    <row r="945">
      <c r="A945" t="inlineStr">
        <is>
          <t>14828519</t>
        </is>
      </c>
      <c r="B945" t="inlineStr">
        <is>
          <t>e9b59aa2-37bd-4c17-a821-78e9af61653d</t>
        </is>
      </c>
      <c r="D945" t="inlineStr">
        <is>
          <t>111111123</t>
        </is>
      </c>
      <c r="E945" t="inlineStr">
        <is>
          <t>Vodacom Life 20260603</t>
        </is>
      </c>
      <c r="J945" t="inlineStr">
        <is>
          <t>NI</t>
        </is>
      </c>
      <c r="K945" t="inlineStr">
        <is>
          <t>Not Interested</t>
        </is>
      </c>
      <c r="L945" t="n">
        <v>1</v>
      </c>
      <c r="M945" t="inlineStr">
        <is>
          <t>2026-06-08 11:46:55</t>
        </is>
      </c>
      <c r="N945" t="inlineStr">
        <is>
          <t>Musiiwa Mary Mabirimisa</t>
        </is>
      </c>
      <c r="O945" t="inlineStr">
        <is>
          <t>2026-06-08 05:25:27</t>
        </is>
      </c>
      <c r="P945" t="inlineStr">
        <is>
          <t>2026-06-08 05:25:27</t>
        </is>
      </c>
      <c r="Y945" t="inlineStr">
        <is>
          <t>27791523200</t>
        </is>
      </c>
    </row>
    <row r="946">
      <c r="A946" t="inlineStr">
        <is>
          <t>14828053</t>
        </is>
      </c>
      <c r="B946" t="inlineStr">
        <is>
          <t>33a09b01-2a9d-4ab4-bc8e-d8fe7027018f</t>
        </is>
      </c>
      <c r="D946" t="inlineStr">
        <is>
          <t>111111123</t>
        </is>
      </c>
      <c r="E946" t="inlineStr">
        <is>
          <t>Vodacom Life 20260603</t>
        </is>
      </c>
      <c r="H946" t="inlineStr">
        <is>
          <t>27648667778</t>
        </is>
      </c>
      <c r="J946" t="inlineStr">
        <is>
          <t>NI</t>
        </is>
      </c>
      <c r="K946" t="inlineStr">
        <is>
          <t>Not Interested</t>
        </is>
      </c>
      <c r="L946" t="n">
        <v>1</v>
      </c>
      <c r="M946" t="inlineStr">
        <is>
          <t>2026-06-08 11:44:42</t>
        </is>
      </c>
      <c r="N946" t="inlineStr">
        <is>
          <t>Musiiwa Mary Mabirimisa</t>
        </is>
      </c>
      <c r="O946" t="inlineStr">
        <is>
          <t>2026-06-08 05:25:27</t>
        </is>
      </c>
      <c r="P946" t="inlineStr">
        <is>
          <t>2026-06-08 05:25:27</t>
        </is>
      </c>
      <c r="Y946" t="inlineStr">
        <is>
          <t>27648667778</t>
        </is>
      </c>
    </row>
    <row r="947">
      <c r="A947" t="inlineStr">
        <is>
          <t>14828483</t>
        </is>
      </c>
      <c r="B947" t="inlineStr">
        <is>
          <t>8a27eda7-d507-4d46-8d8c-3efe7644b51b</t>
        </is>
      </c>
      <c r="D947" t="inlineStr">
        <is>
          <t>111111123</t>
        </is>
      </c>
      <c r="E947" t="inlineStr">
        <is>
          <t>Vodacom Life 20260603</t>
        </is>
      </c>
      <c r="J947" t="inlineStr">
        <is>
          <t>NI</t>
        </is>
      </c>
      <c r="K947" t="inlineStr">
        <is>
          <t>Not Interested</t>
        </is>
      </c>
      <c r="L947" t="n">
        <v>1</v>
      </c>
      <c r="M947" t="inlineStr">
        <is>
          <t>2026-06-08 11:42:59</t>
        </is>
      </c>
      <c r="N947" t="inlineStr">
        <is>
          <t>Musiiwa Mary Mabirimisa</t>
        </is>
      </c>
      <c r="O947" t="inlineStr">
        <is>
          <t>2026-06-08 05:25:27</t>
        </is>
      </c>
      <c r="P947" t="inlineStr">
        <is>
          <t>2026-06-08 05:25:27</t>
        </is>
      </c>
      <c r="Y947" t="inlineStr">
        <is>
          <t>27793285718</t>
        </is>
      </c>
    </row>
    <row r="948">
      <c r="A948" t="inlineStr">
        <is>
          <t>14800000</t>
        </is>
      </c>
      <c r="B948" t="inlineStr">
        <is>
          <t>e936c716-3b96-4f17-b297-43be22365bfc</t>
        </is>
      </c>
      <c r="D948" t="inlineStr">
        <is>
          <t>111111123</t>
        </is>
      </c>
      <c r="E948" t="inlineStr">
        <is>
          <t>Vodacom Life 20260603</t>
        </is>
      </c>
      <c r="J948" t="inlineStr">
        <is>
          <t>U</t>
        </is>
      </c>
      <c r="K948" t="inlineStr">
        <is>
          <t>Unemployed</t>
        </is>
      </c>
      <c r="L948" t="n">
        <v>1</v>
      </c>
      <c r="M948" t="inlineStr">
        <is>
          <t>2026-06-08 11:41:37</t>
        </is>
      </c>
      <c r="N948" t="inlineStr">
        <is>
          <t>Khensane Mabasa</t>
        </is>
      </c>
      <c r="O948" t="inlineStr">
        <is>
          <t>2026-06-08 05:25:27</t>
        </is>
      </c>
      <c r="P948" t="inlineStr">
        <is>
          <t>2026-06-08 05:25:27</t>
        </is>
      </c>
      <c r="Y948" t="inlineStr">
        <is>
          <t>27646606777</t>
        </is>
      </c>
    </row>
    <row r="949">
      <c r="A949" t="inlineStr">
        <is>
          <t>14828417</t>
        </is>
      </c>
      <c r="B949" t="inlineStr">
        <is>
          <t>38e23f84-4a01-48b0-a8dc-744dcb82df3d</t>
        </is>
      </c>
      <c r="D949" t="inlineStr">
        <is>
          <t>111111123</t>
        </is>
      </c>
      <c r="E949" t="inlineStr">
        <is>
          <t>Vodacom Life 20260603</t>
        </is>
      </c>
      <c r="J949" t="inlineStr">
        <is>
          <t>NI</t>
        </is>
      </c>
      <c r="K949" t="inlineStr">
        <is>
          <t>Not Interested</t>
        </is>
      </c>
      <c r="L949" t="n">
        <v>1</v>
      </c>
      <c r="M949" t="inlineStr">
        <is>
          <t>2026-06-08 10:48:04</t>
        </is>
      </c>
      <c r="N949" t="inlineStr">
        <is>
          <t>Khensane Mabasa</t>
        </is>
      </c>
      <c r="O949" t="inlineStr">
        <is>
          <t>2026-06-08 05:25:27</t>
        </is>
      </c>
      <c r="P949" t="inlineStr">
        <is>
          <t>2026-06-08 05:25:27</t>
        </is>
      </c>
      <c r="Y949" t="inlineStr">
        <is>
          <t>27637122144</t>
        </is>
      </c>
    </row>
    <row r="950">
      <c r="A950" t="inlineStr">
        <is>
          <t>14828374</t>
        </is>
      </c>
      <c r="B950" t="inlineStr">
        <is>
          <t>f2cb2399-dc7e-4974-a33e-d23dfd499b17</t>
        </is>
      </c>
      <c r="D950" t="inlineStr">
        <is>
          <t>111111123</t>
        </is>
      </c>
      <c r="E950" t="inlineStr">
        <is>
          <t>Vodacom Life 20260603</t>
        </is>
      </c>
      <c r="J950" t="inlineStr">
        <is>
          <t>NI</t>
        </is>
      </c>
      <c r="K950" t="inlineStr">
        <is>
          <t>Not Interested</t>
        </is>
      </c>
      <c r="L950" t="n">
        <v>1</v>
      </c>
      <c r="M950" t="inlineStr">
        <is>
          <t>2026-06-08 10:32:09</t>
        </is>
      </c>
      <c r="N950" t="inlineStr">
        <is>
          <t>Maureen Ntsoko</t>
        </is>
      </c>
      <c r="O950" t="inlineStr">
        <is>
          <t>2026-06-08 05:25:27</t>
        </is>
      </c>
      <c r="P950" t="inlineStr">
        <is>
          <t>2026-06-08 05:25:27</t>
        </is>
      </c>
      <c r="Y950" t="inlineStr">
        <is>
          <t>27719294863</t>
        </is>
      </c>
    </row>
    <row r="951">
      <c r="A951" t="inlineStr">
        <is>
          <t>14828372</t>
        </is>
      </c>
      <c r="B951" t="inlineStr">
        <is>
          <t>11c62e58-1a76-4ff4-946f-bd02bd298231</t>
        </is>
      </c>
      <c r="D951" t="inlineStr">
        <is>
          <t>111111123</t>
        </is>
      </c>
      <c r="E951" t="inlineStr">
        <is>
          <t>Vodacom Life 20260603</t>
        </is>
      </c>
      <c r="J951" t="inlineStr">
        <is>
          <t>CBACK</t>
        </is>
      </c>
      <c r="K951" t="inlineStr">
        <is>
          <t>Callback</t>
        </is>
      </c>
      <c r="L951" t="n">
        <v>1</v>
      </c>
      <c r="M951" t="inlineStr">
        <is>
          <t>2026-06-08 10:30:01</t>
        </is>
      </c>
      <c r="N951" t="inlineStr">
        <is>
          <t>Millicent Motsuku</t>
        </is>
      </c>
      <c r="O951" t="inlineStr">
        <is>
          <t>2026-06-08 05:25:27</t>
        </is>
      </c>
      <c r="P951" t="inlineStr">
        <is>
          <t>2026-06-08 05:25:27</t>
        </is>
      </c>
      <c r="Y951" t="inlineStr">
        <is>
          <t>27764566870</t>
        </is>
      </c>
    </row>
    <row r="952">
      <c r="A952" t="inlineStr">
        <is>
          <t>14828336</t>
        </is>
      </c>
      <c r="B952" t="inlineStr">
        <is>
          <t>3c86e66b-818f-4d56-8a35-1521a0f7a889</t>
        </is>
      </c>
      <c r="D952" t="inlineStr">
        <is>
          <t>111111123</t>
        </is>
      </c>
      <c r="E952" t="inlineStr">
        <is>
          <t>Vodacom Life 20260603</t>
        </is>
      </c>
      <c r="J952" t="inlineStr">
        <is>
          <t>NI</t>
        </is>
      </c>
      <c r="K952" t="inlineStr">
        <is>
          <t>Not Interested</t>
        </is>
      </c>
      <c r="L952" t="n">
        <v>1</v>
      </c>
      <c r="M952" t="inlineStr">
        <is>
          <t>2026-06-08 10:25:02</t>
        </is>
      </c>
      <c r="N952" t="inlineStr">
        <is>
          <t>Millicent Motsuku</t>
        </is>
      </c>
      <c r="O952" t="inlineStr">
        <is>
          <t>2026-06-08 05:25:27</t>
        </is>
      </c>
      <c r="P952" t="inlineStr">
        <is>
          <t>2026-06-08 05:25:27</t>
        </is>
      </c>
      <c r="Y952" t="inlineStr">
        <is>
          <t>27724988195</t>
        </is>
      </c>
    </row>
    <row r="953">
      <c r="A953" t="inlineStr">
        <is>
          <t>14828338</t>
        </is>
      </c>
      <c r="B953" t="inlineStr">
        <is>
          <t>91a423d5-c3f1-4af6-8d0e-1f632dd923c9</t>
        </is>
      </c>
      <c r="D953" t="inlineStr">
        <is>
          <t>111111123</t>
        </is>
      </c>
      <c r="E953" t="inlineStr">
        <is>
          <t>Vodacom Life 20260603</t>
        </is>
      </c>
      <c r="J953" t="inlineStr">
        <is>
          <t>NI</t>
        </is>
      </c>
      <c r="K953" t="inlineStr">
        <is>
          <t>Not Interested</t>
        </is>
      </c>
      <c r="L953" t="n">
        <v>1</v>
      </c>
      <c r="M953" t="inlineStr">
        <is>
          <t>2026-06-08 10:25:02</t>
        </is>
      </c>
      <c r="N953" t="inlineStr">
        <is>
          <t>Khensane Mabasa</t>
        </is>
      </c>
      <c r="O953" t="inlineStr">
        <is>
          <t>2026-06-08 05:25:27</t>
        </is>
      </c>
      <c r="P953" t="inlineStr">
        <is>
          <t>2026-06-08 05:25:27</t>
        </is>
      </c>
      <c r="Y953" t="inlineStr">
        <is>
          <t>27824810275</t>
        </is>
      </c>
    </row>
    <row r="954">
      <c r="A954" t="inlineStr">
        <is>
          <t>14828281</t>
        </is>
      </c>
      <c r="B954" t="inlineStr">
        <is>
          <t>270e0165-2d84-4217-8930-3f0a1fc63305</t>
        </is>
      </c>
      <c r="D954" t="inlineStr">
        <is>
          <t>111111123</t>
        </is>
      </c>
      <c r="E954" t="inlineStr">
        <is>
          <t>Vodacom Life 20260603</t>
        </is>
      </c>
      <c r="J954" t="inlineStr">
        <is>
          <t>CBACK</t>
        </is>
      </c>
      <c r="K954" t="inlineStr">
        <is>
          <t>Callback</t>
        </is>
      </c>
      <c r="L954" t="n">
        <v>1</v>
      </c>
      <c r="M954" t="inlineStr">
        <is>
          <t>2026-06-08 10:18:53</t>
        </is>
      </c>
      <c r="N954" t="inlineStr">
        <is>
          <t>Maureen Ntsoko</t>
        </is>
      </c>
      <c r="O954" t="inlineStr">
        <is>
          <t>2026-06-08 05:25:27</t>
        </is>
      </c>
      <c r="P954" t="inlineStr">
        <is>
          <t>2026-06-08 05:25:27</t>
        </is>
      </c>
      <c r="Y954" t="inlineStr">
        <is>
          <t>27794790153</t>
        </is>
      </c>
    </row>
    <row r="955">
      <c r="A955" t="inlineStr">
        <is>
          <t>14828248</t>
        </is>
      </c>
      <c r="B955" t="inlineStr">
        <is>
          <t>154c90e4-0308-4391-bb17-7922cf49c82b</t>
        </is>
      </c>
      <c r="D955" t="inlineStr">
        <is>
          <t>111111123</t>
        </is>
      </c>
      <c r="E955" t="inlineStr">
        <is>
          <t>Vodacom Life 20260603</t>
        </is>
      </c>
      <c r="J955" t="inlineStr">
        <is>
          <t>CBACK</t>
        </is>
      </c>
      <c r="K955" t="inlineStr">
        <is>
          <t>Callback</t>
        </is>
      </c>
      <c r="L955" t="n">
        <v>1</v>
      </c>
      <c r="M955" t="inlineStr">
        <is>
          <t>2026-06-08 10:16:18</t>
        </is>
      </c>
      <c r="N955" t="inlineStr">
        <is>
          <t>Thandile Nokubeni</t>
        </is>
      </c>
      <c r="O955" t="inlineStr">
        <is>
          <t>2026-06-08 05:25:27</t>
        </is>
      </c>
      <c r="P955" t="inlineStr">
        <is>
          <t>2026-06-08 05:25:27</t>
        </is>
      </c>
      <c r="Y955" t="inlineStr">
        <is>
          <t>27823415037</t>
        </is>
      </c>
    </row>
    <row r="956">
      <c r="A956" t="inlineStr">
        <is>
          <t>14828191</t>
        </is>
      </c>
      <c r="B956" t="inlineStr">
        <is>
          <t>7c569488-0a66-4efd-af7a-b35527cf9794</t>
        </is>
      </c>
      <c r="D956" t="inlineStr">
        <is>
          <t>111111123</t>
        </is>
      </c>
      <c r="E956" t="inlineStr">
        <is>
          <t>Vodacom Life 20260603</t>
        </is>
      </c>
      <c r="J956" t="inlineStr">
        <is>
          <t>CBACK</t>
        </is>
      </c>
      <c r="K956" t="inlineStr">
        <is>
          <t>Callback</t>
        </is>
      </c>
      <c r="L956" t="n">
        <v>1</v>
      </c>
      <c r="M956" t="inlineStr">
        <is>
          <t>2026-06-08 10:03:44</t>
        </is>
      </c>
      <c r="N956" t="inlineStr">
        <is>
          <t>Maureen Ntsoko</t>
        </is>
      </c>
      <c r="O956" t="inlineStr">
        <is>
          <t>2026-06-08 05:25:27</t>
        </is>
      </c>
      <c r="P956" t="inlineStr">
        <is>
          <t>2026-06-08 05:25:27</t>
        </is>
      </c>
      <c r="Y956" t="inlineStr">
        <is>
          <t>27729620813</t>
        </is>
      </c>
    </row>
    <row r="957">
      <c r="A957" t="inlineStr">
        <is>
          <t>14828150</t>
        </is>
      </c>
      <c r="B957" t="inlineStr">
        <is>
          <t>a3b667fb-e8db-4a65-bc4d-89cda804b23f</t>
        </is>
      </c>
      <c r="D957" t="inlineStr">
        <is>
          <t>111111123</t>
        </is>
      </c>
      <c r="E957" t="inlineStr">
        <is>
          <t>Vodacom Life 20260603</t>
        </is>
      </c>
      <c r="H957" t="inlineStr">
        <is>
          <t>27661809807</t>
        </is>
      </c>
      <c r="J957" t="inlineStr">
        <is>
          <t>AC</t>
        </is>
      </c>
      <c r="K957" t="inlineStr">
        <is>
          <t>Already Contacted</t>
        </is>
      </c>
      <c r="L957" t="n">
        <v>2</v>
      </c>
      <c r="M957" t="inlineStr">
        <is>
          <t>2026-06-08 10:02:17</t>
        </is>
      </c>
      <c r="N957" t="inlineStr">
        <is>
          <t>Maureen Ntsoko</t>
        </is>
      </c>
      <c r="O957" t="inlineStr">
        <is>
          <t>2026-06-08 05:25:27</t>
        </is>
      </c>
      <c r="P957" t="inlineStr">
        <is>
          <t>2026-06-08 05:25:27</t>
        </is>
      </c>
      <c r="Y957" t="inlineStr">
        <is>
          <t>27661809807</t>
        </is>
      </c>
    </row>
    <row r="958">
      <c r="A958" t="inlineStr">
        <is>
          <t>14828152</t>
        </is>
      </c>
      <c r="B958" t="inlineStr">
        <is>
          <t>e2febec8-2bc3-4bf8-b885-6cfeffd7e738</t>
        </is>
      </c>
      <c r="D958" t="inlineStr">
        <is>
          <t>111111123</t>
        </is>
      </c>
      <c r="E958" t="inlineStr">
        <is>
          <t>Vodacom Life 20260603</t>
        </is>
      </c>
      <c r="J958" t="inlineStr">
        <is>
          <t>NI</t>
        </is>
      </c>
      <c r="K958" t="inlineStr">
        <is>
          <t>Not Interested</t>
        </is>
      </c>
      <c r="L958" t="n">
        <v>1</v>
      </c>
      <c r="M958" t="inlineStr">
        <is>
          <t>2026-06-08 09:58:38</t>
        </is>
      </c>
      <c r="N958" t="inlineStr">
        <is>
          <t>Musiiwa Mary Mabirimisa</t>
        </is>
      </c>
      <c r="O958" t="inlineStr">
        <is>
          <t>2026-06-08 05:25:27</t>
        </is>
      </c>
      <c r="P958" t="inlineStr">
        <is>
          <t>2026-06-08 05:25:27</t>
        </is>
      </c>
      <c r="Y958" t="inlineStr">
        <is>
          <t>27824948769</t>
        </is>
      </c>
    </row>
    <row r="959">
      <c r="A959" t="inlineStr">
        <is>
          <t>14828093</t>
        </is>
      </c>
      <c r="B959" t="inlineStr">
        <is>
          <t>06c5a9d0-955f-40c7-9e05-09b4e781e50e</t>
        </is>
      </c>
      <c r="D959" t="inlineStr">
        <is>
          <t>111111123</t>
        </is>
      </c>
      <c r="E959" t="inlineStr">
        <is>
          <t>Vodacom Life 20260603</t>
        </is>
      </c>
      <c r="J959" t="inlineStr">
        <is>
          <t>CBACK</t>
        </is>
      </c>
      <c r="K959" t="inlineStr">
        <is>
          <t>Callback</t>
        </is>
      </c>
      <c r="L959" t="n">
        <v>1</v>
      </c>
      <c r="M959" t="inlineStr">
        <is>
          <t>2026-06-08 09:44:44</t>
        </is>
      </c>
      <c r="N959" t="inlineStr">
        <is>
          <t>Maureen Ntsoko</t>
        </is>
      </c>
      <c r="O959" t="inlineStr">
        <is>
          <t>2026-06-08 05:25:27</t>
        </is>
      </c>
      <c r="P959" t="inlineStr">
        <is>
          <t>2026-06-08 05:25:27</t>
        </is>
      </c>
      <c r="Y959" t="inlineStr">
        <is>
          <t>27791548192</t>
        </is>
      </c>
    </row>
    <row r="960">
      <c r="A960" t="inlineStr">
        <is>
          <t>14828086</t>
        </is>
      </c>
      <c r="B960" t="inlineStr">
        <is>
          <t>4d0a8795-c93a-492d-82b4-1177f5175921</t>
        </is>
      </c>
      <c r="D960" t="inlineStr">
        <is>
          <t>111111123</t>
        </is>
      </c>
      <c r="E960" t="inlineStr">
        <is>
          <t>Vodacom Life 20260603</t>
        </is>
      </c>
      <c r="J960" t="inlineStr">
        <is>
          <t>CBACK</t>
        </is>
      </c>
      <c r="K960" t="inlineStr">
        <is>
          <t>Callback</t>
        </is>
      </c>
      <c r="L960" t="n">
        <v>1</v>
      </c>
      <c r="M960" t="inlineStr">
        <is>
          <t>2026-06-08 09:43:55</t>
        </is>
      </c>
      <c r="N960" t="inlineStr">
        <is>
          <t>Maureen Ntsoko</t>
        </is>
      </c>
      <c r="O960" t="inlineStr">
        <is>
          <t>2026-06-08 05:25:27</t>
        </is>
      </c>
      <c r="P960" t="inlineStr">
        <is>
          <t>2026-06-08 05:25:27</t>
        </is>
      </c>
      <c r="Y960" t="inlineStr">
        <is>
          <t>27673802006</t>
        </is>
      </c>
    </row>
    <row r="961">
      <c r="A961" t="inlineStr">
        <is>
          <t>14828074</t>
        </is>
      </c>
      <c r="B961" t="inlineStr">
        <is>
          <t>b2ba5900-b24a-402c-acc6-e657d7207c89</t>
        </is>
      </c>
      <c r="D961" t="inlineStr">
        <is>
          <t>111111123</t>
        </is>
      </c>
      <c r="E961" t="inlineStr">
        <is>
          <t>Vodacom Life 20260603</t>
        </is>
      </c>
      <c r="J961" t="inlineStr">
        <is>
          <t>DNQF</t>
        </is>
      </c>
      <c r="K961" t="inlineStr">
        <is>
          <t>Do Not Qualify Failed Medical Question</t>
        </is>
      </c>
      <c r="L961" t="n">
        <v>1</v>
      </c>
      <c r="M961" t="inlineStr">
        <is>
          <t>2026-06-08 09:41:12</t>
        </is>
      </c>
      <c r="N961" t="inlineStr">
        <is>
          <t>Maureen Ntsoko</t>
        </is>
      </c>
      <c r="O961" t="inlineStr">
        <is>
          <t>2026-06-08 05:25:27</t>
        </is>
      </c>
      <c r="P961" t="inlineStr">
        <is>
          <t>2026-06-08 05:25:27</t>
        </is>
      </c>
      <c r="Y961" t="inlineStr">
        <is>
          <t>27725551534</t>
        </is>
      </c>
    </row>
    <row r="962">
      <c r="A962" t="inlineStr">
        <is>
          <t>14828069</t>
        </is>
      </c>
      <c r="B962" t="inlineStr">
        <is>
          <t>8bdf3ccd-55db-4f25-aa40-fd549515a124</t>
        </is>
      </c>
      <c r="D962" t="inlineStr">
        <is>
          <t>111111123</t>
        </is>
      </c>
      <c r="E962" t="inlineStr">
        <is>
          <t>Vodacom Life 20260603</t>
        </is>
      </c>
      <c r="J962" t="inlineStr">
        <is>
          <t>CBACK</t>
        </is>
      </c>
      <c r="K962" t="inlineStr">
        <is>
          <t>Callback</t>
        </is>
      </c>
      <c r="L962" t="n">
        <v>1</v>
      </c>
      <c r="M962" t="inlineStr">
        <is>
          <t>2026-06-08 09:38:17</t>
        </is>
      </c>
      <c r="N962" t="inlineStr">
        <is>
          <t>Maureen Ntsoko</t>
        </is>
      </c>
      <c r="O962" t="inlineStr">
        <is>
          <t>2026-06-08 05:25:27</t>
        </is>
      </c>
      <c r="P962" t="inlineStr">
        <is>
          <t>2026-06-08 05:25:27</t>
        </is>
      </c>
      <c r="Y962" t="inlineStr">
        <is>
          <t>27723025322</t>
        </is>
      </c>
    </row>
    <row r="963">
      <c r="A963" t="inlineStr">
        <is>
          <t>14828061</t>
        </is>
      </c>
      <c r="B963" t="inlineStr">
        <is>
          <t>0ca9740b-3271-4ddd-b13c-b2ba8d540173</t>
        </is>
      </c>
      <c r="D963" t="inlineStr">
        <is>
          <t>111111123</t>
        </is>
      </c>
      <c r="E963" t="inlineStr">
        <is>
          <t>Vodacom Life 20260603</t>
        </is>
      </c>
      <c r="J963" t="inlineStr">
        <is>
          <t>NI</t>
        </is>
      </c>
      <c r="K963" t="inlineStr">
        <is>
          <t>Not Interested</t>
        </is>
      </c>
      <c r="L963" t="n">
        <v>1</v>
      </c>
      <c r="M963" t="inlineStr">
        <is>
          <t>2026-06-08 09:37:06</t>
        </is>
      </c>
      <c r="N963" t="inlineStr">
        <is>
          <t>Khensane Mabasa</t>
        </is>
      </c>
      <c r="O963" t="inlineStr">
        <is>
          <t>2026-06-08 05:25:27</t>
        </is>
      </c>
      <c r="P963" t="inlineStr">
        <is>
          <t>2026-06-08 05:25:27</t>
        </is>
      </c>
      <c r="Y963" t="inlineStr">
        <is>
          <t>27606392856</t>
        </is>
      </c>
    </row>
    <row r="964">
      <c r="A964" t="inlineStr">
        <is>
          <t>14828055</t>
        </is>
      </c>
      <c r="B964" t="inlineStr">
        <is>
          <t>095f0eee-39b8-4838-91df-44bf11069aa2</t>
        </is>
      </c>
      <c r="D964" t="inlineStr">
        <is>
          <t>111111123</t>
        </is>
      </c>
      <c r="E964" t="inlineStr">
        <is>
          <t>Vodacom Life 20260603</t>
        </is>
      </c>
      <c r="J964" t="inlineStr">
        <is>
          <t>NI</t>
        </is>
      </c>
      <c r="K964" t="inlineStr">
        <is>
          <t>Not Interested</t>
        </is>
      </c>
      <c r="L964" t="n">
        <v>1</v>
      </c>
      <c r="M964" t="inlineStr">
        <is>
          <t>2026-06-08 09:36:16</t>
        </is>
      </c>
      <c r="N964" t="inlineStr">
        <is>
          <t>Maureen Ntsoko</t>
        </is>
      </c>
      <c r="O964" t="inlineStr">
        <is>
          <t>2026-06-08 05:25:27</t>
        </is>
      </c>
      <c r="P964" t="inlineStr">
        <is>
          <t>2026-06-08 05:25:27</t>
        </is>
      </c>
      <c r="Y964" t="inlineStr">
        <is>
          <t>27673224774</t>
        </is>
      </c>
    </row>
    <row r="965">
      <c r="A965" t="inlineStr">
        <is>
          <t>14828044</t>
        </is>
      </c>
      <c r="B965" t="inlineStr">
        <is>
          <t>8918e4fc-e7f5-4881-9411-16d5978624dc</t>
        </is>
      </c>
      <c r="D965" t="inlineStr">
        <is>
          <t>111111123</t>
        </is>
      </c>
      <c r="E965" t="inlineStr">
        <is>
          <t>Vodacom Life 20260603</t>
        </is>
      </c>
      <c r="J965" t="inlineStr">
        <is>
          <t>DNQF</t>
        </is>
      </c>
      <c r="K965" t="inlineStr">
        <is>
          <t>Do Not Qualify Failed Medical Question</t>
        </is>
      </c>
      <c r="L965" t="n">
        <v>1</v>
      </c>
      <c r="M965" t="inlineStr">
        <is>
          <t>2026-06-08 09:30:05</t>
        </is>
      </c>
      <c r="N965" t="inlineStr">
        <is>
          <t>Maureen Ntsoko</t>
        </is>
      </c>
      <c r="O965" t="inlineStr">
        <is>
          <t>2026-06-08 05:25:27</t>
        </is>
      </c>
      <c r="P965" t="inlineStr">
        <is>
          <t>2026-06-08 05:25:27</t>
        </is>
      </c>
      <c r="Y965" t="inlineStr">
        <is>
          <t>27765547678</t>
        </is>
      </c>
    </row>
    <row r="966">
      <c r="A966" t="inlineStr">
        <is>
          <t>14828038</t>
        </is>
      </c>
      <c r="B966" t="inlineStr">
        <is>
          <t>f6cc0d91-6848-47dc-9bc5-a66799f21a89</t>
        </is>
      </c>
      <c r="D966" t="inlineStr">
        <is>
          <t>111111123</t>
        </is>
      </c>
      <c r="E966" t="inlineStr">
        <is>
          <t>Vodacom Life 20260603</t>
        </is>
      </c>
      <c r="J966" t="inlineStr">
        <is>
          <t>CBACK</t>
        </is>
      </c>
      <c r="K966" t="inlineStr">
        <is>
          <t>Callback</t>
        </is>
      </c>
      <c r="L966" t="n">
        <v>1</v>
      </c>
      <c r="M966" t="inlineStr">
        <is>
          <t>2026-06-08 09:28:47</t>
        </is>
      </c>
      <c r="N966" t="inlineStr">
        <is>
          <t>Maureen Ntsoko</t>
        </is>
      </c>
      <c r="O966" t="inlineStr">
        <is>
          <t>2026-06-08 05:25:27</t>
        </is>
      </c>
      <c r="P966" t="inlineStr">
        <is>
          <t>2026-06-08 05:25:27</t>
        </is>
      </c>
      <c r="Y966" t="inlineStr">
        <is>
          <t>27818553061</t>
        </is>
      </c>
    </row>
    <row r="967">
      <c r="A967" t="inlineStr">
        <is>
          <t>14827967</t>
        </is>
      </c>
      <c r="B967" t="inlineStr">
        <is>
          <t>f9f081c6-815e-459d-9453-fc69724b4d79</t>
        </is>
      </c>
      <c r="D967" t="inlineStr">
        <is>
          <t>111111123</t>
        </is>
      </c>
      <c r="E967" t="inlineStr">
        <is>
          <t>Vodacom Life 20260603</t>
        </is>
      </c>
      <c r="H967" t="inlineStr">
        <is>
          <t>27791016717</t>
        </is>
      </c>
      <c r="J967" t="inlineStr">
        <is>
          <t>NI</t>
        </is>
      </c>
      <c r="K967" t="inlineStr">
        <is>
          <t>Not Interested</t>
        </is>
      </c>
      <c r="L967" t="n">
        <v>2</v>
      </c>
      <c r="M967" t="inlineStr">
        <is>
          <t>2026-06-08 09:23:09</t>
        </is>
      </c>
      <c r="N967" t="inlineStr">
        <is>
          <t>Khensane Mabasa</t>
        </is>
      </c>
      <c r="O967" t="inlineStr">
        <is>
          <t>2026-06-08 05:25:27</t>
        </is>
      </c>
      <c r="P967" t="inlineStr">
        <is>
          <t>2026-06-08 05:25:27</t>
        </is>
      </c>
      <c r="Y967" t="inlineStr">
        <is>
          <t>27791016717</t>
        </is>
      </c>
    </row>
    <row r="968">
      <c r="A968" t="inlineStr">
        <is>
          <t>14827983</t>
        </is>
      </c>
      <c r="B968" t="inlineStr">
        <is>
          <t>b66222a6-35ff-4224-8d76-36d802f25660</t>
        </is>
      </c>
      <c r="D968" t="inlineStr">
        <is>
          <t>111111123</t>
        </is>
      </c>
      <c r="E968" t="inlineStr">
        <is>
          <t>Vodacom Life 20260603</t>
        </is>
      </c>
      <c r="J968" t="inlineStr">
        <is>
          <t>CBACK</t>
        </is>
      </c>
      <c r="K968" t="inlineStr">
        <is>
          <t>Callback</t>
        </is>
      </c>
      <c r="L968" t="n">
        <v>1</v>
      </c>
      <c r="M968" t="inlineStr">
        <is>
          <t>2026-06-08 09:18:24</t>
        </is>
      </c>
      <c r="N968" t="inlineStr">
        <is>
          <t>Khensane Mabasa</t>
        </is>
      </c>
      <c r="O968" t="inlineStr">
        <is>
          <t>2026-06-08 05:25:27</t>
        </is>
      </c>
      <c r="P968" t="inlineStr">
        <is>
          <t>2026-06-08 05:25:27</t>
        </is>
      </c>
      <c r="Y968" t="inlineStr">
        <is>
          <t>27794157825</t>
        </is>
      </c>
    </row>
    <row r="969">
      <c r="A969" t="inlineStr">
        <is>
          <t>14827969</t>
        </is>
      </c>
      <c r="B969" t="inlineStr">
        <is>
          <t>dc329eb6-0dc6-46a1-abc8-4bf41510e336</t>
        </is>
      </c>
      <c r="D969" t="inlineStr">
        <is>
          <t>111111123</t>
        </is>
      </c>
      <c r="E969" t="inlineStr">
        <is>
          <t>Vodacom Life 20260603</t>
        </is>
      </c>
      <c r="J969" t="inlineStr">
        <is>
          <t>NI</t>
        </is>
      </c>
      <c r="K969" t="inlineStr">
        <is>
          <t>Not Interested</t>
        </is>
      </c>
      <c r="L969" t="n">
        <v>1</v>
      </c>
      <c r="M969" t="inlineStr">
        <is>
          <t>2026-06-08 09:14:19</t>
        </is>
      </c>
      <c r="N969" t="inlineStr">
        <is>
          <t>Khensane Mabasa</t>
        </is>
      </c>
      <c r="O969" t="inlineStr">
        <is>
          <t>2026-06-08 05:25:27</t>
        </is>
      </c>
      <c r="P969" t="inlineStr">
        <is>
          <t>2026-06-08 05:25:27</t>
        </is>
      </c>
      <c r="Y969" t="inlineStr">
        <is>
          <t>27717828273</t>
        </is>
      </c>
    </row>
    <row r="970">
      <c r="A970" t="inlineStr">
        <is>
          <t>14827971</t>
        </is>
      </c>
      <c r="B970" t="inlineStr">
        <is>
          <t>98a3a40a-e8e0-43c0-86ff-7339f43f8b06</t>
        </is>
      </c>
      <c r="D970" t="inlineStr">
        <is>
          <t>111111123</t>
        </is>
      </c>
      <c r="E970" t="inlineStr">
        <is>
          <t>Vodacom Life 20260603</t>
        </is>
      </c>
      <c r="J970" t="inlineStr">
        <is>
          <t>AF</t>
        </is>
      </c>
      <c r="K970" t="inlineStr">
        <is>
          <t>Cannot Afford</t>
        </is>
      </c>
      <c r="L970" t="n">
        <v>1</v>
      </c>
      <c r="M970" t="inlineStr">
        <is>
          <t>2026-06-08 09:14:19</t>
        </is>
      </c>
      <c r="N970" t="inlineStr">
        <is>
          <t>Maureen Ntsoko</t>
        </is>
      </c>
      <c r="O970" t="inlineStr">
        <is>
          <t>2026-06-08 05:25:27</t>
        </is>
      </c>
      <c r="P970" t="inlineStr">
        <is>
          <t>2026-06-08 05:25:27</t>
        </is>
      </c>
      <c r="Y970" t="inlineStr">
        <is>
          <t>27798231082</t>
        </is>
      </c>
    </row>
    <row r="971">
      <c r="A971" t="inlineStr">
        <is>
          <t>14827954</t>
        </is>
      </c>
      <c r="B971" t="inlineStr">
        <is>
          <t>4ed2ce87-9298-4749-9be3-d8862259af0b</t>
        </is>
      </c>
      <c r="D971" t="inlineStr">
        <is>
          <t>111111123</t>
        </is>
      </c>
      <c r="E971" t="inlineStr">
        <is>
          <t>Vodacom Life 20260603</t>
        </is>
      </c>
      <c r="J971" t="inlineStr">
        <is>
          <t>NI</t>
        </is>
      </c>
      <c r="K971" t="inlineStr">
        <is>
          <t>Not Interested</t>
        </is>
      </c>
      <c r="L971" t="n">
        <v>1</v>
      </c>
      <c r="M971" t="inlineStr">
        <is>
          <t>2026-06-08 09:12:15</t>
        </is>
      </c>
      <c r="N971" t="inlineStr">
        <is>
          <t>Khensane Mabasa</t>
        </is>
      </c>
      <c r="O971" t="inlineStr">
        <is>
          <t>2026-06-08 05:25:27</t>
        </is>
      </c>
      <c r="P971" t="inlineStr">
        <is>
          <t>2026-06-08 05:25:27</t>
        </is>
      </c>
      <c r="Y971" t="inlineStr">
        <is>
          <t>27712282833</t>
        </is>
      </c>
    </row>
    <row r="972">
      <c r="A972" t="inlineStr">
        <is>
          <t>14827936</t>
        </is>
      </c>
      <c r="B972" t="inlineStr">
        <is>
          <t>795c9d2e-2e49-4002-86ea-c1669d9c896f</t>
        </is>
      </c>
      <c r="D972" t="inlineStr">
        <is>
          <t>111111123</t>
        </is>
      </c>
      <c r="E972" t="inlineStr">
        <is>
          <t>Vodacom Life 20260603</t>
        </is>
      </c>
      <c r="H972" t="inlineStr">
        <is>
          <t>27713693855</t>
        </is>
      </c>
      <c r="J972" t="inlineStr">
        <is>
          <t>DNQF</t>
        </is>
      </c>
      <c r="K972" t="inlineStr">
        <is>
          <t>Do Not Qualify Failed Medical Question</t>
        </is>
      </c>
      <c r="L972" t="n">
        <v>2</v>
      </c>
      <c r="M972" t="inlineStr">
        <is>
          <t>2026-06-08 09:08:36</t>
        </is>
      </c>
      <c r="N972" t="inlineStr">
        <is>
          <t>Maureen Ntsoko</t>
        </is>
      </c>
      <c r="O972" t="inlineStr">
        <is>
          <t>2026-06-08 05:25:27</t>
        </is>
      </c>
      <c r="P972" t="inlineStr">
        <is>
          <t>2026-06-08 05:25:27</t>
        </is>
      </c>
      <c r="Y972" t="inlineStr">
        <is>
          <t>27713693855</t>
        </is>
      </c>
    </row>
    <row r="973">
      <c r="A973" t="inlineStr">
        <is>
          <t>14827941</t>
        </is>
      </c>
      <c r="B973" t="inlineStr">
        <is>
          <t>4bd768a8-4ff5-46a4-a885-01f98fb22cdd</t>
        </is>
      </c>
      <c r="D973" t="inlineStr">
        <is>
          <t>111111123</t>
        </is>
      </c>
      <c r="E973" t="inlineStr">
        <is>
          <t>Vodacom Life 20260603</t>
        </is>
      </c>
      <c r="J973" t="inlineStr">
        <is>
          <t>CBACK</t>
        </is>
      </c>
      <c r="K973" t="inlineStr">
        <is>
          <t>Callback</t>
        </is>
      </c>
      <c r="L973" t="n">
        <v>1</v>
      </c>
      <c r="M973" t="inlineStr">
        <is>
          <t>2026-06-08 09:06:49</t>
        </is>
      </c>
      <c r="N973" t="inlineStr">
        <is>
          <t>Maureen Ntsoko</t>
        </is>
      </c>
      <c r="O973" t="inlineStr">
        <is>
          <t>2026-06-08 05:25:27</t>
        </is>
      </c>
      <c r="P973" t="inlineStr">
        <is>
          <t>2026-06-08 05:25:27</t>
        </is>
      </c>
      <c r="Y973" t="inlineStr">
        <is>
          <t>27793563724</t>
        </is>
      </c>
    </row>
    <row r="974">
      <c r="A974" t="inlineStr">
        <is>
          <t>14827938</t>
        </is>
      </c>
      <c r="B974" t="inlineStr">
        <is>
          <t>6f709348-e631-4fd1-a81d-3753d6e12e32</t>
        </is>
      </c>
      <c r="D974" t="inlineStr">
        <is>
          <t>111111123</t>
        </is>
      </c>
      <c r="E974" t="inlineStr">
        <is>
          <t>Vodacom Life 20260603</t>
        </is>
      </c>
      <c r="J974" t="inlineStr">
        <is>
          <t>CBACK</t>
        </is>
      </c>
      <c r="K974" t="inlineStr">
        <is>
          <t>Callback</t>
        </is>
      </c>
      <c r="L974" t="n">
        <v>1</v>
      </c>
      <c r="M974" t="inlineStr">
        <is>
          <t>2026-06-08 08:51:46</t>
        </is>
      </c>
      <c r="N974" t="inlineStr">
        <is>
          <t>Maureen Ntsoko</t>
        </is>
      </c>
      <c r="O974" t="inlineStr">
        <is>
          <t>2026-06-08 05:25:27</t>
        </is>
      </c>
      <c r="P974" t="inlineStr">
        <is>
          <t>2026-06-08 05:25:27</t>
        </is>
      </c>
      <c r="Y974" t="inlineStr">
        <is>
          <t>27763180441</t>
        </is>
      </c>
    </row>
    <row r="975">
      <c r="A975" t="inlineStr">
        <is>
          <t>14800000</t>
        </is>
      </c>
      <c r="B975" t="inlineStr">
        <is>
          <t>e860ca9d-aa39-49b7-8b8b-6f920417229a</t>
        </is>
      </c>
      <c r="D975" t="inlineStr">
        <is>
          <t>111111123</t>
        </is>
      </c>
      <c r="E975" t="inlineStr">
        <is>
          <t>Vodacom Life 20260603</t>
        </is>
      </c>
      <c r="J975" t="inlineStr">
        <is>
          <t>CBACK</t>
        </is>
      </c>
      <c r="K975" t="inlineStr">
        <is>
          <t>Callback</t>
        </is>
      </c>
      <c r="L975" t="n">
        <v>1</v>
      </c>
      <c r="M975" t="inlineStr">
        <is>
          <t>2026-06-08 08:50:38</t>
        </is>
      </c>
      <c r="N975" t="inlineStr">
        <is>
          <t>Maureen Ntsoko</t>
        </is>
      </c>
      <c r="O975" t="inlineStr">
        <is>
          <t>2026-06-08 05:25:27</t>
        </is>
      </c>
      <c r="P975" t="inlineStr">
        <is>
          <t>2026-06-08 05:25:27</t>
        </is>
      </c>
      <c r="Y975" t="inlineStr">
        <is>
          <t>27837761891</t>
        </is>
      </c>
    </row>
    <row r="976">
      <c r="A976" t="inlineStr">
        <is>
          <t>14827546</t>
        </is>
      </c>
      <c r="B976" t="inlineStr">
        <is>
          <t>e2f329f5-fcc0-4776-b667-29fa847da9a3</t>
        </is>
      </c>
      <c r="D976" t="inlineStr">
        <is>
          <t>111111123</t>
        </is>
      </c>
      <c r="E976" t="inlineStr">
        <is>
          <t>Vodacom Life 20260603</t>
        </is>
      </c>
      <c r="J976" t="inlineStr">
        <is>
          <t>NI</t>
        </is>
      </c>
      <c r="K976" t="inlineStr">
        <is>
          <t>Not Interested</t>
        </is>
      </c>
      <c r="L976" t="n">
        <v>1</v>
      </c>
      <c r="M976" t="inlineStr">
        <is>
          <t>2026-06-08 08:42:17</t>
        </is>
      </c>
      <c r="N976" t="inlineStr">
        <is>
          <t>Maureen Ntsoko</t>
        </is>
      </c>
      <c r="O976" t="inlineStr">
        <is>
          <t>2026-06-08 05:25:27</t>
        </is>
      </c>
      <c r="P976" t="inlineStr">
        <is>
          <t>2026-06-08 05:25:27</t>
        </is>
      </c>
      <c r="Y976" t="inlineStr">
        <is>
          <t>27711165804</t>
        </is>
      </c>
    </row>
    <row r="977">
      <c r="A977" t="inlineStr">
        <is>
          <t>14827895</t>
        </is>
      </c>
      <c r="B977" t="inlineStr">
        <is>
          <t>de3881d4-4131-4910-9a6d-287fc1175fce</t>
        </is>
      </c>
      <c r="D977" t="inlineStr">
        <is>
          <t>111111123</t>
        </is>
      </c>
      <c r="E977" t="inlineStr">
        <is>
          <t>Vodacom Life 20260603</t>
        </is>
      </c>
      <c r="J977" t="inlineStr">
        <is>
          <t>NI</t>
        </is>
      </c>
      <c r="K977" t="inlineStr">
        <is>
          <t>Not Interested</t>
        </is>
      </c>
      <c r="L977" t="n">
        <v>1</v>
      </c>
      <c r="M977" t="inlineStr">
        <is>
          <t>2026-06-08 08:39:33</t>
        </is>
      </c>
      <c r="N977" t="inlineStr">
        <is>
          <t>Maureen Ntsoko</t>
        </is>
      </c>
      <c r="O977" t="inlineStr">
        <is>
          <t>2026-06-08 05:25:27</t>
        </is>
      </c>
      <c r="P977" t="inlineStr">
        <is>
          <t>2026-06-08 05:25:27</t>
        </is>
      </c>
      <c r="Y977" t="inlineStr">
        <is>
          <t>27827153979</t>
        </is>
      </c>
    </row>
    <row r="978">
      <c r="A978" t="inlineStr">
        <is>
          <t>14827549</t>
        </is>
      </c>
      <c r="B978" t="inlineStr">
        <is>
          <t>221f0e43-c920-4d8e-8cc2-e62837f1444b</t>
        </is>
      </c>
      <c r="D978" t="inlineStr">
        <is>
          <t>111111123</t>
        </is>
      </c>
      <c r="E978" t="inlineStr">
        <is>
          <t>Vodacom Life 20260603</t>
        </is>
      </c>
      <c r="J978" t="inlineStr">
        <is>
          <t>NI</t>
        </is>
      </c>
      <c r="K978" t="inlineStr">
        <is>
          <t>Not Interested</t>
        </is>
      </c>
      <c r="L978" t="n">
        <v>1</v>
      </c>
      <c r="M978" t="inlineStr">
        <is>
          <t>2026-06-08 08:37:43</t>
        </is>
      </c>
      <c r="N978" t="inlineStr">
        <is>
          <t>Maureen Ntsoko</t>
        </is>
      </c>
      <c r="O978" t="inlineStr">
        <is>
          <t>2026-06-08 05:25:27</t>
        </is>
      </c>
      <c r="P978" t="inlineStr">
        <is>
          <t>2026-06-08 05:25:27</t>
        </is>
      </c>
      <c r="Y978" t="inlineStr">
        <is>
          <t>27713139887</t>
        </is>
      </c>
    </row>
    <row r="979">
      <c r="A979" t="inlineStr">
        <is>
          <t>14827886</t>
        </is>
      </c>
      <c r="B979" t="inlineStr">
        <is>
          <t>8eea0f3d-14ae-4576-9d36-e73c496eaee2</t>
        </is>
      </c>
      <c r="D979" t="inlineStr">
        <is>
          <t>111111123</t>
        </is>
      </c>
      <c r="E979" t="inlineStr">
        <is>
          <t>Vodacom Life 20260603</t>
        </is>
      </c>
      <c r="J979" t="inlineStr">
        <is>
          <t>CBACK</t>
        </is>
      </c>
      <c r="K979" t="inlineStr">
        <is>
          <t>Callback</t>
        </is>
      </c>
      <c r="L979" t="n">
        <v>1</v>
      </c>
      <c r="M979" t="inlineStr">
        <is>
          <t>2026-06-08 08:36:32</t>
        </is>
      </c>
      <c r="N979" t="inlineStr">
        <is>
          <t>Maureen Ntsoko</t>
        </is>
      </c>
      <c r="O979" t="inlineStr">
        <is>
          <t>2026-06-08 05:25:27</t>
        </is>
      </c>
      <c r="P979" t="inlineStr">
        <is>
          <t>2026-06-08 05:25:27</t>
        </is>
      </c>
      <c r="Y979" t="inlineStr">
        <is>
          <t>27768017214</t>
        </is>
      </c>
    </row>
    <row r="980">
      <c r="A980" t="inlineStr">
        <is>
          <t>14827879</t>
        </is>
      </c>
      <c r="B980" t="inlineStr">
        <is>
          <t>78d87144-b671-4f93-95b8-919f6e825d55</t>
        </is>
      </c>
      <c r="D980" t="inlineStr">
        <is>
          <t>111111123</t>
        </is>
      </c>
      <c r="E980" t="inlineStr">
        <is>
          <t>Vodacom Life 20260603</t>
        </is>
      </c>
      <c r="J980" t="inlineStr">
        <is>
          <t>CBACK</t>
        </is>
      </c>
      <c r="K980" t="inlineStr">
        <is>
          <t>Callback</t>
        </is>
      </c>
      <c r="L980" t="n">
        <v>1</v>
      </c>
      <c r="M980" t="inlineStr">
        <is>
          <t>2026-06-08 08:33:01</t>
        </is>
      </c>
      <c r="N980" t="inlineStr">
        <is>
          <t>Maureen Ntsoko</t>
        </is>
      </c>
      <c r="O980" t="inlineStr">
        <is>
          <t>2026-06-08 05:25:27</t>
        </is>
      </c>
      <c r="P980" t="inlineStr">
        <is>
          <t>2026-06-08 05:25:27</t>
        </is>
      </c>
      <c r="Y980" t="inlineStr">
        <is>
          <t>27764155593</t>
        </is>
      </c>
    </row>
    <row r="981">
      <c r="A981" t="inlineStr">
        <is>
          <t>14827838</t>
        </is>
      </c>
      <c r="B981" t="inlineStr">
        <is>
          <t>7962322d-28e6-40ae-af6f-27d07bfdad67</t>
        </is>
      </c>
      <c r="D981" t="inlineStr">
        <is>
          <t>111111123</t>
        </is>
      </c>
      <c r="E981" t="inlineStr">
        <is>
          <t>Vodacom Life 20260603</t>
        </is>
      </c>
      <c r="J981" t="inlineStr">
        <is>
          <t>CBACK</t>
        </is>
      </c>
      <c r="K981" t="inlineStr">
        <is>
          <t>Callback</t>
        </is>
      </c>
      <c r="L981" t="n">
        <v>1</v>
      </c>
      <c r="M981" t="inlineStr">
        <is>
          <t>2026-06-08 07:59:42</t>
        </is>
      </c>
      <c r="N981" t="inlineStr">
        <is>
          <t>Maureen Ntsoko</t>
        </is>
      </c>
      <c r="O981" t="inlineStr">
        <is>
          <t>2026-06-08 05:25:27</t>
        </is>
      </c>
      <c r="P981" t="inlineStr">
        <is>
          <t>2026-06-08 05:25:27</t>
        </is>
      </c>
      <c r="Y981" t="inlineStr">
        <is>
          <t>27729863569</t>
        </is>
      </c>
    </row>
    <row r="982">
      <c r="A982" t="inlineStr">
        <is>
          <t>14800000</t>
        </is>
      </c>
      <c r="B982" t="inlineStr">
        <is>
          <t>75e17813-ac10-4e3d-8bdf-402a4d3e21a1</t>
        </is>
      </c>
      <c r="D982" t="inlineStr">
        <is>
          <t>111111123</t>
        </is>
      </c>
      <c r="E982" t="inlineStr">
        <is>
          <t>Vodacom Life 20260603</t>
        </is>
      </c>
      <c r="J982" t="inlineStr">
        <is>
          <t>CBACK</t>
        </is>
      </c>
      <c r="K982" t="inlineStr">
        <is>
          <t>Callback</t>
        </is>
      </c>
      <c r="L982" t="n">
        <v>1</v>
      </c>
      <c r="M982" t="inlineStr">
        <is>
          <t>2026-06-08 06:56:29</t>
        </is>
      </c>
      <c r="N982" t="inlineStr">
        <is>
          <t>Khensane Mabasa</t>
        </is>
      </c>
      <c r="O982" t="inlineStr">
        <is>
          <t>2026-06-08 05:25:27</t>
        </is>
      </c>
      <c r="P982" t="inlineStr">
        <is>
          <t>2026-06-08 05:25:27</t>
        </is>
      </c>
      <c r="Y982" t="inlineStr">
        <is>
          <t>27792320760</t>
        </is>
      </c>
    </row>
    <row r="983">
      <c r="A983" t="inlineStr">
        <is>
          <t>14800000</t>
        </is>
      </c>
      <c r="B983" t="inlineStr">
        <is>
          <t>918e6207-73ce-447f-beae-93db9a18c02f</t>
        </is>
      </c>
      <c r="D983" t="inlineStr">
        <is>
          <t>111111123</t>
        </is>
      </c>
      <c r="E983" t="inlineStr">
        <is>
          <t>Vodacom Life 20260603</t>
        </is>
      </c>
      <c r="J983" t="inlineStr">
        <is>
          <t>NI</t>
        </is>
      </c>
      <c r="K983" t="inlineStr">
        <is>
          <t>Not Interested</t>
        </is>
      </c>
      <c r="L983" t="n">
        <v>1</v>
      </c>
      <c r="M983" t="inlineStr">
        <is>
          <t>2026-06-08 06:49:00</t>
        </is>
      </c>
      <c r="N983" t="inlineStr">
        <is>
          <t>Khensane Mabasa</t>
        </is>
      </c>
      <c r="O983" t="inlineStr">
        <is>
          <t>2026-06-08 05:25:27</t>
        </is>
      </c>
      <c r="P983" t="inlineStr">
        <is>
          <t>2026-06-08 05:25:27</t>
        </is>
      </c>
      <c r="Y983" t="inlineStr">
        <is>
          <t>27797913917</t>
        </is>
      </c>
    </row>
    <row r="984">
      <c r="A984" t="inlineStr">
        <is>
          <t>14827649</t>
        </is>
      </c>
      <c r="B984" t="inlineStr">
        <is>
          <t>0768ebc5-edbb-4517-b1dd-4d4369bc0350</t>
        </is>
      </c>
      <c r="D984" t="inlineStr">
        <is>
          <t>111111123</t>
        </is>
      </c>
      <c r="E984" t="inlineStr">
        <is>
          <t>Vodacom Life 20260603</t>
        </is>
      </c>
      <c r="J984" t="inlineStr">
        <is>
          <t>QAVET</t>
        </is>
      </c>
      <c r="K984" t="inlineStr">
        <is>
          <t>Sale Made</t>
        </is>
      </c>
      <c r="L984" t="n">
        <v>1</v>
      </c>
      <c r="M984" t="inlineStr">
        <is>
          <t>2026-06-08 06:46:12</t>
        </is>
      </c>
      <c r="N984" t="inlineStr">
        <is>
          <t>Maureen Ntsoko</t>
        </is>
      </c>
      <c r="O984" t="inlineStr">
        <is>
          <t>2026-06-08 05:25:27</t>
        </is>
      </c>
      <c r="P984" t="inlineStr">
        <is>
          <t>2026-06-08 05:25:27</t>
        </is>
      </c>
      <c r="Y984" t="inlineStr">
        <is>
          <t>27791016306</t>
        </is>
      </c>
    </row>
    <row r="985">
      <c r="A985" t="inlineStr">
        <is>
          <t>14827653</t>
        </is>
      </c>
      <c r="B985" t="inlineStr">
        <is>
          <t>aec8496f-f0c0-4d5e-b559-ec0fe05d769e</t>
        </is>
      </c>
      <c r="D985" t="inlineStr">
        <is>
          <t>111111123</t>
        </is>
      </c>
      <c r="E985" t="inlineStr">
        <is>
          <t>Vodacom Life 20260603</t>
        </is>
      </c>
      <c r="J985" t="inlineStr">
        <is>
          <t>SELECTED</t>
        </is>
      </c>
      <c r="K985" t="inlineStr">
        <is>
          <t>Selected</t>
        </is>
      </c>
      <c r="L985" t="n">
        <v>2</v>
      </c>
      <c r="M985" t="inlineStr">
        <is>
          <t>2026-06-08 06:43:00</t>
        </is>
      </c>
      <c r="N985" t="inlineStr">
        <is>
          <t>system</t>
        </is>
      </c>
      <c r="O985" t="inlineStr">
        <is>
          <t>2026-06-08 05:25:27</t>
        </is>
      </c>
      <c r="P985" t="inlineStr">
        <is>
          <t>2026-06-08 05:25:27</t>
        </is>
      </c>
      <c r="Y985" t="inlineStr">
        <is>
          <t>27665792100</t>
        </is>
      </c>
    </row>
    <row r="986">
      <c r="A986" t="inlineStr">
        <is>
          <t>14827666</t>
        </is>
      </c>
      <c r="B986" t="inlineStr">
        <is>
          <t>5d4e0828-af36-4c8a-bfe9-175e5914914d</t>
        </is>
      </c>
      <c r="D986" t="inlineStr">
        <is>
          <t>111111123</t>
        </is>
      </c>
      <c r="E986" t="inlineStr">
        <is>
          <t>Vodacom Life 20260603</t>
        </is>
      </c>
      <c r="J986" t="inlineStr">
        <is>
          <t>AF</t>
        </is>
      </c>
      <c r="K986" t="inlineStr">
        <is>
          <t>Cannot Afford</t>
        </is>
      </c>
      <c r="L986" t="n">
        <v>1</v>
      </c>
      <c r="M986" t="inlineStr">
        <is>
          <t>2026-06-08 06:40:00</t>
        </is>
      </c>
      <c r="N986" t="inlineStr">
        <is>
          <t>Khensane Mabasa</t>
        </is>
      </c>
      <c r="O986" t="inlineStr">
        <is>
          <t>2026-06-08 05:25:27</t>
        </is>
      </c>
      <c r="P986" t="inlineStr">
        <is>
          <t>2026-06-08 05:25:27</t>
        </is>
      </c>
      <c r="Y986" t="inlineStr">
        <is>
          <t>27649536908</t>
        </is>
      </c>
    </row>
    <row r="987">
      <c r="A987" t="inlineStr">
        <is>
          <t>14827674</t>
        </is>
      </c>
      <c r="B987" t="inlineStr">
        <is>
          <t>79cab50f-3b70-4a28-9569-b60320437369</t>
        </is>
      </c>
      <c r="D987" t="inlineStr">
        <is>
          <t>111111123</t>
        </is>
      </c>
      <c r="E987" t="inlineStr">
        <is>
          <t>Vodacom Life 20260603</t>
        </is>
      </c>
      <c r="J987" t="inlineStr">
        <is>
          <t>CBACK</t>
        </is>
      </c>
      <c r="K987" t="inlineStr">
        <is>
          <t>Callback</t>
        </is>
      </c>
      <c r="L987" t="n">
        <v>1</v>
      </c>
      <c r="M987" t="inlineStr">
        <is>
          <t>2026-06-08 06:36:25</t>
        </is>
      </c>
      <c r="N987" t="inlineStr">
        <is>
          <t>Maureen Ntsoko</t>
        </is>
      </c>
      <c r="O987" t="inlineStr">
        <is>
          <t>2026-06-08 05:25:27</t>
        </is>
      </c>
      <c r="P987" t="inlineStr">
        <is>
          <t>2026-06-08 05:25:27</t>
        </is>
      </c>
      <c r="Y987" t="inlineStr">
        <is>
          <t>27765303398</t>
        </is>
      </c>
    </row>
    <row r="988">
      <c r="A988" t="inlineStr">
        <is>
          <t>14827689</t>
        </is>
      </c>
      <c r="B988" t="inlineStr">
        <is>
          <t>3c34e9e1-b057-43f1-81cc-b6fcd09fff1f</t>
        </is>
      </c>
      <c r="D988" t="inlineStr">
        <is>
          <t>111111123</t>
        </is>
      </c>
      <c r="E988" t="inlineStr">
        <is>
          <t>Vodacom Life 20260603</t>
        </is>
      </c>
      <c r="J988" t="inlineStr">
        <is>
          <t>CBACK</t>
        </is>
      </c>
      <c r="K988" t="inlineStr">
        <is>
          <t>Callback</t>
        </is>
      </c>
      <c r="L988" t="n">
        <v>1</v>
      </c>
      <c r="M988" t="inlineStr">
        <is>
          <t>2026-06-08 06:33:10</t>
        </is>
      </c>
      <c r="N988" t="inlineStr">
        <is>
          <t>Maureen Ntsoko</t>
        </is>
      </c>
      <c r="O988" t="inlineStr">
        <is>
          <t>2026-06-08 05:25:27</t>
        </is>
      </c>
      <c r="P988" t="inlineStr">
        <is>
          <t>2026-06-08 05:25:27</t>
        </is>
      </c>
      <c r="Y988" t="inlineStr">
        <is>
          <t>27762305061</t>
        </is>
      </c>
    </row>
    <row r="989">
      <c r="A989" t="inlineStr">
        <is>
          <t>14827691</t>
        </is>
      </c>
      <c r="B989" t="inlineStr">
        <is>
          <t>263b41d1-ba93-4fcb-9293-cf1777451352</t>
        </is>
      </c>
      <c r="D989" t="inlineStr">
        <is>
          <t>111111123</t>
        </is>
      </c>
      <c r="E989" t="inlineStr">
        <is>
          <t>Vodacom Life 20260603</t>
        </is>
      </c>
      <c r="J989" t="inlineStr">
        <is>
          <t>CBACK</t>
        </is>
      </c>
      <c r="K989" t="inlineStr">
        <is>
          <t>Callback</t>
        </is>
      </c>
      <c r="L989" t="n">
        <v>1</v>
      </c>
      <c r="M989" t="inlineStr">
        <is>
          <t>2026-06-08 06:31:45</t>
        </is>
      </c>
      <c r="N989" t="inlineStr">
        <is>
          <t>Maureen Ntsoko</t>
        </is>
      </c>
      <c r="O989" t="inlineStr">
        <is>
          <t>2026-06-08 05:25:27</t>
        </is>
      </c>
      <c r="P989" t="inlineStr">
        <is>
          <t>2026-06-08 05:25:27</t>
        </is>
      </c>
      <c r="Y989" t="inlineStr">
        <is>
          <t>27769252889</t>
        </is>
      </c>
    </row>
    <row r="990">
      <c r="A990" t="inlineStr">
        <is>
          <t>14827704</t>
        </is>
      </c>
      <c r="B990" t="inlineStr">
        <is>
          <t>94232d8a-e70c-40ba-8178-4701b08df5f8</t>
        </is>
      </c>
      <c r="D990" t="inlineStr">
        <is>
          <t>111111123</t>
        </is>
      </c>
      <c r="E990" t="inlineStr">
        <is>
          <t>Vodacom Life 20260603</t>
        </is>
      </c>
      <c r="J990" t="inlineStr">
        <is>
          <t>NI</t>
        </is>
      </c>
      <c r="K990" t="inlineStr">
        <is>
          <t>Not Interested</t>
        </is>
      </c>
      <c r="L990" t="n">
        <v>1</v>
      </c>
      <c r="M990" t="inlineStr">
        <is>
          <t>2026-06-08 06:27:05</t>
        </is>
      </c>
      <c r="N990" t="inlineStr">
        <is>
          <t>Maureen Ntsoko</t>
        </is>
      </c>
      <c r="O990" t="inlineStr">
        <is>
          <t>2026-06-08 05:25:27</t>
        </is>
      </c>
      <c r="P990" t="inlineStr">
        <is>
          <t>2026-06-08 05:25:27</t>
        </is>
      </c>
      <c r="Y990" t="inlineStr">
        <is>
          <t>27794452644</t>
        </is>
      </c>
    </row>
    <row r="991">
      <c r="A991" t="inlineStr">
        <is>
          <t>14827706</t>
        </is>
      </c>
      <c r="B991" t="inlineStr">
        <is>
          <t>75abb6cc-10b7-46a1-94e7-3f25f9da283b</t>
        </is>
      </c>
      <c r="D991" t="inlineStr">
        <is>
          <t>111111123</t>
        </is>
      </c>
      <c r="E991" t="inlineStr">
        <is>
          <t>Vodacom Life 20260603</t>
        </is>
      </c>
      <c r="J991" t="inlineStr">
        <is>
          <t>DNQF</t>
        </is>
      </c>
      <c r="K991" t="inlineStr">
        <is>
          <t>Do Not Qualify Failed Medical Question</t>
        </is>
      </c>
      <c r="L991" t="n">
        <v>1</v>
      </c>
      <c r="M991" t="inlineStr">
        <is>
          <t>2026-06-08 06:26:46</t>
        </is>
      </c>
      <c r="N991" t="inlineStr">
        <is>
          <t>Khensane Mabasa</t>
        </is>
      </c>
      <c r="O991" t="inlineStr">
        <is>
          <t>2026-06-08 05:25:27</t>
        </is>
      </c>
      <c r="P991" t="inlineStr">
        <is>
          <t>2026-06-08 05:25:27</t>
        </is>
      </c>
      <c r="Y991" t="inlineStr">
        <is>
          <t>27797567952</t>
        </is>
      </c>
    </row>
    <row r="992">
      <c r="A992" t="inlineStr">
        <is>
          <t>14827712</t>
        </is>
      </c>
      <c r="B992" t="inlineStr">
        <is>
          <t>c5e741a7-0e5b-4d28-a458-8fdea6aab5d6</t>
        </is>
      </c>
      <c r="D992" t="inlineStr">
        <is>
          <t>111111123</t>
        </is>
      </c>
      <c r="E992" t="inlineStr">
        <is>
          <t>Vodacom Life 20260603</t>
        </is>
      </c>
      <c r="J992" t="inlineStr">
        <is>
          <t>WN</t>
        </is>
      </c>
      <c r="K992" t="inlineStr">
        <is>
          <t>Wrong Number</t>
        </is>
      </c>
      <c r="L992" t="n">
        <v>1</v>
      </c>
      <c r="M992" t="inlineStr">
        <is>
          <t>2026-06-08 06:25:50</t>
        </is>
      </c>
      <c r="N992" t="inlineStr">
        <is>
          <t>Khensane Mabasa</t>
        </is>
      </c>
      <c r="O992" t="inlineStr">
        <is>
          <t>2026-06-08 05:25:27</t>
        </is>
      </c>
      <c r="P992" t="inlineStr">
        <is>
          <t>2026-06-08 05:25:27</t>
        </is>
      </c>
      <c r="Y992" t="inlineStr">
        <is>
          <t>27665308051</t>
        </is>
      </c>
    </row>
    <row r="993">
      <c r="A993" t="inlineStr">
        <is>
          <t>14827720</t>
        </is>
      </c>
      <c r="B993" t="inlineStr">
        <is>
          <t>b50ecdd7-5e31-4959-86a2-a4d842acbf8c</t>
        </is>
      </c>
      <c r="D993" t="inlineStr">
        <is>
          <t>111111123</t>
        </is>
      </c>
      <c r="E993" t="inlineStr">
        <is>
          <t>Vodacom Life 20260603</t>
        </is>
      </c>
      <c r="J993" t="inlineStr">
        <is>
          <t>CBACK</t>
        </is>
      </c>
      <c r="K993" t="inlineStr">
        <is>
          <t>Callback</t>
        </is>
      </c>
      <c r="L993" t="n">
        <v>1</v>
      </c>
      <c r="M993" t="inlineStr">
        <is>
          <t>2026-06-08 06:23:49</t>
        </is>
      </c>
      <c r="N993" t="inlineStr">
        <is>
          <t>Maureen Ntsoko</t>
        </is>
      </c>
      <c r="O993" t="inlineStr">
        <is>
          <t>2026-06-08 05:25:27</t>
        </is>
      </c>
      <c r="P993" t="inlineStr">
        <is>
          <t>2026-06-08 05:25:27</t>
        </is>
      </c>
      <c r="Y993" t="inlineStr">
        <is>
          <t>27829012978</t>
        </is>
      </c>
    </row>
    <row r="994">
      <c r="A994" t="inlineStr">
        <is>
          <t>14827724</t>
        </is>
      </c>
      <c r="B994" t="inlineStr">
        <is>
          <t>c9837aec-2b33-4379-a205-54caf024360f</t>
        </is>
      </c>
      <c r="D994" t="inlineStr">
        <is>
          <t>111111123</t>
        </is>
      </c>
      <c r="E994" t="inlineStr">
        <is>
          <t>Vodacom Life 20260603</t>
        </is>
      </c>
      <c r="J994" t="inlineStr">
        <is>
          <t>CBACK</t>
        </is>
      </c>
      <c r="K994" t="inlineStr">
        <is>
          <t>Callback</t>
        </is>
      </c>
      <c r="L994" t="n">
        <v>1</v>
      </c>
      <c r="M994" t="inlineStr">
        <is>
          <t>2026-06-08 06:22:40</t>
        </is>
      </c>
      <c r="N994" t="inlineStr">
        <is>
          <t>Khensane Mabasa</t>
        </is>
      </c>
      <c r="O994" t="inlineStr">
        <is>
          <t>2026-06-08 05:25:27</t>
        </is>
      </c>
      <c r="P994" t="inlineStr">
        <is>
          <t>2026-06-08 05:25:27</t>
        </is>
      </c>
      <c r="Y994" t="inlineStr">
        <is>
          <t>27723889935</t>
        </is>
      </c>
    </row>
    <row r="995">
      <c r="A995" t="inlineStr">
        <is>
          <t>14827741</t>
        </is>
      </c>
      <c r="B995" t="inlineStr">
        <is>
          <t>5d05747e-6900-4c33-a3c8-1a8857c2f850</t>
        </is>
      </c>
      <c r="D995" t="inlineStr">
        <is>
          <t>111111123</t>
        </is>
      </c>
      <c r="E995" t="inlineStr">
        <is>
          <t>Vodacom Life 20260603</t>
        </is>
      </c>
      <c r="J995" t="inlineStr">
        <is>
          <t>CBACK</t>
        </is>
      </c>
      <c r="K995" t="inlineStr">
        <is>
          <t>Callback</t>
        </is>
      </c>
      <c r="L995" t="n">
        <v>1</v>
      </c>
      <c r="M995" t="inlineStr">
        <is>
          <t>2026-06-08 06:19:07</t>
        </is>
      </c>
      <c r="N995" t="inlineStr">
        <is>
          <t>Maureen Ntsoko</t>
        </is>
      </c>
      <c r="O995" t="inlineStr">
        <is>
          <t>2026-06-08 05:25:27</t>
        </is>
      </c>
      <c r="P995" t="inlineStr">
        <is>
          <t>2026-06-08 05:25:27</t>
        </is>
      </c>
      <c r="Y995" t="inlineStr">
        <is>
          <t>27712961497</t>
        </is>
      </c>
    </row>
    <row r="996">
      <c r="A996" t="inlineStr">
        <is>
          <t>14827750</t>
        </is>
      </c>
      <c r="B996" t="inlineStr">
        <is>
          <t>a25fadbd-389a-4e9f-b44a-da66497b5bc3</t>
        </is>
      </c>
      <c r="D996" t="inlineStr">
        <is>
          <t>111111123</t>
        </is>
      </c>
      <c r="E996" t="inlineStr">
        <is>
          <t>Vodacom Life 20260603</t>
        </is>
      </c>
      <c r="J996" t="inlineStr">
        <is>
          <t>OAL</t>
        </is>
      </c>
      <c r="K996" t="inlineStr">
        <is>
          <t>Over Age Limit</t>
        </is>
      </c>
      <c r="L996" t="n">
        <v>1</v>
      </c>
      <c r="M996" t="inlineStr">
        <is>
          <t>2026-06-08 06:17:07</t>
        </is>
      </c>
      <c r="N996" t="inlineStr">
        <is>
          <t>Khensane Mabasa</t>
        </is>
      </c>
      <c r="O996" t="inlineStr">
        <is>
          <t>2026-06-08 05:25:27</t>
        </is>
      </c>
      <c r="P996" t="inlineStr">
        <is>
          <t>2026-06-08 05:25:27</t>
        </is>
      </c>
      <c r="Y996" t="inlineStr">
        <is>
          <t>27820400040</t>
        </is>
      </c>
    </row>
    <row r="997">
      <c r="A997" t="inlineStr">
        <is>
          <t>14827767</t>
        </is>
      </c>
      <c r="B997" t="inlineStr">
        <is>
          <t>a9e65fce-f81d-498e-8fd4-0fb0c1a4891e</t>
        </is>
      </c>
      <c r="D997" t="inlineStr">
        <is>
          <t>111111123</t>
        </is>
      </c>
      <c r="E997" t="inlineStr">
        <is>
          <t>Vodacom Life 20260603</t>
        </is>
      </c>
      <c r="J997" t="inlineStr">
        <is>
          <t>DNQF</t>
        </is>
      </c>
      <c r="K997" t="inlineStr">
        <is>
          <t>Do Not Qualify Failed Medical Question</t>
        </is>
      </c>
      <c r="L997" t="n">
        <v>1</v>
      </c>
      <c r="M997" t="inlineStr">
        <is>
          <t>2026-06-08 06:13:40</t>
        </is>
      </c>
      <c r="N997" t="inlineStr">
        <is>
          <t>Maureen Ntsoko</t>
        </is>
      </c>
      <c r="O997" t="inlineStr">
        <is>
          <t>2026-06-08 05:25:27</t>
        </is>
      </c>
      <c r="P997" t="inlineStr">
        <is>
          <t>2026-06-08 05:25:27</t>
        </is>
      </c>
      <c r="Y997" t="inlineStr">
        <is>
          <t>27715421998</t>
        </is>
      </c>
    </row>
    <row r="998">
      <c r="A998" t="inlineStr">
        <is>
          <t>14827773</t>
        </is>
      </c>
      <c r="B998" t="inlineStr">
        <is>
          <t>dce5021d-65dc-4fa8-b415-bac682e2bfff</t>
        </is>
      </c>
      <c r="D998" t="inlineStr">
        <is>
          <t>111111123</t>
        </is>
      </c>
      <c r="E998" t="inlineStr">
        <is>
          <t>Vodacom Life 20260603</t>
        </is>
      </c>
      <c r="J998" t="inlineStr">
        <is>
          <t>NI</t>
        </is>
      </c>
      <c r="K998" t="inlineStr">
        <is>
          <t>Not Interested</t>
        </is>
      </c>
      <c r="L998" t="n">
        <v>1</v>
      </c>
      <c r="M998" t="inlineStr">
        <is>
          <t>2026-06-08 06:12:31</t>
        </is>
      </c>
      <c r="N998" t="inlineStr">
        <is>
          <t>Khensane Mabasa</t>
        </is>
      </c>
      <c r="O998" t="inlineStr">
        <is>
          <t>2026-06-08 05:25:27</t>
        </is>
      </c>
      <c r="P998" t="inlineStr">
        <is>
          <t>2026-06-08 05:25:27</t>
        </is>
      </c>
      <c r="Y998" t="inlineStr">
        <is>
          <t>27663307774</t>
        </is>
      </c>
    </row>
    <row r="999">
      <c r="A999" t="inlineStr">
        <is>
          <t>14828024</t>
        </is>
      </c>
      <c r="B999" t="inlineStr">
        <is>
          <t>14083f9d-0706-46e0-9c35-806401da2720</t>
        </is>
      </c>
      <c r="D999" t="inlineStr">
        <is>
          <t>111111123</t>
        </is>
      </c>
      <c r="E999" t="inlineStr">
        <is>
          <t>Vodacom Life 20260603</t>
        </is>
      </c>
      <c r="J999" t="inlineStr">
        <is>
          <t>SELECTED</t>
        </is>
      </c>
      <c r="K999" t="inlineStr">
        <is>
          <t>Selected</t>
        </is>
      </c>
      <c r="L999" t="n">
        <v>1</v>
      </c>
      <c r="O999" t="inlineStr">
        <is>
          <t>2026-06-08 05:25:27</t>
        </is>
      </c>
      <c r="P999" t="inlineStr">
        <is>
          <t>2026-06-08 05:25:27</t>
        </is>
      </c>
      <c r="Y999" t="inlineStr">
        <is>
          <t>27721869685</t>
        </is>
      </c>
    </row>
    <row r="1000">
      <c r="A1000" t="inlineStr">
        <is>
          <t>14828026</t>
        </is>
      </c>
      <c r="B1000" t="inlineStr">
        <is>
          <t>8d47be50-57e1-46bb-a4b4-b2bdf4060544</t>
        </is>
      </c>
      <c r="D1000" t="inlineStr">
        <is>
          <t>111111123</t>
        </is>
      </c>
      <c r="E1000" t="inlineStr">
        <is>
          <t>Vodacom Life 20260603</t>
        </is>
      </c>
      <c r="J1000" t="inlineStr">
        <is>
          <t>SELECTED</t>
        </is>
      </c>
      <c r="K1000" t="inlineStr">
        <is>
          <t>Selected</t>
        </is>
      </c>
      <c r="L1000" t="n">
        <v>1</v>
      </c>
      <c r="O1000" t="inlineStr">
        <is>
          <t>2026-06-08 05:25:27</t>
        </is>
      </c>
      <c r="P1000" t="inlineStr">
        <is>
          <t>2026-06-08 05:25:27</t>
        </is>
      </c>
      <c r="Y1000" t="inlineStr">
        <is>
          <t>27767895984</t>
        </is>
      </c>
    </row>
    <row r="1001">
      <c r="A1001" t="inlineStr">
        <is>
          <t>14827612</t>
        </is>
      </c>
      <c r="B1001" t="inlineStr">
        <is>
          <t>9c99ae20-4a65-430b-a6ba-b4b235dbeb56</t>
        </is>
      </c>
      <c r="D1001" t="inlineStr">
        <is>
          <t>111111123</t>
        </is>
      </c>
      <c r="E1001" t="inlineStr">
        <is>
          <t>Vodacom Life 20260603</t>
        </is>
      </c>
      <c r="J1001" t="inlineStr">
        <is>
          <t>SELECTED</t>
        </is>
      </c>
      <c r="K1001" t="inlineStr">
        <is>
          <t>Selected</t>
        </is>
      </c>
      <c r="L1001" t="n">
        <v>1</v>
      </c>
      <c r="O1001" t="inlineStr">
        <is>
          <t>2026-06-08 05:25:27</t>
        </is>
      </c>
      <c r="P1001" t="inlineStr">
        <is>
          <t>2026-06-08 05:25:27</t>
        </is>
      </c>
      <c r="Y1001" t="inlineStr">
        <is>
          <t>27716583765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35.7109375" customWidth="1" min="1" max="1"/>
    <col width="20.7109375" customWidth="1" min="2" max="2"/>
    <col width="35.7109375" customWidth="1" min="3" max="3"/>
    <col width="20.7109375" customWidth="1" min="4" max="4"/>
    <col width="35.7109375" customWidth="1" min="5" max="5"/>
    <col width="20.7109375" customWidth="1" min="6" max="6"/>
    <col width="35.7109375" customWidth="1" min="7" max="7"/>
    <col width="20.7109375" customWidth="1" min="8" max="8"/>
    <col width="35.7109375" customWidth="1" min="9" max="9"/>
    <col width="20.7109375" customWidth="1" min="10" max="10"/>
  </cols>
  <sheetData>
    <row r="1">
      <c r="A1" s="12" t="inlineStr">
        <is>
          <t>Campaign Analysis – Vodacom Life</t>
        </is>
      </c>
    </row>
    <row r="2"/>
    <row r="3"/>
    <row r="4">
      <c r="A4" s="13" t="inlineStr">
        <is>
          <t>Total Leads</t>
        </is>
      </c>
      <c r="B4" s="14" t="n">
        <v>1000</v>
      </c>
    </row>
    <row r="5">
      <c r="A5" s="13" t="inlineStr">
        <is>
          <t>Unworked Leads (New Leads)</t>
        </is>
      </c>
      <c r="B5" s="14" t="n">
        <v>0</v>
      </c>
    </row>
    <row r="6">
      <c r="A6" s="13" t="inlineStr">
        <is>
          <t>Successful Contacts</t>
        </is>
      </c>
      <c r="B6" s="14" t="n">
        <v>187</v>
      </c>
    </row>
    <row r="7">
      <c r="A7" s="13" t="inlineStr">
        <is>
          <t>True Contacts</t>
        </is>
      </c>
      <c r="B7" s="14" t="n">
        <v>182</v>
      </c>
    </row>
    <row r="8">
      <c r="A8" s="13" t="inlineStr">
        <is>
          <t>Conversion</t>
        </is>
      </c>
      <c r="B8" s="15" t="n">
        <v>0.005</v>
      </c>
    </row>
    <row r="9">
      <c r="A9" s="13" t="inlineStr">
        <is>
          <t>True Sales (post QA)</t>
        </is>
      </c>
      <c r="B9" s="14" t="n">
        <v>5</v>
      </c>
    </row>
    <row r="10">
      <c r="A10" s="13" t="inlineStr">
        <is>
          <t>Collections</t>
        </is>
      </c>
      <c r="B10" s="14" t="n"/>
    </row>
    <row r="11">
      <c r="A11" s="13" t="inlineStr">
        <is>
          <t>Number of missed 1st Collections</t>
        </is>
      </c>
      <c r="B11" s="14" t="n"/>
    </row>
    <row r="12">
      <c r="A12" s="13" t="inlineStr">
        <is>
          <t>NTU</t>
        </is>
      </c>
      <c r="B12" s="14" t="n"/>
    </row>
    <row r="13">
      <c r="A13" s="13" t="inlineStr">
        <is>
          <t>Cancellations/Lapse</t>
        </is>
      </c>
      <c r="B13" s="14" t="n"/>
    </row>
    <row r="14"/>
    <row r="15"/>
    <row r="16">
      <c r="B16" s="8" t="inlineStr">
        <is>
          <t>Unsuccessful Contacts</t>
        </is>
      </c>
      <c r="C16" s="8" t="inlineStr">
        <is>
          <t>Lead Count</t>
        </is>
      </c>
      <c r="D16" s="8" t="inlineStr">
        <is>
          <t>Interested in Deal?</t>
        </is>
      </c>
      <c r="E16" s="8" t="inlineStr">
        <is>
          <t>Lead Count</t>
        </is>
      </c>
      <c r="F16" s="8" t="inlineStr">
        <is>
          <t>Successful Contacts</t>
        </is>
      </c>
      <c r="G16" s="8" t="inlineStr">
        <is>
          <t>Lead Count</t>
        </is>
      </c>
      <c r="H16" s="8" t="inlineStr">
        <is>
          <t>True Contacts</t>
        </is>
      </c>
      <c r="I16" s="8" t="inlineStr">
        <is>
          <t>Lead Count</t>
        </is>
      </c>
    </row>
    <row r="17">
      <c r="B17" s="9" t="inlineStr">
        <is>
          <t>Answering Machine Autodial</t>
        </is>
      </c>
      <c r="C17" s="16">
        <f>IFERROR(VLOOKUP("Answering Machine Autodial",Pivot!$A$2:$B$30,2,FALSE),0)</f>
        <v/>
      </c>
      <c r="D17" s="9" t="inlineStr">
        <is>
          <t>Sale Made - Completed Mandate</t>
        </is>
      </c>
      <c r="E17" s="16">
        <f>IFERROR(VLOOKUP("Sale Made - Completed Mandate",Pivot!$A$2:$B$30,2,FALSE),0)</f>
        <v/>
      </c>
      <c r="F17" s="9" t="inlineStr">
        <is>
          <t>Already Contacted</t>
        </is>
      </c>
      <c r="G17" s="16">
        <f>IFERROR(VLOOKUP("Already Contacted",Pivot!$A$2:$B$30,2,FALSE),0)</f>
        <v/>
      </c>
      <c r="H17" s="9" t="inlineStr">
        <is>
          <t>Client Hung Up</t>
        </is>
      </c>
      <c r="I17" s="16">
        <f>IFERROR(VLOOKUP("Client Hung Up",Pivot!$A$2:$B$30,2,FALSE),0)</f>
        <v/>
      </c>
    </row>
    <row r="18">
      <c r="B18" s="9" t="inlineStr">
        <is>
          <t>No Answer Autodial</t>
        </is>
      </c>
      <c r="C18" s="16">
        <f>IFERROR(VLOOKUP("No Answer Autodial",Pivot!$A$2:$B$30,2,FALSE),0)</f>
        <v/>
      </c>
      <c r="D18" s="9" t="inlineStr">
        <is>
          <t>Sale Made - Pending Mandate</t>
        </is>
      </c>
      <c r="E18" s="16">
        <f>IFERROR(VLOOKUP("Sale Made - Pending Mandate",Pivot!$A$2:$B$30,2,FALSE),0)</f>
        <v/>
      </c>
      <c r="F18" s="9" t="inlineStr">
        <is>
          <t>Existing Client</t>
        </is>
      </c>
      <c r="G18" s="16">
        <f>IFERROR(VLOOKUP("Existing Client",Pivot!$A$2:$B$30,2,FALSE),0)</f>
        <v/>
      </c>
      <c r="H18" s="9" t="inlineStr">
        <is>
          <t>CallBack</t>
        </is>
      </c>
      <c r="I18" s="16">
        <f>IFERROR(VLOOKUP("CallBack",Pivot!$A$2:$B$30,2,FALSE),0)</f>
        <v/>
      </c>
    </row>
    <row r="19">
      <c r="B19" s="9" t="inlineStr">
        <is>
          <t>Auto Engaged</t>
        </is>
      </c>
      <c r="C19" s="16">
        <f>IFERROR(VLOOKUP("Auto Engaged",Pivot!$A$2:$B$30,2,FALSE),0)</f>
        <v/>
      </c>
      <c r="D19" s="9" t="inlineStr">
        <is>
          <t>Sale Made</t>
        </is>
      </c>
      <c r="E19" s="16">
        <f>IFERROR(VLOOKUP("Sale Made",Pivot!$A$2:$B$30,2,FALSE),0)</f>
        <v/>
      </c>
      <c r="F19" s="9" t="inlineStr">
        <is>
          <t>Unemployed</t>
        </is>
      </c>
      <c r="G19" s="16">
        <f>IFERROR(VLOOKUP("Unemployed",Pivot!$A$2:$B$30,2,FALSE),0)</f>
        <v/>
      </c>
      <c r="H19" s="9" t="inlineStr">
        <is>
          <t>Not Interested</t>
        </is>
      </c>
      <c r="I19" s="16">
        <f>IFERROR(VLOOKUP("Not Interested",Pivot!$A$2:$B$30,2,FALSE),0)</f>
        <v/>
      </c>
    </row>
    <row r="20">
      <c r="B20" s="9" t="inlineStr">
        <is>
          <t>Disconnected Number Auto</t>
        </is>
      </c>
      <c r="C20" s="16">
        <f>IFERROR(VLOOKUP("Disconnected Number Auto",Pivot!$A$2:$B$30,2,FALSE),0)</f>
        <v/>
      </c>
      <c r="D20" s="9" t="inlineStr">
        <is>
          <t>Tyme Bank Account Sale</t>
        </is>
      </c>
      <c r="E20" s="16">
        <f>IFERROR(VLOOKUP("Tyme Bank Account Sale",Pivot!$A$2:$B$30,2,FALSE),0)</f>
        <v/>
      </c>
      <c r="F20" s="9" t="inlineStr">
        <is>
          <t>Wrong Number</t>
        </is>
      </c>
      <c r="G20" s="16">
        <f>IFERROR(VLOOKUP("Wrong Number",Pivot!$A$2:$B$30,2,FALSE),0)</f>
        <v/>
      </c>
      <c r="H20" s="9" t="inlineStr">
        <is>
          <t>Not Interested Upfront</t>
        </is>
      </c>
      <c r="I20" s="16">
        <f>IFERROR(VLOOKUP("Not Interested Upfront",Pivot!$A$2:$B$30,2,FALSE),0)</f>
        <v/>
      </c>
    </row>
    <row r="21">
      <c r="B21" s="9" t="inlineStr">
        <is>
          <t>Answering Machine</t>
        </is>
      </c>
      <c r="C21" s="16">
        <f>IFERROR(VLOOKUP("Answering Machine",Pivot!$A$2:$B$30,2,FALSE),0)</f>
        <v/>
      </c>
      <c r="D21" s="9" t="inlineStr">
        <is>
          <t>QA Rework</t>
        </is>
      </c>
      <c r="E21" s="16">
        <f>IFERROR(VLOOKUP("QA Rework",Pivot!$A$2:$B$30,2,FALSE),0)</f>
        <v/>
      </c>
      <c r="F21" s="9" t="inlineStr">
        <is>
          <t>Do Not Call</t>
        </is>
      </c>
      <c r="G21" s="16">
        <f>IFERROR(VLOOKUP("Do Not Call",Pivot!$A$2:$B$30,2,FALSE),0)</f>
        <v/>
      </c>
      <c r="H21" s="9" t="inlineStr">
        <is>
          <t>Cannot Afford Premium</t>
        </is>
      </c>
      <c r="I21" s="16">
        <f>IFERROR(VLOOKUP("Cannot Afford Premium",Pivot!$A$2:$B$30,2,FALSE),0)</f>
        <v/>
      </c>
    </row>
    <row r="22">
      <c r="B22" s="9" t="inlineStr">
        <is>
          <t>Selected</t>
        </is>
      </c>
      <c r="C22" s="16">
        <f>IFERROR(VLOOKUP("Selected",Pivot!$A$2:$B$30,2,FALSE),0)</f>
        <v/>
      </c>
      <c r="F22" s="9" t="inlineStr">
        <is>
          <t>No Smartphones</t>
        </is>
      </c>
      <c r="G22" s="16">
        <f>IFERROR(VLOOKUP("No Smartphones",Pivot!$A$2:$B$30,2,FALSE),0)</f>
        <v/>
      </c>
      <c r="H22" s="9" t="inlineStr">
        <is>
          <t>Not interested - Pitched</t>
        </is>
      </c>
      <c r="I22" s="16">
        <f>IFERROR(VLOOKUP("Not interested - Pitched",Pivot!$A$2:$B$30,2,FALSE),0)</f>
        <v/>
      </c>
    </row>
    <row r="23">
      <c r="B23" s="9" t="inlineStr">
        <is>
          <t>No Answer</t>
        </is>
      </c>
      <c r="C23" s="16">
        <f>IFERROR(VLOOKUP("No Answer",Pivot!$A$2:$B$30,2,FALSE),0)</f>
        <v/>
      </c>
      <c r="F23" s="9" t="inlineStr">
        <is>
          <t>Client Deceased</t>
        </is>
      </c>
      <c r="G23" s="16">
        <f>IFERROR(VLOOKUP("Client Deceased",Pivot!$A$2:$B$30,2,FALSE),0)</f>
        <v/>
      </c>
      <c r="H23" s="9" t="inlineStr">
        <is>
          <t>Affordability</t>
        </is>
      </c>
      <c r="I23" s="16">
        <f>IFERROR(VLOOKUP("Affordability",Pivot!$A$2:$B$30,2,FALSE),0)</f>
        <v/>
      </c>
    </row>
    <row r="24">
      <c r="B24" s="9" t="inlineStr">
        <is>
          <t>Busy Tone</t>
        </is>
      </c>
      <c r="C24" s="16">
        <f>IFERROR(VLOOKUP("Busy Tone",Pivot!$A$2:$B$30,2,FALSE),0)</f>
        <v/>
      </c>
      <c r="F24" s="9" t="inlineStr">
        <is>
          <t>Right Party Not Available</t>
        </is>
      </c>
      <c r="G24" s="16">
        <f>IFERROR(VLOOKUP("Right Party Not Available",Pivot!$A$2:$B$30,2,FALSE),0)</f>
        <v/>
      </c>
      <c r="H24" s="9" t="inlineStr">
        <is>
          <t>Quoted Client Not Interested</t>
        </is>
      </c>
      <c r="I24" s="16">
        <f>IFERROR(VLOOKUP("Quoted Client Not Interested",Pivot!$A$2:$B$30,2,FALSE),0)</f>
        <v/>
      </c>
    </row>
    <row r="25">
      <c r="B25" s="9" t="inlineStr">
        <is>
          <t>Dropped</t>
        </is>
      </c>
      <c r="C25" s="16">
        <f>IFERROR(VLOOKUP("Dropped",Pivot!$A$2:$B$30,2,FALSE),0)</f>
        <v/>
      </c>
      <c r="F25" s="9" t="inlineStr">
        <is>
          <t>Client Overage Limit</t>
        </is>
      </c>
      <c r="G25" s="16">
        <f>IFERROR(VLOOKUP("Client Overage Limit",Pivot!$A$2:$B$30,2,FALSE),0)</f>
        <v/>
      </c>
      <c r="H25" s="9" t="inlineStr">
        <is>
          <t>Not interested business does not use speed point mac</t>
        </is>
      </c>
      <c r="I25" s="16">
        <f>IFERROR(VLOOKUP("Not interested business does not use speed point mac",Pivot!$A$2:$B$30,2,FALSE),0)</f>
        <v/>
      </c>
    </row>
    <row r="26">
      <c r="B26" s="9" t="inlineStr">
        <is>
          <t>New</t>
        </is>
      </c>
      <c r="C26" s="16">
        <f>IFERROR(VLOOKUP("New",Pivot!$A$2:$B$30,2,FALSE),0)</f>
        <v/>
      </c>
      <c r="F26" s="9" t="inlineStr">
        <is>
          <t>Language Barrier</t>
        </is>
      </c>
      <c r="G26" s="16">
        <f>IFERROR(VLOOKUP("Language Barrier",Pivot!$A$2:$B$30,2,FALSE),0)</f>
        <v/>
      </c>
      <c r="H26" s="9" t="inlineStr">
        <is>
          <t>Call Back Technical Error</t>
        </is>
      </c>
      <c r="I26" s="16">
        <f>IFERROR(VLOOKUP("Call Back Technical Error",Pivot!$A$2:$B$30,2,FALSE),0)</f>
        <v/>
      </c>
    </row>
    <row r="27">
      <c r="B27" s="9" t="inlineStr">
        <is>
          <t>Call Dropped</t>
        </is>
      </c>
      <c r="C27" s="16">
        <f>IFERROR(VLOOKUP("Call Dropped",Pivot!$A$2:$B$30,2,FALSE),0)</f>
        <v/>
      </c>
      <c r="F27" s="9" t="inlineStr">
        <is>
          <t>Non SA Citizen</t>
        </is>
      </c>
      <c r="G27" s="16">
        <f>IFERROR(VLOOKUP("Non SA Citizen",Pivot!$A$2:$B$30,2,FALSE),0)</f>
        <v/>
      </c>
      <c r="H27" s="9" t="inlineStr">
        <is>
          <t>Not Interested Transaction Fees</t>
        </is>
      </c>
      <c r="I27" s="16">
        <f>IFERROR(VLOOKUP("Not Interested Transaction Fees",Pivot!$A$2:$B$30,2,FALSE),0)</f>
        <v/>
      </c>
    </row>
    <row r="28">
      <c r="B28" s="9" t="inlineStr">
        <is>
          <t>Inbound After Hours Drop</t>
        </is>
      </c>
      <c r="C28" s="16">
        <f>IFERROR(VLOOKUP("Inbound After Hours Drop",Pivot!$A$2:$B$30,2,FALSE),0)</f>
        <v/>
      </c>
      <c r="F28" s="9" t="inlineStr">
        <is>
          <t>No Bank Account</t>
        </is>
      </c>
      <c r="G28" s="16">
        <f>IFERROR(VLOOKUP("No Bank Account",Pivot!$A$2:$B$30,2,FALSE),0)</f>
        <v/>
      </c>
      <c r="H28" s="9" t="inlineStr">
        <is>
          <t>Cannot Afford</t>
        </is>
      </c>
      <c r="I28" s="16">
        <f>IFERROR(VLOOKUP("Cannot Afford",Pivot!$A$2:$B$30,2,FALSE),0)</f>
        <v/>
      </c>
    </row>
    <row r="29">
      <c r="B29" s="9" t="inlineStr">
        <is>
          <t>TPS Registered Number</t>
        </is>
      </c>
      <c r="C29" s="16">
        <f>IFERROR(VLOOKUP("TPS Registered Number",Pivot!$A$2:$B$30,2,FALSE),0)</f>
        <v/>
      </c>
      <c r="F29" s="9" t="inlineStr">
        <is>
          <t>Client Underage</t>
        </is>
      </c>
      <c r="G29" s="16">
        <f>IFERROR(VLOOKUP("Client Underage",Pivot!$A$2:$B$30,2,FALSE),0)</f>
        <v/>
      </c>
      <c r="H29" s="9" t="inlineStr">
        <is>
          <t>Not Interested Household Contents</t>
        </is>
      </c>
      <c r="I29" s="16">
        <f>IFERROR(VLOOKUP("Not Interested Household Contents",Pivot!$A$2:$B$30,2,FALSE),0)</f>
        <v/>
      </c>
    </row>
    <row r="30">
      <c r="B30" s="9" t="inlineStr">
        <is>
          <t>Temporary Disconnected Number</t>
        </is>
      </c>
      <c r="C30" s="16">
        <f>IFERROR(VLOOKUP("Temporary Disconnected Number",Pivot!$A$2:$B$30,2,FALSE),0)</f>
        <v/>
      </c>
      <c r="F30" s="9" t="inlineStr">
        <is>
          <t>Go To The Branch</t>
        </is>
      </c>
      <c r="G30" s="16">
        <f>IFERROR(VLOOKUP("Go To The Branch",Pivot!$A$2:$B$30,2,FALSE),0)</f>
        <v/>
      </c>
      <c r="H30" s="9" t="inlineStr">
        <is>
          <t>Call Back Hold</t>
        </is>
      </c>
      <c r="I30" s="16">
        <f>IFERROR(VLOOKUP("Call Back Hold",Pivot!$A$2:$B$30,2,FALSE),0)</f>
        <v/>
      </c>
    </row>
    <row r="31">
      <c r="B31" s="9" t="inlineStr">
        <is>
          <t>Bad Line Quality</t>
        </is>
      </c>
      <c r="C31" s="16">
        <f>IFERROR(VLOOKUP("Bad Line Quality",Pivot!$A$2:$B$30,2,FALSE),0)</f>
        <v/>
      </c>
      <c r="F31" s="9" t="inlineStr">
        <is>
          <t>Completed</t>
        </is>
      </c>
      <c r="G31" s="16">
        <f>IFERROR(VLOOKUP("Completed",Pivot!$A$2:$B$30,2,FALSE),0)</f>
        <v/>
      </c>
      <c r="H31" s="9" t="inlineStr">
        <is>
          <t>Declined Sale</t>
        </is>
      </c>
      <c r="I31" s="16">
        <f>IFERROR(VLOOKUP("Declined Sale",Pivot!$A$2:$B$30,2,FALSE),0)</f>
        <v/>
      </c>
    </row>
    <row r="32">
      <c r="B32" s="9" t="inlineStr">
        <is>
          <t>Inbound Abandon</t>
        </is>
      </c>
      <c r="C32" s="16">
        <f>IFERROR(VLOOKUP("Inbound Abandon",Pivot!$A$2:$B$30,2,FALSE),0)</f>
        <v/>
      </c>
      <c r="F32" s="9" t="inlineStr">
        <is>
          <t>Cannot Afford Upfront Payment</t>
        </is>
      </c>
      <c r="G32" s="16">
        <f>IFERROR(VLOOKUP("Cannot Afford Upfront Payment",Pivot!$A$2:$B$30,2,FALSE),0)</f>
        <v/>
      </c>
    </row>
    <row r="33">
      <c r="B33" s="9" t="inlineStr">
        <is>
          <t>Outbound Pre-Routing Drop</t>
        </is>
      </c>
      <c r="C33" s="16">
        <f>IFERROR(VLOOKUP("Outbound Pre-Routing Drop",Pivot!$A$2:$B$30,2,FALSE),0)</f>
        <v/>
      </c>
      <c r="F33" s="9" t="inlineStr">
        <is>
          <t>Account Suspended</t>
        </is>
      </c>
      <c r="G33" s="16">
        <f>IFERROR(VLOOKUP("Account Suspended",Pivot!$A$2:$B$30,2,FALSE),0)</f>
        <v/>
      </c>
    </row>
    <row r="34">
      <c r="B34" s="9" t="inlineStr">
        <is>
          <t>Engaged</t>
        </is>
      </c>
      <c r="C34" s="16">
        <f>IFERROR(VLOOKUP("Engaged",Pivot!$A$2:$B$30,2,FALSE),0)</f>
        <v/>
      </c>
      <c r="F34" s="9" t="inlineStr">
        <is>
          <t>Insured at another company</t>
        </is>
      </c>
      <c r="G34" s="16">
        <f>IFERROR(VLOOKUP("Insured at another company",Pivot!$A$2:$B$30,2,FALSE),0)</f>
        <v/>
      </c>
    </row>
    <row r="35">
      <c r="B35" s="9" t="inlineStr">
        <is>
          <t>Disconnected</t>
        </is>
      </c>
      <c r="C35" s="16">
        <f>IFERROR(VLOOKUP("Disconnected",Pivot!$A$2:$B$30,2,FALSE),0)</f>
        <v/>
      </c>
      <c r="F35" s="9" t="inlineStr">
        <is>
          <t>Scheduled Appointment</t>
        </is>
      </c>
      <c r="G35" s="16">
        <f>IFERROR(VLOOKUP("Scheduled Appointment",Pivot!$A$2:$B$30,2,FALSE),0)</f>
        <v/>
      </c>
    </row>
    <row r="36">
      <c r="B36" s="9" t="inlineStr">
        <is>
          <t>CONGESTED</t>
        </is>
      </c>
      <c r="C36" s="16">
        <f>IFERROR(VLOOKUP("CONGESTED",Pivot!$A$2:$B$30,2,FALSE),0)</f>
        <v/>
      </c>
      <c r="F36" s="9" t="inlineStr">
        <is>
          <t>Refund Request</t>
        </is>
      </c>
      <c r="G36" s="16">
        <f>IFERROR(VLOOKUP("Refund Request",Pivot!$A$2:$B$30,2,FALSE),0)</f>
        <v/>
      </c>
    </row>
    <row r="37">
      <c r="B37" s="9" t="inlineStr">
        <is>
          <t>Flow Inbound Abandon</t>
        </is>
      </c>
      <c r="C37" s="16">
        <f>IFERROR(VLOOKUP("Flow Inbound Abandon",Pivot!$A$2:$B$30,2,FALSE),0)</f>
        <v/>
      </c>
      <c r="F37" s="9" t="inlineStr">
        <is>
          <t>Does Not Qualify</t>
        </is>
      </c>
      <c r="G37" s="16">
        <f>IFERROR(VLOOKUP("Does Not Qualify",Pivot!$A$2:$B$30,2,FALSE),0)</f>
        <v/>
      </c>
    </row>
    <row r="38">
      <c r="B38" s="9" t="inlineStr">
        <is>
          <t>Multiple Calls</t>
        </is>
      </c>
      <c r="C38" s="16">
        <f>IFERROR(VLOOKUP("Multiple Calls",Pivot!$A$2:$B$30,2,FALSE),0)</f>
        <v/>
      </c>
      <c r="F38" s="9" t="inlineStr">
        <is>
          <t>Does Not Have a Business</t>
        </is>
      </c>
      <c r="G38" s="16">
        <f>IFERROR(VLOOKUP("Does Not Have a Business",Pivot!$A$2:$B$30,2,FALSE),0)</f>
        <v/>
      </c>
    </row>
    <row r="39">
      <c r="B39" s="9" t="inlineStr">
        <is>
          <t>Missed</t>
        </is>
      </c>
      <c r="C39" s="16">
        <f>IFERROR(VLOOKUP("Missed",Pivot!$A$2:$B$30,2,FALSE),0)</f>
        <v/>
      </c>
      <c r="F39" s="9" t="inlineStr">
        <is>
          <t>Refer To Store - Doesn't want to complete online</t>
        </is>
      </c>
      <c r="G39" s="16">
        <f>IFERROR(VLOOKUP("Refer To Store - Doesn't want to complete online",Pivot!$A$2:$B$30,2,FALSE),0)</f>
        <v/>
      </c>
    </row>
    <row r="40">
      <c r="B40" s="9" t="inlineStr">
        <is>
          <t>Answered</t>
        </is>
      </c>
      <c r="C40" s="16">
        <f>IFERROR(VLOOKUP("Answered",Pivot!$A$2:$B$30,2,FALSE),0)</f>
        <v/>
      </c>
      <c r="F40" s="9" t="inlineStr">
        <is>
          <t>Does Not Need It Now</t>
        </is>
      </c>
      <c r="G40" s="16">
        <f>IFERROR(VLOOKUP("Does Not Need It Now",Pivot!$A$2:$B$30,2,FALSE),0)</f>
        <v/>
      </c>
    </row>
    <row r="41">
      <c r="B41" s="9" t="inlineStr">
        <is>
          <t>Customer drop</t>
        </is>
      </c>
      <c r="C41" s="16">
        <f>IFERROR(VLOOKUP("Customer drop",Pivot!$A$2:$B$30,2,FALSE),0)</f>
        <v/>
      </c>
      <c r="F41" s="9" t="inlineStr">
        <is>
          <t>Technical Issue</t>
        </is>
      </c>
      <c r="G41" s="16">
        <f>IFERROR(VLOOKUP("Technical Issue",Pivot!$A$2:$B$30,2,FALSE),0)</f>
        <v/>
      </c>
    </row>
    <row r="42">
      <c r="B42" s="9" t="inlineStr">
        <is>
          <t>Auto Dial Disconnected</t>
        </is>
      </c>
      <c r="C42" s="16">
        <f>IFERROR(VLOOKUP("Auto Dial Disconnected",Pivot!$A$2:$B$30,2,FALSE),0)</f>
        <v/>
      </c>
      <c r="F42" s="9" t="inlineStr">
        <is>
          <t>Unsuccessful Application</t>
        </is>
      </c>
      <c r="G42" s="16">
        <f>IFERROR(VLOOKUP("Unsuccessful Application",Pivot!$A$2:$B$30,2,FALSE),0)</f>
        <v/>
      </c>
    </row>
    <row r="43">
      <c r="B43" s="9" t="inlineStr">
        <is>
          <t>Disconnected Number Temporary</t>
        </is>
      </c>
      <c r="C43" s="16">
        <f>IFERROR(VLOOKUP("Disconnected Number Temporary",Pivot!$A$2:$B$30,2,FALSE),0)</f>
        <v/>
      </c>
    </row>
    <row r="44"/>
    <row r="45"/>
    <row r="46">
      <c r="A46" s="17" t="inlineStr">
        <is>
          <t>TOTAL LEADS DIALLED</t>
        </is>
      </c>
      <c r="B46" s="16">
        <f>SUM(C17:C43)+SUM(E17:E21)</f>
        <v/>
      </c>
    </row>
    <row r="47"/>
    <row r="48">
      <c r="A48" s="17" t="inlineStr">
        <is>
          <t>CAMPAIGN STATISTICS</t>
        </is>
      </c>
    </row>
    <row r="49">
      <c r="A49" s="9" t="inlineStr">
        <is>
          <t>Successful Contacts</t>
        </is>
      </c>
      <c r="B49" s="16">
        <f>SUM(F17:F21)</f>
        <v/>
      </c>
    </row>
    <row r="50">
      <c r="A50" s="9" t="inlineStr">
        <is>
          <t>True Contacts (TC)</t>
        </is>
      </c>
      <c r="B50" s="16">
        <f>SUM(I17:I31)</f>
        <v/>
      </c>
    </row>
    <row r="51">
      <c r="A51" s="9" t="inlineStr">
        <is>
          <t>Unworkable Leads</t>
        </is>
      </c>
      <c r="B51" s="16">
        <f>SUM(G17:G42)</f>
        <v/>
      </c>
    </row>
    <row r="52">
      <c r="A52" s="9" t="inlineStr">
        <is>
          <t>Conversions</t>
        </is>
      </c>
      <c r="B52" s="16">
        <f>F17</f>
        <v/>
      </c>
    </row>
    <row r="53">
      <c r="A53" s="9" t="inlineStr">
        <is>
          <t>Conversion Ratio (vs TC)</t>
        </is>
      </c>
      <c r="B53" s="18">
        <f>B51/B49</f>
        <v/>
      </c>
    </row>
    <row r="54">
      <c r="A54" s="9" t="inlineStr">
        <is>
          <t>Contact Ratio</t>
        </is>
      </c>
      <c r="B54" s="18">
        <f>(B48+B49)/B46</f>
        <v/>
      </c>
    </row>
    <row r="55"/>
    <row r="56"/>
    <row r="57"/>
    <row r="58">
      <c r="A58" s="17" t="inlineStr">
        <is>
          <t>Top 5 Statuses</t>
        </is>
      </c>
      <c r="B58" s="17" t="inlineStr">
        <is>
          <t>Count</t>
        </is>
      </c>
      <c r="C58" s="17" t="inlineStr">
        <is>
          <t>% Contribution</t>
        </is>
      </c>
    </row>
    <row r="59">
      <c r="A59" s="9" t="inlineStr">
        <is>
          <t>Answering Machine Autodial</t>
        </is>
      </c>
      <c r="B59" s="10" t="n">
        <v>247</v>
      </c>
      <c r="C59" s="18">
        <f>B59/B46</f>
        <v/>
      </c>
    </row>
    <row r="60">
      <c r="A60" s="9" t="inlineStr">
        <is>
          <t>Auto Engaged</t>
        </is>
      </c>
      <c r="B60" s="10" t="n">
        <v>178</v>
      </c>
      <c r="C60" s="18">
        <f>B60/B46</f>
        <v/>
      </c>
    </row>
    <row r="61">
      <c r="A61" s="9" t="inlineStr">
        <is>
          <t>Dropped</t>
        </is>
      </c>
      <c r="B61" s="10" t="n">
        <v>94</v>
      </c>
      <c r="C61" s="18">
        <f>B61/B46</f>
        <v/>
      </c>
    </row>
    <row r="62">
      <c r="A62" s="9" t="inlineStr">
        <is>
          <t>No Answer Autodial</t>
        </is>
      </c>
      <c r="B62" s="10" t="n">
        <v>92</v>
      </c>
      <c r="C62" s="18">
        <f>B62/B46</f>
        <v/>
      </c>
    </row>
    <row r="63">
      <c r="A63" s="9" t="inlineStr">
        <is>
          <t>Callback</t>
        </is>
      </c>
      <c r="B63" s="10" t="n">
        <v>69</v>
      </c>
      <c r="C63" s="18">
        <f>B63/B46</f>
        <v/>
      </c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2026-07-05T16:11:41Z</dcterms:created>
  <dcterms:modified xsi:type="dcterms:W3CDTF">2026-07-05T16:11:42Z</dcterms:modified>
</cp:coreProperties>
</file>