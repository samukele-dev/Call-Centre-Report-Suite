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"/>
    </mc:Choice>
  </mc:AlternateContent>
  <xr:revisionPtr revIDLastSave="0" documentId="8_{C41CF568-12CB-412E-838F-6833695ABCE0}" xr6:coauthVersionLast="47" xr6:coauthVersionMax="47" xr10:uidLastSave="{00000000-0000-0000-0000-000000000000}"/>
  <bookViews>
    <workbookView xWindow="-120" yWindow="-120" windowWidth="20640" windowHeight="11040" xr2:uid="{9D9DE4B7-F305-446E-A66D-043686A6D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177" i="1" l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U177" i="1"/>
  <c r="AP177" i="1"/>
  <c r="AO177" i="1"/>
  <c r="AN177" i="1"/>
  <c r="AH177" i="1"/>
  <c r="W177" i="1"/>
  <c r="G177" i="1"/>
  <c r="E177" i="1"/>
  <c r="D177" i="1"/>
  <c r="C177" i="1"/>
  <c r="B177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U176" i="1"/>
  <c r="AP176" i="1"/>
  <c r="AO176" i="1"/>
  <c r="AN176" i="1"/>
  <c r="AH176" i="1"/>
  <c r="W176" i="1"/>
  <c r="G176" i="1"/>
  <c r="E176" i="1"/>
  <c r="D176" i="1"/>
  <c r="C176" i="1"/>
  <c r="B176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U175" i="1"/>
  <c r="AP175" i="1"/>
  <c r="AO175" i="1"/>
  <c r="AN175" i="1"/>
  <c r="AH175" i="1"/>
  <c r="W175" i="1"/>
  <c r="G175" i="1"/>
  <c r="E175" i="1"/>
  <c r="D175" i="1"/>
  <c r="C175" i="1"/>
  <c r="B175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U174" i="1"/>
  <c r="AP174" i="1"/>
  <c r="AO174" i="1"/>
  <c r="AN174" i="1"/>
  <c r="AH174" i="1"/>
  <c r="W174" i="1"/>
  <c r="G174" i="1"/>
  <c r="E174" i="1"/>
  <c r="D174" i="1"/>
  <c r="C174" i="1"/>
  <c r="B174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U173" i="1"/>
  <c r="AP173" i="1"/>
  <c r="AO173" i="1"/>
  <c r="AN173" i="1"/>
  <c r="AH173" i="1"/>
  <c r="W173" i="1"/>
  <c r="G173" i="1"/>
  <c r="E173" i="1"/>
  <c r="D173" i="1"/>
  <c r="C173" i="1"/>
  <c r="B173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U172" i="1"/>
  <c r="AP172" i="1"/>
  <c r="AO172" i="1"/>
  <c r="AN172" i="1"/>
  <c r="AH172" i="1"/>
  <c r="W172" i="1"/>
  <c r="G172" i="1"/>
  <c r="E172" i="1"/>
  <c r="D172" i="1"/>
  <c r="C172" i="1"/>
  <c r="B172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U171" i="1"/>
  <c r="AP171" i="1"/>
  <c r="AO171" i="1"/>
  <c r="AN171" i="1"/>
  <c r="AH171" i="1"/>
  <c r="W171" i="1"/>
  <c r="G171" i="1"/>
  <c r="E171" i="1"/>
  <c r="D171" i="1"/>
  <c r="C171" i="1"/>
  <c r="B171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U170" i="1"/>
  <c r="AP170" i="1"/>
  <c r="AO170" i="1"/>
  <c r="AN170" i="1"/>
  <c r="AH170" i="1"/>
  <c r="W170" i="1"/>
  <c r="G170" i="1"/>
  <c r="E170" i="1"/>
  <c r="D170" i="1"/>
  <c r="C170" i="1"/>
  <c r="B170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U169" i="1"/>
  <c r="AP169" i="1"/>
  <c r="AO169" i="1"/>
  <c r="AN169" i="1"/>
  <c r="AH169" i="1"/>
  <c r="W169" i="1"/>
  <c r="G169" i="1"/>
  <c r="E169" i="1"/>
  <c r="D169" i="1"/>
  <c r="C169" i="1"/>
  <c r="B169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U168" i="1"/>
  <c r="AP168" i="1"/>
  <c r="AO168" i="1"/>
  <c r="AN168" i="1"/>
  <c r="AH168" i="1"/>
  <c r="W168" i="1"/>
  <c r="G168" i="1"/>
  <c r="E168" i="1"/>
  <c r="D168" i="1"/>
  <c r="C168" i="1"/>
  <c r="B168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U167" i="1"/>
  <c r="AP167" i="1"/>
  <c r="AO167" i="1"/>
  <c r="AN167" i="1"/>
  <c r="AH167" i="1"/>
  <c r="W167" i="1"/>
  <c r="G167" i="1"/>
  <c r="E167" i="1"/>
  <c r="D167" i="1"/>
  <c r="C167" i="1"/>
  <c r="B167" i="1"/>
  <c r="BV166" i="1"/>
  <c r="BU166" i="1"/>
  <c r="BT166" i="1"/>
  <c r="BS166" i="1"/>
  <c r="BV165" i="1"/>
  <c r="BU165" i="1"/>
  <c r="BT165" i="1"/>
  <c r="BS165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U164" i="1"/>
  <c r="AP164" i="1"/>
  <c r="AO164" i="1"/>
  <c r="AN164" i="1"/>
  <c r="AH164" i="1"/>
  <c r="W164" i="1"/>
  <c r="G164" i="1"/>
  <c r="E164" i="1"/>
  <c r="D164" i="1"/>
  <c r="C164" i="1"/>
  <c r="B164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U163" i="1"/>
  <c r="AP163" i="1"/>
  <c r="AO163" i="1"/>
  <c r="AN163" i="1"/>
  <c r="AH163" i="1"/>
  <c r="W163" i="1"/>
  <c r="G163" i="1"/>
  <c r="E163" i="1"/>
  <c r="D163" i="1"/>
  <c r="C163" i="1"/>
  <c r="B163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U162" i="1"/>
  <c r="AP162" i="1"/>
  <c r="AO162" i="1"/>
  <c r="AN162" i="1"/>
  <c r="AH162" i="1"/>
  <c r="W162" i="1"/>
  <c r="G162" i="1"/>
  <c r="E162" i="1"/>
  <c r="D162" i="1"/>
  <c r="C162" i="1"/>
  <c r="B162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U161" i="1"/>
  <c r="AP161" i="1"/>
  <c r="AO161" i="1"/>
  <c r="AN161" i="1"/>
  <c r="AH161" i="1"/>
  <c r="W161" i="1"/>
  <c r="G161" i="1"/>
  <c r="E161" i="1"/>
  <c r="D161" i="1"/>
  <c r="C161" i="1"/>
  <c r="B161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U160" i="1"/>
  <c r="AP160" i="1"/>
  <c r="AO160" i="1"/>
  <c r="AN160" i="1"/>
  <c r="AH160" i="1"/>
  <c r="W160" i="1"/>
  <c r="G160" i="1"/>
  <c r="E160" i="1"/>
  <c r="D160" i="1"/>
  <c r="C160" i="1"/>
  <c r="B160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U159" i="1"/>
  <c r="AP159" i="1"/>
  <c r="AO159" i="1"/>
  <c r="AN159" i="1"/>
  <c r="AH159" i="1"/>
  <c r="W159" i="1"/>
  <c r="G159" i="1"/>
  <c r="E159" i="1"/>
  <c r="D159" i="1"/>
  <c r="C159" i="1"/>
  <c r="B159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U158" i="1"/>
  <c r="AP158" i="1"/>
  <c r="AO158" i="1"/>
  <c r="AN158" i="1"/>
  <c r="AH158" i="1"/>
  <c r="W158" i="1"/>
  <c r="G158" i="1"/>
  <c r="E158" i="1"/>
  <c r="D158" i="1"/>
  <c r="C158" i="1"/>
  <c r="B158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U157" i="1"/>
  <c r="AP157" i="1"/>
  <c r="AO157" i="1"/>
  <c r="AN157" i="1"/>
  <c r="AH157" i="1"/>
  <c r="W157" i="1"/>
  <c r="G157" i="1"/>
  <c r="E157" i="1"/>
  <c r="D157" i="1"/>
  <c r="C157" i="1"/>
  <c r="B157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U156" i="1"/>
  <c r="AP156" i="1"/>
  <c r="AO156" i="1"/>
  <c r="AN156" i="1"/>
  <c r="AH156" i="1"/>
  <c r="W156" i="1"/>
  <c r="G156" i="1"/>
  <c r="E156" i="1"/>
  <c r="D156" i="1"/>
  <c r="C156" i="1"/>
  <c r="B156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U155" i="1"/>
  <c r="AP155" i="1"/>
  <c r="AO155" i="1"/>
  <c r="AN155" i="1"/>
  <c r="AH155" i="1"/>
  <c r="W155" i="1"/>
  <c r="G155" i="1"/>
  <c r="E155" i="1"/>
  <c r="D155" i="1"/>
  <c r="C155" i="1"/>
  <c r="B155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U154" i="1"/>
  <c r="AP154" i="1"/>
  <c r="AO154" i="1"/>
  <c r="AN154" i="1"/>
  <c r="AH154" i="1"/>
  <c r="W154" i="1"/>
  <c r="G154" i="1"/>
  <c r="E154" i="1"/>
  <c r="D154" i="1"/>
  <c r="C154" i="1"/>
  <c r="B154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U153" i="1"/>
  <c r="AP153" i="1"/>
  <c r="AO153" i="1"/>
  <c r="AN153" i="1"/>
  <c r="AH153" i="1"/>
  <c r="W153" i="1"/>
  <c r="G153" i="1"/>
  <c r="E153" i="1"/>
  <c r="D153" i="1"/>
  <c r="C153" i="1"/>
  <c r="B153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U152" i="1"/>
  <c r="AP152" i="1"/>
  <c r="AO152" i="1"/>
  <c r="AN152" i="1"/>
  <c r="AH152" i="1"/>
  <c r="W152" i="1"/>
  <c r="G152" i="1"/>
  <c r="E152" i="1"/>
  <c r="D152" i="1"/>
  <c r="C152" i="1"/>
  <c r="B152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U151" i="1"/>
  <c r="AP151" i="1"/>
  <c r="AO151" i="1"/>
  <c r="AN151" i="1"/>
  <c r="AH151" i="1"/>
  <c r="W151" i="1"/>
  <c r="G151" i="1"/>
  <c r="E151" i="1"/>
  <c r="D151" i="1"/>
  <c r="C151" i="1"/>
  <c r="B151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U150" i="1"/>
  <c r="AP150" i="1"/>
  <c r="AO150" i="1"/>
  <c r="AN150" i="1"/>
  <c r="AH150" i="1"/>
  <c r="W150" i="1"/>
  <c r="G150" i="1"/>
  <c r="E150" i="1"/>
  <c r="D150" i="1"/>
  <c r="C150" i="1"/>
  <c r="B150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U149" i="1"/>
  <c r="AP149" i="1"/>
  <c r="AO149" i="1"/>
  <c r="AN149" i="1"/>
  <c r="AH149" i="1"/>
  <c r="W149" i="1"/>
  <c r="G149" i="1"/>
  <c r="E149" i="1"/>
  <c r="D149" i="1"/>
  <c r="C149" i="1"/>
  <c r="B149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U148" i="1"/>
  <c r="AP148" i="1"/>
  <c r="AO148" i="1"/>
  <c r="AN148" i="1"/>
  <c r="AH148" i="1"/>
  <c r="W148" i="1"/>
  <c r="G148" i="1"/>
  <c r="E148" i="1"/>
  <c r="D148" i="1"/>
  <c r="C148" i="1"/>
  <c r="B148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U147" i="1"/>
  <c r="AP147" i="1"/>
  <c r="AO147" i="1"/>
  <c r="AN147" i="1"/>
  <c r="AH147" i="1"/>
  <c r="W147" i="1"/>
  <c r="G147" i="1"/>
  <c r="E147" i="1"/>
  <c r="D147" i="1"/>
  <c r="C147" i="1"/>
  <c r="B147" i="1"/>
  <c r="BV146" i="1"/>
  <c r="BU146" i="1"/>
  <c r="BT146" i="1"/>
  <c r="BS146" i="1"/>
  <c r="BR146" i="1"/>
  <c r="BQ146" i="1"/>
  <c r="BP146" i="1"/>
  <c r="BO146" i="1"/>
  <c r="BN146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U145" i="1"/>
  <c r="AP145" i="1"/>
  <c r="AO145" i="1"/>
  <c r="AN145" i="1"/>
  <c r="AH145" i="1"/>
  <c r="W145" i="1"/>
  <c r="G145" i="1"/>
  <c r="E145" i="1"/>
  <c r="D145" i="1"/>
  <c r="C145" i="1"/>
  <c r="B145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U144" i="1"/>
  <c r="AP144" i="1"/>
  <c r="AO144" i="1"/>
  <c r="AN144" i="1"/>
  <c r="AH144" i="1"/>
  <c r="W144" i="1"/>
  <c r="G144" i="1"/>
  <c r="E144" i="1"/>
  <c r="D144" i="1"/>
  <c r="C144" i="1"/>
  <c r="B144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U143" i="1"/>
  <c r="AP143" i="1"/>
  <c r="AO143" i="1"/>
  <c r="AN143" i="1"/>
  <c r="AH143" i="1"/>
  <c r="W143" i="1"/>
  <c r="G143" i="1"/>
  <c r="E143" i="1"/>
  <c r="D143" i="1"/>
  <c r="C143" i="1"/>
  <c r="B143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U142" i="1"/>
  <c r="AP142" i="1"/>
  <c r="AO142" i="1"/>
  <c r="AN142" i="1"/>
  <c r="AH142" i="1"/>
  <c r="W142" i="1"/>
  <c r="G142" i="1"/>
  <c r="E142" i="1"/>
  <c r="D142" i="1"/>
  <c r="C142" i="1"/>
  <c r="B142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U141" i="1"/>
  <c r="AP141" i="1"/>
  <c r="AO141" i="1"/>
  <c r="AN141" i="1"/>
  <c r="AH141" i="1"/>
  <c r="W141" i="1"/>
  <c r="G141" i="1"/>
  <c r="E141" i="1"/>
  <c r="D141" i="1"/>
  <c r="C141" i="1"/>
  <c r="B141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U140" i="1"/>
  <c r="AP140" i="1"/>
  <c r="AO140" i="1"/>
  <c r="AN140" i="1"/>
  <c r="AH140" i="1"/>
  <c r="W140" i="1"/>
  <c r="G140" i="1"/>
  <c r="E140" i="1"/>
  <c r="D140" i="1"/>
  <c r="C140" i="1"/>
  <c r="B140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U139" i="1"/>
  <c r="AP139" i="1"/>
  <c r="AO139" i="1"/>
  <c r="AN139" i="1"/>
  <c r="AH139" i="1"/>
  <c r="W139" i="1"/>
  <c r="G139" i="1"/>
  <c r="E139" i="1"/>
  <c r="D139" i="1"/>
  <c r="C139" i="1"/>
  <c r="B139" i="1"/>
  <c r="BV138" i="1"/>
  <c r="BU138" i="1"/>
  <c r="BT138" i="1"/>
  <c r="BS138" i="1"/>
  <c r="BR138" i="1"/>
  <c r="BQ138" i="1"/>
  <c r="BP138" i="1"/>
  <c r="BO138" i="1"/>
  <c r="BN138" i="1"/>
  <c r="BM138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U137" i="1"/>
  <c r="AP137" i="1"/>
  <c r="AO137" i="1"/>
  <c r="AN137" i="1"/>
  <c r="AH137" i="1"/>
  <c r="W137" i="1"/>
  <c r="G137" i="1"/>
  <c r="E137" i="1"/>
  <c r="D137" i="1"/>
  <c r="C137" i="1"/>
  <c r="B137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U136" i="1"/>
  <c r="AP136" i="1"/>
  <c r="AO136" i="1"/>
  <c r="AN136" i="1"/>
  <c r="AH136" i="1"/>
  <c r="W136" i="1"/>
  <c r="G136" i="1"/>
  <c r="E136" i="1"/>
  <c r="D136" i="1"/>
  <c r="C136" i="1"/>
  <c r="B136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U135" i="1"/>
  <c r="AP135" i="1"/>
  <c r="AO135" i="1"/>
  <c r="AN135" i="1"/>
  <c r="AH135" i="1"/>
  <c r="W135" i="1"/>
  <c r="G135" i="1"/>
  <c r="E135" i="1"/>
  <c r="D135" i="1"/>
  <c r="C135" i="1"/>
  <c r="B135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U134" i="1"/>
  <c r="AP134" i="1"/>
  <c r="AO134" i="1"/>
  <c r="AN134" i="1"/>
  <c r="AH134" i="1"/>
  <c r="W134" i="1"/>
  <c r="G134" i="1"/>
  <c r="E134" i="1"/>
  <c r="D134" i="1"/>
  <c r="C134" i="1"/>
  <c r="B134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U133" i="1"/>
  <c r="AP133" i="1"/>
  <c r="AO133" i="1"/>
  <c r="AN133" i="1"/>
  <c r="AH133" i="1"/>
  <c r="W133" i="1"/>
  <c r="G133" i="1"/>
  <c r="E133" i="1"/>
  <c r="D133" i="1"/>
  <c r="C133" i="1"/>
  <c r="B133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U132" i="1"/>
  <c r="AP132" i="1"/>
  <c r="AO132" i="1"/>
  <c r="AN132" i="1"/>
  <c r="AH132" i="1"/>
  <c r="W132" i="1"/>
  <c r="G132" i="1"/>
  <c r="E132" i="1"/>
  <c r="D132" i="1"/>
  <c r="C132" i="1"/>
  <c r="B132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U129" i="1"/>
  <c r="AP129" i="1"/>
  <c r="AO129" i="1"/>
  <c r="AN129" i="1"/>
  <c r="AH129" i="1"/>
  <c r="W129" i="1"/>
  <c r="G129" i="1"/>
  <c r="E129" i="1"/>
  <c r="D129" i="1"/>
  <c r="C129" i="1"/>
  <c r="B129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U128" i="1"/>
  <c r="AP128" i="1"/>
  <c r="AO128" i="1"/>
  <c r="AN128" i="1"/>
  <c r="AH128" i="1"/>
  <c r="W128" i="1"/>
  <c r="G128" i="1"/>
  <c r="E128" i="1"/>
  <c r="D128" i="1"/>
  <c r="C128" i="1"/>
  <c r="B128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U127" i="1"/>
  <c r="AP127" i="1"/>
  <c r="AO127" i="1"/>
  <c r="AN127" i="1"/>
  <c r="AH127" i="1"/>
  <c r="W127" i="1"/>
  <c r="G127" i="1"/>
  <c r="E127" i="1"/>
  <c r="D127" i="1"/>
  <c r="C127" i="1"/>
  <c r="B127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U126" i="1"/>
  <c r="AP126" i="1"/>
  <c r="AO126" i="1"/>
  <c r="AN126" i="1"/>
  <c r="AH126" i="1"/>
  <c r="W126" i="1"/>
  <c r="G126" i="1"/>
  <c r="E126" i="1"/>
  <c r="D126" i="1"/>
  <c r="C126" i="1"/>
  <c r="B126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U125" i="1"/>
  <c r="AP125" i="1"/>
  <c r="AO125" i="1"/>
  <c r="AN125" i="1"/>
  <c r="AH125" i="1"/>
  <c r="W125" i="1"/>
  <c r="G125" i="1"/>
  <c r="E125" i="1"/>
  <c r="D125" i="1"/>
  <c r="C125" i="1"/>
  <c r="B125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U124" i="1"/>
  <c r="AP124" i="1"/>
  <c r="AO124" i="1"/>
  <c r="AN124" i="1"/>
  <c r="AH124" i="1"/>
  <c r="W124" i="1"/>
  <c r="G124" i="1"/>
  <c r="E124" i="1"/>
  <c r="D124" i="1"/>
  <c r="C124" i="1"/>
  <c r="B124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U123" i="1"/>
  <c r="AP123" i="1"/>
  <c r="AO123" i="1"/>
  <c r="AN123" i="1"/>
  <c r="AH123" i="1"/>
  <c r="W123" i="1"/>
  <c r="G123" i="1"/>
  <c r="E123" i="1"/>
  <c r="D123" i="1"/>
  <c r="C123" i="1"/>
  <c r="B123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U122" i="1"/>
  <c r="AP122" i="1"/>
  <c r="AO122" i="1"/>
  <c r="AN122" i="1"/>
  <c r="AH122" i="1"/>
  <c r="W122" i="1"/>
  <c r="G122" i="1"/>
  <c r="E122" i="1"/>
  <c r="D122" i="1"/>
  <c r="C122" i="1"/>
  <c r="B122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U121" i="1"/>
  <c r="AP121" i="1"/>
  <c r="AO121" i="1"/>
  <c r="AN121" i="1"/>
  <c r="AH121" i="1"/>
  <c r="W121" i="1"/>
  <c r="G121" i="1"/>
  <c r="E121" i="1"/>
  <c r="D121" i="1"/>
  <c r="C121" i="1"/>
  <c r="B121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U120" i="1"/>
  <c r="AP120" i="1"/>
  <c r="AO120" i="1"/>
  <c r="AN120" i="1"/>
  <c r="AH120" i="1"/>
  <c r="W120" i="1"/>
  <c r="G120" i="1"/>
  <c r="E120" i="1"/>
  <c r="D120" i="1"/>
  <c r="C120" i="1"/>
  <c r="B120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U119" i="1"/>
  <c r="AP119" i="1"/>
  <c r="AO119" i="1"/>
  <c r="AN119" i="1"/>
  <c r="AH119" i="1"/>
  <c r="W119" i="1"/>
  <c r="G119" i="1"/>
  <c r="E119" i="1"/>
  <c r="D119" i="1"/>
  <c r="C119" i="1"/>
  <c r="B119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U118" i="1"/>
  <c r="AP118" i="1"/>
  <c r="AO118" i="1"/>
  <c r="AN118" i="1"/>
  <c r="AH118" i="1"/>
  <c r="W118" i="1"/>
  <c r="G118" i="1"/>
  <c r="E118" i="1"/>
  <c r="D118" i="1"/>
  <c r="C118" i="1"/>
  <c r="B118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U117" i="1"/>
  <c r="AP117" i="1"/>
  <c r="AO117" i="1"/>
  <c r="AN117" i="1"/>
  <c r="AH117" i="1"/>
  <c r="W117" i="1"/>
  <c r="G117" i="1"/>
  <c r="E117" i="1"/>
  <c r="D117" i="1"/>
  <c r="C117" i="1"/>
  <c r="B117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U116" i="1"/>
  <c r="AP116" i="1"/>
  <c r="AO116" i="1"/>
  <c r="AN116" i="1"/>
  <c r="AH116" i="1"/>
  <c r="W116" i="1"/>
  <c r="G116" i="1"/>
  <c r="E116" i="1"/>
  <c r="D116" i="1"/>
  <c r="C116" i="1"/>
  <c r="B116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U115" i="1"/>
  <c r="AP115" i="1"/>
  <c r="AO115" i="1"/>
  <c r="AN115" i="1"/>
  <c r="AH115" i="1"/>
  <c r="W115" i="1"/>
  <c r="G115" i="1"/>
  <c r="E115" i="1"/>
  <c r="D115" i="1"/>
  <c r="C115" i="1"/>
  <c r="B115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U114" i="1"/>
  <c r="AP114" i="1"/>
  <c r="AO114" i="1"/>
  <c r="AN114" i="1"/>
  <c r="AH114" i="1"/>
  <c r="W114" i="1"/>
  <c r="G114" i="1"/>
  <c r="E114" i="1"/>
  <c r="D114" i="1"/>
  <c r="C114" i="1"/>
  <c r="B114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U113" i="1"/>
  <c r="AP113" i="1"/>
  <c r="AO113" i="1"/>
  <c r="AN113" i="1"/>
  <c r="AH113" i="1"/>
  <c r="W113" i="1"/>
  <c r="G113" i="1"/>
  <c r="E113" i="1"/>
  <c r="D113" i="1"/>
  <c r="C113" i="1"/>
  <c r="B113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U112" i="1"/>
  <c r="AP112" i="1"/>
  <c r="AO112" i="1"/>
  <c r="AN112" i="1"/>
  <c r="AH112" i="1"/>
  <c r="W112" i="1"/>
  <c r="G112" i="1"/>
  <c r="E112" i="1"/>
  <c r="D112" i="1"/>
  <c r="C112" i="1"/>
  <c r="B112" i="1"/>
  <c r="BV111" i="1"/>
  <c r="BU111" i="1"/>
  <c r="BT111" i="1"/>
  <c r="BS111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U110" i="1"/>
  <c r="AP110" i="1"/>
  <c r="AO110" i="1"/>
  <c r="AN110" i="1"/>
  <c r="AH110" i="1"/>
  <c r="W110" i="1"/>
  <c r="G110" i="1"/>
  <c r="E110" i="1"/>
  <c r="D110" i="1"/>
  <c r="C110" i="1"/>
  <c r="B110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U109" i="1"/>
  <c r="AP109" i="1"/>
  <c r="AO109" i="1"/>
  <c r="AN109" i="1"/>
  <c r="AH109" i="1"/>
  <c r="W109" i="1"/>
  <c r="G109" i="1"/>
  <c r="E109" i="1"/>
  <c r="D109" i="1"/>
  <c r="C109" i="1"/>
  <c r="B109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U108" i="1"/>
  <c r="AP108" i="1"/>
  <c r="AO108" i="1"/>
  <c r="AN108" i="1"/>
  <c r="AH108" i="1"/>
  <c r="W108" i="1"/>
  <c r="G108" i="1"/>
  <c r="E108" i="1"/>
  <c r="D108" i="1"/>
  <c r="C108" i="1"/>
  <c r="B108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U107" i="1"/>
  <c r="AP107" i="1"/>
  <c r="AO107" i="1"/>
  <c r="AN107" i="1"/>
  <c r="AH107" i="1"/>
  <c r="W107" i="1"/>
  <c r="G107" i="1"/>
  <c r="E107" i="1"/>
  <c r="D107" i="1"/>
  <c r="C107" i="1"/>
  <c r="B107" i="1"/>
  <c r="BV106" i="1"/>
  <c r="BU106" i="1"/>
  <c r="BT106" i="1"/>
  <c r="BS106" i="1"/>
  <c r="BV105" i="1"/>
  <c r="BU105" i="1"/>
  <c r="BT105" i="1"/>
  <c r="BS10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U25" i="1"/>
  <c r="AT25" i="1"/>
  <c r="AS25" i="1"/>
  <c r="AR25" i="1"/>
  <c r="AQ25" i="1"/>
  <c r="AP25" i="1"/>
  <c r="AO25" i="1"/>
  <c r="AN25" i="1"/>
  <c r="AH25" i="1"/>
  <c r="W25" i="1"/>
  <c r="G25" i="1"/>
  <c r="E25" i="1"/>
  <c r="D25" i="1"/>
  <c r="C25" i="1"/>
  <c r="B25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U20" i="1"/>
  <c r="AT20" i="1"/>
  <c r="AS20" i="1"/>
  <c r="AR20" i="1"/>
  <c r="AQ20" i="1"/>
  <c r="AP20" i="1"/>
  <c r="AO20" i="1"/>
  <c r="AN20" i="1"/>
  <c r="AH20" i="1"/>
  <c r="W20" i="1"/>
  <c r="G20" i="1"/>
  <c r="E20" i="1"/>
  <c r="D20" i="1"/>
  <c r="C20" i="1"/>
  <c r="B20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U19" i="1"/>
  <c r="AT19" i="1"/>
  <c r="AS19" i="1"/>
  <c r="AR19" i="1"/>
  <c r="AQ19" i="1"/>
  <c r="AP19" i="1"/>
  <c r="AO19" i="1"/>
  <c r="AN19" i="1"/>
  <c r="AH19" i="1"/>
  <c r="W19" i="1"/>
  <c r="G19" i="1"/>
  <c r="E19" i="1"/>
  <c r="D19" i="1"/>
  <c r="C19" i="1"/>
  <c r="B19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U18" i="1"/>
  <c r="AT18" i="1"/>
  <c r="AS18" i="1"/>
  <c r="AR18" i="1"/>
  <c r="AQ18" i="1"/>
  <c r="AP18" i="1"/>
  <c r="AO18" i="1"/>
  <c r="AN18" i="1"/>
  <c r="AH18" i="1"/>
  <c r="W18" i="1"/>
  <c r="G18" i="1"/>
  <c r="E18" i="1"/>
  <c r="D18" i="1"/>
  <c r="C18" i="1"/>
  <c r="B18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U17" i="1"/>
  <c r="AT17" i="1"/>
  <c r="AS17" i="1"/>
  <c r="AR17" i="1"/>
  <c r="AQ17" i="1"/>
  <c r="AP17" i="1"/>
  <c r="AO17" i="1"/>
  <c r="AN17" i="1"/>
  <c r="AH17" i="1"/>
  <c r="W17" i="1"/>
  <c r="G17" i="1"/>
  <c r="E17" i="1"/>
  <c r="D17" i="1"/>
  <c r="C17" i="1"/>
  <c r="B17" i="1"/>
  <c r="BO111" i="1" l="1"/>
  <c r="BQ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U111" i="1"/>
  <c r="AP111" i="1"/>
  <c r="AO111" i="1"/>
  <c r="AN111" i="1"/>
  <c r="AH111" i="1"/>
  <c r="W111" i="1"/>
  <c r="G111" i="1"/>
  <c r="E111" i="1"/>
  <c r="D111" i="1"/>
  <c r="C111" i="1"/>
  <c r="B111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U106" i="1"/>
  <c r="AP106" i="1"/>
  <c r="AO106" i="1"/>
  <c r="AN106" i="1"/>
  <c r="AH106" i="1"/>
  <c r="W106" i="1"/>
  <c r="G106" i="1"/>
  <c r="E106" i="1"/>
  <c r="D106" i="1"/>
  <c r="C106" i="1"/>
  <c r="B106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U105" i="1"/>
  <c r="AP105" i="1"/>
  <c r="AO105" i="1"/>
  <c r="AN105" i="1"/>
  <c r="AH105" i="1"/>
  <c r="W105" i="1"/>
  <c r="G105" i="1"/>
  <c r="D105" i="1"/>
  <c r="C105" i="1"/>
  <c r="B105" i="1"/>
  <c r="BR111" i="1"/>
  <c r="E105" i="1"/>
  <c r="BP111" i="1"/>
</calcChain>
</file>

<file path=xl/sharedStrings.xml><?xml version="1.0" encoding="utf-8"?>
<sst xmlns="http://schemas.openxmlformats.org/spreadsheetml/2006/main" count="230" uniqueCount="103">
  <si>
    <t>Campaign:</t>
  </si>
  <si>
    <t>Vodacom</t>
  </si>
  <si>
    <t>Product:</t>
  </si>
  <si>
    <t>Vodacom Life</t>
  </si>
  <si>
    <t>Week 1</t>
  </si>
  <si>
    <t>Week 2</t>
  </si>
  <si>
    <t>Week 3</t>
  </si>
  <si>
    <t>Week 4</t>
  </si>
  <si>
    <t>Week 5</t>
  </si>
  <si>
    <t>Week1</t>
  </si>
  <si>
    <t>Week2</t>
  </si>
  <si>
    <t>Week3</t>
  </si>
  <si>
    <t>Total Leads</t>
  </si>
  <si>
    <t>Unworked Leads (New Leads)</t>
  </si>
  <si>
    <t>Succesful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</si>
  <si>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</si>
  <si>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</si>
  <si>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</si>
  <si>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</si>
  <si>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</si>
  <si>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</si>
  <si>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</si>
  <si>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Contactability</t>
  </si>
  <si>
    <t>Lead to Sale Conversion</t>
  </si>
  <si>
    <t>Conversion to True Sale</t>
  </si>
  <si>
    <t>True contacts to sales</t>
  </si>
  <si>
    <t>True Sale to Collections</t>
  </si>
  <si>
    <t>Number of Calls to Leads</t>
  </si>
  <si>
    <t>Number of Calls Made</t>
  </si>
  <si>
    <t>Number of Calls per Lead</t>
  </si>
  <si>
    <t>Number of Agents</t>
  </si>
  <si>
    <t>Number of Working Days</t>
  </si>
  <si>
    <t>Unsuccesful Contacts Dispositions</t>
  </si>
  <si>
    <t>Answering Machine Autodial</t>
  </si>
  <si>
    <t>No Answer AutoDial</t>
  </si>
  <si>
    <t>Dropped</t>
  </si>
  <si>
    <t>Answering Machine</t>
  </si>
  <si>
    <t>Temporary Disconnected Number</t>
  </si>
  <si>
    <t>Auto Engaged</t>
  </si>
  <si>
    <t>Bad Line Quality</t>
  </si>
  <si>
    <t>Outbound Pre-Routing Drop</t>
  </si>
  <si>
    <t>No Answer</t>
  </si>
  <si>
    <t>Busy Tone</t>
  </si>
  <si>
    <t>Inbound Abandon</t>
  </si>
  <si>
    <t>Selected</t>
  </si>
  <si>
    <t>Inbound After Hours Drop</t>
  </si>
  <si>
    <t>New</t>
  </si>
  <si>
    <t>Missed</t>
  </si>
  <si>
    <t>Multiple Calls</t>
  </si>
  <si>
    <t>Call Dropped</t>
  </si>
  <si>
    <t>Disconnected</t>
  </si>
  <si>
    <t>Customer drop</t>
  </si>
  <si>
    <t>Auto Alt-Dialling</t>
  </si>
  <si>
    <t>Disconnected Number Auto</t>
  </si>
  <si>
    <t>TPS Registered Number</t>
  </si>
  <si>
    <t>Engaged</t>
  </si>
  <si>
    <t>Busy</t>
  </si>
  <si>
    <t>Flow Inbound Abandon</t>
  </si>
  <si>
    <t>Unworkable Leads Dispositions</t>
  </si>
  <si>
    <t>Unemployed</t>
  </si>
  <si>
    <t>Under Age</t>
  </si>
  <si>
    <t>Over Age Limit</t>
  </si>
  <si>
    <t>Does Not Qualify</t>
  </si>
  <si>
    <t>Go to the Branch</t>
  </si>
  <si>
    <t>Existing Client</t>
  </si>
  <si>
    <t>Do not call</t>
  </si>
  <si>
    <t>Wrong number</t>
  </si>
  <si>
    <t>Language Barrier</t>
  </si>
  <si>
    <t>Client Deceased</t>
  </si>
  <si>
    <t>Right Party Not Available</t>
  </si>
  <si>
    <t>Client Contacted For Documents</t>
  </si>
  <si>
    <t>Already Contacted</t>
  </si>
  <si>
    <t>Existing Client - Store</t>
  </si>
  <si>
    <t>Account In Arrears</t>
  </si>
  <si>
    <t>Existing Client - Bytes</t>
  </si>
  <si>
    <t>Scheduled Appointment</t>
  </si>
  <si>
    <t>Refund Request</t>
  </si>
  <si>
    <t>Not Working Cannot Afford</t>
  </si>
  <si>
    <t>Device Not Working</t>
  </si>
  <si>
    <t>Account Suspended</t>
  </si>
  <si>
    <t>Wanted medical aid</t>
  </si>
  <si>
    <t>Lead Being Called</t>
  </si>
  <si>
    <t>Insured at another company</t>
  </si>
  <si>
    <t>Client Hung Up</t>
  </si>
  <si>
    <t>Affordability</t>
  </si>
  <si>
    <t>Not Interested</t>
  </si>
  <si>
    <t>Callback</t>
  </si>
  <si>
    <t>Not Interested Upfront</t>
  </si>
  <si>
    <t>Client Quoted Not Interested</t>
  </si>
  <si>
    <t>DNQ Quote Declined</t>
  </si>
  <si>
    <t>Do Not Qualify Failed Medical Question</t>
  </si>
  <si>
    <t>Not Interested Household Contents</t>
  </si>
  <si>
    <t>Not Interested Premium Cost</t>
  </si>
  <si>
    <t>Not Interested Device Cost</t>
  </si>
  <si>
    <t>Cannot Afford</t>
  </si>
  <si>
    <t>Not interested SMS</t>
  </si>
  <si>
    <t>Call Back Hold</t>
  </si>
  <si>
    <t>NI Household Contents</t>
  </si>
  <si>
    <t>Not interested - Pitched</t>
  </si>
  <si>
    <t>Declined Sale</t>
  </si>
  <si>
    <t>Sale Made</t>
  </si>
  <si>
    <t>QA Rework</t>
  </si>
  <si>
    <t>Sale 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</si>
</sst>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7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1" xfId="0" applyNumberFormat="1" applyBorder="1"/>
    <xf numFmtId="17" fontId="0" fillId="0" borderId="4" xfId="0" applyNumberFormat="1" applyBorder="1"/>
    <xf numFmtId="17" fontId="0" fillId="0" borderId="2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6" xfId="1" applyFont="1" applyBorder="1"/>
    <xf numFmtId="9" fontId="0" fillId="0" borderId="0" xfId="1" applyFont="1" applyBorder="1"/>
    <xf numFmtId="9" fontId="0" fillId="0" borderId="7" xfId="1" applyFont="1" applyBorder="1"/>
    <xf numFmtId="9" fontId="0" fillId="0" borderId="11" xfId="1" applyFont="1" applyBorder="1"/>
    <xf numFmtId="1" fontId="0" fillId="0" borderId="6" xfId="0" applyNumberFormat="1" applyBorder="1"/>
    <xf numFmtId="1" fontId="0" fillId="0" borderId="0" xfId="0" applyNumberFormat="1"/>
    <xf numFmtId="1" fontId="0" fillId="0" borderId="7" xfId="0" applyNumberFormat="1" applyBorder="1"/>
    <xf numFmtId="1" fontId="0" fillId="0" borderId="11" xfId="0" applyNumberFormat="1" applyBorder="1"/>
    <xf numFmtId="0" fontId="2" fillId="0" borderId="11" xfId="0" applyFont="1" applyBorder="1"/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7A9E-ACD3-44F9-ACE3-9CDD93209F3F}">
  <dimension ref="A1:BV199"/>
  <sheetViews>
    <sheetView tabSelected="1" workbookViewId="0">
      <selection sqref="A1:XFD1048576"/>
    </sheetView>
  </sheetViews>
  <sheetFormatPr defaultRowHeight="15" x14ac:dyDescent="0.25"/>
  <cols>
    <col min="1" max="1" width="34.42578125" bestFit="1" customWidth="1"/>
    <col min="2" max="68" width="8.85546875" hidden="1" customWidth="1"/>
    <col min="69" max="72" width="0" hidden="1" customWidth="1"/>
  </cols>
  <sheetData>
    <row r="1" spans="1:74" x14ac:dyDescent="0.25">
      <c r="A1" t="s">
        <v>0</v>
      </c>
      <c r="B1" t="s">
        <v>1</v>
      </c>
    </row>
    <row r="2" spans="1:74" x14ac:dyDescent="0.25">
      <c r="A2" t="s">
        <v>2</v>
      </c>
      <c r="B2" t="s">
        <v>3</v>
      </c>
    </row>
    <row r="3" spans="1:74" ht="15.75" thickBot="1" x14ac:dyDescent="0.3"/>
    <row r="4" spans="1:74" x14ac:dyDescent="0.25">
      <c r="B4" s="1">
        <v>44713</v>
      </c>
      <c r="C4" s="2"/>
      <c r="D4" s="2"/>
      <c r="E4" s="2"/>
      <c r="F4" s="3"/>
      <c r="G4" s="4">
        <v>44743</v>
      </c>
      <c r="H4" s="1">
        <v>44774</v>
      </c>
      <c r="I4" s="2"/>
      <c r="J4" s="2"/>
      <c r="K4" s="2"/>
      <c r="L4" s="3"/>
      <c r="M4" s="1">
        <v>44805</v>
      </c>
      <c r="N4" s="2"/>
      <c r="O4" s="2"/>
      <c r="P4" s="2"/>
      <c r="Q4" s="3"/>
      <c r="R4" s="1">
        <v>44866</v>
      </c>
      <c r="S4" s="2"/>
      <c r="T4" s="2"/>
      <c r="U4" s="2"/>
      <c r="V4" s="2"/>
      <c r="W4" s="5">
        <v>44896</v>
      </c>
      <c r="X4" s="6">
        <v>44927</v>
      </c>
      <c r="Y4" s="2"/>
      <c r="Z4" s="2"/>
      <c r="AA4" s="2"/>
      <c r="AB4" s="3"/>
      <c r="AC4" s="6">
        <v>44958</v>
      </c>
      <c r="AD4" s="2"/>
      <c r="AE4" s="2"/>
      <c r="AF4" s="2"/>
      <c r="AG4" s="3"/>
      <c r="AH4" s="7">
        <v>44986</v>
      </c>
      <c r="AI4" s="6">
        <v>45017</v>
      </c>
      <c r="AJ4" s="2"/>
      <c r="AK4" s="2"/>
      <c r="AL4" s="2"/>
      <c r="AM4" s="3"/>
      <c r="AN4" s="7">
        <v>45047</v>
      </c>
      <c r="AO4" s="7">
        <v>45078</v>
      </c>
      <c r="AP4" s="6">
        <v>45108</v>
      </c>
      <c r="AQ4" s="2"/>
      <c r="AR4" s="2"/>
      <c r="AS4" s="2"/>
      <c r="AT4" s="2"/>
      <c r="AU4" s="5">
        <v>45139</v>
      </c>
      <c r="AV4" s="6">
        <v>45170</v>
      </c>
      <c r="AW4" s="2"/>
      <c r="AX4" s="2"/>
      <c r="AY4" s="2"/>
      <c r="AZ4" s="3"/>
      <c r="BA4" s="4">
        <v>45200</v>
      </c>
      <c r="BB4" s="1">
        <v>45231</v>
      </c>
      <c r="BC4" s="6"/>
      <c r="BD4" s="6"/>
      <c r="BE4" s="6"/>
      <c r="BF4" s="1">
        <v>45261</v>
      </c>
      <c r="BG4" s="6"/>
      <c r="BH4" s="6"/>
      <c r="BI4" s="1">
        <v>45292</v>
      </c>
      <c r="BJ4" s="8"/>
      <c r="BK4" s="9">
        <v>45323</v>
      </c>
      <c r="BL4" s="5">
        <v>45352</v>
      </c>
      <c r="BM4" s="5">
        <v>45413</v>
      </c>
      <c r="BN4" s="5">
        <v>45474</v>
      </c>
      <c r="BO4" s="5">
        <v>45566</v>
      </c>
      <c r="BP4" s="5">
        <v>45597</v>
      </c>
      <c r="BQ4" s="5">
        <v>45689</v>
      </c>
      <c r="BR4" s="5">
        <v>45778</v>
      </c>
      <c r="BS4" s="5">
        <v>45839</v>
      </c>
      <c r="BT4" s="5">
        <v>45870</v>
      </c>
      <c r="BU4" s="5">
        <v>45870</v>
      </c>
      <c r="BV4" s="5">
        <v>46023</v>
      </c>
    </row>
    <row r="5" spans="1:74" ht="15.75" thickBot="1" x14ac:dyDescent="0.3">
      <c r="A5" s="10"/>
      <c r="B5" s="11" t="s">
        <v>4</v>
      </c>
      <c r="C5" t="s">
        <v>5</v>
      </c>
      <c r="D5" t="s">
        <v>6</v>
      </c>
      <c r="E5" t="s">
        <v>7</v>
      </c>
      <c r="F5" s="12" t="s">
        <v>8</v>
      </c>
      <c r="G5" s="13" t="s">
        <v>6</v>
      </c>
      <c r="H5" s="10" t="s">
        <v>4</v>
      </c>
      <c r="I5" s="13" t="s">
        <v>5</v>
      </c>
      <c r="J5" s="13" t="s">
        <v>6</v>
      </c>
      <c r="K5" s="13" t="s">
        <v>7</v>
      </c>
      <c r="L5" s="14" t="s">
        <v>8</v>
      </c>
      <c r="M5" s="10" t="s">
        <v>4</v>
      </c>
      <c r="N5" s="13" t="s">
        <v>5</v>
      </c>
      <c r="O5" s="13" t="s">
        <v>6</v>
      </c>
      <c r="P5" s="13" t="s">
        <v>7</v>
      </c>
      <c r="Q5" s="14" t="s">
        <v>8</v>
      </c>
      <c r="R5" s="10" t="s">
        <v>4</v>
      </c>
      <c r="S5" s="13" t="s">
        <v>5</v>
      </c>
      <c r="T5" s="13" t="s">
        <v>6</v>
      </c>
      <c r="U5" s="13" t="s">
        <v>7</v>
      </c>
      <c r="V5" s="13" t="s">
        <v>8</v>
      </c>
      <c r="W5" s="15" t="s">
        <v>6</v>
      </c>
      <c r="X5" s="13" t="s">
        <v>4</v>
      </c>
      <c r="Y5" s="13" t="s">
        <v>5</v>
      </c>
      <c r="Z5" s="13" t="s">
        <v>6</v>
      </c>
      <c r="AA5" s="13" t="s">
        <v>7</v>
      </c>
      <c r="AB5" s="14" t="s">
        <v>8</v>
      </c>
      <c r="AC5" s="13" t="s">
        <v>4</v>
      </c>
      <c r="AD5" s="13" t="s">
        <v>5</v>
      </c>
      <c r="AE5" s="13" t="s">
        <v>6</v>
      </c>
      <c r="AF5" s="13" t="s">
        <v>7</v>
      </c>
      <c r="AG5" s="14" t="s">
        <v>8</v>
      </c>
      <c r="AH5" s="14" t="s">
        <v>4</v>
      </c>
      <c r="AI5" s="13" t="s">
        <v>4</v>
      </c>
      <c r="AJ5" s="13" t="s">
        <v>5</v>
      </c>
      <c r="AK5" s="13" t="s">
        <v>6</v>
      </c>
      <c r="AL5" s="13" t="s">
        <v>7</v>
      </c>
      <c r="AM5" s="14" t="s">
        <v>8</v>
      </c>
      <c r="AN5" s="14" t="s">
        <v>5</v>
      </c>
      <c r="AO5" s="16" t="s">
        <v>4</v>
      </c>
      <c r="AP5" t="s">
        <v>4</v>
      </c>
      <c r="AQ5" t="s">
        <v>5</v>
      </c>
      <c r="AR5" t="s">
        <v>6</v>
      </c>
      <c r="AS5" t="s">
        <v>7</v>
      </c>
      <c r="AT5" t="s">
        <v>8</v>
      </c>
      <c r="AU5" s="16" t="s">
        <v>8</v>
      </c>
      <c r="AV5" t="s">
        <v>4</v>
      </c>
      <c r="AW5" t="s">
        <v>5</v>
      </c>
      <c r="AX5" t="s">
        <v>6</v>
      </c>
      <c r="AY5" t="s">
        <v>7</v>
      </c>
      <c r="AZ5" s="12" t="s">
        <v>8</v>
      </c>
      <c r="BA5" s="11" t="s">
        <v>4</v>
      </c>
      <c r="BB5" s="10" t="s">
        <v>9</v>
      </c>
      <c r="BC5" s="13" t="s">
        <v>10</v>
      </c>
      <c r="BD5" s="13" t="s">
        <v>11</v>
      </c>
      <c r="BE5" s="13" t="s">
        <v>7</v>
      </c>
      <c r="BF5" s="10" t="s">
        <v>9</v>
      </c>
      <c r="BG5" s="13" t="s">
        <v>10</v>
      </c>
      <c r="BH5" s="13" t="s">
        <v>11</v>
      </c>
      <c r="BI5" s="11" t="s">
        <v>4</v>
      </c>
      <c r="BJ5" s="12" t="s">
        <v>5</v>
      </c>
      <c r="BK5" s="14" t="s">
        <v>5</v>
      </c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</row>
    <row r="6" spans="1:74" x14ac:dyDescent="0.25">
      <c r="A6" s="17" t="s">
        <v>12</v>
      </c>
      <c r="B6" s="18">
        <v>5000</v>
      </c>
      <c r="C6" s="19">
        <v>5000</v>
      </c>
      <c r="D6" s="19">
        <v>5000</v>
      </c>
      <c r="E6" s="19">
        <v>5000</v>
      </c>
      <c r="F6" s="20"/>
      <c r="G6" s="19">
        <v>5000</v>
      </c>
      <c r="H6" s="18"/>
      <c r="I6" s="19"/>
      <c r="J6" s="19"/>
      <c r="K6" s="19"/>
      <c r="L6" s="20"/>
      <c r="M6" s="19"/>
      <c r="N6" s="19"/>
      <c r="O6" s="19"/>
      <c r="P6" s="19"/>
      <c r="Q6" s="20"/>
      <c r="R6" s="18"/>
      <c r="S6" s="19"/>
      <c r="T6" s="19"/>
      <c r="U6" s="19"/>
      <c r="V6" s="19"/>
      <c r="W6" s="16">
        <v>5000</v>
      </c>
      <c r="AB6" s="12"/>
      <c r="AG6" s="12"/>
      <c r="AH6" s="20">
        <v>3330</v>
      </c>
      <c r="AI6" s="18"/>
      <c r="AJ6" s="19"/>
      <c r="AK6" s="19"/>
      <c r="AL6" s="19"/>
      <c r="AM6" s="20"/>
      <c r="AN6" s="17">
        <v>5000</v>
      </c>
      <c r="AO6" s="17">
        <v>5000</v>
      </c>
      <c r="AP6" s="19"/>
      <c r="AQ6" s="19"/>
      <c r="AR6" s="19"/>
      <c r="AS6" s="19"/>
      <c r="AT6" s="19"/>
      <c r="AU6" s="17">
        <v>5000</v>
      </c>
      <c r="AV6" s="19"/>
      <c r="AW6" s="19"/>
      <c r="AX6" s="19"/>
      <c r="AY6" s="19"/>
      <c r="AZ6" s="20"/>
      <c r="BA6" s="17">
        <v>2101</v>
      </c>
      <c r="BB6">
        <v>2518</v>
      </c>
      <c r="BC6">
        <v>2500</v>
      </c>
      <c r="BD6">
        <v>2500</v>
      </c>
      <c r="BE6">
        <v>2500</v>
      </c>
      <c r="BF6" s="18">
        <v>2500</v>
      </c>
      <c r="BG6" s="19">
        <v>2500</v>
      </c>
      <c r="BH6" s="19">
        <v>5250</v>
      </c>
      <c r="BI6" s="18">
        <v>2500</v>
      </c>
      <c r="BJ6" s="20">
        <v>2500</v>
      </c>
      <c r="BK6" s="20">
        <v>30072</v>
      </c>
      <c r="BL6" s="17">
        <v>14388</v>
      </c>
      <c r="BM6" s="17">
        <v>2477</v>
      </c>
      <c r="BN6" s="17">
        <v>2500</v>
      </c>
      <c r="BO6" s="17">
        <v>5000</v>
      </c>
      <c r="BP6" s="17">
        <v>5000</v>
      </c>
      <c r="BQ6" s="17">
        <v>10000</v>
      </c>
      <c r="BR6" s="17">
        <v>5001</v>
      </c>
      <c r="BS6" s="17">
        <v>5000</v>
      </c>
      <c r="BT6" s="17">
        <v>5000</v>
      </c>
      <c r="BU6" s="17">
        <v>5000</v>
      </c>
      <c r="BV6" s="17">
        <v>5000</v>
      </c>
    </row>
    <row r="7" spans="1:74" x14ac:dyDescent="0.25">
      <c r="A7" s="16" t="s">
        <v>13</v>
      </c>
      <c r="B7" s="11">
        <v>0</v>
      </c>
      <c r="C7">
        <v>0</v>
      </c>
      <c r="D7">
        <v>0</v>
      </c>
      <c r="E7">
        <v>0</v>
      </c>
      <c r="F7" s="12"/>
      <c r="G7">
        <v>0</v>
      </c>
      <c r="H7" s="11"/>
      <c r="L7" s="12"/>
      <c r="Q7" s="12"/>
      <c r="R7" s="11"/>
      <c r="W7" s="16">
        <v>0</v>
      </c>
      <c r="AB7" s="12"/>
      <c r="AG7" s="12"/>
      <c r="AH7" s="12">
        <v>0</v>
      </c>
      <c r="AI7" s="11"/>
      <c r="AM7" s="12"/>
      <c r="AN7" s="16">
        <v>0</v>
      </c>
      <c r="AO7" s="16">
        <v>0</v>
      </c>
      <c r="AU7" s="16">
        <v>0</v>
      </c>
      <c r="AZ7" s="12"/>
      <c r="BA7" s="16">
        <v>0</v>
      </c>
      <c r="BB7">
        <v>0</v>
      </c>
      <c r="BC7">
        <v>0</v>
      </c>
      <c r="BD7">
        <v>0</v>
      </c>
      <c r="BE7">
        <v>0</v>
      </c>
      <c r="BF7" s="11">
        <v>0</v>
      </c>
      <c r="BG7">
        <v>0</v>
      </c>
      <c r="BH7">
        <v>0</v>
      </c>
      <c r="BI7" s="11">
        <v>0</v>
      </c>
      <c r="BJ7" s="12">
        <v>0</v>
      </c>
      <c r="BK7" s="12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5000</v>
      </c>
    </row>
    <row r="8" spans="1:74" x14ac:dyDescent="0.25">
      <c r="A8" s="16" t="s">
        <v>14</v>
      </c>
      <c r="B8" s="11">
        <v>1366</v>
      </c>
      <c r="C8">
        <v>1566</v>
      </c>
      <c r="D8">
        <v>120</v>
      </c>
      <c r="E8">
        <v>690</v>
      </c>
      <c r="F8" s="12"/>
      <c r="G8">
        <v>1646</v>
      </c>
      <c r="H8" s="11"/>
      <c r="L8" s="12"/>
      <c r="Q8" s="12"/>
      <c r="R8" s="11"/>
      <c r="W8" s="16">
        <v>725</v>
      </c>
      <c r="AB8" s="12"/>
      <c r="AG8" s="12"/>
      <c r="AH8" s="12">
        <v>1857</v>
      </c>
      <c r="AI8" s="11"/>
      <c r="AM8" s="12"/>
      <c r="AN8" s="16">
        <v>1115</v>
      </c>
      <c r="AO8" s="16">
        <v>926</v>
      </c>
      <c r="AU8" s="16">
        <v>635</v>
      </c>
      <c r="AZ8" s="12"/>
      <c r="BA8" s="16">
        <v>228</v>
      </c>
      <c r="BB8">
        <v>348</v>
      </c>
      <c r="BC8">
        <v>360</v>
      </c>
      <c r="BD8">
        <v>389</v>
      </c>
      <c r="BE8">
        <v>350</v>
      </c>
      <c r="BF8" s="11">
        <v>422</v>
      </c>
      <c r="BG8">
        <v>393</v>
      </c>
      <c r="BH8">
        <v>802</v>
      </c>
      <c r="BI8" s="11">
        <v>372</v>
      </c>
      <c r="BJ8" s="12">
        <v>368</v>
      </c>
      <c r="BK8" s="12">
        <v>2610</v>
      </c>
      <c r="BL8" s="16">
        <v>1610</v>
      </c>
      <c r="BM8" s="16">
        <v>315</v>
      </c>
      <c r="BN8" s="16">
        <v>514</v>
      </c>
      <c r="BO8" s="16">
        <v>1060</v>
      </c>
      <c r="BP8" s="16">
        <v>354</v>
      </c>
      <c r="BQ8" s="16">
        <v>3212</v>
      </c>
      <c r="BR8" s="16">
        <v>2151</v>
      </c>
      <c r="BS8" s="16">
        <v>3153</v>
      </c>
      <c r="BT8" s="16">
        <v>3332</v>
      </c>
      <c r="BU8" s="16">
        <v>3449</v>
      </c>
      <c r="BV8" s="16">
        <v>0</v>
      </c>
    </row>
    <row r="9" spans="1:74" x14ac:dyDescent="0.25">
      <c r="A9" s="16" t="s">
        <v>15</v>
      </c>
      <c r="B9" s="11">
        <v>481</v>
      </c>
      <c r="C9">
        <v>855</v>
      </c>
      <c r="D9">
        <v>41</v>
      </c>
      <c r="E9">
        <v>193</v>
      </c>
      <c r="F9" s="12"/>
      <c r="G9">
        <v>470</v>
      </c>
      <c r="H9" s="11"/>
      <c r="L9" s="12"/>
      <c r="Q9" s="12"/>
      <c r="R9" s="11"/>
      <c r="W9" s="16">
        <v>179</v>
      </c>
      <c r="AB9" s="12"/>
      <c r="AG9" s="12"/>
      <c r="AH9" s="12">
        <v>1192</v>
      </c>
      <c r="AI9" s="11"/>
      <c r="AM9" s="12"/>
      <c r="AN9" s="16">
        <v>658</v>
      </c>
      <c r="AO9" s="16">
        <v>519</v>
      </c>
      <c r="AU9" s="16">
        <v>402</v>
      </c>
      <c r="AZ9" s="12"/>
      <c r="BA9" s="16">
        <v>186</v>
      </c>
      <c r="BB9">
        <v>241</v>
      </c>
      <c r="BC9">
        <v>255</v>
      </c>
      <c r="BD9">
        <v>276</v>
      </c>
      <c r="BE9">
        <v>213</v>
      </c>
      <c r="BF9" s="11">
        <v>291</v>
      </c>
      <c r="BG9">
        <v>264</v>
      </c>
      <c r="BH9">
        <v>502</v>
      </c>
      <c r="BI9" s="11">
        <v>234</v>
      </c>
      <c r="BJ9" s="12">
        <v>243</v>
      </c>
      <c r="BK9" s="12">
        <v>2309</v>
      </c>
      <c r="BL9" s="16">
        <v>1412</v>
      </c>
      <c r="BM9" s="16">
        <v>186</v>
      </c>
      <c r="BN9" s="16">
        <v>337</v>
      </c>
      <c r="BO9" s="16">
        <v>602</v>
      </c>
      <c r="BP9" s="16">
        <v>252</v>
      </c>
      <c r="BQ9" s="16">
        <v>2354</v>
      </c>
      <c r="BR9" s="16">
        <v>1514</v>
      </c>
      <c r="BS9" s="16">
        <v>2468</v>
      </c>
      <c r="BT9" s="16">
        <v>2386</v>
      </c>
      <c r="BU9" s="16">
        <v>2480</v>
      </c>
      <c r="BV9" s="16">
        <v>0</v>
      </c>
    </row>
    <row r="10" spans="1:74" x14ac:dyDescent="0.25">
      <c r="A10" s="16" t="s">
        <v>16</v>
      </c>
      <c r="B10" s="11">
        <v>68</v>
      </c>
      <c r="C10">
        <v>169</v>
      </c>
      <c r="D10">
        <v>4</v>
      </c>
      <c r="E10">
        <v>36</v>
      </c>
      <c r="F10" s="12"/>
      <c r="G10">
        <v>148</v>
      </c>
      <c r="H10" s="11"/>
      <c r="L10" s="12"/>
      <c r="Q10" s="12"/>
      <c r="R10" s="11"/>
      <c r="W10" s="16">
        <v>57</v>
      </c>
      <c r="AB10" s="12"/>
      <c r="AG10" s="12"/>
      <c r="AH10" s="12">
        <v>348</v>
      </c>
      <c r="AI10" s="11"/>
      <c r="AM10" s="12"/>
      <c r="AN10" s="16">
        <v>79</v>
      </c>
      <c r="AO10" s="16">
        <v>53</v>
      </c>
      <c r="AU10" s="16">
        <v>43</v>
      </c>
      <c r="AZ10" s="12"/>
      <c r="BA10" s="16">
        <v>31</v>
      </c>
      <c r="BB10">
        <v>22</v>
      </c>
      <c r="BC10">
        <v>29</v>
      </c>
      <c r="BD10">
        <v>26</v>
      </c>
      <c r="BE10">
        <v>20</v>
      </c>
      <c r="BF10" s="11">
        <v>37</v>
      </c>
      <c r="BG10">
        <v>17</v>
      </c>
      <c r="BH10">
        <v>46</v>
      </c>
      <c r="BI10" s="11">
        <v>16</v>
      </c>
      <c r="BJ10" s="12">
        <v>23</v>
      </c>
      <c r="BK10" s="12">
        <v>143</v>
      </c>
      <c r="BL10" s="16">
        <v>59</v>
      </c>
      <c r="BM10" s="16">
        <v>5</v>
      </c>
      <c r="BN10" s="16">
        <v>37</v>
      </c>
      <c r="BO10" s="16">
        <v>4</v>
      </c>
      <c r="BP10" s="16">
        <v>15</v>
      </c>
      <c r="BQ10" s="16">
        <v>94</v>
      </c>
      <c r="BR10" s="16">
        <v>68</v>
      </c>
      <c r="BS10" s="16">
        <v>32</v>
      </c>
      <c r="BT10" s="16">
        <v>14</v>
      </c>
      <c r="BU10" s="16">
        <v>15</v>
      </c>
      <c r="BV10" s="16">
        <v>0</v>
      </c>
    </row>
    <row r="11" spans="1:74" x14ac:dyDescent="0.25">
      <c r="A11" s="16" t="s">
        <v>17</v>
      </c>
      <c r="B11" s="11">
        <v>68</v>
      </c>
      <c r="C11">
        <v>169</v>
      </c>
      <c r="D11">
        <v>4</v>
      </c>
      <c r="E11">
        <v>36</v>
      </c>
      <c r="F11" s="12"/>
      <c r="G11">
        <v>148</v>
      </c>
      <c r="H11" s="11"/>
      <c r="L11" s="12"/>
      <c r="Q11" s="12"/>
      <c r="R11" s="11"/>
      <c r="W11" s="16">
        <v>57</v>
      </c>
      <c r="AB11" s="12"/>
      <c r="AG11" s="12"/>
      <c r="AH11" s="12">
        <v>348</v>
      </c>
      <c r="AI11" s="11"/>
      <c r="AM11" s="12"/>
      <c r="AN11" s="16">
        <v>79</v>
      </c>
      <c r="AO11" s="16">
        <v>53</v>
      </c>
      <c r="AU11" s="16">
        <v>43</v>
      </c>
      <c r="AZ11" s="12"/>
      <c r="BA11" s="16">
        <v>31</v>
      </c>
      <c r="BB11">
        <v>22</v>
      </c>
      <c r="BC11">
        <v>29</v>
      </c>
      <c r="BD11">
        <v>29</v>
      </c>
      <c r="BE11">
        <v>20</v>
      </c>
      <c r="BF11" s="11">
        <v>37</v>
      </c>
      <c r="BG11">
        <v>17</v>
      </c>
      <c r="BH11">
        <v>46</v>
      </c>
      <c r="BI11" s="11">
        <v>16</v>
      </c>
      <c r="BJ11" s="12">
        <v>23</v>
      </c>
      <c r="BK11" s="12">
        <v>143</v>
      </c>
      <c r="BL11" s="16">
        <v>59</v>
      </c>
      <c r="BM11" s="16">
        <v>5</v>
      </c>
      <c r="BN11" s="16">
        <v>37</v>
      </c>
      <c r="BO11" s="16">
        <v>4</v>
      </c>
      <c r="BP11" s="16">
        <v>15</v>
      </c>
      <c r="BQ11" s="16">
        <v>94</v>
      </c>
      <c r="BR11" s="16">
        <v>68</v>
      </c>
      <c r="BS11" s="16">
        <v>32</v>
      </c>
      <c r="BT11" s="16">
        <v>14</v>
      </c>
      <c r="BU11" s="16">
        <v>15</v>
      </c>
      <c r="BV11" s="16">
        <v>0</v>
      </c>
    </row>
    <row r="12" spans="1:74" x14ac:dyDescent="0.25">
      <c r="A12" s="16" t="s">
        <v>18</v>
      </c>
      <c r="B12" s="11"/>
      <c r="F12" s="12"/>
      <c r="H12" s="11"/>
      <c r="L12" s="12"/>
      <c r="Q12" s="12"/>
      <c r="R12" s="11"/>
      <c r="W12" s="16"/>
      <c r="AB12" s="12"/>
      <c r="AG12" s="12"/>
      <c r="AH12" s="12"/>
      <c r="AI12" s="11"/>
      <c r="AM12" s="12"/>
      <c r="AN12" s="16"/>
      <c r="AO12" s="16"/>
      <c r="AU12" s="16"/>
      <c r="AZ12" s="12"/>
      <c r="BA12" s="16"/>
      <c r="BF12" s="11"/>
      <c r="BI12" s="11"/>
      <c r="BJ12" s="12"/>
      <c r="BK12" s="12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</row>
    <row r="13" spans="1:74" x14ac:dyDescent="0.25">
      <c r="A13" s="16" t="s">
        <v>19</v>
      </c>
      <c r="B13" s="11"/>
      <c r="F13" s="12"/>
      <c r="H13" s="11"/>
      <c r="L13" s="12"/>
      <c r="Q13" s="12"/>
      <c r="R13" s="11"/>
      <c r="W13" s="16"/>
      <c r="AB13" s="12"/>
      <c r="AG13" s="12"/>
      <c r="AH13" s="12"/>
      <c r="AI13" s="11"/>
      <c r="AM13" s="12"/>
      <c r="AN13" s="16"/>
      <c r="AO13" s="16"/>
      <c r="AU13" s="16"/>
      <c r="AZ13" s="12"/>
      <c r="BA13" s="16"/>
      <c r="BF13" s="11"/>
      <c r="BI13" s="11"/>
      <c r="BJ13" s="12"/>
      <c r="BK13" s="12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</row>
    <row r="14" spans="1:74" x14ac:dyDescent="0.25">
      <c r="A14" s="16" t="s">
        <v>20</v>
      </c>
      <c r="B14" s="11"/>
      <c r="F14" s="12"/>
      <c r="H14" s="11"/>
      <c r="L14" s="12"/>
      <c r="Q14" s="12"/>
      <c r="R14" s="11"/>
      <c r="W14" s="16"/>
      <c r="AB14" s="12"/>
      <c r="AG14" s="12"/>
      <c r="AH14" s="12"/>
      <c r="AI14" s="11"/>
      <c r="AM14" s="12"/>
      <c r="AN14" s="16"/>
      <c r="AO14" s="16"/>
      <c r="AU14" s="16"/>
      <c r="AZ14" s="12"/>
      <c r="BA14" s="16"/>
      <c r="BF14" s="11"/>
      <c r="BI14" s="11"/>
      <c r="BJ14" s="12"/>
      <c r="BK14" s="12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</row>
    <row r="15" spans="1:74" x14ac:dyDescent="0.25">
      <c r="A15" s="16" t="s">
        <v>21</v>
      </c>
      <c r="B15" s="11"/>
      <c r="F15" s="12"/>
      <c r="H15" s="11"/>
      <c r="L15" s="12"/>
      <c r="Q15" s="12"/>
      <c r="R15" s="11"/>
      <c r="W15" s="16"/>
      <c r="AB15" s="12"/>
      <c r="AG15" s="12"/>
      <c r="AH15" s="12"/>
      <c r="AI15" s="11"/>
      <c r="AM15" s="12"/>
      <c r="AN15" s="16"/>
      <c r="AO15" s="16"/>
      <c r="AU15" s="16"/>
      <c r="AZ15" s="12"/>
      <c r="BA15" s="16"/>
      <c r="BF15" s="11"/>
      <c r="BI15" s="11"/>
      <c r="BJ15" s="12"/>
      <c r="BK15" s="12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</row>
    <row r="16" spans="1:74" x14ac:dyDescent="0.25">
      <c r="A16" s="16"/>
      <c r="B16" s="11"/>
      <c r="F16" s="12"/>
      <c r="H16" s="11"/>
      <c r="L16" s="12"/>
      <c r="Q16" s="12"/>
      <c r="R16" s="11"/>
      <c r="W16" s="16"/>
      <c r="AB16" s="12"/>
      <c r="AG16" s="12"/>
      <c r="AH16" s="12"/>
      <c r="AI16" s="11"/>
      <c r="AM16" s="12"/>
      <c r="AN16" s="16"/>
      <c r="AO16" s="16"/>
      <c r="AU16" s="16"/>
      <c r="AZ16" s="12"/>
      <c r="BA16" s="16"/>
      <c r="BF16" s="11"/>
      <c r="BI16" s="11"/>
      <c r="BJ16" s="12"/>
      <c r="BK16" s="12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</row>
    <row r="17" spans="1:74" x14ac:dyDescent="0.25">
      <c r="A17" s="16" t="s">
        <v>22</v>
      </c>
      <c r="B17" s="21">
        <f>B8/B6</f>
        <v>0.2732</v>
      </c>
      <c r="C17" s="22">
        <f>C8/C6</f>
        <v>0.31319999999999998</v>
      </c>
      <c r="D17" s="22">
        <f>D8/D6</f>
        <v>2.4E-2</v>
      </c>
      <c r="E17" s="22">
        <f>E8/E6</f>
        <v>0.13800000000000001</v>
      </c>
      <c r="F17" s="23"/>
      <c r="G17" s="22">
        <f>G8/G6</f>
        <v>0.32919999999999999</v>
      </c>
      <c r="H17" s="21"/>
      <c r="I17" s="22"/>
      <c r="J17" s="22"/>
      <c r="K17" s="22"/>
      <c r="L17" s="23"/>
      <c r="M17" s="22"/>
      <c r="N17" s="22"/>
      <c r="O17" s="22"/>
      <c r="P17" s="22"/>
      <c r="Q17" s="12"/>
      <c r="R17" s="11"/>
      <c r="W17" s="24">
        <f>W8/W6</f>
        <v>0.14499999999999999</v>
      </c>
      <c r="X17" s="22"/>
      <c r="Y17" s="22"/>
      <c r="Z17" s="22"/>
      <c r="AA17" s="22"/>
      <c r="AB17" s="23"/>
      <c r="AC17" s="22"/>
      <c r="AD17" s="22"/>
      <c r="AE17" s="22"/>
      <c r="AF17" s="22"/>
      <c r="AG17" s="23"/>
      <c r="AH17" s="23">
        <f>AH8/AH6</f>
        <v>0.55765765765765762</v>
      </c>
      <c r="AI17" s="21"/>
      <c r="AJ17" s="22"/>
      <c r="AK17" s="22"/>
      <c r="AL17" s="22"/>
      <c r="AM17" s="23"/>
      <c r="AN17" s="24">
        <f t="shared" ref="AN17:AT17" si="0">AN8/AN6</f>
        <v>0.223</v>
      </c>
      <c r="AO17" s="24">
        <f t="shared" si="0"/>
        <v>0.1852</v>
      </c>
      <c r="AP17" s="22" t="e">
        <f t="shared" si="0"/>
        <v>#DIV/0!</v>
      </c>
      <c r="AQ17" s="22" t="e">
        <f t="shared" si="0"/>
        <v>#DIV/0!</v>
      </c>
      <c r="AR17" s="22" t="e">
        <f t="shared" si="0"/>
        <v>#DIV/0!</v>
      </c>
      <c r="AS17" s="22" t="e">
        <f t="shared" si="0"/>
        <v>#DIV/0!</v>
      </c>
      <c r="AT17" s="22" t="e">
        <f t="shared" si="0"/>
        <v>#DIV/0!</v>
      </c>
      <c r="AU17" s="24">
        <f>AU8/AU6</f>
        <v>0.127</v>
      </c>
      <c r="AV17" s="22"/>
      <c r="AW17" s="22"/>
      <c r="AX17" s="22"/>
      <c r="AY17" s="22"/>
      <c r="AZ17" s="23"/>
      <c r="BA17" s="24">
        <f>BA8/BA6</f>
        <v>0.10851975249881009</v>
      </c>
      <c r="BB17" s="22">
        <f>BB8/BB6</f>
        <v>0.13820492454328834</v>
      </c>
      <c r="BC17" s="22">
        <f>BC8/BC6</f>
        <v>0.14399999999999999</v>
      </c>
      <c r="BD17" s="22">
        <f>BD8/BD6</f>
        <v>0.15559999999999999</v>
      </c>
      <c r="BE17" s="22">
        <f t="shared" ref="BE17:BV17" si="1">BE8/BE6</f>
        <v>0.14000000000000001</v>
      </c>
      <c r="BF17" s="21">
        <f>BF8/BF6</f>
        <v>0.16880000000000001</v>
      </c>
      <c r="BG17" s="22">
        <f>BG8/BG6</f>
        <v>0.15720000000000001</v>
      </c>
      <c r="BH17" s="22">
        <f>BH8/BH6</f>
        <v>0.15276190476190477</v>
      </c>
      <c r="BI17" s="21">
        <f>BI8/BI6</f>
        <v>0.14879999999999999</v>
      </c>
      <c r="BJ17" s="23">
        <f t="shared" si="1"/>
        <v>0.1472</v>
      </c>
      <c r="BK17" s="23">
        <f t="shared" si="1"/>
        <v>8.6791699920191534E-2</v>
      </c>
      <c r="BL17" s="24">
        <f t="shared" si="1"/>
        <v>0.11189880455935501</v>
      </c>
      <c r="BM17" s="24">
        <f t="shared" si="1"/>
        <v>0.12716996366572467</v>
      </c>
      <c r="BN17" s="24">
        <f t="shared" si="1"/>
        <v>0.2056</v>
      </c>
      <c r="BO17" s="24">
        <f t="shared" si="1"/>
        <v>0.21199999999999999</v>
      </c>
      <c r="BP17" s="24">
        <f t="shared" si="1"/>
        <v>7.0800000000000002E-2</v>
      </c>
      <c r="BQ17" s="24">
        <f t="shared" si="1"/>
        <v>0.32119999999999999</v>
      </c>
      <c r="BR17" s="24">
        <f t="shared" si="1"/>
        <v>0.43011397720455907</v>
      </c>
      <c r="BS17" s="24">
        <f t="shared" si="1"/>
        <v>0.63060000000000005</v>
      </c>
      <c r="BT17" s="24">
        <f t="shared" si="1"/>
        <v>0.66639999999999999</v>
      </c>
      <c r="BU17" s="24">
        <f t="shared" si="1"/>
        <v>0.68979999999999997</v>
      </c>
      <c r="BV17" s="24">
        <f t="shared" si="1"/>
        <v>0</v>
      </c>
    </row>
    <row r="18" spans="1:74" x14ac:dyDescent="0.25">
      <c r="A18" s="16" t="s">
        <v>23</v>
      </c>
      <c r="B18" s="21">
        <f>B10/B6</f>
        <v>1.3599999999999999E-2</v>
      </c>
      <c r="C18" s="22">
        <f>C10/C6</f>
        <v>3.3799999999999997E-2</v>
      </c>
      <c r="D18" s="22">
        <f>D10/D6</f>
        <v>8.0000000000000004E-4</v>
      </c>
      <c r="E18" s="22">
        <f>E10/E6</f>
        <v>7.1999999999999998E-3</v>
      </c>
      <c r="F18" s="23"/>
      <c r="G18" s="22">
        <f>G10/G6</f>
        <v>2.9600000000000001E-2</v>
      </c>
      <c r="H18" s="21"/>
      <c r="I18" s="22"/>
      <c r="J18" s="22"/>
      <c r="K18" s="22"/>
      <c r="L18" s="23"/>
      <c r="M18" s="22"/>
      <c r="N18" s="22"/>
      <c r="O18" s="22"/>
      <c r="P18" s="22"/>
      <c r="Q18" s="12"/>
      <c r="R18" s="11"/>
      <c r="W18" s="24">
        <f>W10/W6</f>
        <v>1.14E-2</v>
      </c>
      <c r="X18" s="22"/>
      <c r="Y18" s="22"/>
      <c r="Z18" s="22"/>
      <c r="AA18" s="22"/>
      <c r="AB18" s="23"/>
      <c r="AC18" s="22"/>
      <c r="AD18" s="22"/>
      <c r="AE18" s="22"/>
      <c r="AF18" s="22"/>
      <c r="AG18" s="23"/>
      <c r="AH18" s="23">
        <f>AH10/AH6</f>
        <v>0.10450450450450451</v>
      </c>
      <c r="AI18" s="21"/>
      <c r="AJ18" s="22"/>
      <c r="AK18" s="22"/>
      <c r="AL18" s="22"/>
      <c r="AM18" s="23"/>
      <c r="AN18" s="24">
        <f t="shared" ref="AN18:BV18" si="2">AN10/AN6</f>
        <v>1.5800000000000002E-2</v>
      </c>
      <c r="AO18" s="24">
        <f t="shared" si="2"/>
        <v>1.06E-2</v>
      </c>
      <c r="AP18" s="22" t="e">
        <f t="shared" si="2"/>
        <v>#DIV/0!</v>
      </c>
      <c r="AQ18" s="22" t="e">
        <f t="shared" si="2"/>
        <v>#DIV/0!</v>
      </c>
      <c r="AR18" s="22" t="e">
        <f t="shared" si="2"/>
        <v>#DIV/0!</v>
      </c>
      <c r="AS18" s="22" t="e">
        <f t="shared" si="2"/>
        <v>#DIV/0!</v>
      </c>
      <c r="AT18" s="22" t="e">
        <f t="shared" si="2"/>
        <v>#DIV/0!</v>
      </c>
      <c r="AU18" s="24">
        <f t="shared" si="2"/>
        <v>8.6E-3</v>
      </c>
      <c r="AV18" s="22"/>
      <c r="AW18" s="22"/>
      <c r="AX18" s="22"/>
      <c r="AY18" s="22"/>
      <c r="AZ18" s="23"/>
      <c r="BA18" s="24">
        <f t="shared" si="2"/>
        <v>1.4754878629224179E-2</v>
      </c>
      <c r="BB18" s="22">
        <f>BB10/BB6</f>
        <v>8.737092930897538E-3</v>
      </c>
      <c r="BC18" s="22">
        <f>BC10/BC6</f>
        <v>1.1599999999999999E-2</v>
      </c>
      <c r="BD18" s="22">
        <f>BD10/BD6</f>
        <v>1.04E-2</v>
      </c>
      <c r="BE18" s="22">
        <f t="shared" si="2"/>
        <v>8.0000000000000002E-3</v>
      </c>
      <c r="BF18" s="21">
        <f>BF10/BF6</f>
        <v>1.4800000000000001E-2</v>
      </c>
      <c r="BG18" s="22">
        <f>BG10/BG6</f>
        <v>6.7999999999999996E-3</v>
      </c>
      <c r="BH18" s="22">
        <f>BH10/BH6</f>
        <v>8.7619047619047624E-3</v>
      </c>
      <c r="BI18" s="21">
        <f>BI10/BI6</f>
        <v>6.4000000000000003E-3</v>
      </c>
      <c r="BJ18" s="23">
        <f t="shared" si="2"/>
        <v>9.1999999999999998E-3</v>
      </c>
      <c r="BK18" s="23">
        <f t="shared" si="2"/>
        <v>4.7552540569300349E-3</v>
      </c>
      <c r="BL18" s="24">
        <f t="shared" si="2"/>
        <v>4.1006394217403394E-3</v>
      </c>
      <c r="BM18" s="24">
        <f t="shared" si="2"/>
        <v>2.0185708518368995E-3</v>
      </c>
      <c r="BN18" s="24">
        <f t="shared" si="2"/>
        <v>1.4800000000000001E-2</v>
      </c>
      <c r="BO18" s="24">
        <f t="shared" si="2"/>
        <v>8.0000000000000004E-4</v>
      </c>
      <c r="BP18" s="24">
        <f t="shared" si="2"/>
        <v>3.0000000000000001E-3</v>
      </c>
      <c r="BQ18" s="24">
        <f t="shared" si="2"/>
        <v>9.4000000000000004E-3</v>
      </c>
      <c r="BR18" s="24">
        <f t="shared" si="2"/>
        <v>1.3597280543891222E-2</v>
      </c>
      <c r="BS18" s="24">
        <f t="shared" si="2"/>
        <v>6.4000000000000003E-3</v>
      </c>
      <c r="BT18" s="24">
        <f t="shared" si="2"/>
        <v>2.8E-3</v>
      </c>
      <c r="BU18" s="24">
        <f t="shared" si="2"/>
        <v>3.0000000000000001E-3</v>
      </c>
      <c r="BV18" s="24">
        <f t="shared" si="2"/>
        <v>0</v>
      </c>
    </row>
    <row r="19" spans="1:74" x14ac:dyDescent="0.25">
      <c r="A19" s="16" t="s">
        <v>24</v>
      </c>
      <c r="B19" s="21">
        <f>B11/B10</f>
        <v>1</v>
      </c>
      <c r="C19" s="22">
        <f>C11/C10</f>
        <v>1</v>
      </c>
      <c r="D19" s="22">
        <f>D11/D10</f>
        <v>1</v>
      </c>
      <c r="E19" s="22">
        <f>E11/E10</f>
        <v>1</v>
      </c>
      <c r="F19" s="23"/>
      <c r="G19" s="22">
        <f>G11/G10</f>
        <v>1</v>
      </c>
      <c r="H19" s="21"/>
      <c r="I19" s="22"/>
      <c r="J19" s="22"/>
      <c r="K19" s="22"/>
      <c r="L19" s="23"/>
      <c r="M19" s="22"/>
      <c r="N19" s="22"/>
      <c r="O19" s="22"/>
      <c r="P19" s="22"/>
      <c r="Q19" s="12"/>
      <c r="R19" s="11"/>
      <c r="W19" s="24">
        <f>W11/W10</f>
        <v>1</v>
      </c>
      <c r="X19" s="22"/>
      <c r="Y19" s="22"/>
      <c r="Z19" s="22"/>
      <c r="AA19" s="22"/>
      <c r="AB19" s="23"/>
      <c r="AC19" s="22"/>
      <c r="AD19" s="22"/>
      <c r="AE19" s="22"/>
      <c r="AF19" s="22"/>
      <c r="AG19" s="23"/>
      <c r="AH19" s="23">
        <f t="shared" ref="AH19:AT19" si="3">AH11/AH10</f>
        <v>1</v>
      </c>
      <c r="AI19" s="21"/>
      <c r="AJ19" s="22"/>
      <c r="AK19" s="22"/>
      <c r="AL19" s="22"/>
      <c r="AM19" s="23"/>
      <c r="AN19" s="24">
        <f t="shared" si="3"/>
        <v>1</v>
      </c>
      <c r="AO19" s="24">
        <f t="shared" si="3"/>
        <v>1</v>
      </c>
      <c r="AP19" s="22" t="e">
        <f t="shared" si="3"/>
        <v>#DIV/0!</v>
      </c>
      <c r="AQ19" s="22" t="e">
        <f t="shared" si="3"/>
        <v>#DIV/0!</v>
      </c>
      <c r="AR19" s="22" t="e">
        <f t="shared" si="3"/>
        <v>#DIV/0!</v>
      </c>
      <c r="AS19" s="22" t="e">
        <f t="shared" si="3"/>
        <v>#DIV/0!</v>
      </c>
      <c r="AT19" s="22" t="e">
        <f t="shared" si="3"/>
        <v>#DIV/0!</v>
      </c>
      <c r="AU19" s="24">
        <f>AU11/AU10</f>
        <v>1</v>
      </c>
      <c r="AV19" s="22"/>
      <c r="AW19" s="22"/>
      <c r="AX19" s="22"/>
      <c r="AY19" s="22"/>
      <c r="AZ19" s="23"/>
      <c r="BA19" s="24">
        <f>BA11/BA10</f>
        <v>1</v>
      </c>
      <c r="BB19" s="22">
        <f>BB11/BB10</f>
        <v>1</v>
      </c>
      <c r="BC19" s="22">
        <f>BC11/BC10</f>
        <v>1</v>
      </c>
      <c r="BD19" s="22">
        <f>BD11/BD10</f>
        <v>1.1153846153846154</v>
      </c>
      <c r="BE19" s="22">
        <f t="shared" ref="BE19:BV19" si="4">BE11/BE10</f>
        <v>1</v>
      </c>
      <c r="BF19" s="21">
        <f>BF11/BF10</f>
        <v>1</v>
      </c>
      <c r="BG19" s="22">
        <f>BG11/BG10</f>
        <v>1</v>
      </c>
      <c r="BH19" s="22">
        <f>BH11/BH10</f>
        <v>1</v>
      </c>
      <c r="BI19" s="21">
        <f>BI11/BI10</f>
        <v>1</v>
      </c>
      <c r="BJ19" s="23">
        <f t="shared" si="4"/>
        <v>1</v>
      </c>
      <c r="BK19" s="23">
        <f t="shared" si="4"/>
        <v>1</v>
      </c>
      <c r="BL19" s="24">
        <f t="shared" si="4"/>
        <v>1</v>
      </c>
      <c r="BM19" s="24">
        <f t="shared" si="4"/>
        <v>1</v>
      </c>
      <c r="BN19" s="24">
        <f t="shared" si="4"/>
        <v>1</v>
      </c>
      <c r="BO19" s="24">
        <f t="shared" si="4"/>
        <v>1</v>
      </c>
      <c r="BP19" s="24">
        <f t="shared" si="4"/>
        <v>1</v>
      </c>
      <c r="BQ19" s="24">
        <f t="shared" si="4"/>
        <v>1</v>
      </c>
      <c r="BR19" s="24">
        <f t="shared" si="4"/>
        <v>1</v>
      </c>
      <c r="BS19" s="24">
        <f t="shared" si="4"/>
        <v>1</v>
      </c>
      <c r="BT19" s="24">
        <f t="shared" si="4"/>
        <v>1</v>
      </c>
      <c r="BU19" s="24">
        <f t="shared" si="4"/>
        <v>1</v>
      </c>
      <c r="BV19" s="24" t="e">
        <f t="shared" si="4"/>
        <v>#DIV/0!</v>
      </c>
    </row>
    <row r="20" spans="1:74" x14ac:dyDescent="0.25">
      <c r="A20" s="16" t="s">
        <v>25</v>
      </c>
      <c r="B20" s="21">
        <f>B10/B9</f>
        <v>0.14137214137214138</v>
      </c>
      <c r="C20" s="22">
        <f>C10/C9</f>
        <v>0.19766081871345029</v>
      </c>
      <c r="D20" s="22">
        <f>D10/D9</f>
        <v>9.7560975609756101E-2</v>
      </c>
      <c r="E20" s="22">
        <f>E10/E9</f>
        <v>0.18652849740932642</v>
      </c>
      <c r="F20" s="23"/>
      <c r="G20" s="22">
        <f>G10/G9</f>
        <v>0.31489361702127661</v>
      </c>
      <c r="H20" s="21"/>
      <c r="I20" s="22"/>
      <c r="J20" s="22"/>
      <c r="K20" s="22"/>
      <c r="L20" s="23"/>
      <c r="M20" s="22"/>
      <c r="N20" s="22"/>
      <c r="O20" s="22"/>
      <c r="P20" s="22"/>
      <c r="Q20" s="12"/>
      <c r="R20" s="11"/>
      <c r="W20" s="24">
        <f>W10/W9</f>
        <v>0.31843575418994413</v>
      </c>
      <c r="X20" s="22"/>
      <c r="Y20" s="22"/>
      <c r="Z20" s="22"/>
      <c r="AA20" s="22"/>
      <c r="AB20" s="23"/>
      <c r="AC20" s="22"/>
      <c r="AD20" s="22"/>
      <c r="AE20" s="22"/>
      <c r="AF20" s="22"/>
      <c r="AG20" s="23"/>
      <c r="AH20" s="23">
        <f t="shared" ref="AH20:AT20" si="5">AH10/AH9</f>
        <v>0.29194630872483224</v>
      </c>
      <c r="AI20" s="21"/>
      <c r="AJ20" s="22"/>
      <c r="AK20" s="22"/>
      <c r="AL20" s="22"/>
      <c r="AM20" s="23"/>
      <c r="AN20" s="24">
        <f t="shared" si="5"/>
        <v>0.12006079027355623</v>
      </c>
      <c r="AO20" s="24">
        <f t="shared" si="5"/>
        <v>0.10211946050096339</v>
      </c>
      <c r="AP20" s="22" t="e">
        <f t="shared" si="5"/>
        <v>#DIV/0!</v>
      </c>
      <c r="AQ20" s="22" t="e">
        <f t="shared" si="5"/>
        <v>#DIV/0!</v>
      </c>
      <c r="AR20" s="22" t="e">
        <f t="shared" si="5"/>
        <v>#DIV/0!</v>
      </c>
      <c r="AS20" s="22" t="e">
        <f t="shared" si="5"/>
        <v>#DIV/0!</v>
      </c>
      <c r="AT20" s="22" t="e">
        <f t="shared" si="5"/>
        <v>#DIV/0!</v>
      </c>
      <c r="AU20" s="24">
        <f>AU10/AU9</f>
        <v>0.10696517412935323</v>
      </c>
      <c r="AV20" s="22"/>
      <c r="AW20" s="22"/>
      <c r="AX20" s="22"/>
      <c r="AY20" s="22"/>
      <c r="AZ20" s="23"/>
      <c r="BA20" s="24">
        <f>BA10/BA9</f>
        <v>0.16666666666666666</v>
      </c>
      <c r="BB20" s="22">
        <f>BB10/BB9</f>
        <v>9.1286307053941904E-2</v>
      </c>
      <c r="BC20" s="22">
        <f>BC10/BC9</f>
        <v>0.11372549019607843</v>
      </c>
      <c r="BD20" s="22">
        <f>BD10/BD9</f>
        <v>9.420289855072464E-2</v>
      </c>
      <c r="BE20" s="22">
        <f t="shared" ref="BE20:BV20" si="6">BE10/BE9</f>
        <v>9.3896713615023469E-2</v>
      </c>
      <c r="BF20" s="21">
        <f>BF10/BF9</f>
        <v>0.12714776632302405</v>
      </c>
      <c r="BG20" s="22">
        <f>BG10/BG9</f>
        <v>6.4393939393939392E-2</v>
      </c>
      <c r="BH20" s="22">
        <f>BH10/BH9</f>
        <v>9.1633466135458169E-2</v>
      </c>
      <c r="BI20" s="21">
        <f>BI10/BI9</f>
        <v>6.8376068376068383E-2</v>
      </c>
      <c r="BJ20" s="23">
        <f t="shared" si="6"/>
        <v>9.4650205761316872E-2</v>
      </c>
      <c r="BK20" s="23">
        <f t="shared" si="6"/>
        <v>6.1931572109138154E-2</v>
      </c>
      <c r="BL20" s="24">
        <f t="shared" si="6"/>
        <v>4.1784702549575073E-2</v>
      </c>
      <c r="BM20" s="24">
        <f t="shared" si="6"/>
        <v>2.6881720430107527E-2</v>
      </c>
      <c r="BN20" s="24">
        <f t="shared" si="6"/>
        <v>0.10979228486646884</v>
      </c>
      <c r="BO20" s="24">
        <f t="shared" si="6"/>
        <v>6.6445182724252493E-3</v>
      </c>
      <c r="BP20" s="24">
        <f t="shared" si="6"/>
        <v>5.9523809523809521E-2</v>
      </c>
      <c r="BQ20" s="24">
        <f t="shared" si="6"/>
        <v>3.9932030586236192E-2</v>
      </c>
      <c r="BR20" s="24">
        <f t="shared" si="6"/>
        <v>4.491413474240423E-2</v>
      </c>
      <c r="BS20" s="24">
        <f t="shared" si="6"/>
        <v>1.2965964343598054E-2</v>
      </c>
      <c r="BT20" s="24">
        <f t="shared" si="6"/>
        <v>5.86756077116513E-3</v>
      </c>
      <c r="BU20" s="24">
        <f t="shared" si="6"/>
        <v>6.0483870967741934E-3</v>
      </c>
      <c r="BV20" s="24" t="e">
        <f t="shared" si="6"/>
        <v>#DIV/0!</v>
      </c>
    </row>
    <row r="21" spans="1:74" x14ac:dyDescent="0.25">
      <c r="A21" s="16" t="s">
        <v>26</v>
      </c>
      <c r="B21" s="11"/>
      <c r="F21" s="12"/>
      <c r="H21" s="11"/>
      <c r="L21" s="12"/>
      <c r="Q21" s="12"/>
      <c r="R21" s="11"/>
      <c r="W21" s="16"/>
      <c r="AB21" s="12"/>
      <c r="AG21" s="12"/>
      <c r="AH21" s="12"/>
      <c r="AI21" s="11"/>
      <c r="AM21" s="12"/>
      <c r="AN21" s="16"/>
      <c r="AO21" s="16"/>
      <c r="AU21" s="16"/>
      <c r="AZ21" s="12"/>
      <c r="BA21" s="16"/>
      <c r="BF21" s="11"/>
      <c r="BI21" s="11"/>
      <c r="BJ21" s="12"/>
      <c r="BK21" s="12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</row>
    <row r="22" spans="1:74" x14ac:dyDescent="0.25">
      <c r="A22" s="16"/>
      <c r="B22" s="11"/>
      <c r="F22" s="12"/>
      <c r="H22" s="11"/>
      <c r="L22" s="12"/>
      <c r="Q22" s="12"/>
      <c r="R22" s="11"/>
      <c r="W22" s="16"/>
      <c r="AB22" s="12"/>
      <c r="AG22" s="12"/>
      <c r="AH22" s="12"/>
      <c r="AI22" s="11"/>
      <c r="AM22" s="12"/>
      <c r="AN22" s="16"/>
      <c r="AO22" s="16"/>
      <c r="AU22" s="16"/>
      <c r="AZ22" s="12"/>
      <c r="BA22" s="16"/>
      <c r="BF22" s="11"/>
      <c r="BI22" s="11"/>
      <c r="BJ22" s="12"/>
      <c r="BK22" s="12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</row>
    <row r="23" spans="1:74" x14ac:dyDescent="0.25">
      <c r="A23" s="16" t="s">
        <v>27</v>
      </c>
      <c r="B23" s="11">
        <v>26890</v>
      </c>
      <c r="C23">
        <v>40165</v>
      </c>
      <c r="D23">
        <v>20150</v>
      </c>
      <c r="E23">
        <v>22559</v>
      </c>
      <c r="F23" s="12"/>
      <c r="G23">
        <v>35390</v>
      </c>
      <c r="H23" s="11"/>
      <c r="L23" s="12"/>
      <c r="Q23" s="12"/>
      <c r="R23" s="11"/>
      <c r="W23" s="16">
        <v>29968</v>
      </c>
      <c r="AB23" s="12"/>
      <c r="AG23" s="12"/>
      <c r="AH23" s="12">
        <v>56550</v>
      </c>
      <c r="AI23" s="11"/>
      <c r="AM23" s="12"/>
      <c r="AN23" s="16">
        <v>51482</v>
      </c>
      <c r="AO23" s="16">
        <v>52832</v>
      </c>
      <c r="AU23" s="16">
        <v>53666</v>
      </c>
      <c r="AZ23" s="12"/>
      <c r="BA23" s="16">
        <v>5806</v>
      </c>
      <c r="BB23">
        <v>21538</v>
      </c>
      <c r="BC23">
        <v>20896</v>
      </c>
      <c r="BD23">
        <v>20086</v>
      </c>
      <c r="BE23">
        <v>20730</v>
      </c>
      <c r="BF23" s="11">
        <v>20572</v>
      </c>
      <c r="BG23">
        <v>20708</v>
      </c>
      <c r="BH23">
        <v>42494</v>
      </c>
      <c r="BI23" s="11">
        <v>22252</v>
      </c>
      <c r="BJ23" s="12">
        <v>20632</v>
      </c>
      <c r="BK23" s="12">
        <v>35396</v>
      </c>
      <c r="BL23" s="16">
        <v>34231</v>
      </c>
      <c r="BM23" s="16">
        <v>18055</v>
      </c>
      <c r="BN23" s="16">
        <v>19140</v>
      </c>
      <c r="BO23" s="16">
        <v>32123</v>
      </c>
      <c r="BP23" s="16">
        <v>18848</v>
      </c>
      <c r="BQ23" s="16">
        <v>71981</v>
      </c>
      <c r="BR23" s="16">
        <v>36115</v>
      </c>
      <c r="BS23" s="16">
        <v>49431</v>
      </c>
      <c r="BT23" s="16">
        <v>49560</v>
      </c>
      <c r="BU23" s="16">
        <v>59481</v>
      </c>
      <c r="BV23" s="16">
        <v>0</v>
      </c>
    </row>
    <row r="24" spans="1:74" x14ac:dyDescent="0.25">
      <c r="A24" s="16" t="s">
        <v>28</v>
      </c>
      <c r="B24" s="11">
        <v>50374</v>
      </c>
      <c r="C24">
        <v>11170</v>
      </c>
      <c r="D24">
        <v>43842</v>
      </c>
      <c r="E24">
        <v>46378</v>
      </c>
      <c r="F24" s="12"/>
      <c r="G24">
        <v>6823</v>
      </c>
      <c r="H24" s="11"/>
      <c r="L24" s="12"/>
      <c r="Q24" s="12"/>
      <c r="R24" s="11"/>
      <c r="W24" s="16">
        <v>178813</v>
      </c>
      <c r="AB24" s="12"/>
      <c r="AG24" s="12"/>
      <c r="AH24" s="12">
        <v>41258</v>
      </c>
      <c r="AI24" s="11"/>
      <c r="AM24" s="12"/>
      <c r="AN24" s="16">
        <v>4698</v>
      </c>
      <c r="AO24" s="16">
        <v>4986</v>
      </c>
      <c r="AU24" s="16">
        <v>3568</v>
      </c>
      <c r="AZ24" s="12"/>
      <c r="BA24" s="16">
        <v>3698</v>
      </c>
      <c r="BB24">
        <v>3489</v>
      </c>
      <c r="BC24">
        <v>33258</v>
      </c>
      <c r="BD24">
        <v>9689</v>
      </c>
      <c r="BE24">
        <v>32589</v>
      </c>
      <c r="BF24" s="11">
        <v>3378</v>
      </c>
      <c r="BG24">
        <v>2698</v>
      </c>
      <c r="BH24">
        <v>9689</v>
      </c>
      <c r="BI24" s="11">
        <v>4596</v>
      </c>
      <c r="BJ24" s="12">
        <v>4171</v>
      </c>
      <c r="BK24" s="12">
        <v>30368</v>
      </c>
      <c r="BL24" s="16">
        <v>33148</v>
      </c>
      <c r="BM24" s="16">
        <v>3459</v>
      </c>
      <c r="BN24" s="16">
        <v>3398</v>
      </c>
      <c r="BO24" s="16">
        <v>3236</v>
      </c>
      <c r="BP24" s="16">
        <v>3125</v>
      </c>
      <c r="BQ24" s="16">
        <v>2458</v>
      </c>
      <c r="BR24" s="16">
        <v>2460</v>
      </c>
      <c r="BS24" s="16">
        <v>2568</v>
      </c>
      <c r="BT24" s="16">
        <v>2355</v>
      </c>
      <c r="BU24" s="16">
        <v>2355</v>
      </c>
      <c r="BV24" s="16"/>
    </row>
    <row r="25" spans="1:74" x14ac:dyDescent="0.25">
      <c r="A25" s="16" t="s">
        <v>29</v>
      </c>
      <c r="B25" s="25">
        <f>B23/B6</f>
        <v>5.3780000000000001</v>
      </c>
      <c r="C25" s="26">
        <f>C23/C6</f>
        <v>8.0329999999999995</v>
      </c>
      <c r="D25" s="26">
        <f>D23/D6</f>
        <v>4.03</v>
      </c>
      <c r="E25" s="26">
        <f>E23/E6</f>
        <v>4.5118</v>
      </c>
      <c r="F25" s="27"/>
      <c r="G25" s="26">
        <f>G23/G6</f>
        <v>7.0780000000000003</v>
      </c>
      <c r="H25" s="25"/>
      <c r="I25" s="26"/>
      <c r="J25" s="26"/>
      <c r="K25" s="26"/>
      <c r="L25" s="27"/>
      <c r="M25" s="26"/>
      <c r="N25" s="26"/>
      <c r="O25" s="26"/>
      <c r="P25" s="26"/>
      <c r="Q25" s="12"/>
      <c r="R25" s="11"/>
      <c r="W25" s="28">
        <f>W23/W6</f>
        <v>5.9935999999999998</v>
      </c>
      <c r="X25" s="26"/>
      <c r="Y25" s="26"/>
      <c r="Z25" s="26"/>
      <c r="AA25" s="26"/>
      <c r="AB25" s="27"/>
      <c r="AC25" s="26"/>
      <c r="AD25" s="26"/>
      <c r="AE25" s="26"/>
      <c r="AF25" s="26"/>
      <c r="AG25" s="27"/>
      <c r="AH25" s="27">
        <f t="shared" ref="AH25:BR25" si="7">AH23/AH6</f>
        <v>16.981981981981981</v>
      </c>
      <c r="AI25" s="25"/>
      <c r="AJ25" s="26"/>
      <c r="AK25" s="26"/>
      <c r="AL25" s="26"/>
      <c r="AM25" s="27"/>
      <c r="AN25" s="28">
        <f t="shared" si="7"/>
        <v>10.2964</v>
      </c>
      <c r="AO25" s="28">
        <f t="shared" si="7"/>
        <v>10.5664</v>
      </c>
      <c r="AP25" s="26" t="e">
        <f t="shared" si="7"/>
        <v>#DIV/0!</v>
      </c>
      <c r="AQ25" s="26" t="e">
        <f t="shared" si="7"/>
        <v>#DIV/0!</v>
      </c>
      <c r="AR25" s="26" t="e">
        <f t="shared" si="7"/>
        <v>#DIV/0!</v>
      </c>
      <c r="AS25" s="26" t="e">
        <f t="shared" si="7"/>
        <v>#DIV/0!</v>
      </c>
      <c r="AT25" s="26" t="e">
        <f t="shared" si="7"/>
        <v>#DIV/0!</v>
      </c>
      <c r="AU25" s="28">
        <f t="shared" si="7"/>
        <v>10.7332</v>
      </c>
      <c r="AV25" s="26"/>
      <c r="AW25" s="26"/>
      <c r="AX25" s="26"/>
      <c r="AY25" s="26"/>
      <c r="AZ25" s="27"/>
      <c r="BA25" s="28">
        <f t="shared" si="7"/>
        <v>2.7634459781056639</v>
      </c>
      <c r="BB25" s="26">
        <f t="shared" si="7"/>
        <v>8.5536139793486896</v>
      </c>
      <c r="BC25" s="26">
        <f t="shared" si="7"/>
        <v>8.3583999999999996</v>
      </c>
      <c r="BD25" s="26">
        <f t="shared" si="7"/>
        <v>8.0343999999999998</v>
      </c>
      <c r="BE25" s="26">
        <f t="shared" si="7"/>
        <v>8.2919999999999998</v>
      </c>
      <c r="BF25" s="25">
        <f t="shared" si="7"/>
        <v>8.2287999999999997</v>
      </c>
      <c r="BG25" s="26">
        <f t="shared" si="7"/>
        <v>8.2832000000000008</v>
      </c>
      <c r="BH25" s="26">
        <f t="shared" si="7"/>
        <v>8.0940952380952389</v>
      </c>
      <c r="BI25" s="26">
        <f t="shared" si="7"/>
        <v>8.9008000000000003</v>
      </c>
      <c r="BJ25" s="27">
        <f t="shared" si="7"/>
        <v>8.2528000000000006</v>
      </c>
      <c r="BK25" s="27">
        <f t="shared" si="7"/>
        <v>1.1770417664272412</v>
      </c>
      <c r="BL25" s="28">
        <f t="shared" si="7"/>
        <v>2.3791353906032806</v>
      </c>
      <c r="BM25" s="28">
        <f t="shared" si="7"/>
        <v>7.2890593459830439</v>
      </c>
      <c r="BN25" s="28">
        <f t="shared" si="7"/>
        <v>7.6559999999999997</v>
      </c>
      <c r="BO25" s="28">
        <f t="shared" si="7"/>
        <v>6.4245999999999999</v>
      </c>
      <c r="BP25" s="28">
        <f t="shared" si="7"/>
        <v>3.7696000000000001</v>
      </c>
      <c r="BQ25" s="28">
        <f t="shared" si="7"/>
        <v>7.1981000000000002</v>
      </c>
      <c r="BR25" s="28">
        <f t="shared" si="7"/>
        <v>7.2215556888622272</v>
      </c>
      <c r="BS25" s="28">
        <f>BS23/BS6</f>
        <v>9.8862000000000005</v>
      </c>
      <c r="BT25" s="28">
        <f>BT23/BT6</f>
        <v>9.9120000000000008</v>
      </c>
      <c r="BU25" s="28">
        <f>BU23/BU6</f>
        <v>11.8962</v>
      </c>
      <c r="BV25" s="28">
        <f>BV23/BV6</f>
        <v>0</v>
      </c>
    </row>
    <row r="26" spans="1:74" x14ac:dyDescent="0.25">
      <c r="A26" s="16" t="s">
        <v>30</v>
      </c>
      <c r="B26" s="11">
        <v>136</v>
      </c>
      <c r="C26">
        <v>136</v>
      </c>
      <c r="D26">
        <v>136</v>
      </c>
      <c r="E26">
        <v>136</v>
      </c>
      <c r="F26" s="12"/>
      <c r="G26">
        <v>136</v>
      </c>
      <c r="H26" s="11"/>
      <c r="L26" s="12"/>
      <c r="Q26" s="12"/>
      <c r="R26" s="11"/>
      <c r="W26" s="16">
        <v>136</v>
      </c>
      <c r="AB26" s="12"/>
      <c r="AG26" s="12"/>
      <c r="AH26" s="12">
        <v>136</v>
      </c>
      <c r="AI26" s="11"/>
      <c r="AM26" s="12"/>
      <c r="AN26" s="16">
        <v>4</v>
      </c>
      <c r="AO26" s="16">
        <v>4</v>
      </c>
      <c r="AU26" s="16">
        <v>4</v>
      </c>
      <c r="AZ26" s="12"/>
      <c r="BA26" s="12">
        <v>4</v>
      </c>
      <c r="BB26">
        <v>4</v>
      </c>
      <c r="BC26">
        <v>4</v>
      </c>
      <c r="BD26">
        <v>4</v>
      </c>
      <c r="BE26">
        <v>4</v>
      </c>
      <c r="BF26" s="11">
        <v>4</v>
      </c>
      <c r="BG26">
        <v>4</v>
      </c>
      <c r="BH26">
        <v>4</v>
      </c>
      <c r="BI26" s="11">
        <v>4</v>
      </c>
      <c r="BJ26" s="12">
        <v>4</v>
      </c>
      <c r="BK26" s="12"/>
      <c r="BL26" s="16"/>
      <c r="BM26" s="16">
        <v>4</v>
      </c>
      <c r="BN26" s="16">
        <v>4</v>
      </c>
      <c r="BO26" s="16">
        <v>4</v>
      </c>
      <c r="BP26" s="16">
        <v>4</v>
      </c>
      <c r="BQ26" s="16">
        <v>4</v>
      </c>
      <c r="BR26" s="16">
        <v>4</v>
      </c>
      <c r="BS26" s="16">
        <v>4</v>
      </c>
      <c r="BT26" s="16">
        <v>4</v>
      </c>
      <c r="BU26" s="16">
        <v>4</v>
      </c>
      <c r="BV26" s="16">
        <v>4</v>
      </c>
    </row>
    <row r="27" spans="1:74" x14ac:dyDescent="0.25">
      <c r="A27" s="16" t="s">
        <v>31</v>
      </c>
      <c r="B27" s="11">
        <v>5</v>
      </c>
      <c r="C27">
        <v>5</v>
      </c>
      <c r="D27">
        <v>5</v>
      </c>
      <c r="E27">
        <v>5</v>
      </c>
      <c r="F27" s="12"/>
      <c r="G27">
        <v>5</v>
      </c>
      <c r="H27" s="11"/>
      <c r="L27" s="12"/>
      <c r="Q27" s="12"/>
      <c r="R27" s="11"/>
      <c r="W27" s="16">
        <v>5</v>
      </c>
      <c r="AB27" s="12"/>
      <c r="AG27" s="12"/>
      <c r="AH27" s="12">
        <v>5</v>
      </c>
      <c r="AI27" s="11"/>
      <c r="AM27" s="12"/>
      <c r="AN27" s="16">
        <v>5</v>
      </c>
      <c r="AO27" s="16">
        <v>5</v>
      </c>
      <c r="AU27" s="16">
        <v>5</v>
      </c>
      <c r="AZ27" s="12"/>
      <c r="BA27" s="12">
        <v>5</v>
      </c>
      <c r="BB27">
        <v>5</v>
      </c>
      <c r="BC27">
        <v>5</v>
      </c>
      <c r="BD27">
        <v>5</v>
      </c>
      <c r="BE27">
        <v>5</v>
      </c>
      <c r="BF27" s="11">
        <v>5</v>
      </c>
      <c r="BG27">
        <v>5</v>
      </c>
      <c r="BH27">
        <v>5</v>
      </c>
      <c r="BI27" s="11">
        <v>5</v>
      </c>
      <c r="BJ27" s="12">
        <v>5</v>
      </c>
      <c r="BK27" s="12"/>
      <c r="BL27" s="16"/>
      <c r="BM27" s="16">
        <v>5</v>
      </c>
      <c r="BN27" s="16">
        <v>5</v>
      </c>
      <c r="BO27" s="16">
        <v>5</v>
      </c>
      <c r="BP27" s="16">
        <v>5</v>
      </c>
      <c r="BQ27" s="16">
        <v>5</v>
      </c>
      <c r="BR27" s="16">
        <v>5</v>
      </c>
      <c r="BS27" s="16">
        <v>5</v>
      </c>
      <c r="BT27" s="16">
        <v>5</v>
      </c>
      <c r="BU27" s="16">
        <v>5</v>
      </c>
      <c r="BV27" s="16">
        <v>5</v>
      </c>
    </row>
    <row r="28" spans="1:74" x14ac:dyDescent="0.25">
      <c r="A28" s="16"/>
      <c r="B28" s="11"/>
      <c r="F28" s="12"/>
      <c r="H28" s="11"/>
      <c r="L28" s="12"/>
      <c r="Q28" s="12"/>
      <c r="R28" s="11"/>
      <c r="W28" s="16"/>
      <c r="AB28" s="12"/>
      <c r="AG28" s="12"/>
      <c r="AH28" s="12"/>
      <c r="AI28" s="11"/>
      <c r="AM28" s="12"/>
      <c r="AN28" s="16"/>
      <c r="AO28" s="16"/>
      <c r="AU28" s="16"/>
      <c r="AZ28" s="12"/>
      <c r="BA28" s="16"/>
      <c r="BF28" s="11"/>
      <c r="BI28" s="11"/>
      <c r="BJ28" s="12"/>
      <c r="BK28" s="12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</row>
    <row r="29" spans="1:74" x14ac:dyDescent="0.25">
      <c r="A29" s="29" t="s">
        <v>32</v>
      </c>
      <c r="B29" s="11"/>
      <c r="F29" s="12"/>
      <c r="H29" s="11"/>
      <c r="L29" s="12"/>
      <c r="M29" s="11"/>
      <c r="Q29" s="12"/>
      <c r="R29" s="11"/>
      <c r="W29" s="16"/>
      <c r="AB29" s="12"/>
      <c r="AG29" s="12"/>
      <c r="AH29" s="12"/>
      <c r="AI29" s="11"/>
      <c r="AM29" s="12"/>
      <c r="AN29" s="16"/>
      <c r="AO29" s="16"/>
      <c r="AU29" s="16"/>
      <c r="AZ29" s="12"/>
      <c r="BA29" s="16"/>
      <c r="BF29" s="11"/>
      <c r="BI29" s="11"/>
      <c r="BJ29" s="12"/>
      <c r="BK29" s="12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</row>
    <row r="30" spans="1:74" x14ac:dyDescent="0.25">
      <c r="A30" s="16" t="s">
        <v>33</v>
      </c>
      <c r="B30" s="11">
        <v>225</v>
      </c>
      <c r="C30">
        <v>86</v>
      </c>
      <c r="D30">
        <v>27</v>
      </c>
      <c r="E30">
        <v>181</v>
      </c>
      <c r="F30" s="12"/>
      <c r="G30">
        <v>313</v>
      </c>
      <c r="H30" s="11"/>
      <c r="L30" s="12"/>
      <c r="M30" s="11"/>
      <c r="Q30" s="12"/>
      <c r="R30" s="11"/>
      <c r="W30" s="16">
        <v>334</v>
      </c>
      <c r="AB30" s="12"/>
      <c r="AG30" s="12"/>
      <c r="AH30" s="12">
        <v>112</v>
      </c>
      <c r="AI30" s="11"/>
      <c r="AM30" s="12"/>
      <c r="AN30" s="16">
        <v>408</v>
      </c>
      <c r="AO30" s="16">
        <v>384</v>
      </c>
      <c r="AU30" s="16">
        <v>379</v>
      </c>
      <c r="AZ30" s="12"/>
      <c r="BA30" s="16">
        <v>211</v>
      </c>
      <c r="BB30">
        <v>203</v>
      </c>
      <c r="BC30">
        <v>196</v>
      </c>
      <c r="BD30">
        <v>189</v>
      </c>
      <c r="BE30">
        <v>173</v>
      </c>
      <c r="BF30" s="11">
        <v>235</v>
      </c>
      <c r="BG30">
        <v>175</v>
      </c>
      <c r="BH30">
        <v>429</v>
      </c>
      <c r="BI30" s="11">
        <v>167</v>
      </c>
      <c r="BJ30" s="12">
        <v>206</v>
      </c>
      <c r="BK30" s="12">
        <v>2820</v>
      </c>
      <c r="BL30" s="16">
        <v>243</v>
      </c>
      <c r="BM30" s="16">
        <v>104</v>
      </c>
      <c r="BN30" s="16">
        <v>188</v>
      </c>
      <c r="BO30" s="16">
        <v>412</v>
      </c>
      <c r="BP30" s="16">
        <v>345</v>
      </c>
      <c r="BQ30" s="16">
        <v>487</v>
      </c>
      <c r="BR30" s="16">
        <v>340</v>
      </c>
      <c r="BS30" s="16">
        <v>518</v>
      </c>
      <c r="BT30" s="16">
        <v>547</v>
      </c>
      <c r="BU30" s="16">
        <v>439</v>
      </c>
      <c r="BV30" s="16">
        <v>0</v>
      </c>
    </row>
    <row r="31" spans="1:74" x14ac:dyDescent="0.25">
      <c r="A31" s="16" t="s">
        <v>34</v>
      </c>
      <c r="B31" s="11">
        <v>1894</v>
      </c>
      <c r="C31">
        <v>1570</v>
      </c>
      <c r="D31">
        <v>3533</v>
      </c>
      <c r="E31">
        <v>3009</v>
      </c>
      <c r="F31" s="12"/>
      <c r="G31">
        <v>2720</v>
      </c>
      <c r="H31" s="11"/>
      <c r="L31" s="12"/>
      <c r="M31" s="11"/>
      <c r="Q31" s="12"/>
      <c r="R31" s="11"/>
      <c r="W31" s="16">
        <v>3141</v>
      </c>
      <c r="AB31" s="12"/>
      <c r="AG31" s="12"/>
      <c r="AH31" s="12">
        <v>0</v>
      </c>
      <c r="AI31" s="11"/>
      <c r="AM31" s="12"/>
      <c r="AN31" s="16">
        <v>0</v>
      </c>
      <c r="AO31" s="16">
        <v>0</v>
      </c>
      <c r="AU31" s="16">
        <v>0</v>
      </c>
      <c r="AZ31" s="12"/>
      <c r="BA31" s="16">
        <v>0</v>
      </c>
      <c r="BB31">
        <v>0</v>
      </c>
      <c r="BC31">
        <v>0</v>
      </c>
      <c r="BD31">
        <v>0</v>
      </c>
      <c r="BE31">
        <v>0</v>
      </c>
      <c r="BF31" s="11">
        <v>0</v>
      </c>
      <c r="BG31">
        <v>0</v>
      </c>
      <c r="BH31">
        <v>0</v>
      </c>
      <c r="BI31" s="11">
        <v>0</v>
      </c>
      <c r="BJ31" s="12">
        <v>0</v>
      </c>
      <c r="BK31" s="12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397</v>
      </c>
      <c r="BT31" s="16">
        <v>349</v>
      </c>
      <c r="BU31" s="16">
        <v>407</v>
      </c>
      <c r="BV31" s="16">
        <v>0</v>
      </c>
    </row>
    <row r="32" spans="1:74" x14ac:dyDescent="0.25">
      <c r="A32" s="30" t="s">
        <v>35</v>
      </c>
      <c r="B32" s="11">
        <v>0</v>
      </c>
      <c r="C32">
        <v>0</v>
      </c>
      <c r="D32">
        <v>0</v>
      </c>
      <c r="E32">
        <v>0</v>
      </c>
      <c r="F32" s="12"/>
      <c r="G32">
        <v>0</v>
      </c>
      <c r="H32" s="11"/>
      <c r="L32" s="12"/>
      <c r="M32" s="11"/>
      <c r="Q32" s="12"/>
      <c r="R32" s="11"/>
      <c r="W32" s="16">
        <v>0</v>
      </c>
      <c r="AB32" s="12"/>
      <c r="AG32" s="12"/>
      <c r="AH32" s="12">
        <v>210</v>
      </c>
      <c r="AI32" s="11"/>
      <c r="AM32" s="12"/>
      <c r="AN32" s="16">
        <v>1331</v>
      </c>
      <c r="AO32" s="16">
        <v>1545</v>
      </c>
      <c r="AU32" s="16">
        <v>1853</v>
      </c>
      <c r="AZ32" s="12"/>
      <c r="BA32" s="16">
        <v>536</v>
      </c>
      <c r="BB32">
        <v>972</v>
      </c>
      <c r="BC32">
        <v>1000</v>
      </c>
      <c r="BD32">
        <v>931</v>
      </c>
      <c r="BE32">
        <v>1002</v>
      </c>
      <c r="BF32" s="11">
        <v>802</v>
      </c>
      <c r="BG32">
        <v>937</v>
      </c>
      <c r="BH32">
        <v>1831</v>
      </c>
      <c r="BI32" s="11">
        <v>996</v>
      </c>
      <c r="BJ32" s="12">
        <v>913</v>
      </c>
      <c r="BK32" s="12">
        <v>10818</v>
      </c>
      <c r="BL32" s="16">
        <v>1965</v>
      </c>
      <c r="BM32" s="16">
        <v>1689</v>
      </c>
      <c r="BN32" s="16">
        <v>1285</v>
      </c>
      <c r="BO32" s="16">
        <v>1329</v>
      </c>
      <c r="BP32" s="16">
        <v>3244</v>
      </c>
      <c r="BQ32" s="16">
        <v>2690</v>
      </c>
      <c r="BR32" s="16">
        <v>1236</v>
      </c>
      <c r="BS32" s="16">
        <v>43</v>
      </c>
      <c r="BT32" s="16">
        <v>52</v>
      </c>
      <c r="BU32" s="16">
        <v>37</v>
      </c>
      <c r="BV32" s="16">
        <v>0</v>
      </c>
    </row>
    <row r="33" spans="1:74" x14ac:dyDescent="0.25">
      <c r="A33" s="30" t="s">
        <v>36</v>
      </c>
      <c r="B33" s="11">
        <v>0</v>
      </c>
      <c r="C33">
        <v>0</v>
      </c>
      <c r="D33">
        <v>0</v>
      </c>
      <c r="E33">
        <v>0</v>
      </c>
      <c r="F33" s="12"/>
      <c r="G33">
        <v>11</v>
      </c>
      <c r="H33" s="11"/>
      <c r="L33" s="12"/>
      <c r="M33" s="11"/>
      <c r="Q33" s="12"/>
      <c r="R33" s="11"/>
      <c r="W33" s="16">
        <v>0</v>
      </c>
      <c r="AB33" s="12"/>
      <c r="AG33" s="12"/>
      <c r="AH33" s="12">
        <v>119</v>
      </c>
      <c r="AI33" s="11"/>
      <c r="AM33" s="12"/>
      <c r="AN33" s="16">
        <v>316</v>
      </c>
      <c r="AO33" s="16">
        <v>366</v>
      </c>
      <c r="AU33" s="16">
        <v>342</v>
      </c>
      <c r="AZ33" s="12"/>
      <c r="BA33" s="16">
        <v>51</v>
      </c>
      <c r="BB33">
        <v>42</v>
      </c>
      <c r="BC33">
        <v>41</v>
      </c>
      <c r="BD33">
        <v>44</v>
      </c>
      <c r="BE33">
        <v>47</v>
      </c>
      <c r="BF33" s="11">
        <v>62</v>
      </c>
      <c r="BG33">
        <v>41</v>
      </c>
      <c r="BH33">
        <v>97</v>
      </c>
      <c r="BI33" s="11">
        <v>42</v>
      </c>
      <c r="BJ33" s="12">
        <v>39</v>
      </c>
      <c r="BK33" s="12">
        <v>1215</v>
      </c>
      <c r="BL33" s="16">
        <v>834</v>
      </c>
      <c r="BM33" s="16">
        <v>21</v>
      </c>
      <c r="BN33" s="16">
        <v>41</v>
      </c>
      <c r="BO33" s="16">
        <v>316</v>
      </c>
      <c r="BP33" s="16">
        <v>59</v>
      </c>
      <c r="BQ33" s="16">
        <v>93</v>
      </c>
      <c r="BR33" s="16">
        <v>77</v>
      </c>
      <c r="BS33" s="16">
        <v>43</v>
      </c>
      <c r="BT33" s="16">
        <v>40</v>
      </c>
      <c r="BU33" s="16">
        <v>55</v>
      </c>
      <c r="BV33" s="16">
        <v>0</v>
      </c>
    </row>
    <row r="34" spans="1:74" x14ac:dyDescent="0.25">
      <c r="A34" s="30" t="s">
        <v>37</v>
      </c>
      <c r="B34" s="11">
        <v>0</v>
      </c>
      <c r="C34">
        <v>0</v>
      </c>
      <c r="D34">
        <v>0</v>
      </c>
      <c r="E34">
        <v>0</v>
      </c>
      <c r="F34" s="12"/>
      <c r="G34">
        <v>5</v>
      </c>
      <c r="H34" s="11"/>
      <c r="L34" s="12"/>
      <c r="M34" s="11"/>
      <c r="Q34" s="12"/>
      <c r="R34" s="11"/>
      <c r="W34" s="16">
        <v>0</v>
      </c>
      <c r="AB34" s="12"/>
      <c r="AG34" s="12"/>
      <c r="AH34" s="12">
        <v>599</v>
      </c>
      <c r="AI34" s="11"/>
      <c r="AM34" s="12"/>
      <c r="AN34" s="16">
        <v>0</v>
      </c>
      <c r="AO34" s="16">
        <v>0</v>
      </c>
      <c r="AU34" s="16">
        <v>0</v>
      </c>
      <c r="AZ34" s="12"/>
      <c r="BA34" s="16">
        <v>0</v>
      </c>
      <c r="BB34">
        <v>0</v>
      </c>
      <c r="BC34">
        <v>0</v>
      </c>
      <c r="BD34">
        <v>0</v>
      </c>
      <c r="BE34">
        <v>0</v>
      </c>
      <c r="BF34" s="11">
        <v>0</v>
      </c>
      <c r="BG34">
        <v>0</v>
      </c>
      <c r="BH34">
        <v>0</v>
      </c>
      <c r="BI34" s="11">
        <v>0</v>
      </c>
      <c r="BJ34" s="12">
        <v>0</v>
      </c>
      <c r="BK34" s="12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44</v>
      </c>
      <c r="BT34" s="16">
        <v>31</v>
      </c>
      <c r="BU34" s="16">
        <v>5</v>
      </c>
      <c r="BV34" s="16">
        <v>0</v>
      </c>
    </row>
    <row r="35" spans="1:74" x14ac:dyDescent="0.25">
      <c r="A35" s="16" t="s">
        <v>38</v>
      </c>
      <c r="B35" s="11">
        <v>0</v>
      </c>
      <c r="C35">
        <v>0</v>
      </c>
      <c r="D35">
        <v>0</v>
      </c>
      <c r="E35">
        <v>0</v>
      </c>
      <c r="F35" s="12"/>
      <c r="G35">
        <v>0</v>
      </c>
      <c r="H35" s="11"/>
      <c r="L35" s="12"/>
      <c r="M35" s="11"/>
      <c r="Q35" s="12"/>
      <c r="R35" s="11"/>
      <c r="W35" s="16">
        <v>0</v>
      </c>
      <c r="AB35" s="12"/>
      <c r="AG35" s="12"/>
      <c r="AH35" s="12">
        <v>0</v>
      </c>
      <c r="AI35" s="11"/>
      <c r="AM35" s="12"/>
      <c r="AN35" s="16">
        <v>0</v>
      </c>
      <c r="AO35" s="16">
        <v>0</v>
      </c>
      <c r="AU35" s="16">
        <v>0</v>
      </c>
      <c r="AZ35" s="12"/>
      <c r="BA35" s="16">
        <v>0</v>
      </c>
      <c r="BB35">
        <v>0</v>
      </c>
      <c r="BC35">
        <v>0</v>
      </c>
      <c r="BD35">
        <v>0</v>
      </c>
      <c r="BE35">
        <v>0</v>
      </c>
      <c r="BF35" s="11">
        <v>0</v>
      </c>
      <c r="BG35">
        <v>0</v>
      </c>
      <c r="BH35">
        <v>0</v>
      </c>
      <c r="BI35" s="11">
        <v>0</v>
      </c>
      <c r="BJ35" s="12">
        <v>0</v>
      </c>
      <c r="BK35" s="12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450</v>
      </c>
      <c r="BT35" s="16">
        <v>372</v>
      </c>
      <c r="BU35" s="16">
        <v>231</v>
      </c>
      <c r="BV35" s="16">
        <v>0</v>
      </c>
    </row>
    <row r="36" spans="1:74" x14ac:dyDescent="0.25">
      <c r="A36" s="16" t="s">
        <v>39</v>
      </c>
      <c r="B36" s="11">
        <v>252</v>
      </c>
      <c r="C36">
        <v>916</v>
      </c>
      <c r="D36">
        <v>67</v>
      </c>
      <c r="E36">
        <v>120</v>
      </c>
      <c r="F36" s="12"/>
      <c r="G36">
        <v>123</v>
      </c>
      <c r="H36" s="11"/>
      <c r="L36" s="12"/>
      <c r="M36" s="11"/>
      <c r="Q36" s="12"/>
      <c r="R36" s="11"/>
      <c r="W36" s="16">
        <v>132</v>
      </c>
      <c r="AB36" s="12"/>
      <c r="AG36" s="12"/>
      <c r="AH36" s="12">
        <v>23</v>
      </c>
      <c r="AI36" s="11"/>
      <c r="AM36" s="12"/>
      <c r="AN36" s="16">
        <v>0</v>
      </c>
      <c r="AO36" s="16">
        <v>0</v>
      </c>
      <c r="AU36" s="16">
        <v>0</v>
      </c>
      <c r="AZ36" s="12"/>
      <c r="BA36" s="16">
        <v>0</v>
      </c>
      <c r="BB36">
        <v>0</v>
      </c>
      <c r="BC36">
        <v>0</v>
      </c>
      <c r="BD36">
        <v>0</v>
      </c>
      <c r="BE36">
        <v>0</v>
      </c>
      <c r="BF36" s="11">
        <v>0</v>
      </c>
      <c r="BG36">
        <v>0</v>
      </c>
      <c r="BH36">
        <v>0</v>
      </c>
      <c r="BI36" s="11">
        <v>0</v>
      </c>
      <c r="BJ36" s="12">
        <v>0</v>
      </c>
      <c r="BK36" s="12">
        <v>0</v>
      </c>
      <c r="BL36" s="16">
        <v>1634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14</v>
      </c>
      <c r="BT36" s="16">
        <v>7</v>
      </c>
      <c r="BU36" s="16">
        <v>5</v>
      </c>
      <c r="BV36" s="16">
        <v>0</v>
      </c>
    </row>
    <row r="37" spans="1:74" x14ac:dyDescent="0.25">
      <c r="A37" s="30" t="s">
        <v>40</v>
      </c>
      <c r="B37" s="11">
        <v>0</v>
      </c>
      <c r="C37">
        <v>0</v>
      </c>
      <c r="D37">
        <v>0</v>
      </c>
      <c r="E37">
        <v>0</v>
      </c>
      <c r="F37" s="12"/>
      <c r="G37">
        <v>1</v>
      </c>
      <c r="H37" s="11"/>
      <c r="L37" s="12"/>
      <c r="M37" s="11"/>
      <c r="Q37" s="12"/>
      <c r="R37" s="11"/>
      <c r="W37" s="16">
        <v>0</v>
      </c>
      <c r="AB37" s="12"/>
      <c r="AG37" s="12"/>
      <c r="AH37" s="12">
        <v>16</v>
      </c>
      <c r="AI37" s="11"/>
      <c r="AM37" s="12"/>
      <c r="AN37" s="16">
        <v>22</v>
      </c>
      <c r="AO37" s="16">
        <v>26</v>
      </c>
      <c r="AU37" s="16">
        <v>24</v>
      </c>
      <c r="AZ37" s="12"/>
      <c r="BA37" s="16">
        <v>14</v>
      </c>
      <c r="BB37">
        <v>8</v>
      </c>
      <c r="BC37">
        <v>6</v>
      </c>
      <c r="BD37">
        <v>9</v>
      </c>
      <c r="BE37">
        <v>7</v>
      </c>
      <c r="BF37" s="11">
        <v>12</v>
      </c>
      <c r="BG37">
        <v>7</v>
      </c>
      <c r="BH37">
        <v>19</v>
      </c>
      <c r="BI37" s="11">
        <v>5</v>
      </c>
      <c r="BJ37" s="12">
        <v>3</v>
      </c>
      <c r="BK37" s="12">
        <v>120</v>
      </c>
      <c r="BL37" s="16">
        <v>79</v>
      </c>
      <c r="BM37" s="16">
        <v>37</v>
      </c>
      <c r="BN37" s="16">
        <v>77</v>
      </c>
      <c r="BO37" s="16">
        <v>22</v>
      </c>
      <c r="BP37" s="16">
        <v>225</v>
      </c>
      <c r="BQ37" s="16">
        <v>41</v>
      </c>
      <c r="BR37" s="16">
        <v>21</v>
      </c>
      <c r="BS37" s="16">
        <v>0</v>
      </c>
      <c r="BT37" s="16">
        <v>0</v>
      </c>
      <c r="BU37" s="16">
        <v>0</v>
      </c>
      <c r="BV37" s="16">
        <v>0</v>
      </c>
    </row>
    <row r="38" spans="1:74" x14ac:dyDescent="0.25">
      <c r="A38" s="30" t="s">
        <v>41</v>
      </c>
      <c r="B38" s="11">
        <v>0</v>
      </c>
      <c r="C38">
        <v>0</v>
      </c>
      <c r="D38">
        <v>0</v>
      </c>
      <c r="E38">
        <v>0</v>
      </c>
      <c r="F38" s="12"/>
      <c r="G38">
        <v>0</v>
      </c>
      <c r="H38" s="11"/>
      <c r="L38" s="12"/>
      <c r="M38" s="11"/>
      <c r="Q38" s="12"/>
      <c r="R38" s="11"/>
      <c r="W38" s="16">
        <v>0</v>
      </c>
      <c r="AB38" s="12"/>
      <c r="AG38" s="12"/>
      <c r="AH38" s="12">
        <v>0</v>
      </c>
      <c r="AI38" s="11"/>
      <c r="AM38" s="12"/>
      <c r="AN38" s="16">
        <v>1</v>
      </c>
      <c r="AO38" s="16">
        <v>0</v>
      </c>
      <c r="AU38" s="16">
        <v>0</v>
      </c>
      <c r="AZ38" s="12"/>
      <c r="BA38" s="16">
        <v>0</v>
      </c>
      <c r="BB38">
        <v>0</v>
      </c>
      <c r="BC38">
        <v>0</v>
      </c>
      <c r="BD38">
        <v>0</v>
      </c>
      <c r="BE38">
        <v>0</v>
      </c>
      <c r="BF38" s="11">
        <v>0</v>
      </c>
      <c r="BG38">
        <v>0</v>
      </c>
      <c r="BH38">
        <v>0</v>
      </c>
      <c r="BI38" s="11">
        <v>0</v>
      </c>
      <c r="BJ38" s="12">
        <v>0</v>
      </c>
      <c r="BK38" s="12">
        <v>0</v>
      </c>
      <c r="BL38" s="16">
        <v>0</v>
      </c>
      <c r="BM38" s="16">
        <v>0</v>
      </c>
      <c r="BN38" s="16">
        <v>0</v>
      </c>
      <c r="BO38" s="16">
        <v>1</v>
      </c>
      <c r="BP38" s="16">
        <v>0</v>
      </c>
      <c r="BQ38" s="16">
        <v>0</v>
      </c>
      <c r="BR38" s="16">
        <v>0</v>
      </c>
      <c r="BS38" s="16">
        <v>2</v>
      </c>
      <c r="BT38" s="16">
        <v>3</v>
      </c>
      <c r="BU38" s="16">
        <v>2</v>
      </c>
      <c r="BV38" s="16">
        <v>0</v>
      </c>
    </row>
    <row r="39" spans="1:74" x14ac:dyDescent="0.25">
      <c r="A39" s="30" t="s">
        <v>42</v>
      </c>
      <c r="B39" s="11">
        <v>0</v>
      </c>
      <c r="C39">
        <v>0</v>
      </c>
      <c r="D39">
        <v>0</v>
      </c>
      <c r="E39">
        <v>0</v>
      </c>
      <c r="F39" s="12"/>
      <c r="G39">
        <v>18</v>
      </c>
      <c r="H39" s="11"/>
      <c r="L39" s="12"/>
      <c r="M39" s="11"/>
      <c r="Q39" s="12"/>
      <c r="R39" s="11"/>
      <c r="W39" s="16">
        <v>0</v>
      </c>
      <c r="AB39" s="12"/>
      <c r="AG39" s="12"/>
      <c r="AH39" s="12">
        <v>44</v>
      </c>
      <c r="AI39" s="11"/>
      <c r="AM39" s="12"/>
      <c r="AN39" s="16">
        <v>0</v>
      </c>
      <c r="AO39" s="16">
        <v>0</v>
      </c>
      <c r="AU39" s="16">
        <v>0</v>
      </c>
      <c r="AZ39" s="12"/>
      <c r="BA39" s="16">
        <v>0</v>
      </c>
      <c r="BB39">
        <v>0</v>
      </c>
      <c r="BC39">
        <v>0</v>
      </c>
      <c r="BD39">
        <v>0</v>
      </c>
      <c r="BE39">
        <v>0</v>
      </c>
      <c r="BF39" s="11">
        <v>0</v>
      </c>
      <c r="BG39">
        <v>0</v>
      </c>
      <c r="BH39">
        <v>0</v>
      </c>
      <c r="BI39" s="11">
        <v>0</v>
      </c>
      <c r="BJ39" s="12">
        <v>0</v>
      </c>
      <c r="BK39" s="12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4</v>
      </c>
      <c r="BT39" s="16">
        <v>5</v>
      </c>
      <c r="BU39" s="16">
        <v>0</v>
      </c>
      <c r="BV39" s="16">
        <v>0</v>
      </c>
    </row>
    <row r="40" spans="1:74" x14ac:dyDescent="0.25">
      <c r="A40" s="16" t="s">
        <v>43</v>
      </c>
      <c r="B40" s="11">
        <v>502</v>
      </c>
      <c r="C40">
        <v>310</v>
      </c>
      <c r="D40">
        <v>893</v>
      </c>
      <c r="E40">
        <v>580</v>
      </c>
      <c r="F40" s="12"/>
      <c r="G40">
        <v>443</v>
      </c>
      <c r="H40" s="11"/>
      <c r="L40" s="12"/>
      <c r="M40" s="11"/>
      <c r="Q40" s="12"/>
      <c r="R40" s="11"/>
      <c r="W40" s="16">
        <v>470</v>
      </c>
      <c r="AB40" s="12"/>
      <c r="AG40" s="12"/>
      <c r="AH40" s="12">
        <v>158</v>
      </c>
      <c r="AI40" s="11"/>
      <c r="AM40" s="12"/>
      <c r="AN40" s="16">
        <v>34</v>
      </c>
      <c r="AO40" s="16">
        <v>25</v>
      </c>
      <c r="AU40" s="16">
        <v>13</v>
      </c>
      <c r="AZ40" s="12"/>
      <c r="BA40" s="16">
        <v>155</v>
      </c>
      <c r="BB40">
        <v>18</v>
      </c>
      <c r="BC40">
        <v>8</v>
      </c>
      <c r="BD40">
        <v>7</v>
      </c>
      <c r="BE40">
        <v>12</v>
      </c>
      <c r="BF40" s="11">
        <v>9</v>
      </c>
      <c r="BG40">
        <v>11</v>
      </c>
      <c r="BH40">
        <v>36</v>
      </c>
      <c r="BI40" s="11">
        <v>9</v>
      </c>
      <c r="BJ40" s="12">
        <v>9</v>
      </c>
      <c r="BK40" s="12">
        <v>106</v>
      </c>
      <c r="BL40" s="16">
        <v>44</v>
      </c>
      <c r="BM40" s="16">
        <v>7</v>
      </c>
      <c r="BN40" s="16">
        <v>9</v>
      </c>
      <c r="BO40" s="16">
        <v>0</v>
      </c>
      <c r="BP40" s="16">
        <v>20</v>
      </c>
      <c r="BQ40" s="16">
        <v>29</v>
      </c>
      <c r="BR40" s="16">
        <v>18</v>
      </c>
      <c r="BS40" s="16">
        <v>13</v>
      </c>
      <c r="BT40" s="16">
        <v>18</v>
      </c>
      <c r="BU40" s="16">
        <v>10</v>
      </c>
      <c r="BV40" s="16">
        <v>0</v>
      </c>
    </row>
    <row r="41" spans="1:74" x14ac:dyDescent="0.25">
      <c r="A41" s="30" t="s">
        <v>44</v>
      </c>
      <c r="B41" s="11">
        <v>0</v>
      </c>
      <c r="C41">
        <v>0</v>
      </c>
      <c r="D41">
        <v>0</v>
      </c>
      <c r="E41">
        <v>0</v>
      </c>
      <c r="F41" s="12"/>
      <c r="G41">
        <v>10</v>
      </c>
      <c r="H41" s="11"/>
      <c r="L41" s="12"/>
      <c r="M41" s="11"/>
      <c r="Q41" s="12"/>
      <c r="R41" s="11"/>
      <c r="W41" s="16">
        <v>0</v>
      </c>
      <c r="AB41" s="12"/>
      <c r="AG41" s="12"/>
      <c r="AH41" s="12">
        <v>40</v>
      </c>
      <c r="AI41" s="11"/>
      <c r="AM41" s="12"/>
      <c r="AN41" s="16">
        <v>304</v>
      </c>
      <c r="AO41" s="16">
        <v>221</v>
      </c>
      <c r="AU41" s="16">
        <v>290</v>
      </c>
      <c r="AZ41" s="12"/>
      <c r="BA41" s="16">
        <v>134</v>
      </c>
      <c r="BB41">
        <v>135</v>
      </c>
      <c r="BC41">
        <v>123</v>
      </c>
      <c r="BD41">
        <v>101</v>
      </c>
      <c r="BE41">
        <v>104</v>
      </c>
      <c r="BF41" s="11">
        <v>136</v>
      </c>
      <c r="BG41">
        <v>124</v>
      </c>
      <c r="BH41">
        <v>270</v>
      </c>
      <c r="BI41" s="11">
        <v>135</v>
      </c>
      <c r="BJ41" s="12">
        <v>120</v>
      </c>
      <c r="BK41" s="12">
        <v>1890</v>
      </c>
      <c r="BL41" s="16">
        <v>952</v>
      </c>
      <c r="BM41" s="16">
        <v>49</v>
      </c>
      <c r="BN41" s="16">
        <v>86</v>
      </c>
      <c r="BO41" s="16">
        <v>304</v>
      </c>
      <c r="BP41" s="16">
        <v>145</v>
      </c>
      <c r="BQ41" s="16">
        <v>324</v>
      </c>
      <c r="BR41" s="16">
        <v>230</v>
      </c>
      <c r="BS41" s="16">
        <v>312</v>
      </c>
      <c r="BT41" s="16">
        <v>236</v>
      </c>
      <c r="BU41" s="16">
        <v>253</v>
      </c>
      <c r="BV41" s="16">
        <v>0</v>
      </c>
    </row>
    <row r="42" spans="1:74" x14ac:dyDescent="0.25">
      <c r="A42" s="16" t="s">
        <v>45</v>
      </c>
      <c r="B42" s="11">
        <v>20</v>
      </c>
      <c r="C42">
        <v>3</v>
      </c>
      <c r="D42">
        <v>0</v>
      </c>
      <c r="E42">
        <v>0</v>
      </c>
      <c r="F42" s="12"/>
      <c r="G42">
        <v>0</v>
      </c>
      <c r="H42" s="11"/>
      <c r="L42" s="12"/>
      <c r="M42" s="11"/>
      <c r="Q42" s="12"/>
      <c r="R42" s="11"/>
      <c r="W42" s="16">
        <v>1</v>
      </c>
      <c r="AB42" s="12"/>
      <c r="AG42" s="12"/>
      <c r="AH42" s="12">
        <v>1</v>
      </c>
      <c r="AI42" s="11"/>
      <c r="AM42" s="12"/>
      <c r="AN42" s="16">
        <v>0</v>
      </c>
      <c r="AO42" s="16">
        <v>1</v>
      </c>
      <c r="AU42" s="16">
        <v>0</v>
      </c>
      <c r="AZ42" s="12"/>
      <c r="BA42" s="16">
        <v>0</v>
      </c>
      <c r="BB42">
        <v>0</v>
      </c>
      <c r="BC42">
        <v>0</v>
      </c>
      <c r="BD42">
        <v>1</v>
      </c>
      <c r="BE42">
        <v>0</v>
      </c>
      <c r="BF42" s="11">
        <v>1</v>
      </c>
      <c r="BG42">
        <v>0</v>
      </c>
      <c r="BH42">
        <v>2</v>
      </c>
      <c r="BI42" s="11">
        <v>0</v>
      </c>
      <c r="BJ42" s="12">
        <v>0</v>
      </c>
      <c r="BK42" s="12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3</v>
      </c>
      <c r="BT42" s="16">
        <v>8</v>
      </c>
      <c r="BU42" s="16">
        <v>7</v>
      </c>
      <c r="BV42" s="16">
        <v>0</v>
      </c>
    </row>
    <row r="43" spans="1:74" x14ac:dyDescent="0.25">
      <c r="A43" s="16" t="s">
        <v>46</v>
      </c>
      <c r="B43" s="11">
        <v>0</v>
      </c>
      <c r="C43">
        <v>0</v>
      </c>
      <c r="D43">
        <v>0</v>
      </c>
      <c r="E43">
        <v>0</v>
      </c>
      <c r="F43" s="12"/>
      <c r="G43">
        <v>0</v>
      </c>
      <c r="H43" s="11"/>
      <c r="L43" s="12"/>
      <c r="M43" s="11"/>
      <c r="Q43" s="12"/>
      <c r="R43" s="11"/>
      <c r="W43" s="16">
        <v>0</v>
      </c>
      <c r="AB43" s="12"/>
      <c r="AG43" s="12"/>
      <c r="AH43" s="12">
        <v>0</v>
      </c>
      <c r="AI43" s="11"/>
      <c r="AM43" s="12"/>
      <c r="AN43" s="16">
        <v>0</v>
      </c>
      <c r="AO43" s="16">
        <v>0</v>
      </c>
      <c r="AU43" s="16">
        <v>0</v>
      </c>
      <c r="AZ43" s="12"/>
      <c r="BA43" s="16">
        <v>0</v>
      </c>
      <c r="BB43">
        <v>0</v>
      </c>
      <c r="BC43">
        <v>0</v>
      </c>
      <c r="BD43">
        <v>0</v>
      </c>
      <c r="BE43">
        <v>0</v>
      </c>
      <c r="BF43" s="11">
        <v>0</v>
      </c>
      <c r="BG43">
        <v>0</v>
      </c>
      <c r="BH43">
        <v>0</v>
      </c>
      <c r="BI43" s="11">
        <v>0</v>
      </c>
      <c r="BJ43" s="12">
        <v>0</v>
      </c>
      <c r="BK43" s="12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5000</v>
      </c>
    </row>
    <row r="44" spans="1:74" x14ac:dyDescent="0.25">
      <c r="A44" s="16" t="s">
        <v>47</v>
      </c>
      <c r="B44" s="11">
        <v>0</v>
      </c>
      <c r="C44">
        <v>0</v>
      </c>
      <c r="D44">
        <v>0</v>
      </c>
      <c r="E44">
        <v>0</v>
      </c>
      <c r="F44" s="12"/>
      <c r="G44">
        <v>0</v>
      </c>
      <c r="H44" s="11"/>
      <c r="L44" s="12"/>
      <c r="M44" s="11"/>
      <c r="Q44" s="12"/>
      <c r="R44" s="11"/>
      <c r="W44" s="16">
        <v>0</v>
      </c>
      <c r="AB44" s="12"/>
      <c r="AG44" s="12"/>
      <c r="AH44" s="12">
        <v>0</v>
      </c>
      <c r="AI44" s="11"/>
      <c r="AM44" s="12"/>
      <c r="AN44" s="16">
        <v>0</v>
      </c>
      <c r="AO44" s="16">
        <v>0</v>
      </c>
      <c r="AU44" s="16">
        <v>0</v>
      </c>
      <c r="AZ44" s="12"/>
      <c r="BA44" s="16">
        <v>0</v>
      </c>
      <c r="BB44">
        <v>0</v>
      </c>
      <c r="BC44">
        <v>0</v>
      </c>
      <c r="BD44">
        <v>0</v>
      </c>
      <c r="BE44">
        <v>0</v>
      </c>
      <c r="BF44" s="11">
        <v>0</v>
      </c>
      <c r="BG44">
        <v>0</v>
      </c>
      <c r="BH44">
        <v>0</v>
      </c>
      <c r="BI44" s="11">
        <v>0</v>
      </c>
      <c r="BJ44" s="12">
        <v>0</v>
      </c>
      <c r="BK44" s="12">
        <v>0</v>
      </c>
      <c r="BL44" s="16">
        <v>0</v>
      </c>
      <c r="BM44" s="16">
        <v>0</v>
      </c>
      <c r="BN44" s="16">
        <v>1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</row>
    <row r="45" spans="1:74" x14ac:dyDescent="0.25">
      <c r="A45" s="16" t="s">
        <v>48</v>
      </c>
      <c r="B45" s="11">
        <v>207</v>
      </c>
      <c r="C45">
        <v>120</v>
      </c>
      <c r="D45">
        <v>25</v>
      </c>
      <c r="E45">
        <v>77</v>
      </c>
      <c r="F45" s="12"/>
      <c r="G45">
        <v>48</v>
      </c>
      <c r="H45" s="11"/>
      <c r="L45" s="12"/>
      <c r="M45" s="11"/>
      <c r="Q45" s="12"/>
      <c r="R45" s="11"/>
      <c r="W45" s="16">
        <v>35</v>
      </c>
      <c r="AB45" s="12"/>
      <c r="AG45" s="12"/>
      <c r="AH45" s="12">
        <v>34</v>
      </c>
      <c r="AI45" s="11"/>
      <c r="AM45" s="12"/>
      <c r="AN45" s="16">
        <v>37</v>
      </c>
      <c r="AO45" s="16">
        <v>29</v>
      </c>
      <c r="AU45" s="16">
        <v>37</v>
      </c>
      <c r="AZ45" s="12"/>
      <c r="BA45" s="16">
        <v>12</v>
      </c>
      <c r="BB45">
        <v>29</v>
      </c>
      <c r="BC45">
        <v>18</v>
      </c>
      <c r="BD45">
        <v>26</v>
      </c>
      <c r="BE45">
        <v>21</v>
      </c>
      <c r="BF45" s="11">
        <v>34</v>
      </c>
      <c r="BG45">
        <v>27</v>
      </c>
      <c r="BH45">
        <v>85</v>
      </c>
      <c r="BI45" s="11">
        <v>28</v>
      </c>
      <c r="BJ45" s="12">
        <v>35</v>
      </c>
      <c r="BK45" s="12">
        <v>341</v>
      </c>
      <c r="BL45" s="16">
        <v>99</v>
      </c>
      <c r="BM45" s="16">
        <v>8</v>
      </c>
      <c r="BN45" s="16">
        <v>7</v>
      </c>
      <c r="BO45" s="16">
        <v>91</v>
      </c>
      <c r="BP45" s="16">
        <v>6</v>
      </c>
      <c r="BQ45" s="16">
        <v>70</v>
      </c>
      <c r="BR45" s="16">
        <v>28</v>
      </c>
      <c r="BS45" s="16">
        <v>0</v>
      </c>
      <c r="BT45" s="16">
        <v>0</v>
      </c>
      <c r="BU45" s="16">
        <v>0</v>
      </c>
      <c r="BV45" s="16">
        <v>0</v>
      </c>
    </row>
    <row r="46" spans="1:74" x14ac:dyDescent="0.25">
      <c r="A46" s="16" t="s">
        <v>49</v>
      </c>
      <c r="B46" s="11">
        <v>528</v>
      </c>
      <c r="C46">
        <v>345</v>
      </c>
      <c r="D46">
        <v>333</v>
      </c>
      <c r="E46">
        <v>330</v>
      </c>
      <c r="F46" s="12"/>
      <c r="G46">
        <v>201</v>
      </c>
      <c r="H46" s="11"/>
      <c r="L46" s="12"/>
      <c r="M46" s="11"/>
      <c r="Q46" s="12"/>
      <c r="R46" s="11"/>
      <c r="W46" s="16">
        <v>152</v>
      </c>
      <c r="AB46" s="12"/>
      <c r="AG46" s="12"/>
      <c r="AH46" s="12">
        <v>205</v>
      </c>
      <c r="AI46" s="11"/>
      <c r="AM46" s="12"/>
      <c r="AN46" s="16">
        <v>1106</v>
      </c>
      <c r="AO46" s="16">
        <v>1138</v>
      </c>
      <c r="AU46" s="16">
        <v>1228</v>
      </c>
      <c r="AZ46" s="12"/>
      <c r="BA46" s="16">
        <v>637</v>
      </c>
      <c r="BB46">
        <v>424</v>
      </c>
      <c r="BC46">
        <v>437</v>
      </c>
      <c r="BD46">
        <v>428</v>
      </c>
      <c r="BE46">
        <v>446</v>
      </c>
      <c r="BF46" s="11">
        <v>394</v>
      </c>
      <c r="BG46">
        <v>435</v>
      </c>
      <c r="BH46">
        <v>842</v>
      </c>
      <c r="BI46" s="11">
        <v>410</v>
      </c>
      <c r="BJ46" s="12">
        <v>455</v>
      </c>
      <c r="BK46" s="12">
        <v>6865</v>
      </c>
      <c r="BL46" s="16">
        <v>7015</v>
      </c>
      <c r="BM46" s="16">
        <v>59</v>
      </c>
      <c r="BN46" s="16">
        <v>66</v>
      </c>
      <c r="BO46" s="16">
        <v>1106</v>
      </c>
      <c r="BP46" s="16">
        <v>7</v>
      </c>
      <c r="BQ46" s="16">
        <v>1962</v>
      </c>
      <c r="BR46" s="16">
        <v>683</v>
      </c>
      <c r="BS46" s="16">
        <v>0</v>
      </c>
      <c r="BT46" s="16">
        <v>0</v>
      </c>
      <c r="BU46" s="16">
        <v>0</v>
      </c>
      <c r="BV46" s="16">
        <v>0</v>
      </c>
    </row>
    <row r="47" spans="1:74" x14ac:dyDescent="0.25">
      <c r="A47" s="16" t="s">
        <v>50</v>
      </c>
      <c r="B47" s="11">
        <v>6</v>
      </c>
      <c r="C47">
        <v>16</v>
      </c>
      <c r="D47">
        <v>1</v>
      </c>
      <c r="E47">
        <v>2</v>
      </c>
      <c r="F47" s="12"/>
      <c r="G47">
        <v>3</v>
      </c>
      <c r="H47" s="11"/>
      <c r="L47" s="12"/>
      <c r="M47" s="11"/>
      <c r="Q47" s="12"/>
      <c r="R47" s="11"/>
      <c r="W47" s="16">
        <v>3</v>
      </c>
      <c r="AB47" s="12"/>
      <c r="AG47" s="12"/>
      <c r="AH47" s="12">
        <v>0</v>
      </c>
      <c r="AI47" s="11"/>
      <c r="AM47" s="12"/>
      <c r="AN47" s="16">
        <v>66</v>
      </c>
      <c r="AO47" s="16">
        <v>66</v>
      </c>
      <c r="AU47" s="16">
        <v>25</v>
      </c>
      <c r="AZ47" s="12"/>
      <c r="BA47" s="16">
        <v>6</v>
      </c>
      <c r="BB47">
        <v>0</v>
      </c>
      <c r="BC47">
        <v>0</v>
      </c>
      <c r="BD47">
        <v>0</v>
      </c>
      <c r="BE47">
        <v>0</v>
      </c>
      <c r="BF47" s="11">
        <v>0</v>
      </c>
      <c r="BG47">
        <v>0</v>
      </c>
      <c r="BH47">
        <v>0</v>
      </c>
      <c r="BI47" s="11">
        <v>0</v>
      </c>
      <c r="BJ47" s="12">
        <v>0</v>
      </c>
      <c r="BK47" s="12">
        <v>0</v>
      </c>
      <c r="BL47" s="16">
        <v>0</v>
      </c>
      <c r="BM47" s="16">
        <v>9</v>
      </c>
      <c r="BN47" s="16">
        <v>20</v>
      </c>
      <c r="BO47" s="16">
        <v>65</v>
      </c>
      <c r="BP47" s="16">
        <v>99</v>
      </c>
      <c r="BQ47" s="16">
        <v>13</v>
      </c>
      <c r="BR47" s="16">
        <v>8</v>
      </c>
      <c r="BS47" s="16">
        <v>0</v>
      </c>
      <c r="BT47" s="16">
        <v>0</v>
      </c>
      <c r="BU47" s="16">
        <v>0</v>
      </c>
      <c r="BV47" s="16">
        <v>0</v>
      </c>
    </row>
    <row r="48" spans="1:74" x14ac:dyDescent="0.25">
      <c r="A48" s="30" t="s">
        <v>51</v>
      </c>
      <c r="B48" s="11">
        <v>0</v>
      </c>
      <c r="C48">
        <v>0</v>
      </c>
      <c r="D48">
        <v>0</v>
      </c>
      <c r="E48">
        <v>0</v>
      </c>
      <c r="F48" s="12"/>
      <c r="G48">
        <v>2</v>
      </c>
      <c r="H48" s="11"/>
      <c r="L48" s="12"/>
      <c r="M48" s="11"/>
      <c r="Q48" s="12"/>
      <c r="R48" s="11"/>
      <c r="W48" s="16">
        <v>0</v>
      </c>
      <c r="AB48" s="12"/>
      <c r="AG48" s="12"/>
      <c r="AH48" s="12">
        <v>40</v>
      </c>
      <c r="AI48" s="11"/>
      <c r="AM48" s="12"/>
      <c r="AN48" s="16">
        <v>0</v>
      </c>
      <c r="AO48" s="16">
        <v>0</v>
      </c>
      <c r="AU48" s="16">
        <v>0</v>
      </c>
      <c r="AZ48" s="12"/>
      <c r="BA48" s="16">
        <v>0</v>
      </c>
      <c r="BB48">
        <v>0</v>
      </c>
      <c r="BC48">
        <v>0</v>
      </c>
      <c r="BD48">
        <v>0</v>
      </c>
      <c r="BE48">
        <v>0</v>
      </c>
      <c r="BF48" s="11">
        <v>0</v>
      </c>
      <c r="BG48">
        <v>1</v>
      </c>
      <c r="BH48">
        <v>1</v>
      </c>
      <c r="BI48" s="11">
        <v>0</v>
      </c>
      <c r="BJ48" s="12">
        <v>0</v>
      </c>
      <c r="BK48" s="12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</row>
    <row r="49" spans="1:74" x14ac:dyDescent="0.25">
      <c r="A49" s="16" t="s">
        <v>52</v>
      </c>
      <c r="B49" s="11">
        <v>0</v>
      </c>
      <c r="C49">
        <v>0</v>
      </c>
      <c r="D49">
        <v>0</v>
      </c>
      <c r="E49">
        <v>0</v>
      </c>
      <c r="F49" s="12"/>
      <c r="G49">
        <v>0</v>
      </c>
      <c r="H49" s="11"/>
      <c r="L49" s="12"/>
      <c r="M49" s="11"/>
      <c r="Q49" s="12"/>
      <c r="R49" s="11"/>
      <c r="W49" s="16">
        <v>0</v>
      </c>
      <c r="AB49" s="12"/>
      <c r="AG49" s="12"/>
      <c r="AH49" s="12">
        <v>0</v>
      </c>
      <c r="AI49" s="11"/>
      <c r="AM49" s="12"/>
      <c r="AN49" s="16">
        <v>0</v>
      </c>
      <c r="AO49" s="16">
        <v>0</v>
      </c>
      <c r="AU49" s="16">
        <v>0</v>
      </c>
      <c r="AZ49" s="12"/>
      <c r="BA49" s="16">
        <v>0</v>
      </c>
      <c r="BB49">
        <v>0</v>
      </c>
      <c r="BC49">
        <v>0</v>
      </c>
      <c r="BD49">
        <v>0</v>
      </c>
      <c r="BE49">
        <v>0</v>
      </c>
      <c r="BF49" s="11">
        <v>0</v>
      </c>
      <c r="BG49">
        <v>0</v>
      </c>
      <c r="BH49">
        <v>0</v>
      </c>
      <c r="BI49" s="11">
        <v>0</v>
      </c>
      <c r="BJ49" s="12">
        <v>0</v>
      </c>
      <c r="BK49" s="12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</row>
    <row r="50" spans="1:74" x14ac:dyDescent="0.25">
      <c r="A50" s="16" t="s">
        <v>53</v>
      </c>
      <c r="B50" s="11">
        <v>2</v>
      </c>
      <c r="C50">
        <v>4</v>
      </c>
      <c r="D50">
        <v>0</v>
      </c>
      <c r="E50">
        <v>5</v>
      </c>
      <c r="F50" s="12"/>
      <c r="G50">
        <v>1</v>
      </c>
      <c r="H50" s="11"/>
      <c r="L50" s="12"/>
      <c r="M50" s="11"/>
      <c r="Q50" s="12"/>
      <c r="R50" s="11"/>
      <c r="W50" s="16">
        <v>3</v>
      </c>
      <c r="AB50" s="12"/>
      <c r="AG50" s="12"/>
      <c r="AH50" s="12">
        <v>0</v>
      </c>
      <c r="AI50" s="11"/>
      <c r="AM50" s="12"/>
      <c r="AN50" s="16">
        <v>0</v>
      </c>
      <c r="AO50" s="16">
        <v>0</v>
      </c>
      <c r="AU50" s="16">
        <v>0</v>
      </c>
      <c r="AZ50" s="12"/>
      <c r="BA50" s="16">
        <v>0</v>
      </c>
      <c r="BB50">
        <v>0</v>
      </c>
      <c r="BC50">
        <v>0</v>
      </c>
      <c r="BD50">
        <v>0</v>
      </c>
      <c r="BE50">
        <v>0</v>
      </c>
      <c r="BF50" s="11">
        <v>0</v>
      </c>
      <c r="BG50">
        <v>0</v>
      </c>
      <c r="BH50">
        <v>0</v>
      </c>
      <c r="BI50" s="11">
        <v>0</v>
      </c>
      <c r="BJ50" s="12">
        <v>0</v>
      </c>
      <c r="BK50" s="12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100</v>
      </c>
      <c r="BV50" s="16">
        <v>0</v>
      </c>
    </row>
    <row r="51" spans="1:74" x14ac:dyDescent="0.25">
      <c r="A51" s="16" t="s">
        <v>54</v>
      </c>
      <c r="B51" s="11">
        <v>9</v>
      </c>
      <c r="C51">
        <v>20</v>
      </c>
      <c r="D51">
        <v>5</v>
      </c>
      <c r="E51">
        <v>11</v>
      </c>
      <c r="F51" s="12"/>
      <c r="G51">
        <v>3</v>
      </c>
      <c r="H51" s="11"/>
      <c r="L51" s="12"/>
      <c r="M51" s="11"/>
      <c r="Q51" s="12"/>
      <c r="R51" s="11"/>
      <c r="W51" s="16">
        <v>0</v>
      </c>
      <c r="AB51" s="12"/>
      <c r="AG51" s="12"/>
      <c r="AH51" s="12">
        <v>13</v>
      </c>
      <c r="AI51" s="11"/>
      <c r="AM51" s="12"/>
      <c r="AN51" s="16">
        <v>25</v>
      </c>
      <c r="AO51" s="16">
        <v>29</v>
      </c>
      <c r="AU51" s="16">
        <v>34</v>
      </c>
      <c r="AZ51" s="12"/>
      <c r="BA51" s="16">
        <v>20</v>
      </c>
      <c r="BB51">
        <v>6</v>
      </c>
      <c r="BC51">
        <v>10</v>
      </c>
      <c r="BD51">
        <v>7</v>
      </c>
      <c r="BE51">
        <v>5</v>
      </c>
      <c r="BF51" s="11">
        <v>9</v>
      </c>
      <c r="BG51">
        <v>2</v>
      </c>
      <c r="BH51">
        <v>16</v>
      </c>
      <c r="BI51" s="11">
        <v>10</v>
      </c>
      <c r="BJ51" s="12">
        <v>6</v>
      </c>
      <c r="BK51" s="12">
        <v>97</v>
      </c>
      <c r="BL51" s="16">
        <v>63</v>
      </c>
      <c r="BM51" s="16">
        <v>13</v>
      </c>
      <c r="BN51" s="16">
        <v>14</v>
      </c>
      <c r="BO51" s="16">
        <v>25</v>
      </c>
      <c r="BP51" s="16">
        <v>44</v>
      </c>
      <c r="BQ51" s="16">
        <v>110</v>
      </c>
      <c r="BR51" s="16">
        <v>58</v>
      </c>
      <c r="BS51" s="16">
        <v>0</v>
      </c>
      <c r="BT51" s="16">
        <v>0</v>
      </c>
      <c r="BU51" s="16">
        <v>0</v>
      </c>
      <c r="BV51" s="16">
        <v>0</v>
      </c>
    </row>
    <row r="52" spans="1:74" x14ac:dyDescent="0.25">
      <c r="A52" s="16" t="s">
        <v>55</v>
      </c>
      <c r="B52" s="11">
        <v>4</v>
      </c>
      <c r="C52">
        <v>13</v>
      </c>
      <c r="D52">
        <v>0</v>
      </c>
      <c r="E52">
        <v>2</v>
      </c>
      <c r="F52" s="12"/>
      <c r="G52">
        <v>7</v>
      </c>
      <c r="H52" s="11"/>
      <c r="L52" s="12"/>
      <c r="M52" s="11"/>
      <c r="Q52" s="12"/>
      <c r="R52" s="11"/>
      <c r="W52" s="16">
        <v>7</v>
      </c>
      <c r="AB52" s="12"/>
      <c r="AG52" s="12"/>
      <c r="AH52" s="12">
        <v>0</v>
      </c>
      <c r="AI52" s="11"/>
      <c r="AM52" s="12"/>
      <c r="AN52" s="16">
        <v>0</v>
      </c>
      <c r="AO52" s="16">
        <v>0</v>
      </c>
      <c r="AU52" s="16">
        <v>0</v>
      </c>
      <c r="AZ52" s="12"/>
      <c r="BA52" s="16">
        <v>0</v>
      </c>
      <c r="BB52">
        <v>0</v>
      </c>
      <c r="BC52">
        <v>0</v>
      </c>
      <c r="BD52">
        <v>0</v>
      </c>
      <c r="BE52">
        <v>0</v>
      </c>
      <c r="BF52" s="11">
        <v>0</v>
      </c>
      <c r="BG52">
        <v>0</v>
      </c>
      <c r="BH52">
        <v>0</v>
      </c>
      <c r="BI52" s="11">
        <v>0</v>
      </c>
      <c r="BJ52" s="12">
        <v>0</v>
      </c>
      <c r="BK52" s="12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</row>
    <row r="53" spans="1:74" x14ac:dyDescent="0.25">
      <c r="A53" s="16" t="s">
        <v>56</v>
      </c>
      <c r="B53" s="11">
        <v>0</v>
      </c>
      <c r="C53">
        <v>0</v>
      </c>
      <c r="D53">
        <v>0</v>
      </c>
      <c r="E53">
        <v>0</v>
      </c>
      <c r="F53" s="12"/>
      <c r="G53">
        <v>0</v>
      </c>
      <c r="H53" s="11"/>
      <c r="L53" s="12"/>
      <c r="M53" s="11"/>
      <c r="Q53" s="12"/>
      <c r="R53" s="11"/>
      <c r="W53" s="16">
        <v>0</v>
      </c>
      <c r="AB53" s="12"/>
      <c r="AG53" s="12"/>
      <c r="AH53" s="12">
        <v>0</v>
      </c>
      <c r="AI53" s="11"/>
      <c r="AM53" s="12"/>
      <c r="AN53" s="16">
        <v>0</v>
      </c>
      <c r="AO53" s="16">
        <v>0</v>
      </c>
      <c r="AU53" s="16">
        <v>0</v>
      </c>
      <c r="AZ53" s="12"/>
      <c r="BA53" s="16">
        <v>0</v>
      </c>
      <c r="BB53">
        <v>0</v>
      </c>
      <c r="BC53">
        <v>0</v>
      </c>
      <c r="BD53">
        <v>0</v>
      </c>
      <c r="BE53">
        <v>0</v>
      </c>
      <c r="BF53" s="11">
        <v>0</v>
      </c>
      <c r="BG53">
        <v>0</v>
      </c>
      <c r="BH53">
        <v>0</v>
      </c>
      <c r="BI53" s="11">
        <v>0</v>
      </c>
      <c r="BJ53" s="12">
        <v>0</v>
      </c>
      <c r="BK53" s="12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</row>
    <row r="54" spans="1:74" x14ac:dyDescent="0.25">
      <c r="A54" s="16" t="s">
        <v>57</v>
      </c>
      <c r="B54" s="11">
        <v>0</v>
      </c>
      <c r="C54">
        <v>0</v>
      </c>
      <c r="D54">
        <v>0</v>
      </c>
      <c r="E54">
        <v>0</v>
      </c>
      <c r="F54" s="12"/>
      <c r="G54">
        <v>134</v>
      </c>
      <c r="H54" s="11"/>
      <c r="L54" s="12"/>
      <c r="M54" s="11"/>
      <c r="Q54" s="12"/>
      <c r="R54" s="11"/>
      <c r="W54" s="16">
        <v>0</v>
      </c>
      <c r="AB54" s="12"/>
      <c r="AG54" s="12"/>
      <c r="AH54" s="12">
        <v>0</v>
      </c>
      <c r="AI54" s="11"/>
      <c r="AM54" s="12"/>
      <c r="AN54" s="16">
        <v>8</v>
      </c>
      <c r="AO54" s="16">
        <v>5</v>
      </c>
      <c r="AU54" s="16">
        <v>3</v>
      </c>
      <c r="AZ54" s="12"/>
      <c r="BA54" s="16">
        <v>7</v>
      </c>
      <c r="BB54">
        <v>270</v>
      </c>
      <c r="BC54">
        <v>254</v>
      </c>
      <c r="BD54">
        <v>267</v>
      </c>
      <c r="BE54">
        <v>259</v>
      </c>
      <c r="BF54" s="11">
        <v>268</v>
      </c>
      <c r="BG54">
        <v>272</v>
      </c>
      <c r="BH54">
        <v>606</v>
      </c>
      <c r="BI54" s="11">
        <v>257</v>
      </c>
      <c r="BJ54" s="12">
        <v>262</v>
      </c>
      <c r="BK54" s="12">
        <v>3219</v>
      </c>
      <c r="BL54" s="16">
        <v>982</v>
      </c>
      <c r="BM54" s="16">
        <v>164</v>
      </c>
      <c r="BN54" s="16">
        <v>177</v>
      </c>
      <c r="BO54" s="16">
        <v>8</v>
      </c>
      <c r="BP54" s="16">
        <v>412</v>
      </c>
      <c r="BQ54" s="16">
        <v>980</v>
      </c>
      <c r="BR54" s="16">
        <v>149</v>
      </c>
      <c r="BS54" s="16">
        <v>5</v>
      </c>
      <c r="BT54" s="16">
        <v>0</v>
      </c>
      <c r="BU54" s="16">
        <v>0</v>
      </c>
      <c r="BV54" s="16">
        <v>0</v>
      </c>
    </row>
    <row r="55" spans="1:74" x14ac:dyDescent="0.25">
      <c r="A55" s="16"/>
      <c r="B55" s="11">
        <v>0</v>
      </c>
      <c r="C55">
        <v>0</v>
      </c>
      <c r="D55">
        <v>0</v>
      </c>
      <c r="E55">
        <v>0</v>
      </c>
      <c r="F55" s="12"/>
      <c r="G55">
        <v>0</v>
      </c>
      <c r="H55" s="11"/>
      <c r="L55" s="12"/>
      <c r="M55" s="11"/>
      <c r="Q55" s="12"/>
      <c r="R55" s="11"/>
      <c r="W55" s="16">
        <v>0</v>
      </c>
      <c r="AB55" s="12"/>
      <c r="AG55" s="12"/>
      <c r="AH55" s="12">
        <v>0</v>
      </c>
      <c r="AI55" s="11"/>
      <c r="AM55" s="12"/>
      <c r="AN55" s="16"/>
      <c r="AO55" s="16"/>
      <c r="AU55" s="16"/>
      <c r="AZ55" s="12"/>
      <c r="BA55" s="16"/>
      <c r="BF55" s="11"/>
      <c r="BI55" s="11">
        <v>0</v>
      </c>
      <c r="BJ55" s="12">
        <v>0</v>
      </c>
      <c r="BK55" s="12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</row>
    <row r="56" spans="1:74" x14ac:dyDescent="0.25">
      <c r="A56" s="29" t="s">
        <v>58</v>
      </c>
      <c r="B56" s="11">
        <v>0</v>
      </c>
      <c r="C56">
        <v>0</v>
      </c>
      <c r="D56">
        <v>0</v>
      </c>
      <c r="E56">
        <v>0</v>
      </c>
      <c r="F56" s="12"/>
      <c r="G56">
        <v>0</v>
      </c>
      <c r="H56" s="11"/>
      <c r="L56" s="12"/>
      <c r="M56" s="11"/>
      <c r="Q56" s="12"/>
      <c r="R56" s="11"/>
      <c r="W56" s="16">
        <v>0</v>
      </c>
      <c r="AB56" s="12"/>
      <c r="AG56" s="12"/>
      <c r="AH56" s="12">
        <v>0</v>
      </c>
      <c r="AI56" s="11"/>
      <c r="AM56" s="12"/>
      <c r="AN56" s="16"/>
      <c r="AO56" s="16"/>
      <c r="AU56" s="16"/>
      <c r="AZ56" s="12"/>
      <c r="BA56" s="16"/>
      <c r="BF56" s="11"/>
      <c r="BI56" s="11">
        <v>0</v>
      </c>
      <c r="BJ56" s="12">
        <v>0</v>
      </c>
      <c r="BK56" s="12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</row>
    <row r="57" spans="1:74" x14ac:dyDescent="0.25">
      <c r="A57" s="16" t="s">
        <v>59</v>
      </c>
      <c r="B57" s="11">
        <v>0</v>
      </c>
      <c r="C57">
        <v>0</v>
      </c>
      <c r="D57">
        <v>0</v>
      </c>
      <c r="E57">
        <v>0</v>
      </c>
      <c r="F57" s="12"/>
      <c r="G57">
        <v>0</v>
      </c>
      <c r="H57" s="11"/>
      <c r="L57" s="12"/>
      <c r="M57" s="11"/>
      <c r="Q57" s="12"/>
      <c r="R57" s="11"/>
      <c r="W57" s="16">
        <v>0</v>
      </c>
      <c r="AB57" s="12"/>
      <c r="AG57" s="12"/>
      <c r="AH57" s="12">
        <v>0</v>
      </c>
      <c r="AI57" s="11"/>
      <c r="AM57" s="12"/>
      <c r="AN57" s="16">
        <v>0</v>
      </c>
      <c r="AO57" s="16">
        <v>0</v>
      </c>
      <c r="AU57" s="16">
        <v>0</v>
      </c>
      <c r="AZ57" s="12"/>
      <c r="BA57" s="16">
        <v>0</v>
      </c>
      <c r="BB57">
        <v>0</v>
      </c>
      <c r="BC57">
        <v>0</v>
      </c>
      <c r="BD57">
        <v>0</v>
      </c>
      <c r="BE57">
        <v>0</v>
      </c>
      <c r="BF57" s="11">
        <v>0</v>
      </c>
      <c r="BG57">
        <v>0</v>
      </c>
      <c r="BH57">
        <v>0</v>
      </c>
      <c r="BI57" s="11">
        <v>0</v>
      </c>
      <c r="BJ57" s="12">
        <v>0</v>
      </c>
      <c r="BK57" s="12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290</v>
      </c>
      <c r="BT57" s="16">
        <v>361</v>
      </c>
      <c r="BU57" s="16">
        <v>379</v>
      </c>
      <c r="BV57" s="16">
        <v>0</v>
      </c>
    </row>
    <row r="58" spans="1:74" x14ac:dyDescent="0.25">
      <c r="A58" s="16" t="s">
        <v>60</v>
      </c>
      <c r="B58" s="11">
        <v>0</v>
      </c>
      <c r="C58">
        <v>0</v>
      </c>
      <c r="D58">
        <v>0</v>
      </c>
      <c r="E58">
        <v>0</v>
      </c>
      <c r="F58" s="12"/>
      <c r="G58">
        <v>0</v>
      </c>
      <c r="H58" s="11"/>
      <c r="L58" s="12"/>
      <c r="M58" s="11"/>
      <c r="Q58" s="12"/>
      <c r="R58" s="11"/>
      <c r="W58" s="16">
        <v>0</v>
      </c>
      <c r="AB58" s="12"/>
      <c r="AG58" s="12"/>
      <c r="AH58" s="12">
        <v>0</v>
      </c>
      <c r="AI58" s="11"/>
      <c r="AM58" s="12"/>
      <c r="AN58" s="16">
        <v>0</v>
      </c>
      <c r="AO58" s="16">
        <v>0</v>
      </c>
      <c r="AU58" s="16">
        <v>0</v>
      </c>
      <c r="AZ58" s="12"/>
      <c r="BA58" s="16">
        <v>0</v>
      </c>
      <c r="BB58">
        <v>0</v>
      </c>
      <c r="BC58">
        <v>0</v>
      </c>
      <c r="BD58">
        <v>0</v>
      </c>
      <c r="BE58">
        <v>0</v>
      </c>
      <c r="BF58" s="11">
        <v>0</v>
      </c>
      <c r="BG58">
        <v>0</v>
      </c>
      <c r="BH58">
        <v>0</v>
      </c>
      <c r="BI58" s="11">
        <v>0</v>
      </c>
      <c r="BJ58" s="12">
        <v>0</v>
      </c>
      <c r="BK58" s="12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24</v>
      </c>
      <c r="BT58" s="16">
        <v>20</v>
      </c>
      <c r="BU58" s="16">
        <v>21</v>
      </c>
      <c r="BV58" s="16">
        <v>0</v>
      </c>
    </row>
    <row r="59" spans="1:74" x14ac:dyDescent="0.25">
      <c r="A59" s="16" t="s">
        <v>61</v>
      </c>
      <c r="B59" s="11">
        <v>0</v>
      </c>
      <c r="C59">
        <v>0</v>
      </c>
      <c r="D59">
        <v>0</v>
      </c>
      <c r="E59">
        <v>0</v>
      </c>
      <c r="F59" s="12"/>
      <c r="G59">
        <v>0</v>
      </c>
      <c r="H59" s="11"/>
      <c r="L59" s="12"/>
      <c r="M59" s="11"/>
      <c r="Q59" s="12"/>
      <c r="R59" s="11"/>
      <c r="W59" s="16">
        <v>0</v>
      </c>
      <c r="AB59" s="12"/>
      <c r="AG59" s="12"/>
      <c r="AH59" s="12">
        <v>2</v>
      </c>
      <c r="AI59" s="11"/>
      <c r="AM59" s="12"/>
      <c r="AN59" s="16">
        <v>0</v>
      </c>
      <c r="AO59" s="16">
        <v>0</v>
      </c>
      <c r="AU59" s="16">
        <v>0</v>
      </c>
      <c r="AZ59" s="12"/>
      <c r="BA59" s="16">
        <v>0</v>
      </c>
      <c r="BB59">
        <v>0</v>
      </c>
      <c r="BC59">
        <v>0</v>
      </c>
      <c r="BD59">
        <v>0</v>
      </c>
      <c r="BE59">
        <v>0</v>
      </c>
      <c r="BF59" s="11">
        <v>0</v>
      </c>
      <c r="BG59">
        <v>0</v>
      </c>
      <c r="BH59">
        <v>0</v>
      </c>
      <c r="BI59" s="11">
        <v>0</v>
      </c>
      <c r="BJ59" s="12">
        <v>0</v>
      </c>
      <c r="BK59" s="12">
        <v>0</v>
      </c>
      <c r="BL59" s="16">
        <v>0</v>
      </c>
      <c r="BM59" s="16">
        <v>0</v>
      </c>
      <c r="BN59" s="16">
        <v>0</v>
      </c>
      <c r="BO59" s="16">
        <v>1</v>
      </c>
      <c r="BP59" s="16">
        <v>0</v>
      </c>
      <c r="BQ59" s="16">
        <v>0</v>
      </c>
      <c r="BR59" s="16">
        <v>0</v>
      </c>
      <c r="BS59" s="16">
        <v>84</v>
      </c>
      <c r="BT59" s="16">
        <v>44</v>
      </c>
      <c r="BU59" s="16">
        <v>46</v>
      </c>
      <c r="BV59" s="16">
        <v>0</v>
      </c>
    </row>
    <row r="60" spans="1:74" x14ac:dyDescent="0.25">
      <c r="A60" s="16" t="s">
        <v>62</v>
      </c>
      <c r="B60" s="11">
        <v>0</v>
      </c>
      <c r="C60">
        <v>0</v>
      </c>
      <c r="D60">
        <v>0</v>
      </c>
      <c r="E60">
        <v>0</v>
      </c>
      <c r="F60" s="12"/>
      <c r="G60">
        <v>0</v>
      </c>
      <c r="H60" s="11"/>
      <c r="L60" s="12"/>
      <c r="M60" s="11"/>
      <c r="Q60" s="12"/>
      <c r="R60" s="11"/>
      <c r="W60" s="16">
        <v>0</v>
      </c>
      <c r="AB60" s="12"/>
      <c r="AG60" s="12"/>
      <c r="AH60" s="12">
        <v>4</v>
      </c>
      <c r="AI60" s="11"/>
      <c r="AM60" s="12"/>
      <c r="AN60" s="16">
        <v>3</v>
      </c>
      <c r="AO60" s="16">
        <v>5</v>
      </c>
      <c r="AU60" s="16">
        <v>1</v>
      </c>
      <c r="AZ60" s="12"/>
      <c r="BA60" s="16">
        <v>1</v>
      </c>
      <c r="BB60">
        <v>0</v>
      </c>
      <c r="BC60">
        <v>1</v>
      </c>
      <c r="BD60">
        <v>0</v>
      </c>
      <c r="BE60">
        <v>0</v>
      </c>
      <c r="BF60" s="11">
        <v>3</v>
      </c>
      <c r="BG60">
        <v>1</v>
      </c>
      <c r="BH60">
        <v>0</v>
      </c>
      <c r="BI60" s="11">
        <v>2</v>
      </c>
      <c r="BJ60" s="12">
        <v>1</v>
      </c>
      <c r="BK60" s="12">
        <v>2</v>
      </c>
      <c r="BL60" s="16">
        <v>1</v>
      </c>
      <c r="BM60" s="16">
        <v>2</v>
      </c>
      <c r="BN60" s="16">
        <v>1</v>
      </c>
      <c r="BO60" s="16">
        <v>3</v>
      </c>
      <c r="BP60" s="16">
        <v>0</v>
      </c>
      <c r="BQ60" s="16">
        <v>4</v>
      </c>
      <c r="BR60" s="16">
        <v>6</v>
      </c>
      <c r="BS60" s="16">
        <v>31</v>
      </c>
      <c r="BT60" s="16">
        <v>50</v>
      </c>
      <c r="BU60" s="16">
        <v>50</v>
      </c>
      <c r="BV60" s="16">
        <v>0</v>
      </c>
    </row>
    <row r="61" spans="1:74" x14ac:dyDescent="0.25">
      <c r="A61" s="16" t="s">
        <v>63</v>
      </c>
      <c r="B61" s="11">
        <v>0</v>
      </c>
      <c r="C61">
        <v>0</v>
      </c>
      <c r="D61">
        <v>0</v>
      </c>
      <c r="E61">
        <v>0</v>
      </c>
      <c r="F61" s="12"/>
      <c r="G61">
        <v>0</v>
      </c>
      <c r="H61" s="11"/>
      <c r="L61" s="12"/>
      <c r="M61" s="11"/>
      <c r="Q61" s="12"/>
      <c r="R61" s="11"/>
      <c r="W61" s="16">
        <v>0</v>
      </c>
      <c r="AB61" s="12"/>
      <c r="AG61" s="12"/>
      <c r="AH61" s="12">
        <v>0</v>
      </c>
      <c r="AI61" s="11"/>
      <c r="AM61" s="12"/>
      <c r="AN61" s="16">
        <v>0</v>
      </c>
      <c r="AO61" s="16">
        <v>0</v>
      </c>
      <c r="AU61" s="16">
        <v>0</v>
      </c>
      <c r="AZ61" s="12"/>
      <c r="BA61" s="16">
        <v>0</v>
      </c>
      <c r="BB61">
        <v>0</v>
      </c>
      <c r="BC61">
        <v>0</v>
      </c>
      <c r="BD61">
        <v>0</v>
      </c>
      <c r="BE61">
        <v>0</v>
      </c>
      <c r="BF61" s="11">
        <v>0</v>
      </c>
      <c r="BG61">
        <v>0</v>
      </c>
      <c r="BH61">
        <v>0</v>
      </c>
      <c r="BI61" s="11">
        <v>0</v>
      </c>
      <c r="BJ61" s="12">
        <v>0</v>
      </c>
      <c r="BK61" s="12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42</v>
      </c>
      <c r="BT61" s="16">
        <v>61</v>
      </c>
      <c r="BU61" s="16">
        <v>61</v>
      </c>
      <c r="BV61" s="16">
        <v>0</v>
      </c>
    </row>
    <row r="62" spans="1:74" x14ac:dyDescent="0.25">
      <c r="A62" s="16" t="s">
        <v>64</v>
      </c>
      <c r="B62" s="11">
        <v>0</v>
      </c>
      <c r="C62">
        <v>0</v>
      </c>
      <c r="D62">
        <v>0</v>
      </c>
      <c r="E62">
        <v>0</v>
      </c>
      <c r="F62" s="12"/>
      <c r="G62">
        <v>0</v>
      </c>
      <c r="H62" s="11"/>
      <c r="L62" s="12"/>
      <c r="M62" s="11"/>
      <c r="Q62" s="12"/>
      <c r="R62" s="11"/>
      <c r="W62" s="16">
        <v>0</v>
      </c>
      <c r="AB62" s="12"/>
      <c r="AG62" s="12"/>
      <c r="AH62" s="12">
        <v>0</v>
      </c>
      <c r="AI62" s="11"/>
      <c r="AM62" s="12"/>
      <c r="AN62" s="16">
        <v>0</v>
      </c>
      <c r="AO62" s="16">
        <v>0</v>
      </c>
      <c r="AU62" s="16">
        <v>0</v>
      </c>
      <c r="AZ62" s="12"/>
      <c r="BA62" s="16">
        <v>0</v>
      </c>
      <c r="BB62">
        <v>0</v>
      </c>
      <c r="BC62">
        <v>0</v>
      </c>
      <c r="BD62">
        <v>0</v>
      </c>
      <c r="BE62">
        <v>0</v>
      </c>
      <c r="BF62" s="11">
        <v>0</v>
      </c>
      <c r="BG62">
        <v>0</v>
      </c>
      <c r="BH62">
        <v>0</v>
      </c>
      <c r="BI62" s="11">
        <v>0</v>
      </c>
      <c r="BJ62" s="12">
        <v>0</v>
      </c>
      <c r="BK62" s="12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2</v>
      </c>
      <c r="BT62" s="16">
        <v>5</v>
      </c>
      <c r="BU62" s="16">
        <v>5</v>
      </c>
      <c r="BV62" s="16">
        <v>0</v>
      </c>
    </row>
    <row r="63" spans="1:74" x14ac:dyDescent="0.25">
      <c r="A63" s="16" t="s">
        <v>65</v>
      </c>
      <c r="B63" s="11"/>
      <c r="F63" s="12"/>
      <c r="H63" s="11"/>
      <c r="L63" s="12"/>
      <c r="M63" s="11"/>
      <c r="Q63" s="12"/>
      <c r="R63" s="11"/>
      <c r="W63" s="16"/>
      <c r="AB63" s="12"/>
      <c r="AG63" s="12"/>
      <c r="AH63" s="12"/>
      <c r="AI63" s="11"/>
      <c r="AM63" s="12"/>
      <c r="AN63" s="16"/>
      <c r="AO63" s="16"/>
      <c r="AU63" s="16"/>
      <c r="AZ63" s="12"/>
      <c r="BA63" s="16"/>
      <c r="BF63" s="11"/>
      <c r="BI63" s="11"/>
      <c r="BJ63" s="12"/>
      <c r="BK63" s="12"/>
      <c r="BL63" s="16"/>
      <c r="BM63" s="16">
        <v>3</v>
      </c>
      <c r="BN63" s="16">
        <v>8</v>
      </c>
      <c r="BO63" s="16">
        <v>1</v>
      </c>
      <c r="BP63" s="16">
        <v>10</v>
      </c>
      <c r="BQ63" s="16">
        <v>20</v>
      </c>
      <c r="BR63" s="16">
        <v>1</v>
      </c>
      <c r="BS63" s="16">
        <v>183</v>
      </c>
      <c r="BT63" s="16">
        <v>386</v>
      </c>
      <c r="BU63" s="16">
        <v>387</v>
      </c>
      <c r="BV63" s="16">
        <v>0</v>
      </c>
    </row>
    <row r="64" spans="1:74" x14ac:dyDescent="0.25">
      <c r="A64" s="16" t="s">
        <v>66</v>
      </c>
      <c r="B64" s="11">
        <v>0</v>
      </c>
      <c r="C64">
        <v>0</v>
      </c>
      <c r="D64">
        <v>0</v>
      </c>
      <c r="E64">
        <v>0</v>
      </c>
      <c r="F64" s="12"/>
      <c r="G64">
        <v>0</v>
      </c>
      <c r="H64" s="11"/>
      <c r="L64" s="12"/>
      <c r="M64" s="11"/>
      <c r="Q64" s="12"/>
      <c r="R64" s="11"/>
      <c r="W64" s="16">
        <v>0</v>
      </c>
      <c r="AB64" s="12"/>
      <c r="AG64" s="12"/>
      <c r="AH64" s="12">
        <v>0</v>
      </c>
      <c r="AI64" s="11"/>
      <c r="AM64" s="12"/>
      <c r="AN64" s="16">
        <v>0</v>
      </c>
      <c r="AO64" s="16">
        <v>0</v>
      </c>
      <c r="AU64" s="16">
        <v>0</v>
      </c>
      <c r="AZ64" s="12"/>
      <c r="BA64" s="16">
        <v>0</v>
      </c>
      <c r="BB64">
        <v>0</v>
      </c>
      <c r="BC64">
        <v>0</v>
      </c>
      <c r="BD64">
        <v>0</v>
      </c>
      <c r="BE64">
        <v>0</v>
      </c>
      <c r="BF64" s="11">
        <v>0</v>
      </c>
      <c r="BG64">
        <v>0</v>
      </c>
      <c r="BH64">
        <v>0</v>
      </c>
      <c r="BI64" s="11">
        <v>0</v>
      </c>
      <c r="BJ64" s="12">
        <v>0</v>
      </c>
      <c r="BK64" s="12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25</v>
      </c>
      <c r="BT64" s="16">
        <v>12</v>
      </c>
      <c r="BU64" s="16">
        <v>13</v>
      </c>
      <c r="BV64" s="16">
        <v>0</v>
      </c>
    </row>
    <row r="65" spans="1:74" x14ac:dyDescent="0.25">
      <c r="A65" s="16" t="s">
        <v>67</v>
      </c>
      <c r="B65" s="11">
        <v>0</v>
      </c>
      <c r="C65">
        <v>0</v>
      </c>
      <c r="D65">
        <v>0</v>
      </c>
      <c r="E65">
        <v>0</v>
      </c>
      <c r="F65" s="12"/>
      <c r="G65">
        <v>0</v>
      </c>
      <c r="H65" s="11"/>
      <c r="L65" s="12"/>
      <c r="M65" s="11"/>
      <c r="Q65" s="12"/>
      <c r="R65" s="11"/>
      <c r="W65" s="16">
        <v>0</v>
      </c>
      <c r="AB65" s="12"/>
      <c r="AG65" s="12"/>
      <c r="AH65" s="12">
        <v>0</v>
      </c>
      <c r="AI65" s="11"/>
      <c r="AM65" s="12"/>
      <c r="AN65" s="16">
        <v>0</v>
      </c>
      <c r="AO65" s="16">
        <v>0</v>
      </c>
      <c r="AU65" s="16">
        <v>0</v>
      </c>
      <c r="AZ65" s="12"/>
      <c r="BA65" s="16">
        <v>0</v>
      </c>
      <c r="BB65">
        <v>0</v>
      </c>
      <c r="BC65">
        <v>0</v>
      </c>
      <c r="BD65">
        <v>0</v>
      </c>
      <c r="BE65">
        <v>0</v>
      </c>
      <c r="BF65" s="11">
        <v>0</v>
      </c>
      <c r="BG65">
        <v>0</v>
      </c>
      <c r="BH65">
        <v>0</v>
      </c>
      <c r="BI65" s="11">
        <v>0</v>
      </c>
      <c r="BJ65" s="12">
        <v>0</v>
      </c>
      <c r="BK65" s="12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1</v>
      </c>
      <c r="BT65" s="16">
        <v>0</v>
      </c>
      <c r="BU65" s="16">
        <v>0</v>
      </c>
      <c r="BV65" s="16">
        <v>0</v>
      </c>
    </row>
    <row r="66" spans="1:74" x14ac:dyDescent="0.25">
      <c r="A66" s="16" t="s">
        <v>68</v>
      </c>
      <c r="B66" s="11">
        <v>34</v>
      </c>
      <c r="C66">
        <v>61</v>
      </c>
      <c r="D66">
        <v>1</v>
      </c>
      <c r="E66">
        <v>4</v>
      </c>
      <c r="F66" s="12"/>
      <c r="G66">
        <v>18</v>
      </c>
      <c r="H66" s="11"/>
      <c r="L66" s="12"/>
      <c r="M66" s="11"/>
      <c r="Q66" s="12"/>
      <c r="R66" s="11"/>
      <c r="W66" s="16">
        <v>14</v>
      </c>
      <c r="AB66" s="12"/>
      <c r="AG66" s="12"/>
      <c r="AH66" s="12">
        <v>33</v>
      </c>
      <c r="AI66" s="11"/>
      <c r="AM66" s="12"/>
      <c r="AN66" s="16">
        <v>25</v>
      </c>
      <c r="AO66" s="16">
        <v>24</v>
      </c>
      <c r="AU66" s="16">
        <v>3</v>
      </c>
      <c r="AZ66" s="12"/>
      <c r="BA66" s="16">
        <v>0</v>
      </c>
      <c r="BB66">
        <v>7</v>
      </c>
      <c r="BC66">
        <v>3</v>
      </c>
      <c r="BD66">
        <v>1</v>
      </c>
      <c r="BE66">
        <v>11</v>
      </c>
      <c r="BF66" s="11">
        <v>5</v>
      </c>
      <c r="BG66">
        <v>10</v>
      </c>
      <c r="BH66">
        <v>21</v>
      </c>
      <c r="BI66" s="11">
        <v>14</v>
      </c>
      <c r="BJ66" s="12">
        <v>10</v>
      </c>
      <c r="BK66" s="12">
        <v>15</v>
      </c>
      <c r="BL66" s="16">
        <v>11</v>
      </c>
      <c r="BM66" s="16">
        <v>7</v>
      </c>
      <c r="BN66" s="16">
        <v>17</v>
      </c>
      <c r="BO66" s="16">
        <v>25</v>
      </c>
      <c r="BP66" s="16">
        <v>0</v>
      </c>
      <c r="BQ66" s="16">
        <v>4</v>
      </c>
      <c r="BR66" s="16">
        <v>19</v>
      </c>
      <c r="BS66" s="16">
        <v>2</v>
      </c>
      <c r="BT66" s="16">
        <v>4</v>
      </c>
      <c r="BU66" s="16">
        <v>4</v>
      </c>
      <c r="BV66" s="16">
        <v>0</v>
      </c>
    </row>
    <row r="67" spans="1:74" x14ac:dyDescent="0.25">
      <c r="A67" s="16" t="s">
        <v>69</v>
      </c>
      <c r="B67" s="11">
        <v>133</v>
      </c>
      <c r="C67">
        <v>168</v>
      </c>
      <c r="D67">
        <v>15</v>
      </c>
      <c r="E67">
        <v>81</v>
      </c>
      <c r="F67" s="12"/>
      <c r="G67">
        <v>68</v>
      </c>
      <c r="H67" s="11"/>
      <c r="L67" s="12"/>
      <c r="M67" s="11"/>
      <c r="Q67" s="12"/>
      <c r="R67" s="11"/>
      <c r="W67" s="16">
        <v>61</v>
      </c>
      <c r="AB67" s="12"/>
      <c r="AG67" s="12"/>
      <c r="AH67" s="12">
        <v>114</v>
      </c>
      <c r="AI67" s="11"/>
      <c r="AM67" s="12"/>
      <c r="AN67" s="16">
        <v>136</v>
      </c>
      <c r="AO67" s="16">
        <v>100</v>
      </c>
      <c r="AU67" s="16">
        <v>44</v>
      </c>
      <c r="AZ67" s="12"/>
      <c r="BA67" s="16">
        <v>7</v>
      </c>
      <c r="BB67">
        <v>16</v>
      </c>
      <c r="BC67">
        <v>10</v>
      </c>
      <c r="BD67">
        <v>18</v>
      </c>
      <c r="BE67">
        <v>21</v>
      </c>
      <c r="BF67" s="11">
        <v>19</v>
      </c>
      <c r="BG67">
        <v>22</v>
      </c>
      <c r="BH67">
        <v>46</v>
      </c>
      <c r="BI67" s="11">
        <v>21</v>
      </c>
      <c r="BJ67" s="12">
        <v>15</v>
      </c>
      <c r="BK67" s="12">
        <v>40</v>
      </c>
      <c r="BL67" s="16">
        <v>26</v>
      </c>
      <c r="BM67" s="16">
        <v>21</v>
      </c>
      <c r="BN67" s="16">
        <v>25</v>
      </c>
      <c r="BO67" s="16">
        <v>136</v>
      </c>
      <c r="BP67" s="16">
        <v>13</v>
      </c>
      <c r="BQ67" s="16">
        <v>38</v>
      </c>
      <c r="BR67" s="16">
        <v>56</v>
      </c>
      <c r="BS67" s="16">
        <v>0</v>
      </c>
      <c r="BT67" s="16">
        <v>1</v>
      </c>
      <c r="BU67" s="16">
        <v>1</v>
      </c>
      <c r="BV67" s="16">
        <v>0</v>
      </c>
    </row>
    <row r="68" spans="1:74" x14ac:dyDescent="0.25">
      <c r="A68" s="16" t="s">
        <v>70</v>
      </c>
      <c r="B68" s="11">
        <v>0</v>
      </c>
      <c r="C68">
        <v>0</v>
      </c>
      <c r="D68">
        <v>0</v>
      </c>
      <c r="E68">
        <v>0</v>
      </c>
      <c r="F68" s="12"/>
      <c r="G68">
        <v>0</v>
      </c>
      <c r="H68" s="11"/>
      <c r="L68" s="12"/>
      <c r="M68" s="11"/>
      <c r="Q68" s="12"/>
      <c r="R68" s="11"/>
      <c r="W68" s="16">
        <v>0</v>
      </c>
      <c r="AB68" s="12"/>
      <c r="AG68" s="12"/>
      <c r="AH68" s="12">
        <v>0</v>
      </c>
      <c r="AI68" s="11"/>
      <c r="AM68" s="12"/>
      <c r="AN68" s="16">
        <v>0</v>
      </c>
      <c r="AO68" s="16">
        <v>0</v>
      </c>
      <c r="AU68" s="16">
        <v>0</v>
      </c>
      <c r="AZ68" s="12"/>
      <c r="BA68" s="16">
        <v>0</v>
      </c>
      <c r="BB68">
        <v>0</v>
      </c>
      <c r="BC68">
        <v>0</v>
      </c>
      <c r="BD68">
        <v>0</v>
      </c>
      <c r="BE68">
        <v>0</v>
      </c>
      <c r="BF68" s="11">
        <v>0</v>
      </c>
      <c r="BG68">
        <v>0</v>
      </c>
      <c r="BH68">
        <v>0</v>
      </c>
      <c r="BI68" s="11">
        <v>0</v>
      </c>
      <c r="BJ68" s="12">
        <v>0</v>
      </c>
      <c r="BK68" s="12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</row>
    <row r="69" spans="1:74" x14ac:dyDescent="0.25">
      <c r="A69" s="16" t="s">
        <v>71</v>
      </c>
      <c r="B69" s="11">
        <v>0</v>
      </c>
      <c r="C69">
        <v>0</v>
      </c>
      <c r="D69">
        <v>0</v>
      </c>
      <c r="E69">
        <v>0</v>
      </c>
      <c r="F69" s="12"/>
      <c r="G69">
        <v>0</v>
      </c>
      <c r="H69" s="11"/>
      <c r="L69" s="12"/>
      <c r="M69" s="11"/>
      <c r="Q69" s="12"/>
      <c r="R69" s="11"/>
      <c r="W69" s="16">
        <v>0</v>
      </c>
      <c r="AB69" s="12"/>
      <c r="AG69" s="12"/>
      <c r="AH69" s="12">
        <v>0</v>
      </c>
      <c r="AI69" s="11"/>
      <c r="AM69" s="12"/>
      <c r="AN69" s="16">
        <v>0</v>
      </c>
      <c r="AO69" s="16">
        <v>0</v>
      </c>
      <c r="AU69" s="16">
        <v>0</v>
      </c>
      <c r="AZ69" s="12"/>
      <c r="BA69" s="16">
        <v>0</v>
      </c>
      <c r="BB69">
        <v>0</v>
      </c>
      <c r="BC69">
        <v>0</v>
      </c>
      <c r="BD69">
        <v>0</v>
      </c>
      <c r="BE69">
        <v>0</v>
      </c>
      <c r="BF69" s="11">
        <v>0</v>
      </c>
      <c r="BG69">
        <v>0</v>
      </c>
      <c r="BH69">
        <v>0</v>
      </c>
      <c r="BI69" s="11">
        <v>0</v>
      </c>
      <c r="BJ69" s="12">
        <v>0</v>
      </c>
      <c r="BK69" s="12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</row>
    <row r="70" spans="1:74" x14ac:dyDescent="0.25">
      <c r="A70" s="16" t="s">
        <v>72</v>
      </c>
      <c r="B70" s="11">
        <v>0</v>
      </c>
      <c r="C70">
        <v>0</v>
      </c>
      <c r="D70">
        <v>0</v>
      </c>
      <c r="E70">
        <v>0</v>
      </c>
      <c r="F70" s="12"/>
      <c r="G70">
        <v>0</v>
      </c>
      <c r="H70" s="11"/>
      <c r="L70" s="12"/>
      <c r="M70" s="11"/>
      <c r="Q70" s="12"/>
      <c r="R70" s="11"/>
      <c r="W70" s="16">
        <v>0</v>
      </c>
      <c r="AB70" s="12"/>
      <c r="AG70" s="12"/>
      <c r="AH70" s="12">
        <v>0</v>
      </c>
      <c r="AI70" s="11"/>
      <c r="AM70" s="12"/>
      <c r="AN70" s="16">
        <v>0</v>
      </c>
      <c r="AO70" s="16">
        <v>0</v>
      </c>
      <c r="AU70" s="16">
        <v>0</v>
      </c>
      <c r="AZ70" s="12"/>
      <c r="BA70" s="16">
        <v>0</v>
      </c>
      <c r="BB70">
        <v>0</v>
      </c>
      <c r="BC70">
        <v>0</v>
      </c>
      <c r="BD70">
        <v>0</v>
      </c>
      <c r="BE70">
        <v>0</v>
      </c>
      <c r="BF70" s="11">
        <v>0</v>
      </c>
      <c r="BG70">
        <v>0</v>
      </c>
      <c r="BH70">
        <v>0</v>
      </c>
      <c r="BI70" s="11">
        <v>0</v>
      </c>
      <c r="BJ70" s="12">
        <v>0</v>
      </c>
      <c r="BK70" s="12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</row>
    <row r="71" spans="1:74" x14ac:dyDescent="0.25">
      <c r="A71" s="16" t="s">
        <v>73</v>
      </c>
      <c r="B71" s="11"/>
      <c r="F71" s="12"/>
      <c r="H71" s="11"/>
      <c r="L71" s="12"/>
      <c r="M71" s="11"/>
      <c r="Q71" s="12"/>
      <c r="R71" s="11"/>
      <c r="W71" s="16"/>
      <c r="AB71" s="12"/>
      <c r="AG71" s="12"/>
      <c r="AH71" s="12"/>
      <c r="AI71" s="11"/>
      <c r="AM71" s="12"/>
      <c r="AN71" s="16"/>
      <c r="AO71" s="16"/>
      <c r="AU71" s="16"/>
      <c r="AZ71" s="12"/>
      <c r="BA71" s="16"/>
      <c r="BF71" s="11"/>
      <c r="BI71" s="11"/>
      <c r="BJ71" s="12"/>
      <c r="BK71" s="12"/>
      <c r="BL71" s="16"/>
      <c r="BM71" s="16"/>
      <c r="BN71" s="16">
        <v>1</v>
      </c>
      <c r="BO71" s="16">
        <v>1</v>
      </c>
      <c r="BP71" s="16">
        <v>0</v>
      </c>
      <c r="BQ71" s="16">
        <v>1</v>
      </c>
      <c r="BR71" s="16">
        <v>1</v>
      </c>
      <c r="BS71" s="16">
        <v>0</v>
      </c>
      <c r="BT71" s="16">
        <v>0</v>
      </c>
      <c r="BU71" s="16">
        <v>0</v>
      </c>
      <c r="BV71" s="16">
        <v>0</v>
      </c>
    </row>
    <row r="72" spans="1:74" x14ac:dyDescent="0.25">
      <c r="A72" s="16" t="s">
        <v>74</v>
      </c>
      <c r="B72" s="11">
        <v>0</v>
      </c>
      <c r="C72">
        <v>0</v>
      </c>
      <c r="D72">
        <v>0</v>
      </c>
      <c r="E72">
        <v>0</v>
      </c>
      <c r="F72" s="12"/>
      <c r="G72">
        <v>0</v>
      </c>
      <c r="H72" s="11"/>
      <c r="L72" s="12"/>
      <c r="M72" s="11"/>
      <c r="Q72" s="12"/>
      <c r="R72" s="11"/>
      <c r="W72" s="16">
        <v>0</v>
      </c>
      <c r="AB72" s="12"/>
      <c r="AG72" s="12"/>
      <c r="AH72" s="12">
        <v>0</v>
      </c>
      <c r="AI72" s="11"/>
      <c r="AM72" s="12"/>
      <c r="AN72" s="16">
        <v>0</v>
      </c>
      <c r="AO72" s="16">
        <v>0</v>
      </c>
      <c r="AU72" s="16">
        <v>0</v>
      </c>
      <c r="AZ72" s="12"/>
      <c r="BA72" s="16">
        <v>0</v>
      </c>
      <c r="BB72">
        <v>0</v>
      </c>
      <c r="BC72">
        <v>0</v>
      </c>
      <c r="BD72">
        <v>0</v>
      </c>
      <c r="BE72">
        <v>0</v>
      </c>
      <c r="BF72" s="11">
        <v>0</v>
      </c>
      <c r="BG72">
        <v>0</v>
      </c>
      <c r="BH72">
        <v>0</v>
      </c>
      <c r="BI72" s="11">
        <v>0</v>
      </c>
      <c r="BJ72" s="12">
        <v>0</v>
      </c>
      <c r="BK72" s="12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</row>
    <row r="73" spans="1:74" x14ac:dyDescent="0.25">
      <c r="A73" s="16" t="s">
        <v>75</v>
      </c>
      <c r="B73" s="11">
        <v>11</v>
      </c>
      <c r="C73">
        <v>27</v>
      </c>
      <c r="D73">
        <v>0</v>
      </c>
      <c r="E73">
        <v>2</v>
      </c>
      <c r="F73" s="12"/>
      <c r="G73">
        <v>3</v>
      </c>
      <c r="H73" s="11"/>
      <c r="L73" s="12"/>
      <c r="M73" s="11"/>
      <c r="Q73" s="12"/>
      <c r="R73" s="11"/>
      <c r="W73" s="16">
        <v>4</v>
      </c>
      <c r="AB73" s="12"/>
      <c r="AG73" s="12"/>
      <c r="AH73" s="12">
        <v>97</v>
      </c>
      <c r="AI73" s="11"/>
      <c r="AM73" s="12"/>
      <c r="AN73" s="16">
        <v>0</v>
      </c>
      <c r="AO73" s="16">
        <v>0</v>
      </c>
      <c r="AU73" s="16">
        <v>0</v>
      </c>
      <c r="AZ73" s="12"/>
      <c r="BA73" s="16">
        <v>0</v>
      </c>
      <c r="BB73">
        <v>0</v>
      </c>
      <c r="BC73">
        <v>0</v>
      </c>
      <c r="BD73">
        <v>0</v>
      </c>
      <c r="BE73">
        <v>0</v>
      </c>
      <c r="BF73" s="11">
        <v>0</v>
      </c>
      <c r="BG73">
        <v>0</v>
      </c>
      <c r="BH73">
        <v>0</v>
      </c>
      <c r="BI73" s="11">
        <v>0</v>
      </c>
      <c r="BJ73" s="12">
        <v>0</v>
      </c>
      <c r="BK73" s="12">
        <v>22</v>
      </c>
      <c r="BL73" s="16">
        <v>9</v>
      </c>
      <c r="BM73" s="16">
        <v>0</v>
      </c>
      <c r="BN73" s="16">
        <v>4</v>
      </c>
      <c r="BO73" s="16">
        <v>15</v>
      </c>
      <c r="BP73" s="16">
        <v>6</v>
      </c>
      <c r="BQ73" s="16">
        <v>16</v>
      </c>
      <c r="BR73" s="16">
        <v>15</v>
      </c>
      <c r="BS73" s="16">
        <v>0</v>
      </c>
      <c r="BT73" s="16">
        <v>0</v>
      </c>
      <c r="BU73" s="16">
        <v>0</v>
      </c>
      <c r="BV73" s="16">
        <v>0</v>
      </c>
    </row>
    <row r="74" spans="1:74" x14ac:dyDescent="0.25">
      <c r="A74" s="16" t="s">
        <v>76</v>
      </c>
      <c r="B74" s="11">
        <v>25</v>
      </c>
      <c r="C74">
        <v>46</v>
      </c>
      <c r="D74">
        <v>0</v>
      </c>
      <c r="E74">
        <v>5</v>
      </c>
      <c r="F74" s="12"/>
      <c r="G74">
        <v>9</v>
      </c>
      <c r="H74" s="11"/>
      <c r="L74" s="12"/>
      <c r="M74" s="11"/>
      <c r="Q74" s="12"/>
      <c r="R74" s="11"/>
      <c r="W74" s="16">
        <v>6</v>
      </c>
      <c r="AB74" s="12"/>
      <c r="AG74" s="12"/>
      <c r="AH74" s="12">
        <v>5</v>
      </c>
      <c r="AI74" s="11"/>
      <c r="AM74" s="12"/>
      <c r="AN74" s="16">
        <v>10</v>
      </c>
      <c r="AO74" s="16">
        <v>7</v>
      </c>
      <c r="AU74" s="16">
        <v>0</v>
      </c>
      <c r="AZ74" s="12"/>
      <c r="BA74" s="16">
        <v>0</v>
      </c>
      <c r="BB74">
        <v>0</v>
      </c>
      <c r="BC74">
        <v>1</v>
      </c>
      <c r="BD74">
        <v>0</v>
      </c>
      <c r="BE74">
        <v>0</v>
      </c>
      <c r="BF74" s="11">
        <v>0</v>
      </c>
      <c r="BG74">
        <v>0</v>
      </c>
      <c r="BH74">
        <v>3</v>
      </c>
      <c r="BI74" s="11">
        <v>0</v>
      </c>
      <c r="BJ74" s="12">
        <v>1</v>
      </c>
      <c r="BK74" s="12">
        <v>3</v>
      </c>
      <c r="BL74" s="16">
        <v>1</v>
      </c>
      <c r="BM74" s="16">
        <v>1</v>
      </c>
      <c r="BN74" s="16">
        <v>2</v>
      </c>
      <c r="BO74" s="16">
        <v>10</v>
      </c>
      <c r="BP74" s="16">
        <v>4</v>
      </c>
      <c r="BQ74" s="16">
        <v>47</v>
      </c>
      <c r="BR74" s="16">
        <v>49</v>
      </c>
      <c r="BS74" s="16">
        <v>0</v>
      </c>
      <c r="BT74" s="16">
        <v>0</v>
      </c>
      <c r="BU74" s="16">
        <v>0</v>
      </c>
      <c r="BV74" s="16">
        <v>0</v>
      </c>
    </row>
    <row r="75" spans="1:74" x14ac:dyDescent="0.25">
      <c r="A75" s="16" t="s">
        <v>77</v>
      </c>
      <c r="B75" s="11">
        <v>0</v>
      </c>
      <c r="C75">
        <v>0</v>
      </c>
      <c r="D75">
        <v>0</v>
      </c>
      <c r="E75">
        <v>0</v>
      </c>
      <c r="F75" s="12"/>
      <c r="G75">
        <v>39</v>
      </c>
      <c r="H75" s="11"/>
      <c r="L75" s="12"/>
      <c r="M75" s="11"/>
      <c r="Q75" s="12"/>
      <c r="R75" s="11"/>
      <c r="W75" s="16">
        <v>0</v>
      </c>
      <c r="AB75" s="12"/>
      <c r="AG75" s="12"/>
      <c r="AH75" s="12">
        <v>19</v>
      </c>
      <c r="AI75" s="11"/>
      <c r="AM75" s="12"/>
      <c r="AN75" s="16">
        <v>115</v>
      </c>
      <c r="AO75" s="16">
        <v>79</v>
      </c>
      <c r="AU75" s="16">
        <v>82</v>
      </c>
      <c r="AZ75" s="12"/>
      <c r="BA75" s="16">
        <v>29</v>
      </c>
      <c r="BB75">
        <v>79</v>
      </c>
      <c r="BC75">
        <v>54</v>
      </c>
      <c r="BD75">
        <v>108</v>
      </c>
      <c r="BE75">
        <v>86</v>
      </c>
      <c r="BF75" s="11">
        <v>125</v>
      </c>
      <c r="BG75">
        <v>85</v>
      </c>
      <c r="BH75">
        <v>250</v>
      </c>
      <c r="BI75" s="11">
        <v>77</v>
      </c>
      <c r="BJ75" s="12">
        <v>93</v>
      </c>
      <c r="BK75" s="12">
        <v>0</v>
      </c>
      <c r="BL75" s="16">
        <v>0</v>
      </c>
      <c r="BM75" s="16">
        <v>9</v>
      </c>
      <c r="BN75" s="16">
        <v>20</v>
      </c>
      <c r="BO75" s="16">
        <v>115</v>
      </c>
      <c r="BP75" s="16">
        <v>45</v>
      </c>
      <c r="BQ75" s="16">
        <v>18</v>
      </c>
      <c r="BR75" s="16">
        <v>20</v>
      </c>
      <c r="BS75" s="16">
        <v>0</v>
      </c>
      <c r="BT75" s="16">
        <v>0</v>
      </c>
      <c r="BU75" s="16">
        <v>0</v>
      </c>
      <c r="BV75" s="16">
        <v>0</v>
      </c>
    </row>
    <row r="76" spans="1:74" x14ac:dyDescent="0.25">
      <c r="A76" s="16" t="s">
        <v>78</v>
      </c>
      <c r="B76" s="11">
        <v>1</v>
      </c>
      <c r="C76">
        <v>1</v>
      </c>
      <c r="D76">
        <v>1</v>
      </c>
      <c r="E76">
        <v>2</v>
      </c>
      <c r="F76" s="12"/>
      <c r="G76">
        <v>1</v>
      </c>
      <c r="H76" s="11"/>
      <c r="L76" s="12"/>
      <c r="M76" s="11"/>
      <c r="Q76" s="12"/>
      <c r="R76" s="11"/>
      <c r="W76" s="16">
        <v>1</v>
      </c>
      <c r="AB76" s="12"/>
      <c r="AG76" s="12"/>
      <c r="AH76" s="12">
        <v>0</v>
      </c>
      <c r="AI76" s="11"/>
      <c r="AM76" s="12"/>
      <c r="AN76" s="16">
        <v>0</v>
      </c>
      <c r="AO76" s="16">
        <v>0</v>
      </c>
      <c r="AU76" s="16">
        <v>0</v>
      </c>
      <c r="AZ76" s="12"/>
      <c r="BA76" s="16">
        <v>0</v>
      </c>
      <c r="BB76">
        <v>0</v>
      </c>
      <c r="BC76">
        <v>0</v>
      </c>
      <c r="BD76">
        <v>0</v>
      </c>
      <c r="BE76">
        <v>0</v>
      </c>
      <c r="BF76" s="11">
        <v>0</v>
      </c>
      <c r="BG76">
        <v>0</v>
      </c>
      <c r="BH76">
        <v>0</v>
      </c>
      <c r="BI76" s="11">
        <v>0</v>
      </c>
      <c r="BJ76" s="12">
        <v>0</v>
      </c>
      <c r="BK76" s="12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</row>
    <row r="77" spans="1:74" x14ac:dyDescent="0.25">
      <c r="A77" s="16" t="s">
        <v>79</v>
      </c>
      <c r="B77" s="11">
        <v>140</v>
      </c>
      <c r="C77">
        <v>0</v>
      </c>
      <c r="D77">
        <v>15</v>
      </c>
      <c r="E77">
        <v>67</v>
      </c>
      <c r="F77" s="12"/>
      <c r="G77">
        <v>121</v>
      </c>
      <c r="H77" s="11"/>
      <c r="L77" s="12"/>
      <c r="M77" s="11"/>
      <c r="Q77" s="12"/>
      <c r="R77" s="11"/>
      <c r="W77" s="16">
        <v>123</v>
      </c>
      <c r="AB77" s="12"/>
      <c r="AG77" s="12"/>
      <c r="AH77" s="12">
        <v>0</v>
      </c>
      <c r="AI77" s="11"/>
      <c r="AM77" s="12"/>
      <c r="AN77" s="16">
        <v>2</v>
      </c>
      <c r="AO77" s="16">
        <v>0</v>
      </c>
      <c r="AU77" s="16">
        <v>1</v>
      </c>
      <c r="AZ77" s="12"/>
      <c r="BA77" s="16">
        <v>0</v>
      </c>
      <c r="BB77">
        <v>0</v>
      </c>
      <c r="BC77">
        <v>0</v>
      </c>
      <c r="BD77">
        <v>1</v>
      </c>
      <c r="BE77">
        <v>0</v>
      </c>
      <c r="BF77" s="11">
        <v>0</v>
      </c>
      <c r="BG77">
        <v>0</v>
      </c>
      <c r="BH77">
        <v>1</v>
      </c>
      <c r="BI77" s="11">
        <v>0</v>
      </c>
      <c r="BJ77" s="12">
        <v>0</v>
      </c>
      <c r="BK77" s="12">
        <v>5</v>
      </c>
      <c r="BL77" s="16">
        <v>4</v>
      </c>
      <c r="BM77" s="16">
        <v>1</v>
      </c>
      <c r="BN77" s="16">
        <v>0</v>
      </c>
      <c r="BO77" s="16">
        <v>2</v>
      </c>
      <c r="BP77" s="16">
        <v>4</v>
      </c>
      <c r="BQ77" s="16">
        <v>15</v>
      </c>
      <c r="BR77" s="16">
        <v>10</v>
      </c>
      <c r="BS77" s="16">
        <v>0</v>
      </c>
      <c r="BT77" s="16">
        <v>0</v>
      </c>
      <c r="BU77" s="16">
        <v>0</v>
      </c>
      <c r="BV77" s="16">
        <v>0</v>
      </c>
    </row>
    <row r="78" spans="1:74" x14ac:dyDescent="0.25">
      <c r="A78" s="16" t="s">
        <v>80</v>
      </c>
      <c r="B78" s="11">
        <v>0</v>
      </c>
      <c r="C78">
        <v>0</v>
      </c>
      <c r="D78">
        <v>0</v>
      </c>
      <c r="E78">
        <v>0</v>
      </c>
      <c r="F78" s="12"/>
      <c r="G78">
        <v>0</v>
      </c>
      <c r="H78" s="11"/>
      <c r="L78" s="12"/>
      <c r="M78" s="11"/>
      <c r="Q78" s="12"/>
      <c r="R78" s="11"/>
      <c r="W78" s="16">
        <v>0</v>
      </c>
      <c r="AB78" s="12"/>
      <c r="AG78" s="12"/>
      <c r="AH78" s="12">
        <v>0</v>
      </c>
      <c r="AI78" s="11"/>
      <c r="AM78" s="12"/>
      <c r="AN78" s="16">
        <v>0</v>
      </c>
      <c r="AO78" s="16">
        <v>0</v>
      </c>
      <c r="AU78" s="16">
        <v>0</v>
      </c>
      <c r="AZ78" s="12"/>
      <c r="BA78" s="16">
        <v>0</v>
      </c>
      <c r="BB78">
        <v>0</v>
      </c>
      <c r="BC78">
        <v>0</v>
      </c>
      <c r="BD78">
        <v>0</v>
      </c>
      <c r="BE78">
        <v>0</v>
      </c>
      <c r="BF78" s="11">
        <v>0</v>
      </c>
      <c r="BG78">
        <v>0</v>
      </c>
      <c r="BH78">
        <v>0</v>
      </c>
      <c r="BI78" s="11">
        <v>0</v>
      </c>
      <c r="BJ78" s="12">
        <v>0</v>
      </c>
      <c r="BK78" s="12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</row>
    <row r="79" spans="1:74" x14ac:dyDescent="0.25">
      <c r="A79" s="16" t="s">
        <v>81</v>
      </c>
      <c r="B79" s="11">
        <v>0</v>
      </c>
      <c r="C79">
        <v>0</v>
      </c>
      <c r="D79">
        <v>0</v>
      </c>
      <c r="E79">
        <v>0</v>
      </c>
      <c r="F79" s="12"/>
      <c r="G79">
        <v>0</v>
      </c>
      <c r="H79" s="11"/>
      <c r="L79" s="12"/>
      <c r="M79" s="11"/>
      <c r="Q79" s="12"/>
      <c r="R79" s="11"/>
      <c r="W79" s="16">
        <v>0</v>
      </c>
      <c r="AB79" s="12"/>
      <c r="AG79" s="12"/>
      <c r="AH79" s="12">
        <v>0</v>
      </c>
      <c r="AI79" s="11"/>
      <c r="AM79" s="12"/>
      <c r="AN79" s="16">
        <v>0</v>
      </c>
      <c r="AO79" s="16">
        <v>0</v>
      </c>
      <c r="AU79" s="16">
        <v>0</v>
      </c>
      <c r="AZ79" s="12"/>
      <c r="BA79" s="16">
        <v>0</v>
      </c>
      <c r="BB79">
        <v>0</v>
      </c>
      <c r="BC79">
        <v>0</v>
      </c>
      <c r="BD79">
        <v>0</v>
      </c>
      <c r="BE79">
        <v>0</v>
      </c>
      <c r="BF79" s="11">
        <v>0</v>
      </c>
      <c r="BG79">
        <v>0</v>
      </c>
      <c r="BH79">
        <v>0</v>
      </c>
      <c r="BI79" s="11">
        <v>0</v>
      </c>
      <c r="BJ79" s="12">
        <v>0</v>
      </c>
      <c r="BK79" s="12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</row>
    <row r="80" spans="1:74" x14ac:dyDescent="0.25">
      <c r="A80" s="16" t="s">
        <v>82</v>
      </c>
      <c r="B80" s="11">
        <v>0</v>
      </c>
      <c r="C80">
        <v>0</v>
      </c>
      <c r="D80">
        <v>0</v>
      </c>
      <c r="E80">
        <v>0</v>
      </c>
      <c r="F80" s="12"/>
      <c r="G80">
        <v>0</v>
      </c>
      <c r="H80" s="11"/>
      <c r="L80" s="12"/>
      <c r="M80" s="11"/>
      <c r="Q80" s="12"/>
      <c r="R80" s="11"/>
      <c r="W80" s="16">
        <v>0</v>
      </c>
      <c r="AB80" s="12"/>
      <c r="AG80" s="12"/>
      <c r="AH80" s="12">
        <v>0</v>
      </c>
      <c r="AI80" s="11"/>
      <c r="AM80" s="12"/>
      <c r="AN80" s="16">
        <v>0</v>
      </c>
      <c r="AO80" s="16">
        <v>0</v>
      </c>
      <c r="AU80" s="16">
        <v>0</v>
      </c>
      <c r="AZ80" s="12"/>
      <c r="BA80" s="16">
        <v>0</v>
      </c>
      <c r="BB80">
        <v>0</v>
      </c>
      <c r="BC80">
        <v>0</v>
      </c>
      <c r="BD80">
        <v>0</v>
      </c>
      <c r="BE80">
        <v>0</v>
      </c>
      <c r="BF80" s="11">
        <v>0</v>
      </c>
      <c r="BG80">
        <v>0</v>
      </c>
      <c r="BH80">
        <v>0</v>
      </c>
      <c r="BI80" s="11">
        <v>0</v>
      </c>
      <c r="BJ80" s="12">
        <v>0</v>
      </c>
      <c r="BK80" s="12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</row>
    <row r="81" spans="1:74" x14ac:dyDescent="0.25">
      <c r="A81" s="16"/>
      <c r="B81" s="11">
        <v>81</v>
      </c>
      <c r="C81">
        <v>5</v>
      </c>
      <c r="D81">
        <v>4</v>
      </c>
      <c r="E81">
        <v>36</v>
      </c>
      <c r="F81" s="12"/>
      <c r="G81">
        <v>34</v>
      </c>
      <c r="H81" s="11"/>
      <c r="L81" s="12"/>
      <c r="M81" s="11"/>
      <c r="Q81" s="12"/>
      <c r="R81" s="11"/>
      <c r="W81" s="16">
        <v>31</v>
      </c>
      <c r="AB81" s="12"/>
      <c r="AG81" s="12"/>
      <c r="AH81" s="12">
        <v>180</v>
      </c>
      <c r="AI81" s="11"/>
      <c r="AM81" s="12"/>
      <c r="AN81" s="16">
        <v>37</v>
      </c>
      <c r="AO81" s="16">
        <v>18</v>
      </c>
      <c r="AU81" s="16">
        <v>19</v>
      </c>
      <c r="AZ81" s="12"/>
      <c r="BA81" s="16">
        <v>11</v>
      </c>
      <c r="BB81">
        <v>6</v>
      </c>
      <c r="BC81">
        <v>10</v>
      </c>
      <c r="BD81">
        <v>15</v>
      </c>
      <c r="BE81">
        <v>26</v>
      </c>
      <c r="BF81" s="11">
        <v>5</v>
      </c>
      <c r="BG81">
        <v>17</v>
      </c>
      <c r="BH81">
        <v>18</v>
      </c>
      <c r="BI81" s="11">
        <v>12</v>
      </c>
      <c r="BJ81" s="12">
        <v>9</v>
      </c>
      <c r="BK81" s="12">
        <v>16</v>
      </c>
      <c r="BL81" s="16">
        <v>11</v>
      </c>
      <c r="BM81" s="16">
        <v>16</v>
      </c>
      <c r="BN81" s="16">
        <v>5</v>
      </c>
      <c r="BO81" s="16">
        <v>37</v>
      </c>
      <c r="BP81" s="16">
        <v>4</v>
      </c>
      <c r="BQ81" s="16">
        <v>28</v>
      </c>
      <c r="BR81" s="16">
        <v>54</v>
      </c>
      <c r="BS81" s="16"/>
      <c r="BT81" s="16"/>
      <c r="BU81" s="16"/>
      <c r="BV81" s="16"/>
    </row>
    <row r="82" spans="1:74" x14ac:dyDescent="0.25">
      <c r="A82" s="29" t="s">
        <v>15</v>
      </c>
      <c r="B82" s="11">
        <v>0</v>
      </c>
      <c r="C82">
        <v>2</v>
      </c>
      <c r="D82">
        <v>0</v>
      </c>
      <c r="E82">
        <v>0</v>
      </c>
      <c r="F82" s="12"/>
      <c r="G82">
        <v>0</v>
      </c>
      <c r="H82" s="11"/>
      <c r="L82" s="12"/>
      <c r="M82" s="11"/>
      <c r="Q82" s="12"/>
      <c r="R82" s="11"/>
      <c r="W82" s="16">
        <v>0</v>
      </c>
      <c r="AB82" s="12"/>
      <c r="AG82" s="12"/>
      <c r="AH82" s="12">
        <v>0</v>
      </c>
      <c r="AI82" s="11"/>
      <c r="AM82" s="12"/>
      <c r="AN82" s="16">
        <v>0</v>
      </c>
      <c r="AO82" s="16">
        <v>0</v>
      </c>
      <c r="AU82" s="16">
        <v>0</v>
      </c>
      <c r="AZ82" s="12"/>
      <c r="BA82" s="16">
        <v>0</v>
      </c>
      <c r="BB82">
        <v>0</v>
      </c>
      <c r="BC82">
        <v>0</v>
      </c>
      <c r="BD82">
        <v>0</v>
      </c>
      <c r="BE82">
        <v>0</v>
      </c>
      <c r="BF82" s="11">
        <v>0</v>
      </c>
      <c r="BG82">
        <v>0</v>
      </c>
      <c r="BH82">
        <v>0</v>
      </c>
      <c r="BI82" s="11">
        <v>0</v>
      </c>
      <c r="BJ82" s="12">
        <v>0</v>
      </c>
      <c r="BK82" s="12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/>
      <c r="BT82" s="16"/>
      <c r="BU82" s="16"/>
      <c r="BV82" s="16"/>
    </row>
    <row r="83" spans="1:74" x14ac:dyDescent="0.25">
      <c r="A83" s="16" t="s">
        <v>83</v>
      </c>
      <c r="B83" s="11">
        <v>0</v>
      </c>
      <c r="C83">
        <v>0</v>
      </c>
      <c r="D83">
        <v>0</v>
      </c>
      <c r="E83">
        <v>0</v>
      </c>
      <c r="F83" s="12"/>
      <c r="G83">
        <v>0</v>
      </c>
      <c r="H83" s="11"/>
      <c r="L83" s="12"/>
      <c r="M83" s="11"/>
      <c r="Q83" s="12"/>
      <c r="R83" s="11"/>
      <c r="W83" s="16">
        <v>0</v>
      </c>
      <c r="AB83" s="12"/>
      <c r="AG83" s="12"/>
      <c r="AH83" s="12">
        <v>1</v>
      </c>
      <c r="AI83" s="11"/>
      <c r="AM83" s="12"/>
      <c r="AN83" s="16">
        <v>0</v>
      </c>
      <c r="AO83" s="16">
        <v>0</v>
      </c>
      <c r="AU83" s="16">
        <v>0</v>
      </c>
      <c r="AZ83" s="12"/>
      <c r="BA83" s="16">
        <v>0</v>
      </c>
      <c r="BB83">
        <v>0</v>
      </c>
      <c r="BC83">
        <v>0</v>
      </c>
      <c r="BD83">
        <v>0</v>
      </c>
      <c r="BE83">
        <v>0</v>
      </c>
      <c r="BF83" s="11">
        <v>0</v>
      </c>
      <c r="BG83">
        <v>0</v>
      </c>
      <c r="BH83">
        <v>0</v>
      </c>
      <c r="BI83" s="11">
        <v>0</v>
      </c>
      <c r="BJ83" s="12">
        <v>0</v>
      </c>
      <c r="BK83" s="12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2</v>
      </c>
      <c r="BR83" s="16">
        <v>3</v>
      </c>
      <c r="BS83" s="16">
        <v>137</v>
      </c>
      <c r="BT83" s="16">
        <v>145</v>
      </c>
      <c r="BU83" s="16">
        <v>41</v>
      </c>
      <c r="BV83" s="16">
        <v>0</v>
      </c>
    </row>
    <row r="84" spans="1:74" x14ac:dyDescent="0.25">
      <c r="A84" s="16" t="s">
        <v>84</v>
      </c>
      <c r="B84" s="11">
        <v>0</v>
      </c>
      <c r="C84">
        <v>0</v>
      </c>
      <c r="D84">
        <v>0</v>
      </c>
      <c r="E84">
        <v>0</v>
      </c>
      <c r="F84" s="12"/>
      <c r="G84">
        <v>0</v>
      </c>
      <c r="H84" s="11"/>
      <c r="L84" s="12"/>
      <c r="M84" s="11"/>
      <c r="Q84" s="12"/>
      <c r="R84" s="11"/>
      <c r="W84" s="16">
        <v>0</v>
      </c>
      <c r="AB84" s="12"/>
      <c r="AG84" s="12"/>
      <c r="AH84" s="12">
        <v>0</v>
      </c>
      <c r="AI84" s="11"/>
      <c r="AM84" s="12"/>
      <c r="AN84" s="16">
        <v>0</v>
      </c>
      <c r="AO84" s="16">
        <v>0</v>
      </c>
      <c r="AU84" s="16">
        <v>0</v>
      </c>
      <c r="AZ84" s="12"/>
      <c r="BA84" s="16">
        <v>0</v>
      </c>
      <c r="BB84">
        <v>0</v>
      </c>
      <c r="BC84">
        <v>0</v>
      </c>
      <c r="BD84">
        <v>0</v>
      </c>
      <c r="BE84">
        <v>0</v>
      </c>
      <c r="BF84" s="11">
        <v>0</v>
      </c>
      <c r="BG84">
        <v>0</v>
      </c>
      <c r="BH84">
        <v>0</v>
      </c>
      <c r="BI84" s="11">
        <v>0</v>
      </c>
      <c r="BJ84" s="12">
        <v>0</v>
      </c>
      <c r="BK84" s="12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333</v>
      </c>
      <c r="BT84" s="16">
        <v>325</v>
      </c>
      <c r="BU84" s="16">
        <v>330</v>
      </c>
      <c r="BV84" s="16">
        <v>0</v>
      </c>
    </row>
    <row r="85" spans="1:74" x14ac:dyDescent="0.25">
      <c r="A85" s="30" t="s">
        <v>85</v>
      </c>
      <c r="B85" s="11">
        <v>0</v>
      </c>
      <c r="C85">
        <v>0</v>
      </c>
      <c r="D85">
        <v>0</v>
      </c>
      <c r="E85">
        <v>0</v>
      </c>
      <c r="F85" s="12"/>
      <c r="G85">
        <v>0</v>
      </c>
      <c r="H85" s="11"/>
      <c r="L85" s="12"/>
      <c r="M85" s="11"/>
      <c r="Q85" s="12"/>
      <c r="R85" s="11"/>
      <c r="W85" s="16">
        <v>0</v>
      </c>
      <c r="AB85" s="12"/>
      <c r="AG85" s="12"/>
      <c r="AH85" s="12">
        <v>0</v>
      </c>
      <c r="AI85" s="11"/>
      <c r="AM85" s="12"/>
      <c r="AN85" s="16">
        <v>0</v>
      </c>
      <c r="AO85" s="16">
        <v>0</v>
      </c>
      <c r="AU85" s="16">
        <v>0</v>
      </c>
      <c r="AZ85" s="12"/>
      <c r="BA85" s="16">
        <v>0</v>
      </c>
      <c r="BB85">
        <v>0</v>
      </c>
      <c r="BC85">
        <v>0</v>
      </c>
      <c r="BD85">
        <v>0</v>
      </c>
      <c r="BE85">
        <v>0</v>
      </c>
      <c r="BF85" s="11">
        <v>0</v>
      </c>
      <c r="BG85">
        <v>0</v>
      </c>
      <c r="BH85">
        <v>0</v>
      </c>
      <c r="BI85" s="11">
        <v>0</v>
      </c>
      <c r="BJ85" s="12">
        <v>0</v>
      </c>
      <c r="BK85" s="12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778</v>
      </c>
      <c r="BT85" s="16">
        <v>352</v>
      </c>
      <c r="BU85" s="16">
        <v>392</v>
      </c>
      <c r="BV85" s="16">
        <v>0</v>
      </c>
    </row>
    <row r="86" spans="1:74" x14ac:dyDescent="0.25">
      <c r="A86" s="30" t="s">
        <v>86</v>
      </c>
      <c r="B86" s="11">
        <v>0</v>
      </c>
      <c r="C86">
        <v>0</v>
      </c>
      <c r="D86">
        <v>0</v>
      </c>
      <c r="E86">
        <v>0</v>
      </c>
      <c r="F86" s="12"/>
      <c r="G86">
        <v>15</v>
      </c>
      <c r="H86" s="11"/>
      <c r="L86" s="12"/>
      <c r="M86" s="11"/>
      <c r="Q86" s="12"/>
      <c r="R86" s="11"/>
      <c r="W86" s="16">
        <v>0</v>
      </c>
      <c r="AB86" s="12"/>
      <c r="AG86" s="12"/>
      <c r="AH86" s="12">
        <v>19</v>
      </c>
      <c r="AI86" s="11"/>
      <c r="AM86" s="12"/>
      <c r="AN86" s="16">
        <v>135</v>
      </c>
      <c r="AO86" s="16">
        <v>181</v>
      </c>
      <c r="AU86" s="16">
        <v>66</v>
      </c>
      <c r="AZ86" s="12"/>
      <c r="BA86" s="16">
        <v>65</v>
      </c>
      <c r="BB86">
        <v>0</v>
      </c>
      <c r="BC86">
        <v>0</v>
      </c>
      <c r="BD86">
        <v>0</v>
      </c>
      <c r="BE86">
        <v>0</v>
      </c>
      <c r="BF86" s="11">
        <v>0</v>
      </c>
      <c r="BG86">
        <v>0</v>
      </c>
      <c r="BH86">
        <v>0</v>
      </c>
      <c r="BI86" s="11">
        <v>0</v>
      </c>
      <c r="BJ86" s="12">
        <v>0</v>
      </c>
      <c r="BK86" s="12">
        <v>0</v>
      </c>
      <c r="BL86" s="16">
        <v>0</v>
      </c>
      <c r="BM86" s="16">
        <v>0</v>
      </c>
      <c r="BN86" s="16">
        <v>0</v>
      </c>
      <c r="BO86" s="16">
        <v>135</v>
      </c>
      <c r="BP86" s="16">
        <v>0</v>
      </c>
      <c r="BQ86" s="16">
        <v>0</v>
      </c>
      <c r="BR86" s="16">
        <v>0</v>
      </c>
      <c r="BS86" s="16">
        <v>309</v>
      </c>
      <c r="BT86" s="16">
        <v>355</v>
      </c>
      <c r="BU86" s="16">
        <v>397</v>
      </c>
      <c r="BV86" s="16">
        <v>0</v>
      </c>
    </row>
    <row r="87" spans="1:74" x14ac:dyDescent="0.25">
      <c r="A87" s="16" t="s">
        <v>87</v>
      </c>
      <c r="B87" s="11">
        <v>21</v>
      </c>
      <c r="C87">
        <v>62</v>
      </c>
      <c r="D87">
        <v>11</v>
      </c>
      <c r="E87">
        <v>87</v>
      </c>
      <c r="F87" s="12"/>
      <c r="G87">
        <v>113</v>
      </c>
      <c r="H87" s="11"/>
      <c r="L87" s="12"/>
      <c r="M87" s="11"/>
      <c r="Q87" s="12"/>
      <c r="R87" s="11"/>
      <c r="W87" s="16">
        <v>103</v>
      </c>
      <c r="AB87" s="12"/>
      <c r="AG87" s="12"/>
      <c r="AH87" s="12">
        <v>3</v>
      </c>
      <c r="AI87" s="11"/>
      <c r="AM87" s="12"/>
      <c r="AN87" s="16">
        <v>64</v>
      </c>
      <c r="AO87" s="16">
        <v>111</v>
      </c>
      <c r="AU87" s="16">
        <v>67</v>
      </c>
      <c r="AZ87" s="12"/>
      <c r="BA87" s="16">
        <v>12</v>
      </c>
      <c r="BB87">
        <v>21</v>
      </c>
      <c r="BC87">
        <v>16</v>
      </c>
      <c r="BD87">
        <v>11</v>
      </c>
      <c r="BE87">
        <v>13</v>
      </c>
      <c r="BF87" s="11">
        <v>12</v>
      </c>
      <c r="BG87">
        <v>11</v>
      </c>
      <c r="BH87">
        <v>37</v>
      </c>
      <c r="BI87" s="11">
        <v>13</v>
      </c>
      <c r="BJ87" s="12">
        <v>19</v>
      </c>
      <c r="BK87" s="12">
        <v>13</v>
      </c>
      <c r="BL87" s="16">
        <v>9</v>
      </c>
      <c r="BM87" s="16">
        <v>15</v>
      </c>
      <c r="BN87" s="16">
        <v>19</v>
      </c>
      <c r="BO87" s="16">
        <v>64</v>
      </c>
      <c r="BP87" s="16">
        <v>11</v>
      </c>
      <c r="BQ87" s="16">
        <v>174</v>
      </c>
      <c r="BR87" s="16">
        <v>85</v>
      </c>
      <c r="BS87" s="16">
        <v>872</v>
      </c>
      <c r="BT87" s="16">
        <v>1186</v>
      </c>
      <c r="BU87" s="16">
        <v>1296</v>
      </c>
      <c r="BV87" s="16">
        <v>0</v>
      </c>
    </row>
    <row r="88" spans="1:74" x14ac:dyDescent="0.25">
      <c r="A88" s="16" t="s">
        <v>88</v>
      </c>
      <c r="B88" s="11">
        <v>425</v>
      </c>
      <c r="C88">
        <v>313</v>
      </c>
      <c r="D88">
        <v>29</v>
      </c>
      <c r="E88">
        <v>209</v>
      </c>
      <c r="F88" s="12"/>
      <c r="G88">
        <v>209</v>
      </c>
      <c r="H88" s="11"/>
      <c r="L88" s="12"/>
      <c r="M88" s="11"/>
      <c r="Q88" s="12"/>
      <c r="R88" s="11"/>
      <c r="W88" s="16">
        <v>195</v>
      </c>
      <c r="AB88" s="12"/>
      <c r="AG88" s="12"/>
      <c r="AH88" s="12">
        <v>105</v>
      </c>
      <c r="AI88" s="11"/>
      <c r="AM88" s="12"/>
      <c r="AN88" s="16">
        <v>149</v>
      </c>
      <c r="AO88" s="16">
        <v>106</v>
      </c>
      <c r="AU88" s="16">
        <v>84</v>
      </c>
      <c r="AZ88" s="12"/>
      <c r="BA88" s="16">
        <v>7</v>
      </c>
      <c r="BB88">
        <v>47</v>
      </c>
      <c r="BC88">
        <v>55</v>
      </c>
      <c r="BD88">
        <v>63</v>
      </c>
      <c r="BE88">
        <v>58</v>
      </c>
      <c r="BF88" s="11">
        <v>78</v>
      </c>
      <c r="BG88">
        <v>54</v>
      </c>
      <c r="BH88">
        <v>141</v>
      </c>
      <c r="BI88" s="11">
        <v>68</v>
      </c>
      <c r="BJ88" s="12">
        <v>60</v>
      </c>
      <c r="BK88" s="12">
        <v>125</v>
      </c>
      <c r="BL88" s="16">
        <v>79</v>
      </c>
      <c r="BM88" s="16">
        <v>60</v>
      </c>
      <c r="BN88" s="16">
        <v>94</v>
      </c>
      <c r="BO88" s="16">
        <v>149</v>
      </c>
      <c r="BP88" s="16">
        <v>48</v>
      </c>
      <c r="BQ88" s="16">
        <v>496</v>
      </c>
      <c r="BR88" s="16">
        <v>332</v>
      </c>
      <c r="BS88" s="16">
        <v>7</v>
      </c>
      <c r="BT88" s="16">
        <v>9</v>
      </c>
      <c r="BU88" s="16">
        <v>9</v>
      </c>
      <c r="BV88" s="16">
        <v>0</v>
      </c>
    </row>
    <row r="89" spans="1:74" x14ac:dyDescent="0.25">
      <c r="A89" s="16" t="s">
        <v>89</v>
      </c>
      <c r="B89" s="11">
        <v>11</v>
      </c>
      <c r="C89">
        <v>27</v>
      </c>
      <c r="D89">
        <v>4</v>
      </c>
      <c r="E89">
        <v>6</v>
      </c>
      <c r="F89" s="12"/>
      <c r="G89">
        <v>9</v>
      </c>
      <c r="H89" s="11"/>
      <c r="L89" s="12"/>
      <c r="M89" s="11"/>
      <c r="Q89" s="12"/>
      <c r="R89" s="11"/>
      <c r="W89" s="16">
        <v>8</v>
      </c>
      <c r="AB89" s="12"/>
      <c r="AG89" s="12"/>
      <c r="AH89" s="12">
        <v>51</v>
      </c>
      <c r="AI89" s="11"/>
      <c r="AM89" s="12"/>
      <c r="AN89" s="16">
        <v>13</v>
      </c>
      <c r="AO89" s="16">
        <v>18</v>
      </c>
      <c r="AU89" s="16">
        <v>7</v>
      </c>
      <c r="AZ89" s="12"/>
      <c r="BA89" s="16">
        <v>0</v>
      </c>
      <c r="BB89">
        <v>0</v>
      </c>
      <c r="BC89">
        <v>3</v>
      </c>
      <c r="BD89">
        <v>1</v>
      </c>
      <c r="BE89">
        <v>2</v>
      </c>
      <c r="BF89" s="11">
        <v>1</v>
      </c>
      <c r="BG89">
        <v>5</v>
      </c>
      <c r="BH89">
        <v>7</v>
      </c>
      <c r="BI89" s="11">
        <v>2</v>
      </c>
      <c r="BJ89" s="12">
        <v>2</v>
      </c>
      <c r="BK89" s="12">
        <v>4</v>
      </c>
      <c r="BL89" s="16">
        <v>4</v>
      </c>
      <c r="BM89" s="16">
        <v>1</v>
      </c>
      <c r="BN89" s="16">
        <v>2</v>
      </c>
      <c r="BO89" s="16">
        <v>13</v>
      </c>
      <c r="BP89" s="16">
        <v>2</v>
      </c>
      <c r="BQ89" s="16">
        <v>13</v>
      </c>
      <c r="BR89" s="16">
        <v>7</v>
      </c>
      <c r="BS89" s="16">
        <v>0</v>
      </c>
      <c r="BT89" s="16">
        <v>0</v>
      </c>
      <c r="BU89" s="16">
        <v>0</v>
      </c>
      <c r="BV89" s="16">
        <v>0</v>
      </c>
    </row>
    <row r="90" spans="1:74" x14ac:dyDescent="0.25">
      <c r="A90" s="16" t="s">
        <v>90</v>
      </c>
      <c r="B90" s="11">
        <v>0</v>
      </c>
      <c r="C90">
        <v>0</v>
      </c>
      <c r="D90">
        <v>0</v>
      </c>
      <c r="E90">
        <v>0</v>
      </c>
      <c r="F90" s="12"/>
      <c r="G90">
        <v>0</v>
      </c>
      <c r="H90" s="11"/>
      <c r="L90" s="12"/>
      <c r="M90" s="11"/>
      <c r="Q90" s="12"/>
      <c r="R90" s="11"/>
      <c r="W90" s="16">
        <v>0</v>
      </c>
      <c r="AB90" s="12"/>
      <c r="AG90" s="12"/>
      <c r="AH90" s="12">
        <v>0</v>
      </c>
      <c r="AI90" s="11"/>
      <c r="AM90" s="12"/>
      <c r="AN90" s="16"/>
      <c r="AO90" s="16"/>
      <c r="AU90" s="16"/>
      <c r="AZ90" s="12"/>
      <c r="BA90" s="16"/>
      <c r="BF90" s="11"/>
      <c r="BI90" s="11">
        <v>0</v>
      </c>
      <c r="BJ90" s="12">
        <v>0</v>
      </c>
      <c r="BK90" s="12"/>
      <c r="BL90" s="16"/>
      <c r="BM90" s="16"/>
      <c r="BN90" s="16"/>
      <c r="BO90" s="16"/>
      <c r="BP90" s="16"/>
      <c r="BQ90" s="16"/>
      <c r="BR90" s="16"/>
      <c r="BS90" s="16">
        <v>0</v>
      </c>
      <c r="BT90" s="16">
        <v>2</v>
      </c>
      <c r="BU90" s="16">
        <v>2</v>
      </c>
      <c r="BV90" s="16">
        <v>0</v>
      </c>
    </row>
    <row r="91" spans="1:74" x14ac:dyDescent="0.25">
      <c r="A91" s="16" t="s">
        <v>91</v>
      </c>
      <c r="B91" s="11">
        <v>0</v>
      </c>
      <c r="C91">
        <v>0</v>
      </c>
      <c r="D91">
        <v>0</v>
      </c>
      <c r="E91">
        <v>0</v>
      </c>
      <c r="F91" s="12"/>
      <c r="G91">
        <v>0</v>
      </c>
      <c r="H91" s="11"/>
      <c r="L91" s="12"/>
      <c r="M91" s="11"/>
      <c r="Q91" s="12"/>
      <c r="R91" s="11"/>
      <c r="W91" s="16">
        <v>0</v>
      </c>
      <c r="AB91" s="12"/>
      <c r="AG91" s="12"/>
      <c r="AH91" s="12">
        <v>0</v>
      </c>
      <c r="AI91" s="11"/>
      <c r="AM91" s="12"/>
      <c r="AN91" s="16"/>
      <c r="AO91" s="16"/>
      <c r="AU91" s="16"/>
      <c r="AZ91" s="12"/>
      <c r="BA91" s="16"/>
      <c r="BF91" s="11"/>
      <c r="BI91" s="11">
        <v>0</v>
      </c>
      <c r="BJ91" s="12">
        <v>0</v>
      </c>
      <c r="BK91" s="12"/>
      <c r="BL91" s="16"/>
      <c r="BM91" s="16"/>
      <c r="BN91" s="16"/>
      <c r="BO91" s="16"/>
      <c r="BP91" s="16"/>
      <c r="BQ91" s="16"/>
      <c r="BR91" s="16"/>
      <c r="BS91" s="16">
        <v>0</v>
      </c>
      <c r="BT91" s="16">
        <v>0</v>
      </c>
      <c r="BU91" s="16">
        <v>0</v>
      </c>
      <c r="BV91" s="16">
        <v>0</v>
      </c>
    </row>
    <row r="92" spans="1:74" x14ac:dyDescent="0.25">
      <c r="A92" s="16" t="s">
        <v>92</v>
      </c>
      <c r="B92" s="11">
        <v>0</v>
      </c>
      <c r="C92">
        <v>0</v>
      </c>
      <c r="D92">
        <v>0</v>
      </c>
      <c r="E92">
        <v>0</v>
      </c>
      <c r="F92" s="12"/>
      <c r="G92">
        <v>0</v>
      </c>
      <c r="H92" s="11"/>
      <c r="L92" s="12"/>
      <c r="M92" s="11"/>
      <c r="Q92" s="12"/>
      <c r="R92" s="11"/>
      <c r="W92" s="16">
        <v>0</v>
      </c>
      <c r="AB92" s="12"/>
      <c r="AG92" s="12"/>
      <c r="AH92" s="12">
        <v>0</v>
      </c>
      <c r="AI92" s="11"/>
      <c r="AM92" s="12"/>
      <c r="AN92" s="16">
        <v>296</v>
      </c>
      <c r="AO92" s="16">
        <v>232</v>
      </c>
      <c r="AU92" s="16">
        <v>175</v>
      </c>
      <c r="AZ92" s="12"/>
      <c r="BA92" s="16">
        <v>52</v>
      </c>
      <c r="BB92">
        <v>65</v>
      </c>
      <c r="BC92">
        <v>64</v>
      </c>
      <c r="BD92">
        <v>71</v>
      </c>
      <c r="BE92">
        <v>37</v>
      </c>
      <c r="BF92" s="11">
        <v>30</v>
      </c>
      <c r="BG92">
        <v>43</v>
      </c>
      <c r="BH92">
        <v>69</v>
      </c>
      <c r="BI92" s="11">
        <v>33</v>
      </c>
      <c r="BJ92" s="12">
        <v>35</v>
      </c>
      <c r="BK92" s="12">
        <v>0</v>
      </c>
      <c r="BL92" s="16">
        <v>0</v>
      </c>
      <c r="BM92" s="16">
        <v>50</v>
      </c>
      <c r="BN92" s="16">
        <v>96</v>
      </c>
      <c r="BO92" s="16">
        <v>296</v>
      </c>
      <c r="BP92" s="16">
        <v>47</v>
      </c>
      <c r="BQ92" s="16">
        <v>469</v>
      </c>
      <c r="BR92" s="16">
        <v>352</v>
      </c>
      <c r="BS92" s="16">
        <v>0</v>
      </c>
      <c r="BT92" s="16">
        <v>0</v>
      </c>
      <c r="BU92" s="16">
        <v>0</v>
      </c>
      <c r="BV92" s="16">
        <v>0</v>
      </c>
    </row>
    <row r="93" spans="1:74" x14ac:dyDescent="0.25">
      <c r="A93" s="30" t="s">
        <v>93</v>
      </c>
      <c r="B93" s="11">
        <v>0</v>
      </c>
      <c r="C93">
        <v>0</v>
      </c>
      <c r="D93">
        <v>0</v>
      </c>
      <c r="E93">
        <v>0</v>
      </c>
      <c r="F93" s="12"/>
      <c r="G93">
        <v>0</v>
      </c>
      <c r="H93" s="11"/>
      <c r="L93" s="12"/>
      <c r="M93" s="11"/>
      <c r="Q93" s="12"/>
      <c r="R93" s="11"/>
      <c r="W93" s="16">
        <v>0</v>
      </c>
      <c r="AB93" s="12"/>
      <c r="AG93" s="12"/>
      <c r="AH93" s="12">
        <v>68</v>
      </c>
      <c r="AI93" s="11"/>
      <c r="AM93" s="12"/>
      <c r="AN93" s="16">
        <v>9</v>
      </c>
      <c r="AO93" s="16">
        <v>14</v>
      </c>
      <c r="AU93" s="16">
        <v>4</v>
      </c>
      <c r="AZ93" s="12"/>
      <c r="BA93" s="16">
        <v>0</v>
      </c>
      <c r="BB93">
        <v>3</v>
      </c>
      <c r="BC93">
        <v>1</v>
      </c>
      <c r="BD93">
        <v>4</v>
      </c>
      <c r="BE93">
        <v>2</v>
      </c>
      <c r="BF93" s="11">
        <v>3</v>
      </c>
      <c r="BG93">
        <v>11</v>
      </c>
      <c r="BH93">
        <v>7</v>
      </c>
      <c r="BI93" s="11">
        <v>4</v>
      </c>
      <c r="BJ93" s="12">
        <v>3</v>
      </c>
      <c r="BK93" s="12">
        <v>404</v>
      </c>
      <c r="BL93" s="16">
        <v>89</v>
      </c>
      <c r="BM93" s="16">
        <v>14</v>
      </c>
      <c r="BN93" s="16">
        <v>23</v>
      </c>
      <c r="BO93" s="16">
        <v>26</v>
      </c>
      <c r="BP93" s="16">
        <v>9</v>
      </c>
      <c r="BQ93" s="16">
        <v>144</v>
      </c>
      <c r="BR93" s="16">
        <v>182</v>
      </c>
      <c r="BS93" s="16">
        <v>0</v>
      </c>
      <c r="BT93" s="16">
        <v>0</v>
      </c>
      <c r="BU93" s="16">
        <v>0</v>
      </c>
      <c r="BV93" s="16">
        <v>0</v>
      </c>
    </row>
    <row r="94" spans="1:74" x14ac:dyDescent="0.25">
      <c r="A94" s="16" t="s">
        <v>94</v>
      </c>
      <c r="B94" s="11">
        <v>10</v>
      </c>
      <c r="C94">
        <v>66</v>
      </c>
      <c r="D94">
        <v>0</v>
      </c>
      <c r="E94">
        <v>5</v>
      </c>
      <c r="F94" s="12"/>
      <c r="G94">
        <v>4</v>
      </c>
      <c r="H94" s="11"/>
      <c r="L94" s="12"/>
      <c r="M94" s="11"/>
      <c r="Q94" s="12"/>
      <c r="R94" s="11"/>
      <c r="W94" s="16">
        <v>4</v>
      </c>
      <c r="AB94" s="12"/>
      <c r="AG94" s="12"/>
      <c r="AH94" s="12">
        <v>0</v>
      </c>
      <c r="AI94" s="11"/>
      <c r="AM94" s="12"/>
      <c r="AN94" s="16">
        <v>0</v>
      </c>
      <c r="AO94" s="16">
        <v>0</v>
      </c>
      <c r="AU94" s="16">
        <v>0</v>
      </c>
      <c r="AZ94" s="12"/>
      <c r="BA94" s="16">
        <v>0</v>
      </c>
      <c r="BB94">
        <v>0</v>
      </c>
      <c r="BC94">
        <v>0</v>
      </c>
      <c r="BD94">
        <v>0</v>
      </c>
      <c r="BE94">
        <v>0</v>
      </c>
      <c r="BF94" s="11">
        <v>0</v>
      </c>
      <c r="BG94">
        <v>0</v>
      </c>
      <c r="BH94">
        <v>0</v>
      </c>
      <c r="BI94" s="11">
        <v>0</v>
      </c>
      <c r="BJ94" s="12">
        <v>0</v>
      </c>
      <c r="BK94" s="12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</row>
    <row r="95" spans="1:74" x14ac:dyDescent="0.25">
      <c r="A95" s="30" t="s">
        <v>95</v>
      </c>
      <c r="B95" s="11">
        <v>0</v>
      </c>
      <c r="C95">
        <v>0</v>
      </c>
      <c r="D95">
        <v>0</v>
      </c>
      <c r="E95">
        <v>0</v>
      </c>
      <c r="F95" s="12"/>
      <c r="G95">
        <v>16</v>
      </c>
      <c r="H95" s="11"/>
      <c r="L95" s="12"/>
      <c r="M95" s="11"/>
      <c r="Q95" s="12"/>
      <c r="R95" s="11"/>
      <c r="W95" s="16">
        <v>0</v>
      </c>
      <c r="AB95" s="12"/>
      <c r="AG95" s="12"/>
      <c r="AH95" s="12">
        <v>476</v>
      </c>
      <c r="AI95" s="11"/>
      <c r="AM95" s="12"/>
      <c r="AN95" s="16">
        <v>0</v>
      </c>
      <c r="AO95" s="16">
        <v>0</v>
      </c>
      <c r="AU95" s="16">
        <v>0</v>
      </c>
      <c r="AZ95" s="12"/>
      <c r="BA95" s="16">
        <v>0</v>
      </c>
      <c r="BB95">
        <v>0</v>
      </c>
      <c r="BC95">
        <v>0</v>
      </c>
      <c r="BD95">
        <v>0</v>
      </c>
      <c r="BE95">
        <v>0</v>
      </c>
      <c r="BF95" s="11">
        <v>0</v>
      </c>
      <c r="BG95">
        <v>0</v>
      </c>
      <c r="BH95">
        <v>0</v>
      </c>
      <c r="BI95" s="11">
        <v>0</v>
      </c>
      <c r="BJ95" s="12">
        <v>0</v>
      </c>
      <c r="BK95" s="12">
        <v>38</v>
      </c>
      <c r="BL95" s="16">
        <v>22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</row>
    <row r="96" spans="1:74" x14ac:dyDescent="0.25">
      <c r="A96" s="16" t="s">
        <v>96</v>
      </c>
      <c r="B96" s="11">
        <v>32</v>
      </c>
      <c r="C96">
        <v>177</v>
      </c>
      <c r="D96">
        <v>3</v>
      </c>
      <c r="E96">
        <v>20</v>
      </c>
      <c r="F96" s="12"/>
      <c r="G96">
        <v>36</v>
      </c>
      <c r="H96" s="11"/>
      <c r="L96" s="12"/>
      <c r="M96" s="11"/>
      <c r="Q96" s="12"/>
      <c r="R96" s="11"/>
      <c r="W96" s="16">
        <v>14</v>
      </c>
      <c r="AB96" s="12"/>
      <c r="AG96" s="12"/>
      <c r="AH96" s="12">
        <v>24</v>
      </c>
      <c r="AI96" s="11"/>
      <c r="AM96" s="12"/>
      <c r="AN96" s="16">
        <v>130</v>
      </c>
      <c r="AO96" s="16">
        <v>120</v>
      </c>
      <c r="AU96" s="16">
        <v>94</v>
      </c>
      <c r="AZ96" s="12"/>
      <c r="BA96" s="16">
        <v>99</v>
      </c>
      <c r="BB96">
        <v>106</v>
      </c>
      <c r="BC96">
        <v>115</v>
      </c>
      <c r="BD96">
        <v>125</v>
      </c>
      <c r="BE96">
        <v>98</v>
      </c>
      <c r="BF96" s="11">
        <v>140</v>
      </c>
      <c r="BG96">
        <v>129</v>
      </c>
      <c r="BH96">
        <v>259</v>
      </c>
      <c r="BI96" s="11">
        <v>115</v>
      </c>
      <c r="BJ96" s="12">
        <v>115</v>
      </c>
      <c r="BK96" s="12">
        <v>1666</v>
      </c>
      <c r="BL96" s="16">
        <v>102</v>
      </c>
      <c r="BM96" s="16">
        <v>72</v>
      </c>
      <c r="BN96" s="16">
        <v>142</v>
      </c>
      <c r="BO96" s="16">
        <v>132</v>
      </c>
      <c r="BP96" s="16">
        <v>142</v>
      </c>
      <c r="BQ96" s="16">
        <v>1034</v>
      </c>
      <c r="BR96" s="16">
        <v>502</v>
      </c>
      <c r="BS96" s="16">
        <v>0</v>
      </c>
      <c r="BT96" s="16">
        <v>0</v>
      </c>
      <c r="BU96" s="16">
        <v>0</v>
      </c>
      <c r="BV96" s="16">
        <v>0</v>
      </c>
    </row>
    <row r="97" spans="1:74" x14ac:dyDescent="0.25">
      <c r="A97" s="16" t="s">
        <v>97</v>
      </c>
      <c r="B97" s="11">
        <v>0</v>
      </c>
      <c r="C97">
        <v>0</v>
      </c>
      <c r="D97">
        <v>0</v>
      </c>
      <c r="E97">
        <v>0</v>
      </c>
      <c r="F97" s="12"/>
      <c r="G97">
        <v>0</v>
      </c>
      <c r="H97" s="11"/>
      <c r="L97" s="12"/>
      <c r="M97" s="11"/>
      <c r="Q97" s="12"/>
      <c r="R97" s="11"/>
      <c r="W97" s="16">
        <v>0</v>
      </c>
      <c r="AB97" s="12"/>
      <c r="AG97" s="12"/>
      <c r="AH97" s="12">
        <v>0</v>
      </c>
      <c r="AI97" s="11"/>
      <c r="AM97" s="12"/>
      <c r="AN97" s="16">
        <v>0</v>
      </c>
      <c r="AO97" s="16">
        <v>0</v>
      </c>
      <c r="AU97" s="16">
        <v>0</v>
      </c>
      <c r="AZ97" s="12"/>
      <c r="BA97" s="16">
        <v>0</v>
      </c>
      <c r="BB97">
        <v>0</v>
      </c>
      <c r="BC97">
        <v>0</v>
      </c>
      <c r="BD97">
        <v>0</v>
      </c>
      <c r="BE97">
        <v>0</v>
      </c>
      <c r="BF97" s="11">
        <v>0</v>
      </c>
      <c r="BG97">
        <v>0</v>
      </c>
      <c r="BH97">
        <v>0</v>
      </c>
      <c r="BI97" s="11">
        <v>0</v>
      </c>
      <c r="BJ97" s="12">
        <v>0</v>
      </c>
      <c r="BK97" s="12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</row>
    <row r="98" spans="1:74" x14ac:dyDescent="0.25">
      <c r="A98" s="16" t="s">
        <v>98</v>
      </c>
      <c r="B98" s="11">
        <v>11</v>
      </c>
      <c r="C98">
        <v>8</v>
      </c>
      <c r="D98">
        <v>0</v>
      </c>
      <c r="E98">
        <v>6</v>
      </c>
      <c r="F98" s="12"/>
      <c r="G98">
        <v>0</v>
      </c>
      <c r="H98" s="11"/>
      <c r="L98" s="12"/>
      <c r="M98" s="11"/>
      <c r="Q98" s="12"/>
      <c r="R98" s="11"/>
      <c r="W98" s="16">
        <v>0</v>
      </c>
      <c r="AB98" s="12"/>
      <c r="AG98" s="12"/>
      <c r="AH98" s="12">
        <v>0</v>
      </c>
      <c r="AI98" s="11"/>
      <c r="AM98" s="12"/>
      <c r="AN98" s="16">
        <v>0</v>
      </c>
      <c r="AO98" s="16">
        <v>0</v>
      </c>
      <c r="AU98" s="16">
        <v>0</v>
      </c>
      <c r="AZ98" s="12"/>
      <c r="BA98" s="16">
        <v>0</v>
      </c>
      <c r="BB98">
        <v>0</v>
      </c>
      <c r="BC98">
        <v>0</v>
      </c>
      <c r="BD98">
        <v>0</v>
      </c>
      <c r="BE98">
        <v>0</v>
      </c>
      <c r="BF98" s="11">
        <v>0</v>
      </c>
      <c r="BG98">
        <v>0</v>
      </c>
      <c r="BH98">
        <v>0</v>
      </c>
      <c r="BI98" s="11">
        <v>0</v>
      </c>
      <c r="BJ98" s="12">
        <v>0</v>
      </c>
      <c r="BK98" s="12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</row>
    <row r="99" spans="1:74" x14ac:dyDescent="0.25">
      <c r="A99" s="16" t="s">
        <v>99</v>
      </c>
      <c r="B99" s="11">
        <v>0</v>
      </c>
      <c r="C99">
        <v>0</v>
      </c>
      <c r="D99">
        <v>0</v>
      </c>
      <c r="E99">
        <v>0</v>
      </c>
      <c r="F99" s="12"/>
      <c r="G99">
        <v>0</v>
      </c>
      <c r="H99" s="11"/>
      <c r="L99" s="12"/>
      <c r="M99" s="11"/>
      <c r="Q99" s="12"/>
      <c r="R99" s="11"/>
      <c r="W99" s="16">
        <v>0</v>
      </c>
      <c r="AB99" s="12"/>
      <c r="AG99" s="12"/>
      <c r="AH99" s="12">
        <v>0</v>
      </c>
      <c r="AI99" s="11"/>
      <c r="AM99" s="12"/>
      <c r="AN99" s="16">
        <v>0</v>
      </c>
      <c r="AO99" s="16">
        <v>0</v>
      </c>
      <c r="AU99" s="16">
        <v>0</v>
      </c>
      <c r="AZ99" s="12"/>
      <c r="BA99" s="16">
        <v>0</v>
      </c>
      <c r="BB99">
        <v>0</v>
      </c>
      <c r="BC99">
        <v>0</v>
      </c>
      <c r="BD99">
        <v>0</v>
      </c>
      <c r="BE99">
        <v>0</v>
      </c>
      <c r="BF99" s="11">
        <v>0</v>
      </c>
      <c r="BG99">
        <v>0</v>
      </c>
      <c r="BH99">
        <v>0</v>
      </c>
      <c r="BI99" s="11">
        <v>0</v>
      </c>
      <c r="BJ99" s="12">
        <v>0</v>
      </c>
      <c r="BK99" s="12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</row>
    <row r="100" spans="1:74" x14ac:dyDescent="0.25">
      <c r="A100" s="16" t="s">
        <v>100</v>
      </c>
      <c r="B100" s="11">
        <v>0</v>
      </c>
      <c r="C100">
        <v>0</v>
      </c>
      <c r="D100">
        <v>0</v>
      </c>
      <c r="E100">
        <v>0</v>
      </c>
      <c r="F100" s="12"/>
      <c r="G100">
        <v>0</v>
      </c>
      <c r="H100" s="11"/>
      <c r="L100" s="12"/>
      <c r="M100" s="11"/>
      <c r="Q100" s="12"/>
      <c r="R100" s="11"/>
      <c r="W100" s="16">
        <v>0</v>
      </c>
      <c r="AB100" s="12"/>
      <c r="AG100" s="12"/>
      <c r="AH100" s="12">
        <v>0</v>
      </c>
      <c r="AI100" s="11"/>
      <c r="AM100" s="12"/>
      <c r="AN100" s="16">
        <v>0</v>
      </c>
      <c r="AO100" s="16">
        <v>0</v>
      </c>
      <c r="AU100" s="16">
        <v>0</v>
      </c>
      <c r="AZ100" s="12"/>
      <c r="BA100" s="16">
        <v>0</v>
      </c>
      <c r="BB100">
        <v>0</v>
      </c>
      <c r="BC100">
        <v>0</v>
      </c>
      <c r="BD100">
        <v>0</v>
      </c>
      <c r="BE100">
        <v>0</v>
      </c>
      <c r="BF100" s="11">
        <v>0</v>
      </c>
      <c r="BG100">
        <v>0</v>
      </c>
      <c r="BH100">
        <v>0</v>
      </c>
      <c r="BI100" s="11">
        <v>0</v>
      </c>
      <c r="BJ100" s="12">
        <v>0</v>
      </c>
      <c r="BK100" s="12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32</v>
      </c>
      <c r="BT100" s="16">
        <v>13</v>
      </c>
      <c r="BU100" s="16">
        <v>14</v>
      </c>
      <c r="BV100" s="16">
        <v>0</v>
      </c>
    </row>
    <row r="101" spans="1:74" x14ac:dyDescent="0.25">
      <c r="A101" s="16" t="s">
        <v>101</v>
      </c>
      <c r="B101" s="11">
        <v>153</v>
      </c>
      <c r="C101">
        <v>148</v>
      </c>
      <c r="D101">
        <v>9</v>
      </c>
      <c r="E101">
        <v>50</v>
      </c>
      <c r="F101" s="12"/>
      <c r="G101">
        <v>65</v>
      </c>
      <c r="H101" s="11"/>
      <c r="L101" s="12"/>
      <c r="M101" s="11"/>
      <c r="Q101" s="12"/>
      <c r="R101" s="11"/>
      <c r="W101" s="16">
        <v>58</v>
      </c>
      <c r="AB101" s="12"/>
      <c r="AG101" s="12"/>
      <c r="AH101" s="12">
        <v>85</v>
      </c>
      <c r="AI101" s="11"/>
      <c r="AM101" s="12"/>
      <c r="AN101" s="16">
        <v>126</v>
      </c>
      <c r="AO101" s="16">
        <v>87</v>
      </c>
      <c r="AU101" s="16">
        <v>74</v>
      </c>
      <c r="AZ101" s="12"/>
      <c r="BA101" s="16">
        <v>23</v>
      </c>
      <c r="BB101">
        <v>39</v>
      </c>
      <c r="BC101">
        <v>44</v>
      </c>
      <c r="BD101">
        <v>40</v>
      </c>
      <c r="BE101">
        <v>49</v>
      </c>
      <c r="BF101" s="11">
        <v>76</v>
      </c>
      <c r="BG101">
        <v>60</v>
      </c>
      <c r="BH101">
        <v>110</v>
      </c>
      <c r="BI101" s="11">
        <v>61</v>
      </c>
      <c r="BJ101" s="12">
        <v>66</v>
      </c>
      <c r="BK101" s="12">
        <v>85</v>
      </c>
      <c r="BL101" s="16">
        <v>51</v>
      </c>
      <c r="BM101" s="16">
        <v>35</v>
      </c>
      <c r="BN101" s="16">
        <v>28</v>
      </c>
      <c r="BO101" s="16">
        <v>126</v>
      </c>
      <c r="BP101" s="16">
        <v>21</v>
      </c>
      <c r="BQ101" s="16">
        <v>431</v>
      </c>
      <c r="BR101" s="16">
        <v>238</v>
      </c>
      <c r="BS101" s="16">
        <v>0</v>
      </c>
      <c r="BT101" s="16">
        <v>1</v>
      </c>
      <c r="BU101" s="16">
        <v>1</v>
      </c>
      <c r="BV101" s="16">
        <v>0</v>
      </c>
    </row>
    <row r="102" spans="1:74" x14ac:dyDescent="0.25">
      <c r="A102" s="16" t="s">
        <v>102</v>
      </c>
      <c r="B102" s="11">
        <v>0</v>
      </c>
      <c r="C102">
        <v>0</v>
      </c>
      <c r="D102">
        <v>0</v>
      </c>
      <c r="E102">
        <v>0</v>
      </c>
      <c r="F102" s="12"/>
      <c r="G102">
        <v>0</v>
      </c>
      <c r="H102" s="11"/>
      <c r="L102" s="12"/>
      <c r="M102" s="11"/>
      <c r="Q102" s="12"/>
      <c r="R102" s="11"/>
      <c r="W102" s="16">
        <v>0</v>
      </c>
      <c r="AB102" s="12"/>
      <c r="AG102" s="12"/>
      <c r="AH102" s="12">
        <v>0</v>
      </c>
      <c r="AI102" s="11"/>
      <c r="AM102" s="12"/>
      <c r="AN102" s="16">
        <v>0</v>
      </c>
      <c r="AO102" s="16">
        <v>0</v>
      </c>
      <c r="AU102" s="16">
        <v>0</v>
      </c>
      <c r="AZ102" s="12"/>
      <c r="BA102" s="16">
        <v>0</v>
      </c>
      <c r="BB102">
        <v>0</v>
      </c>
      <c r="BC102">
        <v>0</v>
      </c>
      <c r="BD102">
        <v>0</v>
      </c>
      <c r="BE102">
        <v>0</v>
      </c>
      <c r="BF102" s="11">
        <v>0</v>
      </c>
      <c r="BG102">
        <v>0</v>
      </c>
      <c r="BH102">
        <v>0</v>
      </c>
      <c r="BI102" s="11">
        <v>0</v>
      </c>
      <c r="BJ102" s="12">
        <v>0</v>
      </c>
      <c r="BK102" s="12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</row>
    <row r="103" spans="1:74" x14ac:dyDescent="0.25">
      <c r="A103" s="16"/>
      <c r="B103" s="11">
        <v>0</v>
      </c>
      <c r="C103">
        <v>0</v>
      </c>
      <c r="D103">
        <v>0</v>
      </c>
      <c r="E103">
        <v>0</v>
      </c>
      <c r="F103" s="12"/>
      <c r="G103">
        <v>0</v>
      </c>
      <c r="H103" s="11"/>
      <c r="L103" s="12"/>
      <c r="M103" s="11"/>
      <c r="Q103" s="12"/>
      <c r="R103" s="11"/>
      <c r="W103" s="16">
        <v>0</v>
      </c>
      <c r="AB103" s="12"/>
      <c r="AG103" s="12"/>
      <c r="AH103" s="12">
        <v>0</v>
      </c>
      <c r="AI103" s="11"/>
      <c r="AM103" s="12"/>
      <c r="AN103" s="16">
        <v>0</v>
      </c>
      <c r="AO103" s="16">
        <v>0</v>
      </c>
      <c r="AU103" s="16">
        <v>0</v>
      </c>
      <c r="AZ103" s="12"/>
      <c r="BA103" s="16">
        <v>0</v>
      </c>
      <c r="BB103">
        <v>0</v>
      </c>
      <c r="BC103">
        <v>0</v>
      </c>
      <c r="BD103">
        <v>0</v>
      </c>
      <c r="BE103">
        <v>0</v>
      </c>
      <c r="BF103" s="11">
        <v>0</v>
      </c>
      <c r="BG103">
        <v>0</v>
      </c>
      <c r="BH103">
        <v>0</v>
      </c>
      <c r="BI103" s="11">
        <v>0</v>
      </c>
      <c r="BJ103" s="12">
        <v>0</v>
      </c>
      <c r="BK103" s="12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/>
      <c r="BT103" s="16"/>
      <c r="BU103" s="16"/>
      <c r="BV103" s="16"/>
    </row>
    <row r="104" spans="1:74" x14ac:dyDescent="0.25">
      <c r="A104" s="29" t="s">
        <v>32</v>
      </c>
      <c r="B104" s="11"/>
      <c r="F104" s="12"/>
      <c r="H104" s="11"/>
      <c r="L104" s="12"/>
      <c r="M104" s="11"/>
      <c r="Q104" s="12"/>
      <c r="R104" s="11"/>
      <c r="W104" s="16"/>
      <c r="AB104" s="12"/>
      <c r="AG104" s="12"/>
      <c r="AH104" s="12"/>
      <c r="AI104" s="11"/>
      <c r="AM104" s="12"/>
      <c r="AN104" s="16"/>
      <c r="AO104" s="16"/>
      <c r="AU104" s="16"/>
      <c r="AZ104" s="12"/>
      <c r="BA104" s="16"/>
      <c r="BF104" s="11"/>
      <c r="BI104" s="11"/>
      <c r="BJ104" s="12"/>
      <c r="BK104" s="12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</row>
    <row r="105" spans="1:74" x14ac:dyDescent="0.25">
      <c r="A105" s="16" t="s">
        <v>33</v>
      </c>
      <c r="B105" s="21">
        <f t="shared" ref="B105:E120" si="8">B19/B$6</f>
        <v>2.0000000000000001E-4</v>
      </c>
      <c r="C105" s="22">
        <f t="shared" si="8"/>
        <v>2.0000000000000001E-4</v>
      </c>
      <c r="D105" s="22">
        <f t="shared" si="8"/>
        <v>2.0000000000000001E-4</v>
      </c>
      <c r="E105" s="22">
        <f t="shared" si="8"/>
        <v>2.0000000000000001E-4</v>
      </c>
      <c r="F105" s="23"/>
      <c r="G105" s="22">
        <f t="shared" ref="G105:G129" si="9">G19/G$6</f>
        <v>2.0000000000000001E-4</v>
      </c>
      <c r="H105" s="21"/>
      <c r="I105" s="22"/>
      <c r="J105" s="22"/>
      <c r="K105" s="22"/>
      <c r="L105" s="23"/>
      <c r="M105" s="21"/>
      <c r="N105" s="22"/>
      <c r="O105" s="22"/>
      <c r="P105" s="22"/>
      <c r="Q105" s="23"/>
      <c r="R105" s="21"/>
      <c r="S105" s="22"/>
      <c r="T105" s="22"/>
      <c r="U105" s="22"/>
      <c r="V105" s="22"/>
      <c r="W105" s="24">
        <f t="shared" ref="W105:W129" si="10">W19/W$6</f>
        <v>2.0000000000000001E-4</v>
      </c>
      <c r="X105" s="22"/>
      <c r="Y105" s="22"/>
      <c r="Z105" s="22"/>
      <c r="AA105" s="22"/>
      <c r="AB105" s="23"/>
      <c r="AC105" s="22"/>
      <c r="AD105" s="22"/>
      <c r="AE105" s="22"/>
      <c r="AF105" s="22"/>
      <c r="AG105" s="23"/>
      <c r="AH105" s="23">
        <f t="shared" ref="AH105:AH129" si="11">AH19/AH$6</f>
        <v>3.0030030030030029E-4</v>
      </c>
      <c r="AI105" s="21"/>
      <c r="AJ105" s="22"/>
      <c r="AK105" s="22"/>
      <c r="AL105" s="22"/>
      <c r="AM105" s="23"/>
      <c r="AN105" s="24">
        <f t="shared" ref="AN105:AP120" si="12">AN19/AN$6</f>
        <v>2.0000000000000001E-4</v>
      </c>
      <c r="AO105" s="24">
        <f t="shared" si="12"/>
        <v>2.0000000000000001E-4</v>
      </c>
      <c r="AP105" s="22" t="e">
        <f t="shared" si="12"/>
        <v>#DIV/0!</v>
      </c>
      <c r="AQ105" s="22"/>
      <c r="AR105" s="22"/>
      <c r="AS105" s="22"/>
      <c r="AT105" s="22"/>
      <c r="AU105" s="24">
        <f t="shared" ref="AU105:AU129" si="13">AU19/AU$6</f>
        <v>2.0000000000000001E-4</v>
      </c>
      <c r="AV105" s="22"/>
      <c r="AW105" s="22"/>
      <c r="AX105" s="22"/>
      <c r="AY105" s="22"/>
      <c r="AZ105" s="23"/>
      <c r="BA105" s="24">
        <f t="shared" ref="BA105:BR119" si="14">BA19/BA$6</f>
        <v>4.7596382674916705E-4</v>
      </c>
      <c r="BB105" s="22">
        <f t="shared" si="14"/>
        <v>3.9714058776806987E-4</v>
      </c>
      <c r="BC105" s="22">
        <f t="shared" si="14"/>
        <v>4.0000000000000002E-4</v>
      </c>
      <c r="BD105" s="22">
        <f t="shared" si="14"/>
        <v>4.4615384615384618E-4</v>
      </c>
      <c r="BE105" s="22">
        <f t="shared" si="14"/>
        <v>4.0000000000000002E-4</v>
      </c>
      <c r="BF105" s="21">
        <f t="shared" si="14"/>
        <v>4.0000000000000002E-4</v>
      </c>
      <c r="BG105" s="22">
        <f t="shared" si="14"/>
        <v>4.0000000000000002E-4</v>
      </c>
      <c r="BH105" s="22">
        <f t="shared" si="14"/>
        <v>1.9047619047619048E-4</v>
      </c>
      <c r="BI105" s="21">
        <f t="shared" si="14"/>
        <v>4.0000000000000002E-4</v>
      </c>
      <c r="BJ105" s="23">
        <f t="shared" si="14"/>
        <v>4.0000000000000002E-4</v>
      </c>
      <c r="BK105" s="23">
        <f t="shared" si="14"/>
        <v>3.3253524873636607E-5</v>
      </c>
      <c r="BL105" s="24">
        <f t="shared" si="14"/>
        <v>6.9502363080344734E-5</v>
      </c>
      <c r="BM105" s="24">
        <f t="shared" si="14"/>
        <v>4.0371417036737988E-4</v>
      </c>
      <c r="BN105" s="24">
        <f t="shared" si="14"/>
        <v>4.0000000000000002E-4</v>
      </c>
      <c r="BO105" s="24">
        <f t="shared" si="14"/>
        <v>2.0000000000000001E-4</v>
      </c>
      <c r="BP105" s="24">
        <f t="shared" si="14"/>
        <v>2.0000000000000001E-4</v>
      </c>
      <c r="BQ105" s="24">
        <f t="shared" si="14"/>
        <v>1E-4</v>
      </c>
      <c r="BR105" s="24">
        <f t="shared" si="14"/>
        <v>1.9996000799840031E-4</v>
      </c>
      <c r="BS105" s="24">
        <f t="shared" ref="BS105:BV120" si="15">BS30/BS$6</f>
        <v>0.1036</v>
      </c>
      <c r="BT105" s="24">
        <f t="shared" si="15"/>
        <v>0.1094</v>
      </c>
      <c r="BU105" s="24">
        <f t="shared" si="15"/>
        <v>8.7800000000000003E-2</v>
      </c>
      <c r="BV105" s="24">
        <f t="shared" si="15"/>
        <v>0</v>
      </c>
    </row>
    <row r="106" spans="1:74" x14ac:dyDescent="0.25">
      <c r="A106" s="16" t="s">
        <v>34</v>
      </c>
      <c r="B106" s="21">
        <f t="shared" si="8"/>
        <v>2.8274428274428275E-5</v>
      </c>
      <c r="C106" s="22">
        <f t="shared" si="8"/>
        <v>3.9532163742690055E-5</v>
      </c>
      <c r="D106" s="22">
        <f t="shared" si="8"/>
        <v>1.9512195121951219E-5</v>
      </c>
      <c r="E106" s="22">
        <f t="shared" si="8"/>
        <v>3.7305699481865282E-5</v>
      </c>
      <c r="F106" s="23"/>
      <c r="G106" s="22">
        <f t="shared" si="9"/>
        <v>6.2978723404255327E-5</v>
      </c>
      <c r="H106" s="21"/>
      <c r="I106" s="22"/>
      <c r="J106" s="22"/>
      <c r="K106" s="22"/>
      <c r="L106" s="23"/>
      <c r="M106" s="21"/>
      <c r="N106" s="22"/>
      <c r="O106" s="22"/>
      <c r="P106" s="22"/>
      <c r="Q106" s="23"/>
      <c r="R106" s="21"/>
      <c r="S106" s="22"/>
      <c r="T106" s="22"/>
      <c r="U106" s="22"/>
      <c r="V106" s="22"/>
      <c r="W106" s="24">
        <f t="shared" si="10"/>
        <v>6.368715083798883E-5</v>
      </c>
      <c r="X106" s="22"/>
      <c r="Y106" s="22"/>
      <c r="Z106" s="22"/>
      <c r="AA106" s="22"/>
      <c r="AB106" s="23"/>
      <c r="AC106" s="22"/>
      <c r="AD106" s="22"/>
      <c r="AE106" s="22"/>
      <c r="AF106" s="22"/>
      <c r="AG106" s="23"/>
      <c r="AH106" s="23">
        <f t="shared" si="11"/>
        <v>8.7671564181631298E-5</v>
      </c>
      <c r="AI106" s="21"/>
      <c r="AJ106" s="22"/>
      <c r="AK106" s="22"/>
      <c r="AL106" s="22"/>
      <c r="AM106" s="23"/>
      <c r="AN106" s="24">
        <f t="shared" si="12"/>
        <v>2.4012158054711246E-5</v>
      </c>
      <c r="AO106" s="24">
        <f t="shared" si="12"/>
        <v>2.0423892100192679E-5</v>
      </c>
      <c r="AP106" s="22" t="e">
        <f t="shared" si="12"/>
        <v>#DIV/0!</v>
      </c>
      <c r="AQ106" s="22"/>
      <c r="AR106" s="22"/>
      <c r="AS106" s="22"/>
      <c r="AT106" s="22"/>
      <c r="AU106" s="24">
        <f t="shared" si="13"/>
        <v>2.1393034825870645E-5</v>
      </c>
      <c r="AV106" s="22"/>
      <c r="AW106" s="22"/>
      <c r="AX106" s="22"/>
      <c r="AY106" s="22"/>
      <c r="AZ106" s="23"/>
      <c r="BA106" s="24">
        <f t="shared" si="14"/>
        <v>7.9327304458194503E-5</v>
      </c>
      <c r="BB106" s="22">
        <f t="shared" si="14"/>
        <v>3.6253497638578992E-5</v>
      </c>
      <c r="BC106" s="22">
        <f t="shared" si="14"/>
        <v>4.5490196078431371E-5</v>
      </c>
      <c r="BD106" s="22">
        <f t="shared" si="14"/>
        <v>3.7681159420289856E-5</v>
      </c>
      <c r="BE106" s="22">
        <f t="shared" si="14"/>
        <v>3.7558685446009389E-5</v>
      </c>
      <c r="BF106" s="21">
        <f t="shared" si="14"/>
        <v>5.0859106529209616E-5</v>
      </c>
      <c r="BG106" s="22">
        <f t="shared" si="14"/>
        <v>2.5757575757575759E-5</v>
      </c>
      <c r="BH106" s="22">
        <f t="shared" si="14"/>
        <v>1.745399354961108E-5</v>
      </c>
      <c r="BI106" s="21">
        <f t="shared" si="14"/>
        <v>2.7350427350427355E-5</v>
      </c>
      <c r="BJ106" s="23">
        <f t="shared" si="14"/>
        <v>3.7860082304526747E-5</v>
      </c>
      <c r="BK106" s="23">
        <f t="shared" si="14"/>
        <v>2.0594430735946447E-6</v>
      </c>
      <c r="BL106" s="24">
        <f t="shared" si="14"/>
        <v>2.904135567804773E-6</v>
      </c>
      <c r="BM106" s="24">
        <f t="shared" si="14"/>
        <v>1.0852531461488706E-5</v>
      </c>
      <c r="BN106" s="24">
        <f t="shared" si="14"/>
        <v>4.3916913946587537E-5</v>
      </c>
      <c r="BO106" s="24">
        <f t="shared" si="14"/>
        <v>1.3289036544850498E-6</v>
      </c>
      <c r="BP106" s="24">
        <f t="shared" si="14"/>
        <v>1.1904761904761903E-5</v>
      </c>
      <c r="BQ106" s="24">
        <f t="shared" si="14"/>
        <v>3.9932030586236196E-6</v>
      </c>
      <c r="BR106" s="24">
        <f t="shared" si="14"/>
        <v>8.98103074233238E-6</v>
      </c>
      <c r="BS106" s="24">
        <f t="shared" si="15"/>
        <v>7.9399999999999998E-2</v>
      </c>
      <c r="BT106" s="24">
        <f t="shared" si="15"/>
        <v>6.9800000000000001E-2</v>
      </c>
      <c r="BU106" s="24">
        <f t="shared" si="15"/>
        <v>8.14E-2</v>
      </c>
      <c r="BV106" s="24">
        <f t="shared" si="15"/>
        <v>0</v>
      </c>
    </row>
    <row r="107" spans="1:74" x14ac:dyDescent="0.25">
      <c r="A107" s="30" t="s">
        <v>35</v>
      </c>
      <c r="B107" s="21">
        <f t="shared" si="8"/>
        <v>0</v>
      </c>
      <c r="C107" s="22">
        <f t="shared" si="8"/>
        <v>0</v>
      </c>
      <c r="D107" s="22">
        <f t="shared" si="8"/>
        <v>0</v>
      </c>
      <c r="E107" s="22">
        <f t="shared" si="8"/>
        <v>0</v>
      </c>
      <c r="F107" s="23"/>
      <c r="G107" s="22">
        <f t="shared" si="9"/>
        <v>0</v>
      </c>
      <c r="H107" s="21"/>
      <c r="I107" s="22"/>
      <c r="J107" s="22"/>
      <c r="K107" s="22"/>
      <c r="L107" s="23"/>
      <c r="M107" s="21"/>
      <c r="N107" s="22"/>
      <c r="O107" s="22"/>
      <c r="P107" s="22"/>
      <c r="Q107" s="23"/>
      <c r="R107" s="21"/>
      <c r="S107" s="22"/>
      <c r="T107" s="22"/>
      <c r="U107" s="22"/>
      <c r="V107" s="22"/>
      <c r="W107" s="24">
        <f t="shared" si="10"/>
        <v>0</v>
      </c>
      <c r="X107" s="22"/>
      <c r="Y107" s="22"/>
      <c r="Z107" s="22"/>
      <c r="AA107" s="22"/>
      <c r="AB107" s="23"/>
      <c r="AC107" s="22"/>
      <c r="AD107" s="22"/>
      <c r="AE107" s="22"/>
      <c r="AF107" s="22"/>
      <c r="AG107" s="23"/>
      <c r="AH107" s="23">
        <f t="shared" si="11"/>
        <v>0</v>
      </c>
      <c r="AI107" s="21"/>
      <c r="AJ107" s="22"/>
      <c r="AK107" s="22"/>
      <c r="AL107" s="22"/>
      <c r="AM107" s="23"/>
      <c r="AN107" s="24">
        <f t="shared" si="12"/>
        <v>0</v>
      </c>
      <c r="AO107" s="24">
        <f t="shared" si="12"/>
        <v>0</v>
      </c>
      <c r="AP107" s="22" t="e">
        <f t="shared" si="12"/>
        <v>#DIV/0!</v>
      </c>
      <c r="AQ107" s="22"/>
      <c r="AR107" s="22"/>
      <c r="AS107" s="22"/>
      <c r="AT107" s="22"/>
      <c r="AU107" s="24">
        <f t="shared" si="13"/>
        <v>0</v>
      </c>
      <c r="AV107" s="22"/>
      <c r="AW107" s="22"/>
      <c r="AX107" s="22"/>
      <c r="AY107" s="22"/>
      <c r="AZ107" s="23"/>
      <c r="BA107" s="24">
        <f t="shared" si="14"/>
        <v>0</v>
      </c>
      <c r="BB107" s="22">
        <f t="shared" si="14"/>
        <v>0</v>
      </c>
      <c r="BC107" s="22">
        <f t="shared" si="14"/>
        <v>0</v>
      </c>
      <c r="BD107" s="22">
        <f t="shared" si="14"/>
        <v>0</v>
      </c>
      <c r="BE107" s="22">
        <f t="shared" si="14"/>
        <v>0</v>
      </c>
      <c r="BF107" s="21">
        <f t="shared" si="14"/>
        <v>0</v>
      </c>
      <c r="BG107" s="22">
        <f t="shared" si="14"/>
        <v>0</v>
      </c>
      <c r="BH107" s="22">
        <f t="shared" si="14"/>
        <v>0</v>
      </c>
      <c r="BI107" s="21">
        <f t="shared" si="14"/>
        <v>0</v>
      </c>
      <c r="BJ107" s="23">
        <f t="shared" si="14"/>
        <v>0</v>
      </c>
      <c r="BK107" s="23">
        <f t="shared" si="14"/>
        <v>0</v>
      </c>
      <c r="BL107" s="24">
        <f t="shared" si="14"/>
        <v>0</v>
      </c>
      <c r="BM107" s="24">
        <f t="shared" si="14"/>
        <v>0</v>
      </c>
      <c r="BN107" s="24">
        <f t="shared" si="14"/>
        <v>0</v>
      </c>
      <c r="BO107" s="24">
        <f t="shared" si="14"/>
        <v>0</v>
      </c>
      <c r="BP107" s="24">
        <f t="shared" si="14"/>
        <v>0</v>
      </c>
      <c r="BQ107" s="24">
        <f t="shared" si="14"/>
        <v>0</v>
      </c>
      <c r="BR107" s="24">
        <f t="shared" si="14"/>
        <v>0</v>
      </c>
      <c r="BS107" s="24">
        <f t="shared" si="15"/>
        <v>8.6E-3</v>
      </c>
      <c r="BT107" s="24">
        <f t="shared" si="15"/>
        <v>1.04E-2</v>
      </c>
      <c r="BU107" s="24">
        <f t="shared" si="15"/>
        <v>7.4000000000000003E-3</v>
      </c>
      <c r="BV107" s="24">
        <f t="shared" si="15"/>
        <v>0</v>
      </c>
    </row>
    <row r="108" spans="1:74" x14ac:dyDescent="0.25">
      <c r="A108" s="30" t="s">
        <v>36</v>
      </c>
      <c r="B108" s="21">
        <f t="shared" si="8"/>
        <v>0</v>
      </c>
      <c r="C108" s="22">
        <f t="shared" si="8"/>
        <v>0</v>
      </c>
      <c r="D108" s="22">
        <f t="shared" si="8"/>
        <v>0</v>
      </c>
      <c r="E108" s="22">
        <f t="shared" si="8"/>
        <v>0</v>
      </c>
      <c r="F108" s="23"/>
      <c r="G108" s="22">
        <f t="shared" si="9"/>
        <v>0</v>
      </c>
      <c r="H108" s="21"/>
      <c r="I108" s="22"/>
      <c r="J108" s="22"/>
      <c r="K108" s="22"/>
      <c r="L108" s="23"/>
      <c r="M108" s="21"/>
      <c r="N108" s="22"/>
      <c r="O108" s="22"/>
      <c r="P108" s="22"/>
      <c r="Q108" s="23"/>
      <c r="R108" s="21"/>
      <c r="S108" s="22"/>
      <c r="T108" s="22"/>
      <c r="U108" s="22"/>
      <c r="V108" s="22"/>
      <c r="W108" s="24">
        <f t="shared" si="10"/>
        <v>0</v>
      </c>
      <c r="X108" s="22"/>
      <c r="Y108" s="22"/>
      <c r="Z108" s="22"/>
      <c r="AA108" s="22"/>
      <c r="AB108" s="23"/>
      <c r="AC108" s="22"/>
      <c r="AD108" s="22"/>
      <c r="AE108" s="22"/>
      <c r="AF108" s="22"/>
      <c r="AG108" s="23"/>
      <c r="AH108" s="23">
        <f t="shared" si="11"/>
        <v>0</v>
      </c>
      <c r="AI108" s="21"/>
      <c r="AJ108" s="22"/>
      <c r="AK108" s="22"/>
      <c r="AL108" s="22"/>
      <c r="AM108" s="23"/>
      <c r="AN108" s="24">
        <f t="shared" si="12"/>
        <v>0</v>
      </c>
      <c r="AO108" s="24">
        <f t="shared" si="12"/>
        <v>0</v>
      </c>
      <c r="AP108" s="22" t="e">
        <f t="shared" si="12"/>
        <v>#DIV/0!</v>
      </c>
      <c r="AQ108" s="22"/>
      <c r="AR108" s="22"/>
      <c r="AS108" s="22"/>
      <c r="AT108" s="22"/>
      <c r="AU108" s="24">
        <f t="shared" si="13"/>
        <v>0</v>
      </c>
      <c r="AV108" s="22"/>
      <c r="AW108" s="22"/>
      <c r="AX108" s="22"/>
      <c r="AY108" s="22"/>
      <c r="AZ108" s="23"/>
      <c r="BA108" s="24">
        <f t="shared" si="14"/>
        <v>0</v>
      </c>
      <c r="BB108" s="22">
        <f t="shared" si="14"/>
        <v>0</v>
      </c>
      <c r="BC108" s="22">
        <f t="shared" si="14"/>
        <v>0</v>
      </c>
      <c r="BD108" s="22">
        <f t="shared" si="14"/>
        <v>0</v>
      </c>
      <c r="BE108" s="22">
        <f t="shared" si="14"/>
        <v>0</v>
      </c>
      <c r="BF108" s="21">
        <f t="shared" si="14"/>
        <v>0</v>
      </c>
      <c r="BG108" s="22">
        <f t="shared" si="14"/>
        <v>0</v>
      </c>
      <c r="BH108" s="22">
        <f t="shared" si="14"/>
        <v>0</v>
      </c>
      <c r="BI108" s="21">
        <f t="shared" si="14"/>
        <v>0</v>
      </c>
      <c r="BJ108" s="23">
        <f t="shared" si="14"/>
        <v>0</v>
      </c>
      <c r="BK108" s="23">
        <f t="shared" si="14"/>
        <v>0</v>
      </c>
      <c r="BL108" s="24">
        <f t="shared" si="14"/>
        <v>0</v>
      </c>
      <c r="BM108" s="24">
        <f t="shared" si="14"/>
        <v>0</v>
      </c>
      <c r="BN108" s="24">
        <f t="shared" si="14"/>
        <v>0</v>
      </c>
      <c r="BO108" s="24">
        <f t="shared" si="14"/>
        <v>0</v>
      </c>
      <c r="BP108" s="24">
        <f t="shared" si="14"/>
        <v>0</v>
      </c>
      <c r="BQ108" s="24">
        <f t="shared" si="14"/>
        <v>0</v>
      </c>
      <c r="BR108" s="24">
        <f t="shared" si="14"/>
        <v>0</v>
      </c>
      <c r="BS108" s="24">
        <f t="shared" si="15"/>
        <v>8.6E-3</v>
      </c>
      <c r="BT108" s="24">
        <f t="shared" si="15"/>
        <v>8.0000000000000002E-3</v>
      </c>
      <c r="BU108" s="24">
        <f t="shared" si="15"/>
        <v>1.0999999999999999E-2</v>
      </c>
      <c r="BV108" s="24">
        <f t="shared" si="15"/>
        <v>0</v>
      </c>
    </row>
    <row r="109" spans="1:74" x14ac:dyDescent="0.25">
      <c r="A109" s="30" t="s">
        <v>37</v>
      </c>
      <c r="B109" s="21">
        <f t="shared" si="8"/>
        <v>5.3780000000000001</v>
      </c>
      <c r="C109" s="22">
        <f t="shared" si="8"/>
        <v>8.0329999999999995</v>
      </c>
      <c r="D109" s="22">
        <f t="shared" si="8"/>
        <v>4.03</v>
      </c>
      <c r="E109" s="22">
        <f t="shared" si="8"/>
        <v>4.5118</v>
      </c>
      <c r="F109" s="23"/>
      <c r="G109" s="22">
        <f t="shared" si="9"/>
        <v>7.0780000000000003</v>
      </c>
      <c r="H109" s="21"/>
      <c r="I109" s="22"/>
      <c r="J109" s="22"/>
      <c r="K109" s="22"/>
      <c r="L109" s="23"/>
      <c r="M109" s="21"/>
      <c r="N109" s="22"/>
      <c r="O109" s="22"/>
      <c r="P109" s="22"/>
      <c r="Q109" s="23"/>
      <c r="R109" s="21"/>
      <c r="S109" s="22"/>
      <c r="T109" s="22"/>
      <c r="U109" s="22"/>
      <c r="V109" s="22"/>
      <c r="W109" s="24">
        <f t="shared" si="10"/>
        <v>5.9935999999999998</v>
      </c>
      <c r="X109" s="22"/>
      <c r="Y109" s="22"/>
      <c r="Z109" s="22"/>
      <c r="AA109" s="22"/>
      <c r="AB109" s="23"/>
      <c r="AC109" s="22"/>
      <c r="AD109" s="22"/>
      <c r="AE109" s="22"/>
      <c r="AF109" s="22"/>
      <c r="AG109" s="23"/>
      <c r="AH109" s="23">
        <f t="shared" si="11"/>
        <v>16.981981981981981</v>
      </c>
      <c r="AI109" s="21"/>
      <c r="AJ109" s="22"/>
      <c r="AK109" s="22"/>
      <c r="AL109" s="22"/>
      <c r="AM109" s="23"/>
      <c r="AN109" s="24">
        <f t="shared" si="12"/>
        <v>10.2964</v>
      </c>
      <c r="AO109" s="24">
        <f t="shared" si="12"/>
        <v>10.5664</v>
      </c>
      <c r="AP109" s="22" t="e">
        <f t="shared" si="12"/>
        <v>#DIV/0!</v>
      </c>
      <c r="AQ109" s="22"/>
      <c r="AR109" s="22"/>
      <c r="AS109" s="22"/>
      <c r="AT109" s="22"/>
      <c r="AU109" s="24">
        <f t="shared" si="13"/>
        <v>10.7332</v>
      </c>
      <c r="AV109" s="22"/>
      <c r="AW109" s="22"/>
      <c r="AX109" s="22"/>
      <c r="AY109" s="22"/>
      <c r="AZ109" s="23"/>
      <c r="BA109" s="24">
        <f t="shared" si="14"/>
        <v>2.7634459781056639</v>
      </c>
      <c r="BB109" s="22">
        <f t="shared" si="14"/>
        <v>8.5536139793486896</v>
      </c>
      <c r="BC109" s="22">
        <f t="shared" si="14"/>
        <v>8.3583999999999996</v>
      </c>
      <c r="BD109" s="22">
        <f t="shared" si="14"/>
        <v>8.0343999999999998</v>
      </c>
      <c r="BE109" s="22">
        <f t="shared" si="14"/>
        <v>8.2919999999999998</v>
      </c>
      <c r="BF109" s="21">
        <f t="shared" si="14"/>
        <v>8.2287999999999997</v>
      </c>
      <c r="BG109" s="22">
        <f t="shared" si="14"/>
        <v>8.2832000000000008</v>
      </c>
      <c r="BH109" s="22">
        <f t="shared" si="14"/>
        <v>8.0940952380952389</v>
      </c>
      <c r="BI109" s="21">
        <f t="shared" si="14"/>
        <v>8.9008000000000003</v>
      </c>
      <c r="BJ109" s="23">
        <f t="shared" si="14"/>
        <v>8.2528000000000006</v>
      </c>
      <c r="BK109" s="23">
        <f t="shared" si="14"/>
        <v>1.1770417664272412</v>
      </c>
      <c r="BL109" s="24">
        <f t="shared" si="14"/>
        <v>2.3791353906032806</v>
      </c>
      <c r="BM109" s="24">
        <f t="shared" si="14"/>
        <v>7.2890593459830439</v>
      </c>
      <c r="BN109" s="24">
        <f t="shared" si="14"/>
        <v>7.6559999999999997</v>
      </c>
      <c r="BO109" s="24">
        <f t="shared" si="14"/>
        <v>6.4245999999999999</v>
      </c>
      <c r="BP109" s="24">
        <f t="shared" si="14"/>
        <v>3.7696000000000001</v>
      </c>
      <c r="BQ109" s="24">
        <f t="shared" si="14"/>
        <v>7.1981000000000002</v>
      </c>
      <c r="BR109" s="24">
        <f t="shared" si="14"/>
        <v>7.2215556888622272</v>
      </c>
      <c r="BS109" s="24">
        <f t="shared" si="15"/>
        <v>8.8000000000000005E-3</v>
      </c>
      <c r="BT109" s="24">
        <f t="shared" si="15"/>
        <v>6.1999999999999998E-3</v>
      </c>
      <c r="BU109" s="24">
        <f t="shared" si="15"/>
        <v>1E-3</v>
      </c>
      <c r="BV109" s="24">
        <f t="shared" si="15"/>
        <v>0</v>
      </c>
    </row>
    <row r="110" spans="1:74" x14ac:dyDescent="0.25">
      <c r="A110" s="16" t="s">
        <v>38</v>
      </c>
      <c r="B110" s="21">
        <f t="shared" si="8"/>
        <v>10.0748</v>
      </c>
      <c r="C110" s="22">
        <f t="shared" si="8"/>
        <v>2.234</v>
      </c>
      <c r="D110" s="22">
        <f t="shared" si="8"/>
        <v>8.7683999999999997</v>
      </c>
      <c r="E110" s="22">
        <f t="shared" si="8"/>
        <v>9.2756000000000007</v>
      </c>
      <c r="F110" s="23"/>
      <c r="G110" s="22">
        <f t="shared" si="9"/>
        <v>1.3646</v>
      </c>
      <c r="H110" s="21"/>
      <c r="I110" s="22"/>
      <c r="J110" s="22"/>
      <c r="K110" s="22"/>
      <c r="L110" s="23"/>
      <c r="M110" s="21"/>
      <c r="N110" s="22"/>
      <c r="O110" s="22"/>
      <c r="P110" s="22"/>
      <c r="Q110" s="23"/>
      <c r="R110" s="21"/>
      <c r="S110" s="22"/>
      <c r="T110" s="22"/>
      <c r="U110" s="22"/>
      <c r="V110" s="22"/>
      <c r="W110" s="24">
        <f t="shared" si="10"/>
        <v>35.762599999999999</v>
      </c>
      <c r="X110" s="22"/>
      <c r="Y110" s="22"/>
      <c r="Z110" s="22"/>
      <c r="AA110" s="22"/>
      <c r="AB110" s="23"/>
      <c r="AC110" s="22"/>
      <c r="AD110" s="22"/>
      <c r="AE110" s="22"/>
      <c r="AF110" s="22"/>
      <c r="AG110" s="23"/>
      <c r="AH110" s="23">
        <f t="shared" si="11"/>
        <v>12.38978978978979</v>
      </c>
      <c r="AI110" s="21"/>
      <c r="AJ110" s="22"/>
      <c r="AK110" s="22"/>
      <c r="AL110" s="22"/>
      <c r="AM110" s="23"/>
      <c r="AN110" s="24">
        <f t="shared" si="12"/>
        <v>0.93959999999999999</v>
      </c>
      <c r="AO110" s="24">
        <f t="shared" si="12"/>
        <v>0.99719999999999998</v>
      </c>
      <c r="AP110" s="22" t="e">
        <f t="shared" si="12"/>
        <v>#DIV/0!</v>
      </c>
      <c r="AQ110" s="22"/>
      <c r="AR110" s="22"/>
      <c r="AS110" s="22"/>
      <c r="AT110" s="22"/>
      <c r="AU110" s="24">
        <f t="shared" si="13"/>
        <v>0.71360000000000001</v>
      </c>
      <c r="AV110" s="22"/>
      <c r="AW110" s="22"/>
      <c r="AX110" s="22"/>
      <c r="AY110" s="22"/>
      <c r="AZ110" s="23"/>
      <c r="BA110" s="24">
        <f t="shared" si="14"/>
        <v>1.7601142313184197</v>
      </c>
      <c r="BB110" s="22">
        <f t="shared" si="14"/>
        <v>1.3856235107227959</v>
      </c>
      <c r="BC110" s="22">
        <f t="shared" si="14"/>
        <v>13.3032</v>
      </c>
      <c r="BD110" s="22">
        <f t="shared" si="14"/>
        <v>3.8755999999999999</v>
      </c>
      <c r="BE110" s="22">
        <f t="shared" si="14"/>
        <v>13.035600000000001</v>
      </c>
      <c r="BF110" s="21">
        <f t="shared" si="14"/>
        <v>1.3512</v>
      </c>
      <c r="BG110" s="22">
        <f t="shared" si="14"/>
        <v>1.0791999999999999</v>
      </c>
      <c r="BH110" s="22">
        <f t="shared" si="14"/>
        <v>1.8455238095238096</v>
      </c>
      <c r="BI110" s="21">
        <f t="shared" si="14"/>
        <v>1.8384</v>
      </c>
      <c r="BJ110" s="23">
        <f t="shared" si="14"/>
        <v>1.6684000000000001</v>
      </c>
      <c r="BK110" s="23">
        <f t="shared" si="14"/>
        <v>1.0098430433625964</v>
      </c>
      <c r="BL110" s="24">
        <f t="shared" si="14"/>
        <v>2.3038643313872673</v>
      </c>
      <c r="BM110" s="24">
        <f t="shared" si="14"/>
        <v>1.396447315300767</v>
      </c>
      <c r="BN110" s="24">
        <f t="shared" si="14"/>
        <v>1.3592</v>
      </c>
      <c r="BO110" s="24">
        <f t="shared" si="14"/>
        <v>0.6472</v>
      </c>
      <c r="BP110" s="24">
        <f t="shared" si="14"/>
        <v>0.625</v>
      </c>
      <c r="BQ110" s="24">
        <f t="shared" si="14"/>
        <v>0.24579999999999999</v>
      </c>
      <c r="BR110" s="24">
        <f t="shared" si="14"/>
        <v>0.49190161967606477</v>
      </c>
      <c r="BS110" s="24">
        <f t="shared" si="15"/>
        <v>0.09</v>
      </c>
      <c r="BT110" s="24">
        <f t="shared" si="15"/>
        <v>7.4399999999999994E-2</v>
      </c>
      <c r="BU110" s="24">
        <f t="shared" si="15"/>
        <v>4.6199999999999998E-2</v>
      </c>
      <c r="BV110" s="24">
        <f t="shared" si="15"/>
        <v>0</v>
      </c>
    </row>
    <row r="111" spans="1:74" x14ac:dyDescent="0.25">
      <c r="A111" s="16" t="s">
        <v>39</v>
      </c>
      <c r="B111" s="21">
        <f t="shared" si="8"/>
        <v>1.0756000000000001E-3</v>
      </c>
      <c r="C111" s="22">
        <f t="shared" si="8"/>
        <v>1.6065999999999999E-3</v>
      </c>
      <c r="D111" s="22">
        <f t="shared" si="8"/>
        <v>8.0600000000000008E-4</v>
      </c>
      <c r="E111" s="22">
        <f t="shared" si="8"/>
        <v>9.0236000000000005E-4</v>
      </c>
      <c r="F111" s="23"/>
      <c r="G111" s="22">
        <f t="shared" si="9"/>
        <v>1.4156000000000001E-3</v>
      </c>
      <c r="H111" s="21"/>
      <c r="I111" s="22"/>
      <c r="J111" s="22"/>
      <c r="K111" s="22"/>
      <c r="L111" s="23"/>
      <c r="M111" s="21"/>
      <c r="N111" s="22"/>
      <c r="O111" s="22"/>
      <c r="P111" s="22"/>
      <c r="Q111" s="23"/>
      <c r="R111" s="21"/>
      <c r="S111" s="22"/>
      <c r="T111" s="22"/>
      <c r="U111" s="22"/>
      <c r="V111" s="22"/>
      <c r="W111" s="24">
        <f t="shared" si="10"/>
        <v>1.1987199999999999E-3</v>
      </c>
      <c r="X111" s="22"/>
      <c r="Y111" s="22"/>
      <c r="Z111" s="22"/>
      <c r="AA111" s="22"/>
      <c r="AB111" s="23"/>
      <c r="AC111" s="22"/>
      <c r="AD111" s="22"/>
      <c r="AE111" s="22"/>
      <c r="AF111" s="22"/>
      <c r="AG111" s="23"/>
      <c r="AH111" s="23">
        <f t="shared" si="11"/>
        <v>5.099694288883478E-3</v>
      </c>
      <c r="AI111" s="21"/>
      <c r="AJ111" s="22"/>
      <c r="AK111" s="22"/>
      <c r="AL111" s="22"/>
      <c r="AM111" s="23"/>
      <c r="AN111" s="24">
        <f t="shared" si="12"/>
        <v>2.0592800000000001E-3</v>
      </c>
      <c r="AO111" s="24">
        <f t="shared" si="12"/>
        <v>2.1132799999999999E-3</v>
      </c>
      <c r="AP111" s="22" t="e">
        <f t="shared" si="12"/>
        <v>#DIV/0!</v>
      </c>
      <c r="AQ111" s="22"/>
      <c r="AR111" s="22"/>
      <c r="AS111" s="22"/>
      <c r="AT111" s="22"/>
      <c r="AU111" s="24">
        <f t="shared" si="13"/>
        <v>2.14664E-3</v>
      </c>
      <c r="AV111" s="22"/>
      <c r="AW111" s="22"/>
      <c r="AX111" s="22"/>
      <c r="AY111" s="22"/>
      <c r="AZ111" s="23"/>
      <c r="BA111" s="24">
        <f t="shared" si="14"/>
        <v>1.3153003227537668E-3</v>
      </c>
      <c r="BB111" s="22">
        <f t="shared" si="14"/>
        <v>3.3969872832997181E-3</v>
      </c>
      <c r="BC111" s="22">
        <f t="shared" si="14"/>
        <v>3.3433599999999996E-3</v>
      </c>
      <c r="BD111" s="22">
        <f t="shared" si="14"/>
        <v>3.21376E-3</v>
      </c>
      <c r="BE111" s="22">
        <f t="shared" si="14"/>
        <v>3.3168E-3</v>
      </c>
      <c r="BF111" s="21">
        <f t="shared" si="14"/>
        <v>3.29152E-3</v>
      </c>
      <c r="BG111" s="22">
        <f t="shared" si="14"/>
        <v>3.3132800000000005E-3</v>
      </c>
      <c r="BH111" s="22">
        <f t="shared" si="14"/>
        <v>1.5417324263038549E-3</v>
      </c>
      <c r="BI111" s="21">
        <f t="shared" si="14"/>
        <v>3.5603200000000001E-3</v>
      </c>
      <c r="BJ111" s="23">
        <f t="shared" si="14"/>
        <v>3.3011200000000003E-3</v>
      </c>
      <c r="BK111" s="23">
        <f t="shared" si="14"/>
        <v>3.9140787657197435E-5</v>
      </c>
      <c r="BL111" s="24">
        <f t="shared" si="14"/>
        <v>1.65355531735007E-4</v>
      </c>
      <c r="BM111" s="24">
        <f t="shared" si="14"/>
        <v>2.9426965466221411E-3</v>
      </c>
      <c r="BN111" s="24">
        <f t="shared" si="14"/>
        <v>3.0623999999999998E-3</v>
      </c>
      <c r="BO111" s="24">
        <f t="shared" si="14"/>
        <v>1.2849199999999999E-3</v>
      </c>
      <c r="BP111" s="24">
        <f t="shared" si="14"/>
        <v>7.5392000000000005E-4</v>
      </c>
      <c r="BQ111" s="24">
        <f t="shared" si="14"/>
        <v>7.1980999999999998E-4</v>
      </c>
      <c r="BR111" s="24">
        <f t="shared" si="14"/>
        <v>1.4440223333057843E-3</v>
      </c>
      <c r="BS111" s="24">
        <f t="shared" si="15"/>
        <v>2.8E-3</v>
      </c>
      <c r="BT111" s="24">
        <f t="shared" si="15"/>
        <v>1.4E-3</v>
      </c>
      <c r="BU111" s="24">
        <f t="shared" si="15"/>
        <v>1E-3</v>
      </c>
      <c r="BV111" s="24">
        <f t="shared" si="15"/>
        <v>0</v>
      </c>
    </row>
    <row r="112" spans="1:74" x14ac:dyDescent="0.25">
      <c r="A112" s="30" t="s">
        <v>40</v>
      </c>
      <c r="B112" s="21">
        <f t="shared" si="8"/>
        <v>2.7199999999999998E-2</v>
      </c>
      <c r="C112" s="22">
        <f t="shared" si="8"/>
        <v>2.7199999999999998E-2</v>
      </c>
      <c r="D112" s="22">
        <f t="shared" si="8"/>
        <v>2.7199999999999998E-2</v>
      </c>
      <c r="E112" s="22">
        <f t="shared" si="8"/>
        <v>2.7199999999999998E-2</v>
      </c>
      <c r="F112" s="23"/>
      <c r="G112" s="22">
        <f t="shared" si="9"/>
        <v>2.7199999999999998E-2</v>
      </c>
      <c r="H112" s="21"/>
      <c r="I112" s="22"/>
      <c r="J112" s="22"/>
      <c r="K112" s="22"/>
      <c r="L112" s="23"/>
      <c r="M112" s="21"/>
      <c r="N112" s="22"/>
      <c r="O112" s="22"/>
      <c r="P112" s="22"/>
      <c r="Q112" s="23"/>
      <c r="R112" s="21"/>
      <c r="S112" s="22"/>
      <c r="T112" s="22"/>
      <c r="U112" s="22"/>
      <c r="V112" s="22"/>
      <c r="W112" s="24">
        <f t="shared" si="10"/>
        <v>2.7199999999999998E-2</v>
      </c>
      <c r="X112" s="22"/>
      <c r="Y112" s="22"/>
      <c r="Z112" s="22"/>
      <c r="AA112" s="22"/>
      <c r="AB112" s="23"/>
      <c r="AC112" s="22"/>
      <c r="AD112" s="22"/>
      <c r="AE112" s="22"/>
      <c r="AF112" s="22"/>
      <c r="AG112" s="23"/>
      <c r="AH112" s="23">
        <f t="shared" si="11"/>
        <v>4.0840840840840838E-2</v>
      </c>
      <c r="AI112" s="21"/>
      <c r="AJ112" s="22"/>
      <c r="AK112" s="22"/>
      <c r="AL112" s="22"/>
      <c r="AM112" s="23"/>
      <c r="AN112" s="24">
        <f t="shared" si="12"/>
        <v>8.0000000000000004E-4</v>
      </c>
      <c r="AO112" s="24">
        <f t="shared" si="12"/>
        <v>8.0000000000000004E-4</v>
      </c>
      <c r="AP112" s="22" t="e">
        <f t="shared" si="12"/>
        <v>#DIV/0!</v>
      </c>
      <c r="AQ112" s="22"/>
      <c r="AR112" s="22"/>
      <c r="AS112" s="22"/>
      <c r="AT112" s="22"/>
      <c r="AU112" s="24">
        <f t="shared" si="13"/>
        <v>8.0000000000000004E-4</v>
      </c>
      <c r="AV112" s="22"/>
      <c r="AW112" s="22"/>
      <c r="AX112" s="22"/>
      <c r="AY112" s="22"/>
      <c r="AZ112" s="23"/>
      <c r="BA112" s="24">
        <f t="shared" si="14"/>
        <v>1.9038553069966682E-3</v>
      </c>
      <c r="BB112" s="22">
        <f t="shared" si="14"/>
        <v>1.5885623510722795E-3</v>
      </c>
      <c r="BC112" s="22">
        <f t="shared" si="14"/>
        <v>1.6000000000000001E-3</v>
      </c>
      <c r="BD112" s="22">
        <f t="shared" si="14"/>
        <v>1.6000000000000001E-3</v>
      </c>
      <c r="BE112" s="22">
        <f t="shared" si="14"/>
        <v>1.6000000000000001E-3</v>
      </c>
      <c r="BF112" s="21">
        <f t="shared" si="14"/>
        <v>1.6000000000000001E-3</v>
      </c>
      <c r="BG112" s="22">
        <f t="shared" si="14"/>
        <v>1.6000000000000001E-3</v>
      </c>
      <c r="BH112" s="22">
        <f t="shared" si="14"/>
        <v>7.6190476190476193E-4</v>
      </c>
      <c r="BI112" s="21">
        <f t="shared" si="14"/>
        <v>1.6000000000000001E-3</v>
      </c>
      <c r="BJ112" s="23">
        <f t="shared" si="14"/>
        <v>1.6000000000000001E-3</v>
      </c>
      <c r="BK112" s="23">
        <f t="shared" si="14"/>
        <v>0</v>
      </c>
      <c r="BL112" s="24">
        <f t="shared" si="14"/>
        <v>0</v>
      </c>
      <c r="BM112" s="24">
        <f t="shared" si="14"/>
        <v>1.6148566814695195E-3</v>
      </c>
      <c r="BN112" s="24">
        <f t="shared" si="14"/>
        <v>1.6000000000000001E-3</v>
      </c>
      <c r="BO112" s="24">
        <f t="shared" si="14"/>
        <v>8.0000000000000004E-4</v>
      </c>
      <c r="BP112" s="24">
        <f t="shared" si="14"/>
        <v>8.0000000000000004E-4</v>
      </c>
      <c r="BQ112" s="24">
        <f t="shared" si="14"/>
        <v>4.0000000000000002E-4</v>
      </c>
      <c r="BR112" s="24">
        <f t="shared" si="14"/>
        <v>7.9984003199360125E-4</v>
      </c>
      <c r="BS112" s="24">
        <f t="shared" si="15"/>
        <v>0</v>
      </c>
      <c r="BT112" s="24">
        <f t="shared" si="15"/>
        <v>0</v>
      </c>
      <c r="BU112" s="24">
        <f t="shared" si="15"/>
        <v>0</v>
      </c>
      <c r="BV112" s="24">
        <f t="shared" si="15"/>
        <v>0</v>
      </c>
    </row>
    <row r="113" spans="1:74" x14ac:dyDescent="0.25">
      <c r="A113" s="30" t="s">
        <v>41</v>
      </c>
      <c r="B113" s="21">
        <f t="shared" si="8"/>
        <v>1E-3</v>
      </c>
      <c r="C113" s="22">
        <f t="shared" si="8"/>
        <v>1E-3</v>
      </c>
      <c r="D113" s="22">
        <f t="shared" si="8"/>
        <v>1E-3</v>
      </c>
      <c r="E113" s="22">
        <f t="shared" si="8"/>
        <v>1E-3</v>
      </c>
      <c r="F113" s="23"/>
      <c r="G113" s="22">
        <f t="shared" si="9"/>
        <v>1E-3</v>
      </c>
      <c r="H113" s="21"/>
      <c r="I113" s="22"/>
      <c r="J113" s="22"/>
      <c r="K113" s="22"/>
      <c r="L113" s="23"/>
      <c r="M113" s="21"/>
      <c r="N113" s="22"/>
      <c r="O113" s="22"/>
      <c r="P113" s="22"/>
      <c r="Q113" s="23"/>
      <c r="R113" s="21"/>
      <c r="S113" s="22"/>
      <c r="T113" s="22"/>
      <c r="U113" s="22"/>
      <c r="V113" s="22"/>
      <c r="W113" s="24">
        <f t="shared" si="10"/>
        <v>1E-3</v>
      </c>
      <c r="X113" s="22"/>
      <c r="Y113" s="22"/>
      <c r="Z113" s="22"/>
      <c r="AA113" s="22"/>
      <c r="AB113" s="23"/>
      <c r="AC113" s="22"/>
      <c r="AD113" s="22"/>
      <c r="AE113" s="22"/>
      <c r="AF113" s="22"/>
      <c r="AG113" s="23"/>
      <c r="AH113" s="23">
        <f t="shared" si="11"/>
        <v>1.5015015015015015E-3</v>
      </c>
      <c r="AI113" s="21"/>
      <c r="AJ113" s="22"/>
      <c r="AK113" s="22"/>
      <c r="AL113" s="22"/>
      <c r="AM113" s="23"/>
      <c r="AN113" s="24">
        <f t="shared" si="12"/>
        <v>1E-3</v>
      </c>
      <c r="AO113" s="24">
        <f t="shared" si="12"/>
        <v>1E-3</v>
      </c>
      <c r="AP113" s="22" t="e">
        <f t="shared" si="12"/>
        <v>#DIV/0!</v>
      </c>
      <c r="AQ113" s="22"/>
      <c r="AR113" s="22"/>
      <c r="AS113" s="22"/>
      <c r="AT113" s="22"/>
      <c r="AU113" s="24">
        <f t="shared" si="13"/>
        <v>1E-3</v>
      </c>
      <c r="AV113" s="22"/>
      <c r="AW113" s="22"/>
      <c r="AX113" s="22"/>
      <c r="AY113" s="22"/>
      <c r="AZ113" s="23"/>
      <c r="BA113" s="24">
        <f t="shared" si="14"/>
        <v>2.3798191337458352E-3</v>
      </c>
      <c r="BB113" s="22">
        <f t="shared" si="14"/>
        <v>1.9857029388403494E-3</v>
      </c>
      <c r="BC113" s="22">
        <f t="shared" si="14"/>
        <v>2E-3</v>
      </c>
      <c r="BD113" s="22">
        <f t="shared" si="14"/>
        <v>2E-3</v>
      </c>
      <c r="BE113" s="22">
        <f t="shared" si="14"/>
        <v>2E-3</v>
      </c>
      <c r="BF113" s="21">
        <f t="shared" si="14"/>
        <v>2E-3</v>
      </c>
      <c r="BG113" s="22">
        <f t="shared" si="14"/>
        <v>2E-3</v>
      </c>
      <c r="BH113" s="22">
        <f t="shared" si="14"/>
        <v>9.5238095238095238E-4</v>
      </c>
      <c r="BI113" s="21">
        <f t="shared" si="14"/>
        <v>2E-3</v>
      </c>
      <c r="BJ113" s="23">
        <f t="shared" si="14"/>
        <v>2E-3</v>
      </c>
      <c r="BK113" s="23">
        <f t="shared" si="14"/>
        <v>0</v>
      </c>
      <c r="BL113" s="24">
        <f t="shared" si="14"/>
        <v>0</v>
      </c>
      <c r="BM113" s="24">
        <f t="shared" si="14"/>
        <v>2.0185708518368995E-3</v>
      </c>
      <c r="BN113" s="24">
        <f t="shared" si="14"/>
        <v>2E-3</v>
      </c>
      <c r="BO113" s="24">
        <f t="shared" si="14"/>
        <v>1E-3</v>
      </c>
      <c r="BP113" s="24">
        <f t="shared" si="14"/>
        <v>1E-3</v>
      </c>
      <c r="BQ113" s="24">
        <f t="shared" si="14"/>
        <v>5.0000000000000001E-4</v>
      </c>
      <c r="BR113" s="24">
        <f t="shared" si="14"/>
        <v>9.9980003999200159E-4</v>
      </c>
      <c r="BS113" s="24">
        <f t="shared" si="15"/>
        <v>4.0000000000000002E-4</v>
      </c>
      <c r="BT113" s="24">
        <f t="shared" si="15"/>
        <v>5.9999999999999995E-4</v>
      </c>
      <c r="BU113" s="24">
        <f t="shared" si="15"/>
        <v>4.0000000000000002E-4</v>
      </c>
      <c r="BV113" s="24">
        <f t="shared" si="15"/>
        <v>0</v>
      </c>
    </row>
    <row r="114" spans="1:74" x14ac:dyDescent="0.25">
      <c r="A114" s="30" t="s">
        <v>42</v>
      </c>
      <c r="B114" s="21">
        <f t="shared" si="8"/>
        <v>0</v>
      </c>
      <c r="C114" s="22">
        <f t="shared" si="8"/>
        <v>0</v>
      </c>
      <c r="D114" s="22">
        <f t="shared" si="8"/>
        <v>0</v>
      </c>
      <c r="E114" s="22">
        <f t="shared" si="8"/>
        <v>0</v>
      </c>
      <c r="F114" s="23"/>
      <c r="G114" s="22">
        <f t="shared" si="9"/>
        <v>0</v>
      </c>
      <c r="H114" s="21"/>
      <c r="I114" s="22"/>
      <c r="J114" s="22"/>
      <c r="K114" s="22"/>
      <c r="L114" s="23"/>
      <c r="M114" s="21"/>
      <c r="N114" s="22"/>
      <c r="O114" s="22"/>
      <c r="P114" s="22"/>
      <c r="Q114" s="23"/>
      <c r="R114" s="21"/>
      <c r="S114" s="22"/>
      <c r="T114" s="22"/>
      <c r="U114" s="22"/>
      <c r="V114" s="22"/>
      <c r="W114" s="24">
        <f t="shared" si="10"/>
        <v>0</v>
      </c>
      <c r="X114" s="22"/>
      <c r="Y114" s="22"/>
      <c r="Z114" s="22"/>
      <c r="AA114" s="22"/>
      <c r="AB114" s="23"/>
      <c r="AC114" s="22"/>
      <c r="AD114" s="22"/>
      <c r="AE114" s="22"/>
      <c r="AF114" s="22"/>
      <c r="AG114" s="23"/>
      <c r="AH114" s="23">
        <f t="shared" si="11"/>
        <v>0</v>
      </c>
      <c r="AI114" s="21"/>
      <c r="AJ114" s="22"/>
      <c r="AK114" s="22"/>
      <c r="AL114" s="22"/>
      <c r="AM114" s="23"/>
      <c r="AN114" s="24">
        <f t="shared" si="12"/>
        <v>0</v>
      </c>
      <c r="AO114" s="24">
        <f t="shared" si="12"/>
        <v>0</v>
      </c>
      <c r="AP114" s="22" t="e">
        <f t="shared" si="12"/>
        <v>#DIV/0!</v>
      </c>
      <c r="AQ114" s="22"/>
      <c r="AR114" s="22"/>
      <c r="AS114" s="22"/>
      <c r="AT114" s="22"/>
      <c r="AU114" s="24">
        <f t="shared" si="13"/>
        <v>0</v>
      </c>
      <c r="AV114" s="22"/>
      <c r="AW114" s="22"/>
      <c r="AX114" s="22"/>
      <c r="AY114" s="22"/>
      <c r="AZ114" s="23"/>
      <c r="BA114" s="24">
        <f t="shared" si="14"/>
        <v>0</v>
      </c>
      <c r="BB114" s="22">
        <f t="shared" si="14"/>
        <v>0</v>
      </c>
      <c r="BC114" s="22">
        <f t="shared" si="14"/>
        <v>0</v>
      </c>
      <c r="BD114" s="22">
        <f t="shared" si="14"/>
        <v>0</v>
      </c>
      <c r="BE114" s="22">
        <f t="shared" si="14"/>
        <v>0</v>
      </c>
      <c r="BF114" s="21">
        <f t="shared" si="14"/>
        <v>0</v>
      </c>
      <c r="BG114" s="22">
        <f t="shared" si="14"/>
        <v>0</v>
      </c>
      <c r="BH114" s="22">
        <f t="shared" si="14"/>
        <v>0</v>
      </c>
      <c r="BI114" s="21">
        <f t="shared" si="14"/>
        <v>0</v>
      </c>
      <c r="BJ114" s="23">
        <f t="shared" si="14"/>
        <v>0</v>
      </c>
      <c r="BK114" s="23">
        <f t="shared" si="14"/>
        <v>0</v>
      </c>
      <c r="BL114" s="24">
        <f t="shared" si="14"/>
        <v>0</v>
      </c>
      <c r="BM114" s="24">
        <f t="shared" si="14"/>
        <v>0</v>
      </c>
      <c r="BN114" s="24">
        <f t="shared" si="14"/>
        <v>0</v>
      </c>
      <c r="BO114" s="24">
        <f t="shared" si="14"/>
        <v>0</v>
      </c>
      <c r="BP114" s="24">
        <f t="shared" si="14"/>
        <v>0</v>
      </c>
      <c r="BQ114" s="24">
        <f t="shared" si="14"/>
        <v>0</v>
      </c>
      <c r="BR114" s="24">
        <f t="shared" si="14"/>
        <v>0</v>
      </c>
      <c r="BS114" s="24">
        <f t="shared" si="15"/>
        <v>8.0000000000000004E-4</v>
      </c>
      <c r="BT114" s="24">
        <f t="shared" si="15"/>
        <v>1E-3</v>
      </c>
      <c r="BU114" s="24">
        <f t="shared" si="15"/>
        <v>0</v>
      </c>
      <c r="BV114" s="24">
        <f t="shared" si="15"/>
        <v>0</v>
      </c>
    </row>
    <row r="115" spans="1:74" x14ac:dyDescent="0.25">
      <c r="A115" s="16" t="s">
        <v>43</v>
      </c>
      <c r="B115" s="21">
        <f t="shared" si="8"/>
        <v>0</v>
      </c>
      <c r="C115" s="22">
        <f t="shared" si="8"/>
        <v>0</v>
      </c>
      <c r="D115" s="22">
        <f t="shared" si="8"/>
        <v>0</v>
      </c>
      <c r="E115" s="22">
        <f t="shared" si="8"/>
        <v>0</v>
      </c>
      <c r="F115" s="23"/>
      <c r="G115" s="22">
        <f t="shared" si="9"/>
        <v>0</v>
      </c>
      <c r="H115" s="21"/>
      <c r="I115" s="22"/>
      <c r="J115" s="22"/>
      <c r="K115" s="22"/>
      <c r="L115" s="23"/>
      <c r="M115" s="21"/>
      <c r="N115" s="22"/>
      <c r="O115" s="22"/>
      <c r="P115" s="22"/>
      <c r="Q115" s="23"/>
      <c r="R115" s="21"/>
      <c r="S115" s="22"/>
      <c r="T115" s="22"/>
      <c r="U115" s="22"/>
      <c r="V115" s="22"/>
      <c r="W115" s="24">
        <f t="shared" si="10"/>
        <v>0</v>
      </c>
      <c r="X115" s="22"/>
      <c r="Y115" s="22"/>
      <c r="Z115" s="22"/>
      <c r="AA115" s="22"/>
      <c r="AB115" s="23"/>
      <c r="AC115" s="22"/>
      <c r="AD115" s="22"/>
      <c r="AE115" s="22"/>
      <c r="AF115" s="22"/>
      <c r="AG115" s="23"/>
      <c r="AH115" s="23">
        <f t="shared" si="11"/>
        <v>0</v>
      </c>
      <c r="AI115" s="21"/>
      <c r="AJ115" s="22"/>
      <c r="AK115" s="22"/>
      <c r="AL115" s="22"/>
      <c r="AM115" s="23"/>
      <c r="AN115" s="24">
        <f t="shared" si="12"/>
        <v>0</v>
      </c>
      <c r="AO115" s="24">
        <f t="shared" si="12"/>
        <v>0</v>
      </c>
      <c r="AP115" s="22" t="e">
        <f t="shared" si="12"/>
        <v>#DIV/0!</v>
      </c>
      <c r="AQ115" s="22"/>
      <c r="AR115" s="22"/>
      <c r="AS115" s="22"/>
      <c r="AT115" s="22"/>
      <c r="AU115" s="24">
        <f t="shared" si="13"/>
        <v>0</v>
      </c>
      <c r="AV115" s="22"/>
      <c r="AW115" s="22"/>
      <c r="AX115" s="22"/>
      <c r="AY115" s="22"/>
      <c r="AZ115" s="23"/>
      <c r="BA115" s="24">
        <f t="shared" si="14"/>
        <v>0</v>
      </c>
      <c r="BB115" s="22">
        <f t="shared" si="14"/>
        <v>0</v>
      </c>
      <c r="BC115" s="22">
        <f t="shared" si="14"/>
        <v>0</v>
      </c>
      <c r="BD115" s="22">
        <f t="shared" si="14"/>
        <v>0</v>
      </c>
      <c r="BE115" s="22">
        <f t="shared" si="14"/>
        <v>0</v>
      </c>
      <c r="BF115" s="21">
        <f t="shared" si="14"/>
        <v>0</v>
      </c>
      <c r="BG115" s="22">
        <f t="shared" si="14"/>
        <v>0</v>
      </c>
      <c r="BH115" s="22">
        <f t="shared" si="14"/>
        <v>0</v>
      </c>
      <c r="BI115" s="21">
        <f t="shared" si="14"/>
        <v>0</v>
      </c>
      <c r="BJ115" s="23">
        <f t="shared" si="14"/>
        <v>0</v>
      </c>
      <c r="BK115" s="23">
        <f t="shared" si="14"/>
        <v>0</v>
      </c>
      <c r="BL115" s="24">
        <f t="shared" si="14"/>
        <v>0</v>
      </c>
      <c r="BM115" s="24">
        <f t="shared" si="14"/>
        <v>0</v>
      </c>
      <c r="BN115" s="24">
        <f t="shared" si="14"/>
        <v>0</v>
      </c>
      <c r="BO115" s="24">
        <f t="shared" si="14"/>
        <v>0</v>
      </c>
      <c r="BP115" s="24">
        <f t="shared" si="14"/>
        <v>0</v>
      </c>
      <c r="BQ115" s="24">
        <f t="shared" si="14"/>
        <v>0</v>
      </c>
      <c r="BR115" s="24">
        <f t="shared" si="14"/>
        <v>0</v>
      </c>
      <c r="BS115" s="24">
        <f t="shared" si="15"/>
        <v>2.5999999999999999E-3</v>
      </c>
      <c r="BT115" s="24">
        <f t="shared" si="15"/>
        <v>3.5999999999999999E-3</v>
      </c>
      <c r="BU115" s="24">
        <f t="shared" si="15"/>
        <v>2E-3</v>
      </c>
      <c r="BV115" s="24">
        <f t="shared" si="15"/>
        <v>0</v>
      </c>
    </row>
    <row r="116" spans="1:74" x14ac:dyDescent="0.25">
      <c r="A116" s="30" t="s">
        <v>44</v>
      </c>
      <c r="B116" s="21">
        <f t="shared" si="8"/>
        <v>4.4999999999999998E-2</v>
      </c>
      <c r="C116" s="22">
        <f t="shared" si="8"/>
        <v>1.72E-2</v>
      </c>
      <c r="D116" s="22">
        <f t="shared" si="8"/>
        <v>5.4000000000000003E-3</v>
      </c>
      <c r="E116" s="22">
        <f t="shared" si="8"/>
        <v>3.6200000000000003E-2</v>
      </c>
      <c r="F116" s="23"/>
      <c r="G116" s="22">
        <f t="shared" si="9"/>
        <v>6.2600000000000003E-2</v>
      </c>
      <c r="H116" s="21"/>
      <c r="I116" s="22"/>
      <c r="J116" s="22"/>
      <c r="K116" s="22"/>
      <c r="L116" s="23"/>
      <c r="M116" s="21"/>
      <c r="N116" s="22"/>
      <c r="O116" s="22"/>
      <c r="P116" s="22"/>
      <c r="Q116" s="23"/>
      <c r="R116" s="21"/>
      <c r="S116" s="22"/>
      <c r="T116" s="22"/>
      <c r="U116" s="22"/>
      <c r="V116" s="22"/>
      <c r="W116" s="24">
        <f t="shared" si="10"/>
        <v>6.6799999999999998E-2</v>
      </c>
      <c r="X116" s="22"/>
      <c r="Y116" s="22"/>
      <c r="Z116" s="22"/>
      <c r="AA116" s="22"/>
      <c r="AB116" s="23"/>
      <c r="AC116" s="22"/>
      <c r="AD116" s="22"/>
      <c r="AE116" s="22"/>
      <c r="AF116" s="22"/>
      <c r="AG116" s="23"/>
      <c r="AH116" s="23">
        <f t="shared" si="11"/>
        <v>3.3633633633633635E-2</v>
      </c>
      <c r="AI116" s="21"/>
      <c r="AJ116" s="22"/>
      <c r="AK116" s="22"/>
      <c r="AL116" s="22"/>
      <c r="AM116" s="23"/>
      <c r="AN116" s="24">
        <f t="shared" si="12"/>
        <v>8.1600000000000006E-2</v>
      </c>
      <c r="AO116" s="24">
        <f t="shared" si="12"/>
        <v>7.6799999999999993E-2</v>
      </c>
      <c r="AP116" s="22" t="e">
        <f t="shared" si="12"/>
        <v>#DIV/0!</v>
      </c>
      <c r="AQ116" s="22"/>
      <c r="AR116" s="22"/>
      <c r="AS116" s="22"/>
      <c r="AT116" s="22"/>
      <c r="AU116" s="24">
        <f t="shared" si="13"/>
        <v>7.5800000000000006E-2</v>
      </c>
      <c r="AV116" s="22"/>
      <c r="AW116" s="22"/>
      <c r="AX116" s="22"/>
      <c r="AY116" s="22"/>
      <c r="AZ116" s="23"/>
      <c r="BA116" s="24">
        <f t="shared" si="14"/>
        <v>0.10042836744407425</v>
      </c>
      <c r="BB116" s="22">
        <f t="shared" si="14"/>
        <v>8.061953931691819E-2</v>
      </c>
      <c r="BC116" s="22">
        <f t="shared" si="14"/>
        <v>7.8399999999999997E-2</v>
      </c>
      <c r="BD116" s="22">
        <f t="shared" si="14"/>
        <v>7.5600000000000001E-2</v>
      </c>
      <c r="BE116" s="22">
        <f t="shared" si="14"/>
        <v>6.9199999999999998E-2</v>
      </c>
      <c r="BF116" s="21">
        <f t="shared" si="14"/>
        <v>9.4E-2</v>
      </c>
      <c r="BG116" s="22">
        <f t="shared" si="14"/>
        <v>7.0000000000000007E-2</v>
      </c>
      <c r="BH116" s="22">
        <f t="shared" si="14"/>
        <v>8.1714285714285712E-2</v>
      </c>
      <c r="BI116" s="21">
        <f t="shared" si="14"/>
        <v>6.6799999999999998E-2</v>
      </c>
      <c r="BJ116" s="23">
        <f t="shared" si="14"/>
        <v>8.2400000000000001E-2</v>
      </c>
      <c r="BK116" s="23">
        <f t="shared" si="14"/>
        <v>9.3774940143655228E-2</v>
      </c>
      <c r="BL116" s="24">
        <f t="shared" si="14"/>
        <v>1.688907422852377E-2</v>
      </c>
      <c r="BM116" s="24">
        <f t="shared" si="14"/>
        <v>4.1986273718207512E-2</v>
      </c>
      <c r="BN116" s="24">
        <f t="shared" si="14"/>
        <v>7.5200000000000003E-2</v>
      </c>
      <c r="BO116" s="24">
        <f t="shared" si="14"/>
        <v>8.2400000000000001E-2</v>
      </c>
      <c r="BP116" s="24">
        <f t="shared" si="14"/>
        <v>6.9000000000000006E-2</v>
      </c>
      <c r="BQ116" s="24">
        <f t="shared" si="14"/>
        <v>4.87E-2</v>
      </c>
      <c r="BR116" s="24">
        <f t="shared" si="14"/>
        <v>6.7986402719456107E-2</v>
      </c>
      <c r="BS116" s="24">
        <f t="shared" si="15"/>
        <v>6.2399999999999997E-2</v>
      </c>
      <c r="BT116" s="24">
        <f t="shared" si="15"/>
        <v>4.7199999999999999E-2</v>
      </c>
      <c r="BU116" s="24">
        <f t="shared" si="15"/>
        <v>5.0599999999999999E-2</v>
      </c>
      <c r="BV116" s="24">
        <f t="shared" si="15"/>
        <v>0</v>
      </c>
    </row>
    <row r="117" spans="1:74" x14ac:dyDescent="0.25">
      <c r="A117" s="16" t="s">
        <v>45</v>
      </c>
      <c r="B117" s="21">
        <f t="shared" si="8"/>
        <v>0.37880000000000003</v>
      </c>
      <c r="C117" s="22">
        <f t="shared" si="8"/>
        <v>0.314</v>
      </c>
      <c r="D117" s="22">
        <f t="shared" si="8"/>
        <v>0.70660000000000001</v>
      </c>
      <c r="E117" s="22">
        <f t="shared" si="8"/>
        <v>0.6018</v>
      </c>
      <c r="F117" s="23"/>
      <c r="G117" s="22">
        <f t="shared" si="9"/>
        <v>0.54400000000000004</v>
      </c>
      <c r="H117" s="21"/>
      <c r="I117" s="22"/>
      <c r="J117" s="22"/>
      <c r="K117" s="22"/>
      <c r="L117" s="23"/>
      <c r="M117" s="21"/>
      <c r="N117" s="22"/>
      <c r="O117" s="22"/>
      <c r="P117" s="22"/>
      <c r="Q117" s="23"/>
      <c r="R117" s="21"/>
      <c r="S117" s="22"/>
      <c r="T117" s="22"/>
      <c r="U117" s="22"/>
      <c r="V117" s="22"/>
      <c r="W117" s="24">
        <f t="shared" si="10"/>
        <v>0.62819999999999998</v>
      </c>
      <c r="X117" s="22"/>
      <c r="Y117" s="22"/>
      <c r="Z117" s="22"/>
      <c r="AA117" s="22"/>
      <c r="AB117" s="23"/>
      <c r="AC117" s="22"/>
      <c r="AD117" s="22"/>
      <c r="AE117" s="22"/>
      <c r="AF117" s="22"/>
      <c r="AG117" s="23"/>
      <c r="AH117" s="23">
        <f t="shared" si="11"/>
        <v>0</v>
      </c>
      <c r="AI117" s="21"/>
      <c r="AJ117" s="22"/>
      <c r="AK117" s="22"/>
      <c r="AL117" s="22"/>
      <c r="AM117" s="23"/>
      <c r="AN117" s="24">
        <f t="shared" si="12"/>
        <v>0</v>
      </c>
      <c r="AO117" s="24">
        <f t="shared" si="12"/>
        <v>0</v>
      </c>
      <c r="AP117" s="22" t="e">
        <f t="shared" si="12"/>
        <v>#DIV/0!</v>
      </c>
      <c r="AQ117" s="22"/>
      <c r="AR117" s="22"/>
      <c r="AS117" s="22"/>
      <c r="AT117" s="22"/>
      <c r="AU117" s="24">
        <f t="shared" si="13"/>
        <v>0</v>
      </c>
      <c r="AV117" s="22"/>
      <c r="AW117" s="22"/>
      <c r="AX117" s="22"/>
      <c r="AY117" s="22"/>
      <c r="AZ117" s="23"/>
      <c r="BA117" s="24">
        <f t="shared" si="14"/>
        <v>0</v>
      </c>
      <c r="BB117" s="22">
        <f t="shared" si="14"/>
        <v>0</v>
      </c>
      <c r="BC117" s="22">
        <f t="shared" si="14"/>
        <v>0</v>
      </c>
      <c r="BD117" s="22">
        <f t="shared" si="14"/>
        <v>0</v>
      </c>
      <c r="BE117" s="22">
        <f t="shared" si="14"/>
        <v>0</v>
      </c>
      <c r="BF117" s="21">
        <f t="shared" si="14"/>
        <v>0</v>
      </c>
      <c r="BG117" s="22">
        <f t="shared" si="14"/>
        <v>0</v>
      </c>
      <c r="BH117" s="22">
        <f t="shared" si="14"/>
        <v>0</v>
      </c>
      <c r="BI117" s="21">
        <f t="shared" si="14"/>
        <v>0</v>
      </c>
      <c r="BJ117" s="23">
        <f t="shared" si="14"/>
        <v>0</v>
      </c>
      <c r="BK117" s="23">
        <f t="shared" si="14"/>
        <v>0</v>
      </c>
      <c r="BL117" s="24">
        <f t="shared" si="14"/>
        <v>0</v>
      </c>
      <c r="BM117" s="24">
        <f t="shared" si="14"/>
        <v>0</v>
      </c>
      <c r="BN117" s="24">
        <f t="shared" si="14"/>
        <v>0</v>
      </c>
      <c r="BO117" s="24">
        <f t="shared" si="14"/>
        <v>0</v>
      </c>
      <c r="BP117" s="24">
        <f t="shared" si="14"/>
        <v>0</v>
      </c>
      <c r="BQ117" s="24">
        <f t="shared" si="14"/>
        <v>0</v>
      </c>
      <c r="BR117" s="24">
        <f t="shared" si="14"/>
        <v>0</v>
      </c>
      <c r="BS117" s="24">
        <f t="shared" si="15"/>
        <v>5.9999999999999995E-4</v>
      </c>
      <c r="BT117" s="24">
        <f t="shared" si="15"/>
        <v>1.6000000000000001E-3</v>
      </c>
      <c r="BU117" s="24">
        <f t="shared" si="15"/>
        <v>1.4E-3</v>
      </c>
      <c r="BV117" s="24">
        <f t="shared" si="15"/>
        <v>0</v>
      </c>
    </row>
    <row r="118" spans="1:74" x14ac:dyDescent="0.25">
      <c r="A118" s="16" t="s">
        <v>46</v>
      </c>
      <c r="B118" s="21">
        <f t="shared" si="8"/>
        <v>0</v>
      </c>
      <c r="C118" s="22">
        <f t="shared" si="8"/>
        <v>0</v>
      </c>
      <c r="D118" s="22">
        <f t="shared" si="8"/>
        <v>0</v>
      </c>
      <c r="E118" s="22">
        <f t="shared" si="8"/>
        <v>0</v>
      </c>
      <c r="F118" s="23"/>
      <c r="G118" s="22">
        <f t="shared" si="9"/>
        <v>0</v>
      </c>
      <c r="H118" s="21"/>
      <c r="I118" s="22"/>
      <c r="J118" s="22"/>
      <c r="K118" s="22"/>
      <c r="L118" s="23"/>
      <c r="M118" s="21"/>
      <c r="N118" s="22"/>
      <c r="O118" s="22"/>
      <c r="P118" s="22"/>
      <c r="Q118" s="23"/>
      <c r="R118" s="21"/>
      <c r="S118" s="22"/>
      <c r="T118" s="22"/>
      <c r="U118" s="22"/>
      <c r="V118" s="22"/>
      <c r="W118" s="24">
        <f t="shared" si="10"/>
        <v>0</v>
      </c>
      <c r="X118" s="22"/>
      <c r="Y118" s="22"/>
      <c r="Z118" s="22"/>
      <c r="AA118" s="22"/>
      <c r="AB118" s="23"/>
      <c r="AC118" s="22"/>
      <c r="AD118" s="22"/>
      <c r="AE118" s="22"/>
      <c r="AF118" s="22"/>
      <c r="AG118" s="23"/>
      <c r="AH118" s="23">
        <f t="shared" si="11"/>
        <v>6.3063063063063057E-2</v>
      </c>
      <c r="AI118" s="21"/>
      <c r="AJ118" s="22"/>
      <c r="AK118" s="22"/>
      <c r="AL118" s="22"/>
      <c r="AM118" s="23"/>
      <c r="AN118" s="24">
        <f t="shared" si="12"/>
        <v>0.26619999999999999</v>
      </c>
      <c r="AO118" s="24">
        <f t="shared" si="12"/>
        <v>0.309</v>
      </c>
      <c r="AP118" s="22" t="e">
        <f t="shared" si="12"/>
        <v>#DIV/0!</v>
      </c>
      <c r="AQ118" s="22"/>
      <c r="AR118" s="22"/>
      <c r="AS118" s="22"/>
      <c r="AT118" s="22"/>
      <c r="AU118" s="24">
        <f t="shared" si="13"/>
        <v>0.37059999999999998</v>
      </c>
      <c r="AV118" s="22"/>
      <c r="AW118" s="22"/>
      <c r="AX118" s="22"/>
      <c r="AY118" s="22"/>
      <c r="AZ118" s="23"/>
      <c r="BA118" s="24">
        <f t="shared" si="14"/>
        <v>0.25511661113755357</v>
      </c>
      <c r="BB118" s="22">
        <f t="shared" si="14"/>
        <v>0.38602065131056396</v>
      </c>
      <c r="BC118" s="22">
        <f t="shared" si="14"/>
        <v>0.4</v>
      </c>
      <c r="BD118" s="22">
        <f t="shared" si="14"/>
        <v>0.37240000000000001</v>
      </c>
      <c r="BE118" s="22">
        <f t="shared" si="14"/>
        <v>0.40079999999999999</v>
      </c>
      <c r="BF118" s="21">
        <f t="shared" si="14"/>
        <v>0.32079999999999997</v>
      </c>
      <c r="BG118" s="22">
        <f t="shared" si="14"/>
        <v>0.37480000000000002</v>
      </c>
      <c r="BH118" s="22">
        <f t="shared" si="14"/>
        <v>0.34876190476190477</v>
      </c>
      <c r="BI118" s="21">
        <f t="shared" si="14"/>
        <v>0.39839999999999998</v>
      </c>
      <c r="BJ118" s="23">
        <f t="shared" si="14"/>
        <v>0.36520000000000002</v>
      </c>
      <c r="BK118" s="23">
        <f t="shared" si="14"/>
        <v>0.35973663208300077</v>
      </c>
      <c r="BL118" s="24">
        <f t="shared" si="14"/>
        <v>0.13657214345287741</v>
      </c>
      <c r="BM118" s="24">
        <f t="shared" si="14"/>
        <v>0.68187323375050468</v>
      </c>
      <c r="BN118" s="24">
        <f t="shared" si="14"/>
        <v>0.51400000000000001</v>
      </c>
      <c r="BO118" s="24">
        <f t="shared" si="14"/>
        <v>0.26579999999999998</v>
      </c>
      <c r="BP118" s="24">
        <f t="shared" si="14"/>
        <v>0.64880000000000004</v>
      </c>
      <c r="BQ118" s="24">
        <f t="shared" si="14"/>
        <v>0.26900000000000002</v>
      </c>
      <c r="BR118" s="24">
        <f t="shared" si="14"/>
        <v>0.2471505698860228</v>
      </c>
      <c r="BS118" s="24">
        <f t="shared" si="15"/>
        <v>0</v>
      </c>
      <c r="BT118" s="24">
        <f t="shared" si="15"/>
        <v>0</v>
      </c>
      <c r="BU118" s="24">
        <f t="shared" si="15"/>
        <v>0</v>
      </c>
      <c r="BV118" s="24">
        <f t="shared" si="15"/>
        <v>1</v>
      </c>
    </row>
    <row r="119" spans="1:74" x14ac:dyDescent="0.25">
      <c r="A119" s="16" t="s">
        <v>47</v>
      </c>
      <c r="B119" s="21">
        <f t="shared" si="8"/>
        <v>0</v>
      </c>
      <c r="C119" s="22">
        <f t="shared" si="8"/>
        <v>0</v>
      </c>
      <c r="D119" s="22">
        <f t="shared" si="8"/>
        <v>0</v>
      </c>
      <c r="E119" s="22">
        <f t="shared" si="8"/>
        <v>0</v>
      </c>
      <c r="F119" s="23"/>
      <c r="G119" s="22">
        <f t="shared" si="9"/>
        <v>2.2000000000000001E-3</v>
      </c>
      <c r="H119" s="21"/>
      <c r="I119" s="22"/>
      <c r="J119" s="22"/>
      <c r="K119" s="22"/>
      <c r="L119" s="23"/>
      <c r="M119" s="21"/>
      <c r="N119" s="22"/>
      <c r="O119" s="22"/>
      <c r="P119" s="22"/>
      <c r="Q119" s="23"/>
      <c r="R119" s="21"/>
      <c r="S119" s="22"/>
      <c r="T119" s="22"/>
      <c r="U119" s="22"/>
      <c r="V119" s="22"/>
      <c r="W119" s="24">
        <f t="shared" si="10"/>
        <v>0</v>
      </c>
      <c r="X119" s="22"/>
      <c r="Y119" s="22"/>
      <c r="Z119" s="22"/>
      <c r="AA119" s="22"/>
      <c r="AB119" s="23"/>
      <c r="AC119" s="22"/>
      <c r="AD119" s="22"/>
      <c r="AE119" s="22"/>
      <c r="AF119" s="22"/>
      <c r="AG119" s="23"/>
      <c r="AH119" s="23">
        <f t="shared" si="11"/>
        <v>3.5735735735735734E-2</v>
      </c>
      <c r="AI119" s="21"/>
      <c r="AJ119" s="22"/>
      <c r="AK119" s="22"/>
      <c r="AL119" s="22"/>
      <c r="AM119" s="23"/>
      <c r="AN119" s="24">
        <f t="shared" si="12"/>
        <v>6.3200000000000006E-2</v>
      </c>
      <c r="AO119" s="24">
        <f t="shared" si="12"/>
        <v>7.3200000000000001E-2</v>
      </c>
      <c r="AP119" s="22" t="e">
        <f t="shared" si="12"/>
        <v>#DIV/0!</v>
      </c>
      <c r="AQ119" s="22"/>
      <c r="AR119" s="22"/>
      <c r="AS119" s="22"/>
      <c r="AT119" s="22"/>
      <c r="AU119" s="24">
        <f t="shared" si="13"/>
        <v>6.8400000000000002E-2</v>
      </c>
      <c r="AV119" s="22"/>
      <c r="AW119" s="22"/>
      <c r="AX119" s="22"/>
      <c r="AY119" s="22"/>
      <c r="AZ119" s="23"/>
      <c r="BA119" s="24">
        <f t="shared" si="14"/>
        <v>2.4274155164207521E-2</v>
      </c>
      <c r="BB119" s="22">
        <f t="shared" si="14"/>
        <v>1.6679904686258934E-2</v>
      </c>
      <c r="BC119" s="22">
        <f t="shared" si="14"/>
        <v>1.6400000000000001E-2</v>
      </c>
      <c r="BD119" s="22">
        <f t="shared" ref="BD119:BU119" si="16">BD33/BD$6</f>
        <v>1.7600000000000001E-2</v>
      </c>
      <c r="BE119" s="22">
        <f t="shared" si="16"/>
        <v>1.8800000000000001E-2</v>
      </c>
      <c r="BF119" s="21">
        <f t="shared" si="16"/>
        <v>2.4799999999999999E-2</v>
      </c>
      <c r="BG119" s="22">
        <f t="shared" si="16"/>
        <v>1.6400000000000001E-2</v>
      </c>
      <c r="BH119" s="22">
        <f t="shared" si="16"/>
        <v>1.8476190476190476E-2</v>
      </c>
      <c r="BI119" s="21">
        <f t="shared" si="16"/>
        <v>1.6799999999999999E-2</v>
      </c>
      <c r="BJ119" s="23">
        <f t="shared" si="16"/>
        <v>1.5599999999999999E-2</v>
      </c>
      <c r="BK119" s="23">
        <f t="shared" si="16"/>
        <v>4.0403032721468474E-2</v>
      </c>
      <c r="BL119" s="24">
        <f t="shared" si="16"/>
        <v>5.7964970809007504E-2</v>
      </c>
      <c r="BM119" s="24">
        <f t="shared" si="16"/>
        <v>8.4779975777149776E-3</v>
      </c>
      <c r="BN119" s="24">
        <f t="shared" si="16"/>
        <v>1.6400000000000001E-2</v>
      </c>
      <c r="BO119" s="24">
        <f t="shared" si="16"/>
        <v>6.3200000000000006E-2</v>
      </c>
      <c r="BP119" s="24">
        <f t="shared" si="16"/>
        <v>1.18E-2</v>
      </c>
      <c r="BQ119" s="24">
        <f t="shared" si="16"/>
        <v>9.2999999999999992E-3</v>
      </c>
      <c r="BR119" s="24">
        <f t="shared" si="16"/>
        <v>1.5396920615876825E-2</v>
      </c>
      <c r="BS119" s="24">
        <f t="shared" si="15"/>
        <v>0</v>
      </c>
      <c r="BT119" s="24">
        <f t="shared" si="15"/>
        <v>0</v>
      </c>
      <c r="BU119" s="24">
        <f t="shared" si="15"/>
        <v>0</v>
      </c>
      <c r="BV119" s="24">
        <f t="shared" si="15"/>
        <v>0</v>
      </c>
    </row>
    <row r="120" spans="1:74" x14ac:dyDescent="0.25">
      <c r="A120" s="16" t="s">
        <v>48</v>
      </c>
      <c r="B120" s="21">
        <f t="shared" si="8"/>
        <v>0</v>
      </c>
      <c r="C120" s="22">
        <f t="shared" si="8"/>
        <v>0</v>
      </c>
      <c r="D120" s="22">
        <f t="shared" si="8"/>
        <v>0</v>
      </c>
      <c r="E120" s="22">
        <f t="shared" si="8"/>
        <v>0</v>
      </c>
      <c r="F120" s="23"/>
      <c r="G120" s="22">
        <f t="shared" si="9"/>
        <v>1E-3</v>
      </c>
      <c r="H120" s="21"/>
      <c r="I120" s="22"/>
      <c r="J120" s="22"/>
      <c r="K120" s="22"/>
      <c r="L120" s="23"/>
      <c r="M120" s="21"/>
      <c r="N120" s="22"/>
      <c r="O120" s="22"/>
      <c r="P120" s="22"/>
      <c r="Q120" s="23"/>
      <c r="R120" s="21"/>
      <c r="S120" s="22"/>
      <c r="T120" s="22"/>
      <c r="U120" s="22"/>
      <c r="V120" s="22"/>
      <c r="W120" s="24">
        <f t="shared" si="10"/>
        <v>0</v>
      </c>
      <c r="X120" s="22"/>
      <c r="Y120" s="22"/>
      <c r="Z120" s="22"/>
      <c r="AA120" s="22"/>
      <c r="AB120" s="23"/>
      <c r="AC120" s="22"/>
      <c r="AD120" s="22"/>
      <c r="AE120" s="22"/>
      <c r="AF120" s="22"/>
      <c r="AG120" s="23"/>
      <c r="AH120" s="23">
        <f t="shared" si="11"/>
        <v>0.17987987987987988</v>
      </c>
      <c r="AI120" s="21"/>
      <c r="AJ120" s="22"/>
      <c r="AK120" s="22"/>
      <c r="AL120" s="22"/>
      <c r="AM120" s="23"/>
      <c r="AN120" s="24">
        <f t="shared" si="12"/>
        <v>0</v>
      </c>
      <c r="AO120" s="24">
        <f t="shared" si="12"/>
        <v>0</v>
      </c>
      <c r="AP120" s="22" t="e">
        <f t="shared" si="12"/>
        <v>#DIV/0!</v>
      </c>
      <c r="AQ120" s="22"/>
      <c r="AR120" s="22"/>
      <c r="AS120" s="22"/>
      <c r="AT120" s="22"/>
      <c r="AU120" s="24">
        <f t="shared" si="13"/>
        <v>0</v>
      </c>
      <c r="AV120" s="22"/>
      <c r="AW120" s="22"/>
      <c r="AX120" s="22"/>
      <c r="AY120" s="22"/>
      <c r="AZ120" s="23"/>
      <c r="BA120" s="24">
        <f t="shared" ref="BA120:BR129" si="17">BA34/BA$6</f>
        <v>0</v>
      </c>
      <c r="BB120" s="22">
        <f t="shared" si="17"/>
        <v>0</v>
      </c>
      <c r="BC120" s="22">
        <f t="shared" si="17"/>
        <v>0</v>
      </c>
      <c r="BD120" s="22">
        <f t="shared" si="17"/>
        <v>0</v>
      </c>
      <c r="BE120" s="22">
        <f t="shared" si="17"/>
        <v>0</v>
      </c>
      <c r="BF120" s="21">
        <f t="shared" si="17"/>
        <v>0</v>
      </c>
      <c r="BG120" s="22">
        <f t="shared" si="17"/>
        <v>0</v>
      </c>
      <c r="BH120" s="22">
        <f t="shared" si="17"/>
        <v>0</v>
      </c>
      <c r="BI120" s="21">
        <f t="shared" si="17"/>
        <v>0</v>
      </c>
      <c r="BJ120" s="23">
        <f t="shared" si="17"/>
        <v>0</v>
      </c>
      <c r="BK120" s="23">
        <f t="shared" si="17"/>
        <v>0</v>
      </c>
      <c r="BL120" s="24">
        <f t="shared" si="17"/>
        <v>0</v>
      </c>
      <c r="BM120" s="24">
        <f t="shared" si="17"/>
        <v>0</v>
      </c>
      <c r="BN120" s="24">
        <f t="shared" si="17"/>
        <v>0</v>
      </c>
      <c r="BO120" s="24">
        <f t="shared" si="17"/>
        <v>0</v>
      </c>
      <c r="BP120" s="24">
        <f t="shared" si="17"/>
        <v>0</v>
      </c>
      <c r="BQ120" s="24">
        <f t="shared" si="17"/>
        <v>0</v>
      </c>
      <c r="BR120" s="24">
        <f t="shared" si="17"/>
        <v>0</v>
      </c>
      <c r="BS120" s="24">
        <f t="shared" si="15"/>
        <v>0</v>
      </c>
      <c r="BT120" s="24">
        <f t="shared" si="15"/>
        <v>0</v>
      </c>
      <c r="BU120" s="24">
        <f t="shared" si="15"/>
        <v>0</v>
      </c>
      <c r="BV120" s="24">
        <f t="shared" si="15"/>
        <v>0</v>
      </c>
    </row>
    <row r="121" spans="1:74" x14ac:dyDescent="0.25">
      <c r="A121" s="16" t="s">
        <v>49</v>
      </c>
      <c r="B121" s="21">
        <f t="shared" ref="B121:E129" si="18">B35/B$6</f>
        <v>0</v>
      </c>
      <c r="C121" s="22">
        <f t="shared" si="18"/>
        <v>0</v>
      </c>
      <c r="D121" s="22">
        <f t="shared" si="18"/>
        <v>0</v>
      </c>
      <c r="E121" s="22">
        <f t="shared" si="18"/>
        <v>0</v>
      </c>
      <c r="F121" s="23"/>
      <c r="G121" s="22">
        <f t="shared" si="9"/>
        <v>0</v>
      </c>
      <c r="H121" s="21"/>
      <c r="I121" s="22"/>
      <c r="J121" s="22"/>
      <c r="K121" s="22"/>
      <c r="L121" s="23"/>
      <c r="M121" s="21"/>
      <c r="N121" s="22"/>
      <c r="O121" s="22"/>
      <c r="P121" s="22"/>
      <c r="Q121" s="23"/>
      <c r="R121" s="21"/>
      <c r="S121" s="22"/>
      <c r="T121" s="22"/>
      <c r="U121" s="22"/>
      <c r="V121" s="22"/>
      <c r="W121" s="24">
        <f t="shared" si="10"/>
        <v>0</v>
      </c>
      <c r="X121" s="22"/>
      <c r="Y121" s="22"/>
      <c r="Z121" s="22"/>
      <c r="AA121" s="22"/>
      <c r="AB121" s="23"/>
      <c r="AC121" s="22"/>
      <c r="AD121" s="22"/>
      <c r="AE121" s="22"/>
      <c r="AF121" s="22"/>
      <c r="AG121" s="23"/>
      <c r="AH121" s="23">
        <f t="shared" si="11"/>
        <v>0</v>
      </c>
      <c r="AI121" s="21"/>
      <c r="AJ121" s="22"/>
      <c r="AK121" s="22"/>
      <c r="AL121" s="22"/>
      <c r="AM121" s="23"/>
      <c r="AN121" s="24">
        <f t="shared" ref="AN121:AP129" si="19">AN35/AN$6</f>
        <v>0</v>
      </c>
      <c r="AO121" s="24">
        <f t="shared" si="19"/>
        <v>0</v>
      </c>
      <c r="AP121" s="22" t="e">
        <f t="shared" si="19"/>
        <v>#DIV/0!</v>
      </c>
      <c r="AQ121" s="22"/>
      <c r="AR121" s="22"/>
      <c r="AS121" s="22"/>
      <c r="AT121" s="22"/>
      <c r="AU121" s="24">
        <f t="shared" si="13"/>
        <v>0</v>
      </c>
      <c r="AV121" s="22"/>
      <c r="AW121" s="22"/>
      <c r="AX121" s="22"/>
      <c r="AY121" s="22"/>
      <c r="AZ121" s="23"/>
      <c r="BA121" s="24">
        <f t="shared" si="17"/>
        <v>0</v>
      </c>
      <c r="BB121" s="22">
        <f t="shared" si="17"/>
        <v>0</v>
      </c>
      <c r="BC121" s="22">
        <f t="shared" si="17"/>
        <v>0</v>
      </c>
      <c r="BD121" s="22">
        <f t="shared" si="17"/>
        <v>0</v>
      </c>
      <c r="BE121" s="22">
        <f t="shared" si="17"/>
        <v>0</v>
      </c>
      <c r="BF121" s="21">
        <f t="shared" si="17"/>
        <v>0</v>
      </c>
      <c r="BG121" s="22">
        <f t="shared" si="17"/>
        <v>0</v>
      </c>
      <c r="BH121" s="22">
        <f t="shared" si="17"/>
        <v>0</v>
      </c>
      <c r="BI121" s="21">
        <f t="shared" si="17"/>
        <v>0</v>
      </c>
      <c r="BJ121" s="23">
        <f t="shared" si="17"/>
        <v>0</v>
      </c>
      <c r="BK121" s="23">
        <f t="shared" si="17"/>
        <v>0</v>
      </c>
      <c r="BL121" s="24">
        <f t="shared" si="17"/>
        <v>0</v>
      </c>
      <c r="BM121" s="24">
        <f t="shared" si="17"/>
        <v>0</v>
      </c>
      <c r="BN121" s="24">
        <f t="shared" si="17"/>
        <v>0</v>
      </c>
      <c r="BO121" s="24">
        <f t="shared" si="17"/>
        <v>0</v>
      </c>
      <c r="BP121" s="24">
        <f t="shared" si="17"/>
        <v>0</v>
      </c>
      <c r="BQ121" s="24">
        <f t="shared" si="17"/>
        <v>0</v>
      </c>
      <c r="BR121" s="24">
        <f t="shared" si="17"/>
        <v>0</v>
      </c>
      <c r="BS121" s="24">
        <f t="shared" ref="BS121:BV129" si="20">BS46/BS$6</f>
        <v>0</v>
      </c>
      <c r="BT121" s="24">
        <f t="shared" si="20"/>
        <v>0</v>
      </c>
      <c r="BU121" s="24">
        <f t="shared" si="20"/>
        <v>0</v>
      </c>
      <c r="BV121" s="24">
        <f t="shared" si="20"/>
        <v>0</v>
      </c>
    </row>
    <row r="122" spans="1:74" x14ac:dyDescent="0.25">
      <c r="A122" s="16" t="s">
        <v>50</v>
      </c>
      <c r="B122" s="21">
        <f t="shared" si="18"/>
        <v>5.04E-2</v>
      </c>
      <c r="C122" s="22">
        <f t="shared" si="18"/>
        <v>0.1832</v>
      </c>
      <c r="D122" s="22">
        <f t="shared" si="18"/>
        <v>1.34E-2</v>
      </c>
      <c r="E122" s="22">
        <f t="shared" si="18"/>
        <v>2.4E-2</v>
      </c>
      <c r="F122" s="23"/>
      <c r="G122" s="22">
        <f t="shared" si="9"/>
        <v>2.46E-2</v>
      </c>
      <c r="H122" s="21"/>
      <c r="I122" s="22"/>
      <c r="J122" s="22"/>
      <c r="K122" s="22"/>
      <c r="L122" s="23"/>
      <c r="M122" s="21"/>
      <c r="N122" s="22"/>
      <c r="O122" s="22"/>
      <c r="P122" s="22"/>
      <c r="Q122" s="23"/>
      <c r="R122" s="21"/>
      <c r="S122" s="22"/>
      <c r="T122" s="22"/>
      <c r="U122" s="22"/>
      <c r="V122" s="22"/>
      <c r="W122" s="24">
        <f t="shared" si="10"/>
        <v>2.64E-2</v>
      </c>
      <c r="X122" s="22"/>
      <c r="Y122" s="22"/>
      <c r="Z122" s="22"/>
      <c r="AA122" s="22"/>
      <c r="AB122" s="23"/>
      <c r="AC122" s="22"/>
      <c r="AD122" s="22"/>
      <c r="AE122" s="22"/>
      <c r="AF122" s="22"/>
      <c r="AG122" s="23"/>
      <c r="AH122" s="23">
        <f t="shared" si="11"/>
        <v>6.9069069069069072E-3</v>
      </c>
      <c r="AI122" s="21"/>
      <c r="AJ122" s="22"/>
      <c r="AK122" s="22"/>
      <c r="AL122" s="22"/>
      <c r="AM122" s="23"/>
      <c r="AN122" s="24">
        <f t="shared" si="19"/>
        <v>0</v>
      </c>
      <c r="AO122" s="24">
        <f t="shared" si="19"/>
        <v>0</v>
      </c>
      <c r="AP122" s="22" t="e">
        <f t="shared" si="19"/>
        <v>#DIV/0!</v>
      </c>
      <c r="AQ122" s="22"/>
      <c r="AR122" s="22"/>
      <c r="AS122" s="22"/>
      <c r="AT122" s="22"/>
      <c r="AU122" s="24">
        <f t="shared" si="13"/>
        <v>0</v>
      </c>
      <c r="AV122" s="22"/>
      <c r="AW122" s="22"/>
      <c r="AX122" s="22"/>
      <c r="AY122" s="22"/>
      <c r="AZ122" s="23"/>
      <c r="BA122" s="24">
        <f t="shared" si="17"/>
        <v>0</v>
      </c>
      <c r="BB122" s="22">
        <f t="shared" si="17"/>
        <v>0</v>
      </c>
      <c r="BC122" s="22">
        <f t="shared" si="17"/>
        <v>0</v>
      </c>
      <c r="BD122" s="22">
        <f t="shared" si="17"/>
        <v>0</v>
      </c>
      <c r="BE122" s="22">
        <f t="shared" si="17"/>
        <v>0</v>
      </c>
      <c r="BF122" s="21">
        <f t="shared" si="17"/>
        <v>0</v>
      </c>
      <c r="BG122" s="22">
        <f t="shared" si="17"/>
        <v>0</v>
      </c>
      <c r="BH122" s="22">
        <f t="shared" si="17"/>
        <v>0</v>
      </c>
      <c r="BI122" s="21">
        <f t="shared" si="17"/>
        <v>0</v>
      </c>
      <c r="BJ122" s="23">
        <f t="shared" si="17"/>
        <v>0</v>
      </c>
      <c r="BK122" s="23">
        <f t="shared" si="17"/>
        <v>0</v>
      </c>
      <c r="BL122" s="24">
        <f t="shared" si="17"/>
        <v>0.11356686127328329</v>
      </c>
      <c r="BM122" s="24">
        <f t="shared" si="17"/>
        <v>0</v>
      </c>
      <c r="BN122" s="24">
        <f t="shared" si="17"/>
        <v>0</v>
      </c>
      <c r="BO122" s="24">
        <f t="shared" si="17"/>
        <v>0</v>
      </c>
      <c r="BP122" s="24">
        <f t="shared" si="17"/>
        <v>0</v>
      </c>
      <c r="BQ122" s="24">
        <f t="shared" si="17"/>
        <v>0</v>
      </c>
      <c r="BR122" s="24">
        <f t="shared" si="17"/>
        <v>0</v>
      </c>
      <c r="BS122" s="24">
        <f t="shared" si="20"/>
        <v>0</v>
      </c>
      <c r="BT122" s="24">
        <f t="shared" si="20"/>
        <v>0</v>
      </c>
      <c r="BU122" s="24">
        <f t="shared" si="20"/>
        <v>0</v>
      </c>
      <c r="BV122" s="24">
        <f t="shared" si="20"/>
        <v>0</v>
      </c>
    </row>
    <row r="123" spans="1:74" x14ac:dyDescent="0.25">
      <c r="A123" s="30" t="s">
        <v>51</v>
      </c>
      <c r="B123" s="21">
        <f t="shared" si="18"/>
        <v>0</v>
      </c>
      <c r="C123" s="22">
        <f t="shared" si="18"/>
        <v>0</v>
      </c>
      <c r="D123" s="22">
        <f t="shared" si="18"/>
        <v>0</v>
      </c>
      <c r="E123" s="22">
        <f t="shared" si="18"/>
        <v>0</v>
      </c>
      <c r="F123" s="23"/>
      <c r="G123" s="22">
        <f t="shared" si="9"/>
        <v>2.0000000000000001E-4</v>
      </c>
      <c r="H123" s="21"/>
      <c r="I123" s="22"/>
      <c r="J123" s="22"/>
      <c r="K123" s="22"/>
      <c r="L123" s="23"/>
      <c r="M123" s="21"/>
      <c r="N123" s="22"/>
      <c r="O123" s="22"/>
      <c r="P123" s="22"/>
      <c r="Q123" s="23"/>
      <c r="R123" s="21"/>
      <c r="S123" s="22"/>
      <c r="T123" s="22"/>
      <c r="U123" s="22"/>
      <c r="V123" s="22"/>
      <c r="W123" s="24">
        <f t="shared" si="10"/>
        <v>0</v>
      </c>
      <c r="X123" s="22"/>
      <c r="Y123" s="22"/>
      <c r="Z123" s="22"/>
      <c r="AA123" s="22"/>
      <c r="AB123" s="23"/>
      <c r="AC123" s="22"/>
      <c r="AD123" s="22"/>
      <c r="AE123" s="22"/>
      <c r="AF123" s="22"/>
      <c r="AG123" s="23"/>
      <c r="AH123" s="23">
        <f t="shared" si="11"/>
        <v>4.8048048048048046E-3</v>
      </c>
      <c r="AI123" s="21"/>
      <c r="AJ123" s="22"/>
      <c r="AK123" s="22"/>
      <c r="AL123" s="22"/>
      <c r="AM123" s="23"/>
      <c r="AN123" s="24">
        <f t="shared" si="19"/>
        <v>4.4000000000000003E-3</v>
      </c>
      <c r="AO123" s="24">
        <f t="shared" si="19"/>
        <v>5.1999999999999998E-3</v>
      </c>
      <c r="AP123" s="22" t="e">
        <f t="shared" si="19"/>
        <v>#DIV/0!</v>
      </c>
      <c r="AQ123" s="22"/>
      <c r="AR123" s="22"/>
      <c r="AS123" s="22"/>
      <c r="AT123" s="22"/>
      <c r="AU123" s="24">
        <f t="shared" si="13"/>
        <v>4.7999999999999996E-3</v>
      </c>
      <c r="AV123" s="22"/>
      <c r="AW123" s="22"/>
      <c r="AX123" s="22"/>
      <c r="AY123" s="22"/>
      <c r="AZ123" s="23"/>
      <c r="BA123" s="24">
        <f t="shared" si="17"/>
        <v>6.6634935744883392E-3</v>
      </c>
      <c r="BB123" s="22">
        <f t="shared" si="17"/>
        <v>3.177124702144559E-3</v>
      </c>
      <c r="BC123" s="22">
        <f t="shared" si="17"/>
        <v>2.3999999999999998E-3</v>
      </c>
      <c r="BD123" s="22">
        <f t="shared" si="17"/>
        <v>3.5999999999999999E-3</v>
      </c>
      <c r="BE123" s="22">
        <f t="shared" si="17"/>
        <v>2.8E-3</v>
      </c>
      <c r="BF123" s="21">
        <f t="shared" si="17"/>
        <v>4.7999999999999996E-3</v>
      </c>
      <c r="BG123" s="22">
        <f t="shared" si="17"/>
        <v>2.8E-3</v>
      </c>
      <c r="BH123" s="22">
        <f t="shared" si="17"/>
        <v>3.619047619047619E-3</v>
      </c>
      <c r="BI123" s="21">
        <f t="shared" si="17"/>
        <v>2E-3</v>
      </c>
      <c r="BJ123" s="23">
        <f t="shared" si="17"/>
        <v>1.1999999999999999E-3</v>
      </c>
      <c r="BK123" s="23">
        <f t="shared" si="17"/>
        <v>3.9904229848363925E-3</v>
      </c>
      <c r="BL123" s="24">
        <f t="shared" si="17"/>
        <v>5.4906866833472337E-3</v>
      </c>
      <c r="BM123" s="24">
        <f t="shared" si="17"/>
        <v>1.4937424303593056E-2</v>
      </c>
      <c r="BN123" s="24">
        <f t="shared" si="17"/>
        <v>3.0800000000000001E-2</v>
      </c>
      <c r="BO123" s="24">
        <f t="shared" si="17"/>
        <v>4.4000000000000003E-3</v>
      </c>
      <c r="BP123" s="24">
        <f t="shared" si="17"/>
        <v>4.4999999999999998E-2</v>
      </c>
      <c r="BQ123" s="24">
        <f t="shared" si="17"/>
        <v>4.1000000000000003E-3</v>
      </c>
      <c r="BR123" s="24">
        <f t="shared" si="17"/>
        <v>4.1991601679664068E-3</v>
      </c>
      <c r="BS123" s="24">
        <f t="shared" si="20"/>
        <v>0</v>
      </c>
      <c r="BT123" s="24">
        <f t="shared" si="20"/>
        <v>0</v>
      </c>
      <c r="BU123" s="24">
        <f t="shared" si="20"/>
        <v>0</v>
      </c>
      <c r="BV123" s="24">
        <f t="shared" si="20"/>
        <v>0</v>
      </c>
    </row>
    <row r="124" spans="1:74" x14ac:dyDescent="0.25">
      <c r="A124" s="16" t="s">
        <v>52</v>
      </c>
      <c r="B124" s="21">
        <f t="shared" si="18"/>
        <v>0</v>
      </c>
      <c r="C124" s="22">
        <f t="shared" si="18"/>
        <v>0</v>
      </c>
      <c r="D124" s="22">
        <f t="shared" si="18"/>
        <v>0</v>
      </c>
      <c r="E124" s="22">
        <f t="shared" si="18"/>
        <v>0</v>
      </c>
      <c r="F124" s="23"/>
      <c r="G124" s="22">
        <f t="shared" si="9"/>
        <v>0</v>
      </c>
      <c r="H124" s="21"/>
      <c r="I124" s="22"/>
      <c r="J124" s="22"/>
      <c r="K124" s="22"/>
      <c r="L124" s="23"/>
      <c r="M124" s="21"/>
      <c r="N124" s="22"/>
      <c r="O124" s="22"/>
      <c r="P124" s="22"/>
      <c r="Q124" s="23"/>
      <c r="R124" s="21"/>
      <c r="S124" s="22"/>
      <c r="T124" s="22"/>
      <c r="U124" s="22"/>
      <c r="V124" s="22"/>
      <c r="W124" s="24">
        <f t="shared" si="10"/>
        <v>0</v>
      </c>
      <c r="X124" s="22"/>
      <c r="Y124" s="22"/>
      <c r="Z124" s="22"/>
      <c r="AA124" s="22"/>
      <c r="AB124" s="23"/>
      <c r="AC124" s="22"/>
      <c r="AD124" s="22"/>
      <c r="AE124" s="22"/>
      <c r="AF124" s="22"/>
      <c r="AG124" s="23"/>
      <c r="AH124" s="23">
        <f t="shared" si="11"/>
        <v>0</v>
      </c>
      <c r="AI124" s="21"/>
      <c r="AJ124" s="22"/>
      <c r="AK124" s="22"/>
      <c r="AL124" s="22"/>
      <c r="AM124" s="23"/>
      <c r="AN124" s="24">
        <f t="shared" si="19"/>
        <v>2.0000000000000001E-4</v>
      </c>
      <c r="AO124" s="24">
        <f t="shared" si="19"/>
        <v>0</v>
      </c>
      <c r="AP124" s="22" t="e">
        <f t="shared" si="19"/>
        <v>#DIV/0!</v>
      </c>
      <c r="AQ124" s="22"/>
      <c r="AR124" s="22"/>
      <c r="AS124" s="22"/>
      <c r="AT124" s="22"/>
      <c r="AU124" s="24">
        <f t="shared" si="13"/>
        <v>0</v>
      </c>
      <c r="AV124" s="22"/>
      <c r="AW124" s="22"/>
      <c r="AX124" s="22"/>
      <c r="AY124" s="22"/>
      <c r="AZ124" s="23"/>
      <c r="BA124" s="24">
        <f t="shared" si="17"/>
        <v>0</v>
      </c>
      <c r="BB124" s="22">
        <f t="shared" si="17"/>
        <v>0</v>
      </c>
      <c r="BC124" s="22">
        <f t="shared" si="17"/>
        <v>0</v>
      </c>
      <c r="BD124" s="22">
        <f t="shared" si="17"/>
        <v>0</v>
      </c>
      <c r="BE124" s="22">
        <f t="shared" si="17"/>
        <v>0</v>
      </c>
      <c r="BF124" s="21">
        <f t="shared" si="17"/>
        <v>0</v>
      </c>
      <c r="BG124" s="22">
        <f t="shared" si="17"/>
        <v>0</v>
      </c>
      <c r="BH124" s="22">
        <f t="shared" si="17"/>
        <v>0</v>
      </c>
      <c r="BI124" s="21">
        <f t="shared" si="17"/>
        <v>0</v>
      </c>
      <c r="BJ124" s="23">
        <f t="shared" si="17"/>
        <v>0</v>
      </c>
      <c r="BK124" s="23">
        <f t="shared" si="17"/>
        <v>0</v>
      </c>
      <c r="BL124" s="24">
        <f t="shared" si="17"/>
        <v>0</v>
      </c>
      <c r="BM124" s="24">
        <f t="shared" si="17"/>
        <v>0</v>
      </c>
      <c r="BN124" s="24">
        <f t="shared" si="17"/>
        <v>0</v>
      </c>
      <c r="BO124" s="24">
        <f t="shared" si="17"/>
        <v>2.0000000000000001E-4</v>
      </c>
      <c r="BP124" s="24">
        <f t="shared" si="17"/>
        <v>0</v>
      </c>
      <c r="BQ124" s="24">
        <f t="shared" si="17"/>
        <v>0</v>
      </c>
      <c r="BR124" s="24">
        <f t="shared" si="17"/>
        <v>0</v>
      </c>
      <c r="BS124" s="24">
        <f t="shared" si="20"/>
        <v>0</v>
      </c>
      <c r="BT124" s="24">
        <f t="shared" si="20"/>
        <v>0</v>
      </c>
      <c r="BU124" s="24">
        <f t="shared" si="20"/>
        <v>0</v>
      </c>
      <c r="BV124" s="24">
        <f t="shared" si="20"/>
        <v>0</v>
      </c>
    </row>
    <row r="125" spans="1:74" x14ac:dyDescent="0.25">
      <c r="A125" s="16" t="s">
        <v>53</v>
      </c>
      <c r="B125" s="21">
        <f t="shared" si="18"/>
        <v>0</v>
      </c>
      <c r="C125" s="22">
        <f t="shared" si="18"/>
        <v>0</v>
      </c>
      <c r="D125" s="22">
        <f t="shared" si="18"/>
        <v>0</v>
      </c>
      <c r="E125" s="22">
        <f t="shared" si="18"/>
        <v>0</v>
      </c>
      <c r="F125" s="23"/>
      <c r="G125" s="22">
        <f t="shared" si="9"/>
        <v>3.5999999999999999E-3</v>
      </c>
      <c r="H125" s="21"/>
      <c r="I125" s="22"/>
      <c r="J125" s="22"/>
      <c r="K125" s="22"/>
      <c r="L125" s="23"/>
      <c r="M125" s="21"/>
      <c r="N125" s="22"/>
      <c r="O125" s="22"/>
      <c r="P125" s="22"/>
      <c r="Q125" s="23"/>
      <c r="R125" s="21"/>
      <c r="S125" s="22"/>
      <c r="T125" s="22"/>
      <c r="U125" s="22"/>
      <c r="V125" s="22"/>
      <c r="W125" s="24">
        <f t="shared" si="10"/>
        <v>0</v>
      </c>
      <c r="X125" s="22"/>
      <c r="Y125" s="22"/>
      <c r="Z125" s="22"/>
      <c r="AA125" s="22"/>
      <c r="AB125" s="23"/>
      <c r="AC125" s="22"/>
      <c r="AD125" s="22"/>
      <c r="AE125" s="22"/>
      <c r="AF125" s="22"/>
      <c r="AG125" s="23"/>
      <c r="AH125" s="23">
        <f t="shared" si="11"/>
        <v>1.3213213213213212E-2</v>
      </c>
      <c r="AI125" s="21"/>
      <c r="AJ125" s="22"/>
      <c r="AK125" s="22"/>
      <c r="AL125" s="22"/>
      <c r="AM125" s="23"/>
      <c r="AN125" s="24">
        <f t="shared" si="19"/>
        <v>0</v>
      </c>
      <c r="AO125" s="24">
        <f t="shared" si="19"/>
        <v>0</v>
      </c>
      <c r="AP125" s="22" t="e">
        <f t="shared" si="19"/>
        <v>#DIV/0!</v>
      </c>
      <c r="AQ125" s="22"/>
      <c r="AR125" s="22"/>
      <c r="AS125" s="22"/>
      <c r="AT125" s="22"/>
      <c r="AU125" s="24">
        <f t="shared" si="13"/>
        <v>0</v>
      </c>
      <c r="AV125" s="22"/>
      <c r="AW125" s="22"/>
      <c r="AX125" s="22"/>
      <c r="AY125" s="22"/>
      <c r="AZ125" s="23"/>
      <c r="BA125" s="24">
        <f t="shared" si="17"/>
        <v>0</v>
      </c>
      <c r="BB125" s="22">
        <f t="shared" si="17"/>
        <v>0</v>
      </c>
      <c r="BC125" s="22">
        <f t="shared" si="17"/>
        <v>0</v>
      </c>
      <c r="BD125" s="22">
        <f t="shared" si="17"/>
        <v>0</v>
      </c>
      <c r="BE125" s="22">
        <f t="shared" si="17"/>
        <v>0</v>
      </c>
      <c r="BF125" s="21">
        <f t="shared" si="17"/>
        <v>0</v>
      </c>
      <c r="BG125" s="22">
        <f t="shared" si="17"/>
        <v>0</v>
      </c>
      <c r="BH125" s="22">
        <f t="shared" si="17"/>
        <v>0</v>
      </c>
      <c r="BI125" s="21">
        <f t="shared" si="17"/>
        <v>0</v>
      </c>
      <c r="BJ125" s="23">
        <f t="shared" si="17"/>
        <v>0</v>
      </c>
      <c r="BK125" s="23">
        <f t="shared" si="17"/>
        <v>0</v>
      </c>
      <c r="BL125" s="24">
        <f t="shared" si="17"/>
        <v>0</v>
      </c>
      <c r="BM125" s="24">
        <f t="shared" si="17"/>
        <v>0</v>
      </c>
      <c r="BN125" s="24">
        <f t="shared" si="17"/>
        <v>0</v>
      </c>
      <c r="BO125" s="24">
        <f t="shared" si="17"/>
        <v>0</v>
      </c>
      <c r="BP125" s="24">
        <f t="shared" si="17"/>
        <v>0</v>
      </c>
      <c r="BQ125" s="24">
        <f t="shared" si="17"/>
        <v>0</v>
      </c>
      <c r="BR125" s="24">
        <f t="shared" si="17"/>
        <v>0</v>
      </c>
      <c r="BS125" s="24">
        <f t="shared" si="20"/>
        <v>0</v>
      </c>
      <c r="BT125" s="24">
        <f t="shared" si="20"/>
        <v>0</v>
      </c>
      <c r="BU125" s="24">
        <f t="shared" si="20"/>
        <v>0.02</v>
      </c>
      <c r="BV125" s="24">
        <f t="shared" si="20"/>
        <v>0</v>
      </c>
    </row>
    <row r="126" spans="1:74" x14ac:dyDescent="0.25">
      <c r="A126" s="16" t="s">
        <v>54</v>
      </c>
      <c r="B126" s="21">
        <f t="shared" si="18"/>
        <v>0.1004</v>
      </c>
      <c r="C126" s="22">
        <f t="shared" si="18"/>
        <v>6.2E-2</v>
      </c>
      <c r="D126" s="22">
        <f t="shared" si="18"/>
        <v>0.17860000000000001</v>
      </c>
      <c r="E126" s="22">
        <f t="shared" si="18"/>
        <v>0.11600000000000001</v>
      </c>
      <c r="F126" s="23"/>
      <c r="G126" s="22">
        <f t="shared" si="9"/>
        <v>8.8599999999999998E-2</v>
      </c>
      <c r="H126" s="21"/>
      <c r="I126" s="22"/>
      <c r="J126" s="22"/>
      <c r="K126" s="22"/>
      <c r="L126" s="23"/>
      <c r="M126" s="21"/>
      <c r="N126" s="22"/>
      <c r="O126" s="22"/>
      <c r="P126" s="22"/>
      <c r="Q126" s="23"/>
      <c r="R126" s="21"/>
      <c r="S126" s="22"/>
      <c r="T126" s="22"/>
      <c r="U126" s="22"/>
      <c r="V126" s="22"/>
      <c r="W126" s="24">
        <f t="shared" si="10"/>
        <v>9.4E-2</v>
      </c>
      <c r="X126" s="22"/>
      <c r="Y126" s="22"/>
      <c r="Z126" s="22"/>
      <c r="AA126" s="22"/>
      <c r="AB126" s="23"/>
      <c r="AC126" s="22"/>
      <c r="AD126" s="22"/>
      <c r="AE126" s="22"/>
      <c r="AF126" s="22"/>
      <c r="AG126" s="23"/>
      <c r="AH126" s="23">
        <f t="shared" si="11"/>
        <v>4.7447447447447451E-2</v>
      </c>
      <c r="AI126" s="21"/>
      <c r="AJ126" s="22"/>
      <c r="AK126" s="22"/>
      <c r="AL126" s="22"/>
      <c r="AM126" s="23"/>
      <c r="AN126" s="24">
        <f t="shared" si="19"/>
        <v>6.7999999999999996E-3</v>
      </c>
      <c r="AO126" s="24">
        <f t="shared" si="19"/>
        <v>5.0000000000000001E-3</v>
      </c>
      <c r="AP126" s="22" t="e">
        <f t="shared" si="19"/>
        <v>#DIV/0!</v>
      </c>
      <c r="AQ126" s="22"/>
      <c r="AR126" s="22"/>
      <c r="AS126" s="22"/>
      <c r="AT126" s="22"/>
      <c r="AU126" s="24">
        <f t="shared" si="13"/>
        <v>2.5999999999999999E-3</v>
      </c>
      <c r="AV126" s="22"/>
      <c r="AW126" s="22"/>
      <c r="AX126" s="22"/>
      <c r="AY126" s="22"/>
      <c r="AZ126" s="23"/>
      <c r="BA126" s="24">
        <f t="shared" si="17"/>
        <v>7.3774393146120901E-2</v>
      </c>
      <c r="BB126" s="22">
        <f t="shared" si="17"/>
        <v>7.1485305798252583E-3</v>
      </c>
      <c r="BC126" s="22">
        <f t="shared" si="17"/>
        <v>3.2000000000000002E-3</v>
      </c>
      <c r="BD126" s="22">
        <f t="shared" si="17"/>
        <v>2.8E-3</v>
      </c>
      <c r="BE126" s="22">
        <f t="shared" si="17"/>
        <v>4.7999999999999996E-3</v>
      </c>
      <c r="BF126" s="21">
        <f t="shared" si="17"/>
        <v>3.5999999999999999E-3</v>
      </c>
      <c r="BG126" s="22">
        <f t="shared" si="17"/>
        <v>4.4000000000000003E-3</v>
      </c>
      <c r="BH126" s="22">
        <f t="shared" si="17"/>
        <v>6.8571428571428568E-3</v>
      </c>
      <c r="BI126" s="21">
        <f t="shared" si="17"/>
        <v>3.5999999999999999E-3</v>
      </c>
      <c r="BJ126" s="23">
        <f t="shared" si="17"/>
        <v>3.5999999999999999E-3</v>
      </c>
      <c r="BK126" s="23">
        <f t="shared" si="17"/>
        <v>3.5248736366054801E-3</v>
      </c>
      <c r="BL126" s="24">
        <f t="shared" si="17"/>
        <v>3.0581039755351682E-3</v>
      </c>
      <c r="BM126" s="24">
        <f t="shared" si="17"/>
        <v>2.8259991925716592E-3</v>
      </c>
      <c r="BN126" s="24">
        <f t="shared" si="17"/>
        <v>3.5999999999999999E-3</v>
      </c>
      <c r="BO126" s="24">
        <f t="shared" si="17"/>
        <v>0</v>
      </c>
      <c r="BP126" s="24">
        <f t="shared" si="17"/>
        <v>4.0000000000000001E-3</v>
      </c>
      <c r="BQ126" s="24">
        <f t="shared" si="17"/>
        <v>2.8999999999999998E-3</v>
      </c>
      <c r="BR126" s="24">
        <f t="shared" si="17"/>
        <v>3.5992801439712059E-3</v>
      </c>
      <c r="BS126" s="24">
        <f t="shared" si="20"/>
        <v>0</v>
      </c>
      <c r="BT126" s="24">
        <f t="shared" si="20"/>
        <v>0</v>
      </c>
      <c r="BU126" s="24">
        <f t="shared" si="20"/>
        <v>0</v>
      </c>
      <c r="BV126" s="24">
        <f t="shared" si="20"/>
        <v>0</v>
      </c>
    </row>
    <row r="127" spans="1:74" x14ac:dyDescent="0.25">
      <c r="A127" s="16" t="s">
        <v>55</v>
      </c>
      <c r="B127" s="21">
        <f t="shared" si="18"/>
        <v>0</v>
      </c>
      <c r="C127" s="22">
        <f t="shared" si="18"/>
        <v>0</v>
      </c>
      <c r="D127" s="22">
        <f t="shared" si="18"/>
        <v>0</v>
      </c>
      <c r="E127" s="22">
        <f t="shared" si="18"/>
        <v>0</v>
      </c>
      <c r="F127" s="23"/>
      <c r="G127" s="22">
        <f t="shared" si="9"/>
        <v>2E-3</v>
      </c>
      <c r="H127" s="21"/>
      <c r="I127" s="22"/>
      <c r="J127" s="22"/>
      <c r="K127" s="22"/>
      <c r="L127" s="23"/>
      <c r="M127" s="21"/>
      <c r="N127" s="22"/>
      <c r="O127" s="22"/>
      <c r="P127" s="22"/>
      <c r="Q127" s="23"/>
      <c r="R127" s="21"/>
      <c r="S127" s="22"/>
      <c r="T127" s="22"/>
      <c r="U127" s="22"/>
      <c r="V127" s="22"/>
      <c r="W127" s="24">
        <f t="shared" si="10"/>
        <v>0</v>
      </c>
      <c r="X127" s="22"/>
      <c r="Y127" s="22"/>
      <c r="Z127" s="22"/>
      <c r="AA127" s="22"/>
      <c r="AB127" s="23"/>
      <c r="AC127" s="22"/>
      <c r="AD127" s="22"/>
      <c r="AE127" s="22"/>
      <c r="AF127" s="22"/>
      <c r="AG127" s="23"/>
      <c r="AH127" s="23">
        <f t="shared" si="11"/>
        <v>1.2012012012012012E-2</v>
      </c>
      <c r="AI127" s="21"/>
      <c r="AJ127" s="22"/>
      <c r="AK127" s="22"/>
      <c r="AL127" s="22"/>
      <c r="AM127" s="23"/>
      <c r="AN127" s="24">
        <f t="shared" si="19"/>
        <v>6.08E-2</v>
      </c>
      <c r="AO127" s="24">
        <f t="shared" si="19"/>
        <v>4.4200000000000003E-2</v>
      </c>
      <c r="AP127" s="22" t="e">
        <f t="shared" si="19"/>
        <v>#DIV/0!</v>
      </c>
      <c r="AQ127" s="22"/>
      <c r="AR127" s="22"/>
      <c r="AS127" s="22"/>
      <c r="AT127" s="22"/>
      <c r="AU127" s="24">
        <f t="shared" si="13"/>
        <v>5.8000000000000003E-2</v>
      </c>
      <c r="AV127" s="22"/>
      <c r="AW127" s="22"/>
      <c r="AX127" s="22"/>
      <c r="AY127" s="22"/>
      <c r="AZ127" s="23"/>
      <c r="BA127" s="24">
        <f t="shared" si="17"/>
        <v>6.3779152784388393E-2</v>
      </c>
      <c r="BB127" s="22">
        <f t="shared" si="17"/>
        <v>5.3613979348689438E-2</v>
      </c>
      <c r="BC127" s="22">
        <f t="shared" si="17"/>
        <v>4.9200000000000001E-2</v>
      </c>
      <c r="BD127" s="22">
        <f t="shared" si="17"/>
        <v>4.0399999999999998E-2</v>
      </c>
      <c r="BE127" s="22">
        <f t="shared" si="17"/>
        <v>4.1599999999999998E-2</v>
      </c>
      <c r="BF127" s="21">
        <f t="shared" si="17"/>
        <v>5.4399999999999997E-2</v>
      </c>
      <c r="BG127" s="22">
        <f t="shared" si="17"/>
        <v>4.9599999999999998E-2</v>
      </c>
      <c r="BH127" s="22">
        <f t="shared" si="17"/>
        <v>5.1428571428571428E-2</v>
      </c>
      <c r="BI127" s="21">
        <f t="shared" si="17"/>
        <v>5.3999999999999999E-2</v>
      </c>
      <c r="BJ127" s="23">
        <f t="shared" si="17"/>
        <v>4.8000000000000001E-2</v>
      </c>
      <c r="BK127" s="23">
        <f t="shared" si="17"/>
        <v>6.2849162011173187E-2</v>
      </c>
      <c r="BL127" s="24">
        <f t="shared" si="17"/>
        <v>6.6166249652488185E-2</v>
      </c>
      <c r="BM127" s="24">
        <f t="shared" si="17"/>
        <v>1.9781994348001614E-2</v>
      </c>
      <c r="BN127" s="24">
        <f t="shared" si="17"/>
        <v>3.44E-2</v>
      </c>
      <c r="BO127" s="24">
        <f t="shared" si="17"/>
        <v>6.08E-2</v>
      </c>
      <c r="BP127" s="24">
        <f t="shared" si="17"/>
        <v>2.9000000000000001E-2</v>
      </c>
      <c r="BQ127" s="24">
        <f t="shared" si="17"/>
        <v>3.2399999999999998E-2</v>
      </c>
      <c r="BR127" s="24">
        <f t="shared" si="17"/>
        <v>4.5990801839632077E-2</v>
      </c>
      <c r="BS127" s="24">
        <f t="shared" si="20"/>
        <v>0</v>
      </c>
      <c r="BT127" s="24">
        <f t="shared" si="20"/>
        <v>0</v>
      </c>
      <c r="BU127" s="24">
        <f t="shared" si="20"/>
        <v>0</v>
      </c>
      <c r="BV127" s="24">
        <f t="shared" si="20"/>
        <v>0</v>
      </c>
    </row>
    <row r="128" spans="1:74" x14ac:dyDescent="0.25">
      <c r="A128" s="16" t="s">
        <v>56</v>
      </c>
      <c r="B128" s="21">
        <f t="shared" si="18"/>
        <v>4.0000000000000001E-3</v>
      </c>
      <c r="C128" s="22">
        <f t="shared" si="18"/>
        <v>5.9999999999999995E-4</v>
      </c>
      <c r="D128" s="22">
        <f t="shared" si="18"/>
        <v>0</v>
      </c>
      <c r="E128" s="22">
        <f t="shared" si="18"/>
        <v>0</v>
      </c>
      <c r="F128" s="23"/>
      <c r="G128" s="22">
        <f t="shared" si="9"/>
        <v>0</v>
      </c>
      <c r="H128" s="21"/>
      <c r="I128" s="22"/>
      <c r="J128" s="22"/>
      <c r="K128" s="22"/>
      <c r="L128" s="23"/>
      <c r="M128" s="21"/>
      <c r="N128" s="22"/>
      <c r="O128" s="22"/>
      <c r="P128" s="22"/>
      <c r="Q128" s="23"/>
      <c r="R128" s="21"/>
      <c r="S128" s="22"/>
      <c r="T128" s="22"/>
      <c r="U128" s="22"/>
      <c r="V128" s="22"/>
      <c r="W128" s="24">
        <f t="shared" si="10"/>
        <v>2.0000000000000001E-4</v>
      </c>
      <c r="X128" s="22"/>
      <c r="Y128" s="22"/>
      <c r="Z128" s="22"/>
      <c r="AA128" s="22"/>
      <c r="AB128" s="23"/>
      <c r="AC128" s="22"/>
      <c r="AD128" s="22"/>
      <c r="AE128" s="22"/>
      <c r="AF128" s="22"/>
      <c r="AG128" s="23"/>
      <c r="AH128" s="23">
        <f t="shared" si="11"/>
        <v>3.0030030030030029E-4</v>
      </c>
      <c r="AI128" s="21"/>
      <c r="AJ128" s="22"/>
      <c r="AK128" s="22"/>
      <c r="AL128" s="22"/>
      <c r="AM128" s="23"/>
      <c r="AN128" s="24">
        <f t="shared" si="19"/>
        <v>0</v>
      </c>
      <c r="AO128" s="24">
        <f t="shared" si="19"/>
        <v>2.0000000000000001E-4</v>
      </c>
      <c r="AP128" s="22" t="e">
        <f t="shared" si="19"/>
        <v>#DIV/0!</v>
      </c>
      <c r="AQ128" s="22"/>
      <c r="AR128" s="22"/>
      <c r="AS128" s="22"/>
      <c r="AT128" s="22"/>
      <c r="AU128" s="24">
        <f t="shared" si="13"/>
        <v>0</v>
      </c>
      <c r="AV128" s="22"/>
      <c r="AW128" s="22"/>
      <c r="AX128" s="22"/>
      <c r="AY128" s="22"/>
      <c r="AZ128" s="23"/>
      <c r="BA128" s="24">
        <f t="shared" si="17"/>
        <v>0</v>
      </c>
      <c r="BB128" s="22">
        <f t="shared" si="17"/>
        <v>0</v>
      </c>
      <c r="BC128" s="22">
        <f t="shared" si="17"/>
        <v>0</v>
      </c>
      <c r="BD128" s="22">
        <f t="shared" si="17"/>
        <v>4.0000000000000002E-4</v>
      </c>
      <c r="BE128" s="22">
        <f t="shared" si="17"/>
        <v>0</v>
      </c>
      <c r="BF128" s="21">
        <f t="shared" si="17"/>
        <v>4.0000000000000002E-4</v>
      </c>
      <c r="BG128" s="22">
        <f t="shared" si="17"/>
        <v>0</v>
      </c>
      <c r="BH128" s="22">
        <f t="shared" si="17"/>
        <v>3.8095238095238096E-4</v>
      </c>
      <c r="BI128" s="21">
        <f t="shared" si="17"/>
        <v>0</v>
      </c>
      <c r="BJ128" s="23">
        <f t="shared" si="17"/>
        <v>0</v>
      </c>
      <c r="BK128" s="23">
        <f t="shared" si="17"/>
        <v>0</v>
      </c>
      <c r="BL128" s="24">
        <f t="shared" si="17"/>
        <v>0</v>
      </c>
      <c r="BM128" s="24">
        <f t="shared" si="17"/>
        <v>0</v>
      </c>
      <c r="BN128" s="24">
        <f t="shared" si="17"/>
        <v>0</v>
      </c>
      <c r="BO128" s="24">
        <f t="shared" si="17"/>
        <v>0</v>
      </c>
      <c r="BP128" s="24">
        <f t="shared" si="17"/>
        <v>0</v>
      </c>
      <c r="BQ128" s="24">
        <f t="shared" si="17"/>
        <v>0</v>
      </c>
      <c r="BR128" s="24">
        <f t="shared" si="17"/>
        <v>0</v>
      </c>
      <c r="BS128" s="24">
        <f t="shared" si="20"/>
        <v>0</v>
      </c>
      <c r="BT128" s="24">
        <f t="shared" si="20"/>
        <v>0</v>
      </c>
      <c r="BU128" s="24">
        <f t="shared" si="20"/>
        <v>0</v>
      </c>
      <c r="BV128" s="24">
        <f t="shared" si="20"/>
        <v>0</v>
      </c>
    </row>
    <row r="129" spans="1:74" x14ac:dyDescent="0.25">
      <c r="A129" s="16" t="s">
        <v>57</v>
      </c>
      <c r="B129" s="21">
        <f t="shared" si="18"/>
        <v>0</v>
      </c>
      <c r="C129" s="22">
        <f t="shared" si="18"/>
        <v>0</v>
      </c>
      <c r="D129" s="22">
        <f t="shared" si="18"/>
        <v>0</v>
      </c>
      <c r="E129" s="22">
        <f t="shared" si="18"/>
        <v>0</v>
      </c>
      <c r="F129" s="23"/>
      <c r="G129" s="22">
        <f t="shared" si="9"/>
        <v>0</v>
      </c>
      <c r="H129" s="21"/>
      <c r="I129" s="22"/>
      <c r="J129" s="22"/>
      <c r="K129" s="22"/>
      <c r="L129" s="23"/>
      <c r="M129" s="21"/>
      <c r="N129" s="22"/>
      <c r="O129" s="22"/>
      <c r="P129" s="22"/>
      <c r="Q129" s="23"/>
      <c r="R129" s="21"/>
      <c r="S129" s="22"/>
      <c r="T129" s="22"/>
      <c r="U129" s="22"/>
      <c r="V129" s="22"/>
      <c r="W129" s="24">
        <f t="shared" si="10"/>
        <v>0</v>
      </c>
      <c r="X129" s="22"/>
      <c r="Y129" s="22"/>
      <c r="Z129" s="22"/>
      <c r="AA129" s="22"/>
      <c r="AB129" s="23"/>
      <c r="AC129" s="22"/>
      <c r="AD129" s="22"/>
      <c r="AE129" s="22"/>
      <c r="AF129" s="22"/>
      <c r="AG129" s="23"/>
      <c r="AH129" s="23">
        <f t="shared" si="11"/>
        <v>0</v>
      </c>
      <c r="AI129" s="21"/>
      <c r="AJ129" s="22"/>
      <c r="AK129" s="22"/>
      <c r="AL129" s="22"/>
      <c r="AM129" s="23"/>
      <c r="AN129" s="24">
        <f t="shared" si="19"/>
        <v>0</v>
      </c>
      <c r="AO129" s="24">
        <f t="shared" si="19"/>
        <v>0</v>
      </c>
      <c r="AP129" s="22" t="e">
        <f t="shared" si="19"/>
        <v>#DIV/0!</v>
      </c>
      <c r="AQ129" s="22"/>
      <c r="AR129" s="22"/>
      <c r="AS129" s="22"/>
      <c r="AT129" s="22"/>
      <c r="AU129" s="24">
        <f t="shared" si="13"/>
        <v>0</v>
      </c>
      <c r="AV129" s="22"/>
      <c r="AW129" s="22"/>
      <c r="AX129" s="22"/>
      <c r="AY129" s="22"/>
      <c r="AZ129" s="23"/>
      <c r="BA129" s="24">
        <f t="shared" si="17"/>
        <v>0</v>
      </c>
      <c r="BB129" s="22">
        <f t="shared" si="17"/>
        <v>0</v>
      </c>
      <c r="BC129" s="22">
        <f t="shared" si="17"/>
        <v>0</v>
      </c>
      <c r="BD129" s="22">
        <f t="shared" si="17"/>
        <v>0</v>
      </c>
      <c r="BE129" s="22">
        <f t="shared" si="17"/>
        <v>0</v>
      </c>
      <c r="BF129" s="21">
        <f t="shared" si="17"/>
        <v>0</v>
      </c>
      <c r="BG129" s="22">
        <f t="shared" si="17"/>
        <v>0</v>
      </c>
      <c r="BH129" s="22">
        <f t="shared" si="17"/>
        <v>0</v>
      </c>
      <c r="BI129" s="21">
        <f t="shared" si="17"/>
        <v>0</v>
      </c>
      <c r="BJ129" s="23">
        <f t="shared" si="17"/>
        <v>0</v>
      </c>
      <c r="BK129" s="23">
        <f t="shared" si="17"/>
        <v>0</v>
      </c>
      <c r="BL129" s="24">
        <f t="shared" si="17"/>
        <v>0</v>
      </c>
      <c r="BM129" s="24">
        <f t="shared" si="17"/>
        <v>0</v>
      </c>
      <c r="BN129" s="24">
        <f t="shared" si="17"/>
        <v>0</v>
      </c>
      <c r="BO129" s="24">
        <f t="shared" si="17"/>
        <v>0</v>
      </c>
      <c r="BP129" s="24">
        <f t="shared" si="17"/>
        <v>0</v>
      </c>
      <c r="BQ129" s="24">
        <f t="shared" si="17"/>
        <v>0</v>
      </c>
      <c r="BR129" s="24">
        <f t="shared" si="17"/>
        <v>0</v>
      </c>
      <c r="BS129" s="24">
        <f t="shared" si="20"/>
        <v>1E-3</v>
      </c>
      <c r="BT129" s="24">
        <f t="shared" si="20"/>
        <v>0</v>
      </c>
      <c r="BU129" s="24">
        <f t="shared" si="20"/>
        <v>0</v>
      </c>
      <c r="BV129" s="24">
        <f t="shared" si="20"/>
        <v>0</v>
      </c>
    </row>
    <row r="130" spans="1:74" x14ac:dyDescent="0.25">
      <c r="A130" s="16"/>
      <c r="B130" s="21"/>
      <c r="C130" s="22"/>
      <c r="D130" s="22"/>
      <c r="E130" s="22"/>
      <c r="F130" s="23"/>
      <c r="G130" s="22"/>
      <c r="H130" s="21"/>
      <c r="I130" s="22"/>
      <c r="J130" s="22"/>
      <c r="K130" s="22"/>
      <c r="L130" s="23"/>
      <c r="M130" s="21"/>
      <c r="N130" s="22"/>
      <c r="O130" s="22"/>
      <c r="P130" s="22"/>
      <c r="Q130" s="23"/>
      <c r="R130" s="21"/>
      <c r="S130" s="22"/>
      <c r="T130" s="22"/>
      <c r="U130" s="22"/>
      <c r="V130" s="22"/>
      <c r="W130" s="24"/>
      <c r="X130" s="22"/>
      <c r="Y130" s="22"/>
      <c r="Z130" s="22"/>
      <c r="AA130" s="22"/>
      <c r="AB130" s="23"/>
      <c r="AC130" s="22"/>
      <c r="AD130" s="22"/>
      <c r="AE130" s="22"/>
      <c r="AF130" s="22"/>
      <c r="AG130" s="23"/>
      <c r="AH130" s="23"/>
      <c r="AI130" s="21"/>
      <c r="AJ130" s="22"/>
      <c r="AK130" s="22"/>
      <c r="AL130" s="22"/>
      <c r="AM130" s="23"/>
      <c r="AN130" s="24"/>
      <c r="AO130" s="24"/>
      <c r="AP130" s="22"/>
      <c r="AQ130" s="22"/>
      <c r="AR130" s="22"/>
      <c r="AS130" s="22"/>
      <c r="AT130" s="22"/>
      <c r="AU130" s="24"/>
      <c r="AV130" s="22"/>
      <c r="AW130" s="22"/>
      <c r="AX130" s="22"/>
      <c r="AY130" s="22"/>
      <c r="AZ130" s="23"/>
      <c r="BA130" s="24"/>
      <c r="BB130" s="22"/>
      <c r="BC130" s="22"/>
      <c r="BD130" s="22"/>
      <c r="BE130" s="22"/>
      <c r="BF130" s="21"/>
      <c r="BG130" s="22"/>
      <c r="BH130" s="22"/>
      <c r="BI130" s="21"/>
      <c r="BJ130" s="23"/>
      <c r="BK130" s="23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</row>
    <row r="131" spans="1:74" x14ac:dyDescent="0.25">
      <c r="A131" s="29" t="s">
        <v>58</v>
      </c>
      <c r="B131" s="21"/>
      <c r="C131" s="22"/>
      <c r="D131" s="22"/>
      <c r="E131" s="22"/>
      <c r="F131" s="23"/>
      <c r="G131" s="22"/>
      <c r="H131" s="21"/>
      <c r="I131" s="22"/>
      <c r="J131" s="22"/>
      <c r="K131" s="22"/>
      <c r="L131" s="23"/>
      <c r="M131" s="21"/>
      <c r="N131" s="22"/>
      <c r="O131" s="22"/>
      <c r="P131" s="22"/>
      <c r="Q131" s="23"/>
      <c r="R131" s="21"/>
      <c r="S131" s="22"/>
      <c r="T131" s="22"/>
      <c r="U131" s="22"/>
      <c r="V131" s="22"/>
      <c r="W131" s="24"/>
      <c r="X131" s="22"/>
      <c r="Y131" s="22"/>
      <c r="Z131" s="22"/>
      <c r="AA131" s="22"/>
      <c r="AB131" s="23"/>
      <c r="AC131" s="22"/>
      <c r="AD131" s="22"/>
      <c r="AE131" s="22"/>
      <c r="AF131" s="22"/>
      <c r="AG131" s="23"/>
      <c r="AH131" s="23"/>
      <c r="AI131" s="21"/>
      <c r="AJ131" s="22"/>
      <c r="AK131" s="22"/>
      <c r="AL131" s="22"/>
      <c r="AM131" s="23"/>
      <c r="AN131" s="24"/>
      <c r="AO131" s="24"/>
      <c r="AP131" s="22"/>
      <c r="AQ131" s="22"/>
      <c r="AR131" s="22"/>
      <c r="AS131" s="22"/>
      <c r="AT131" s="22"/>
      <c r="AU131" s="24"/>
      <c r="AV131" s="22"/>
      <c r="AW131" s="22"/>
      <c r="AX131" s="22"/>
      <c r="AY131" s="22"/>
      <c r="AZ131" s="23"/>
      <c r="BA131" s="24"/>
      <c r="BB131" s="22"/>
      <c r="BC131" s="22"/>
      <c r="BD131" s="22"/>
      <c r="BE131" s="22"/>
      <c r="BF131" s="21"/>
      <c r="BG131" s="22"/>
      <c r="BH131" s="22"/>
      <c r="BI131" s="21"/>
      <c r="BJ131" s="23"/>
      <c r="BK131" s="23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</row>
    <row r="132" spans="1:74" x14ac:dyDescent="0.25">
      <c r="A132" s="16" t="s">
        <v>59</v>
      </c>
      <c r="B132" s="21">
        <f t="shared" ref="B132:E137" si="21">B46/B$6</f>
        <v>0.1056</v>
      </c>
      <c r="C132" s="22">
        <f t="shared" si="21"/>
        <v>6.9000000000000006E-2</v>
      </c>
      <c r="D132" s="22">
        <f t="shared" si="21"/>
        <v>6.6600000000000006E-2</v>
      </c>
      <c r="E132" s="22">
        <f t="shared" si="21"/>
        <v>6.6000000000000003E-2</v>
      </c>
      <c r="F132" s="23"/>
      <c r="G132" s="22">
        <f t="shared" ref="G132:G137" si="22">G46/G$6</f>
        <v>4.02E-2</v>
      </c>
      <c r="H132" s="21"/>
      <c r="I132" s="22"/>
      <c r="J132" s="22"/>
      <c r="K132" s="22"/>
      <c r="L132" s="23"/>
      <c r="M132" s="21"/>
      <c r="N132" s="22"/>
      <c r="O132" s="22"/>
      <c r="P132" s="22"/>
      <c r="Q132" s="23"/>
      <c r="R132" s="21"/>
      <c r="S132" s="22"/>
      <c r="T132" s="22"/>
      <c r="U132" s="22"/>
      <c r="V132" s="22"/>
      <c r="W132" s="24">
        <f t="shared" ref="W132:W137" si="23">W46/W$6</f>
        <v>3.04E-2</v>
      </c>
      <c r="X132" s="22"/>
      <c r="Y132" s="22"/>
      <c r="Z132" s="22"/>
      <c r="AA132" s="22"/>
      <c r="AB132" s="23"/>
      <c r="AC132" s="22"/>
      <c r="AD132" s="22"/>
      <c r="AE132" s="22"/>
      <c r="AF132" s="22"/>
      <c r="AG132" s="23"/>
      <c r="AH132" s="23">
        <f t="shared" ref="AH132:AH137" si="24">AH46/AH$6</f>
        <v>6.1561561561561562E-2</v>
      </c>
      <c r="AI132" s="21"/>
      <c r="AJ132" s="22"/>
      <c r="AK132" s="22"/>
      <c r="AL132" s="22"/>
      <c r="AM132" s="23"/>
      <c r="AN132" s="24">
        <f t="shared" ref="AN132:AP137" si="25">AN46/AN$6</f>
        <v>0.22120000000000001</v>
      </c>
      <c r="AO132" s="24">
        <f t="shared" si="25"/>
        <v>0.2276</v>
      </c>
      <c r="AP132" s="22" t="e">
        <f t="shared" si="25"/>
        <v>#DIV/0!</v>
      </c>
      <c r="AQ132" s="22"/>
      <c r="AR132" s="22"/>
      <c r="AS132" s="22"/>
      <c r="AT132" s="22"/>
      <c r="AU132" s="24">
        <f t="shared" ref="AU132:AU137" si="26">AU46/AU$6</f>
        <v>0.24560000000000001</v>
      </c>
      <c r="AV132" s="22"/>
      <c r="AW132" s="22"/>
      <c r="AX132" s="22"/>
      <c r="AY132" s="22"/>
      <c r="AZ132" s="23"/>
      <c r="BA132" s="24">
        <f t="shared" ref="BA132:BR147" si="27">BA46/BA$6</f>
        <v>0.30318895763921944</v>
      </c>
      <c r="BB132" s="22">
        <f t="shared" si="27"/>
        <v>0.16838760921366164</v>
      </c>
      <c r="BC132" s="22">
        <f t="shared" si="27"/>
        <v>0.17480000000000001</v>
      </c>
      <c r="BD132" s="22">
        <f t="shared" si="27"/>
        <v>0.17119999999999999</v>
      </c>
      <c r="BE132" s="22">
        <f t="shared" si="27"/>
        <v>0.1784</v>
      </c>
      <c r="BF132" s="21">
        <f t="shared" si="27"/>
        <v>0.15759999999999999</v>
      </c>
      <c r="BG132" s="22">
        <f t="shared" si="27"/>
        <v>0.17399999999999999</v>
      </c>
      <c r="BH132" s="22">
        <f t="shared" si="27"/>
        <v>0.16038095238095237</v>
      </c>
      <c r="BI132" s="21">
        <f t="shared" si="27"/>
        <v>0.16400000000000001</v>
      </c>
      <c r="BJ132" s="23">
        <f t="shared" si="27"/>
        <v>0.182</v>
      </c>
      <c r="BK132" s="23">
        <f t="shared" si="27"/>
        <v>0.22828544825751529</v>
      </c>
      <c r="BL132" s="24">
        <f t="shared" si="27"/>
        <v>0.48755907700861828</v>
      </c>
      <c r="BM132" s="24">
        <f t="shared" si="27"/>
        <v>2.3819136051675415E-2</v>
      </c>
      <c r="BN132" s="24">
        <f t="shared" si="27"/>
        <v>2.64E-2</v>
      </c>
      <c r="BO132" s="24">
        <f t="shared" si="27"/>
        <v>0.22120000000000001</v>
      </c>
      <c r="BP132" s="24">
        <f t="shared" si="27"/>
        <v>1.4E-3</v>
      </c>
      <c r="BQ132" s="24">
        <f t="shared" si="27"/>
        <v>0.19620000000000001</v>
      </c>
      <c r="BR132" s="24">
        <f t="shared" si="27"/>
        <v>0.13657268546290741</v>
      </c>
      <c r="BS132" s="24">
        <f t="shared" ref="BS132:BV147" si="28">BS57/BS$6</f>
        <v>5.8000000000000003E-2</v>
      </c>
      <c r="BT132" s="24">
        <f t="shared" si="28"/>
        <v>7.22E-2</v>
      </c>
      <c r="BU132" s="24">
        <f t="shared" si="28"/>
        <v>7.5800000000000006E-2</v>
      </c>
      <c r="BV132" s="24">
        <f>BV57/BV$6</f>
        <v>0</v>
      </c>
    </row>
    <row r="133" spans="1:74" x14ac:dyDescent="0.25">
      <c r="A133" s="16" t="s">
        <v>60</v>
      </c>
      <c r="B133" s="21">
        <f t="shared" si="21"/>
        <v>1.1999999999999999E-3</v>
      </c>
      <c r="C133" s="22">
        <f t="shared" si="21"/>
        <v>3.2000000000000002E-3</v>
      </c>
      <c r="D133" s="22">
        <f t="shared" si="21"/>
        <v>2.0000000000000001E-4</v>
      </c>
      <c r="E133" s="22">
        <f t="shared" si="21"/>
        <v>4.0000000000000002E-4</v>
      </c>
      <c r="F133" s="23"/>
      <c r="G133" s="22">
        <f t="shared" si="22"/>
        <v>5.9999999999999995E-4</v>
      </c>
      <c r="H133" s="21"/>
      <c r="I133" s="22"/>
      <c r="J133" s="22"/>
      <c r="K133" s="22"/>
      <c r="L133" s="23"/>
      <c r="M133" s="21"/>
      <c r="N133" s="22"/>
      <c r="O133" s="22"/>
      <c r="P133" s="22"/>
      <c r="Q133" s="23"/>
      <c r="R133" s="21"/>
      <c r="S133" s="22"/>
      <c r="T133" s="22"/>
      <c r="U133" s="22"/>
      <c r="V133" s="22"/>
      <c r="W133" s="24">
        <f t="shared" si="23"/>
        <v>5.9999999999999995E-4</v>
      </c>
      <c r="X133" s="22"/>
      <c r="Y133" s="22"/>
      <c r="Z133" s="22"/>
      <c r="AA133" s="22"/>
      <c r="AB133" s="23"/>
      <c r="AC133" s="22"/>
      <c r="AD133" s="22"/>
      <c r="AE133" s="22"/>
      <c r="AF133" s="22"/>
      <c r="AG133" s="23"/>
      <c r="AH133" s="23">
        <f t="shared" si="24"/>
        <v>0</v>
      </c>
      <c r="AI133" s="21"/>
      <c r="AJ133" s="22"/>
      <c r="AK133" s="22"/>
      <c r="AL133" s="22"/>
      <c r="AM133" s="23"/>
      <c r="AN133" s="24">
        <f t="shared" si="25"/>
        <v>1.32E-2</v>
      </c>
      <c r="AO133" s="24">
        <f t="shared" si="25"/>
        <v>1.32E-2</v>
      </c>
      <c r="AP133" s="22" t="e">
        <f t="shared" si="25"/>
        <v>#DIV/0!</v>
      </c>
      <c r="AQ133" s="22"/>
      <c r="AR133" s="22"/>
      <c r="AS133" s="22"/>
      <c r="AT133" s="22"/>
      <c r="AU133" s="24">
        <f t="shared" si="26"/>
        <v>5.0000000000000001E-3</v>
      </c>
      <c r="AV133" s="22"/>
      <c r="AW133" s="22"/>
      <c r="AX133" s="22"/>
      <c r="AY133" s="22"/>
      <c r="AZ133" s="23"/>
      <c r="BA133" s="24">
        <f t="shared" si="27"/>
        <v>2.8557829604950024E-3</v>
      </c>
      <c r="BB133" s="22">
        <f t="shared" si="27"/>
        <v>0</v>
      </c>
      <c r="BC133" s="22">
        <f t="shared" si="27"/>
        <v>0</v>
      </c>
      <c r="BD133" s="22">
        <f t="shared" si="27"/>
        <v>0</v>
      </c>
      <c r="BE133" s="22">
        <f t="shared" si="27"/>
        <v>0</v>
      </c>
      <c r="BF133" s="21">
        <f t="shared" si="27"/>
        <v>0</v>
      </c>
      <c r="BG133" s="22">
        <f t="shared" si="27"/>
        <v>0</v>
      </c>
      <c r="BH133" s="22">
        <f t="shared" si="27"/>
        <v>0</v>
      </c>
      <c r="BI133" s="21">
        <f t="shared" si="27"/>
        <v>0</v>
      </c>
      <c r="BJ133" s="23">
        <f t="shared" si="27"/>
        <v>0</v>
      </c>
      <c r="BK133" s="23">
        <f t="shared" si="27"/>
        <v>0</v>
      </c>
      <c r="BL133" s="24">
        <f t="shared" si="27"/>
        <v>0</v>
      </c>
      <c r="BM133" s="24">
        <f t="shared" si="27"/>
        <v>3.6334275333064193E-3</v>
      </c>
      <c r="BN133" s="24">
        <f t="shared" si="27"/>
        <v>8.0000000000000002E-3</v>
      </c>
      <c r="BO133" s="24">
        <f t="shared" si="27"/>
        <v>1.2999999999999999E-2</v>
      </c>
      <c r="BP133" s="24">
        <f t="shared" si="27"/>
        <v>1.9800000000000002E-2</v>
      </c>
      <c r="BQ133" s="24">
        <f t="shared" si="27"/>
        <v>1.2999999999999999E-3</v>
      </c>
      <c r="BR133" s="24">
        <f t="shared" si="27"/>
        <v>1.5996800639872025E-3</v>
      </c>
      <c r="BS133" s="24">
        <f t="shared" si="28"/>
        <v>4.7999999999999996E-3</v>
      </c>
      <c r="BT133" s="24">
        <f t="shared" si="28"/>
        <v>4.0000000000000001E-3</v>
      </c>
      <c r="BU133" s="24">
        <f t="shared" si="28"/>
        <v>4.1999999999999997E-3</v>
      </c>
      <c r="BV133" s="24">
        <f>BV58/BV$6</f>
        <v>0</v>
      </c>
    </row>
    <row r="134" spans="1:74" x14ac:dyDescent="0.25">
      <c r="A134" s="16" t="s">
        <v>61</v>
      </c>
      <c r="B134" s="21">
        <f t="shared" si="21"/>
        <v>0</v>
      </c>
      <c r="C134" s="22">
        <f t="shared" si="21"/>
        <v>0</v>
      </c>
      <c r="D134" s="22">
        <f t="shared" si="21"/>
        <v>0</v>
      </c>
      <c r="E134" s="22">
        <f t="shared" si="21"/>
        <v>0</v>
      </c>
      <c r="F134" s="23"/>
      <c r="G134" s="22">
        <f t="shared" si="22"/>
        <v>4.0000000000000002E-4</v>
      </c>
      <c r="H134" s="21"/>
      <c r="I134" s="22"/>
      <c r="J134" s="22"/>
      <c r="K134" s="22"/>
      <c r="L134" s="23"/>
      <c r="M134" s="21"/>
      <c r="N134" s="22"/>
      <c r="O134" s="22"/>
      <c r="P134" s="22"/>
      <c r="Q134" s="23"/>
      <c r="R134" s="21"/>
      <c r="S134" s="22"/>
      <c r="T134" s="22"/>
      <c r="U134" s="22"/>
      <c r="V134" s="22"/>
      <c r="W134" s="24">
        <f t="shared" si="23"/>
        <v>0</v>
      </c>
      <c r="X134" s="22"/>
      <c r="Y134" s="22"/>
      <c r="Z134" s="22"/>
      <c r="AA134" s="22"/>
      <c r="AB134" s="23"/>
      <c r="AC134" s="22"/>
      <c r="AD134" s="22"/>
      <c r="AE134" s="22"/>
      <c r="AF134" s="22"/>
      <c r="AG134" s="23"/>
      <c r="AH134" s="23">
        <f t="shared" si="24"/>
        <v>1.2012012012012012E-2</v>
      </c>
      <c r="AI134" s="21"/>
      <c r="AJ134" s="22"/>
      <c r="AK134" s="22"/>
      <c r="AL134" s="22"/>
      <c r="AM134" s="23"/>
      <c r="AN134" s="24">
        <f t="shared" si="25"/>
        <v>0</v>
      </c>
      <c r="AO134" s="24">
        <f t="shared" si="25"/>
        <v>0</v>
      </c>
      <c r="AP134" s="22" t="e">
        <f t="shared" si="25"/>
        <v>#DIV/0!</v>
      </c>
      <c r="AQ134" s="22"/>
      <c r="AR134" s="22"/>
      <c r="AS134" s="22"/>
      <c r="AT134" s="22"/>
      <c r="AU134" s="24">
        <f t="shared" si="26"/>
        <v>0</v>
      </c>
      <c r="AV134" s="22"/>
      <c r="AW134" s="22"/>
      <c r="AX134" s="22"/>
      <c r="AY134" s="22"/>
      <c r="AZ134" s="23"/>
      <c r="BA134" s="24">
        <f t="shared" si="27"/>
        <v>0</v>
      </c>
      <c r="BB134" s="22">
        <f t="shared" si="27"/>
        <v>0</v>
      </c>
      <c r="BC134" s="22">
        <f t="shared" si="27"/>
        <v>0</v>
      </c>
      <c r="BD134" s="22">
        <f t="shared" si="27"/>
        <v>0</v>
      </c>
      <c r="BE134" s="22">
        <f t="shared" si="27"/>
        <v>0</v>
      </c>
      <c r="BF134" s="21">
        <f t="shared" si="27"/>
        <v>0</v>
      </c>
      <c r="BG134" s="22">
        <f t="shared" si="27"/>
        <v>4.0000000000000002E-4</v>
      </c>
      <c r="BH134" s="22">
        <f t="shared" si="27"/>
        <v>1.9047619047619048E-4</v>
      </c>
      <c r="BI134" s="21">
        <f t="shared" si="27"/>
        <v>0</v>
      </c>
      <c r="BJ134" s="23">
        <f t="shared" si="27"/>
        <v>0</v>
      </c>
      <c r="BK134" s="23">
        <f t="shared" si="27"/>
        <v>0</v>
      </c>
      <c r="BL134" s="24">
        <f t="shared" si="27"/>
        <v>0</v>
      </c>
      <c r="BM134" s="24">
        <f t="shared" si="27"/>
        <v>0</v>
      </c>
      <c r="BN134" s="24">
        <f t="shared" si="27"/>
        <v>0</v>
      </c>
      <c r="BO134" s="24">
        <f t="shared" si="27"/>
        <v>0</v>
      </c>
      <c r="BP134" s="24">
        <f t="shared" si="27"/>
        <v>0</v>
      </c>
      <c r="BQ134" s="24">
        <f t="shared" si="27"/>
        <v>0</v>
      </c>
      <c r="BR134" s="24">
        <f t="shared" si="27"/>
        <v>0</v>
      </c>
      <c r="BS134" s="24">
        <f t="shared" si="28"/>
        <v>1.6799999999999999E-2</v>
      </c>
      <c r="BT134" s="24">
        <f t="shared" si="28"/>
        <v>8.8000000000000005E-3</v>
      </c>
      <c r="BU134" s="24">
        <f t="shared" si="28"/>
        <v>9.1999999999999998E-3</v>
      </c>
      <c r="BV134" s="24">
        <f>BV59/BV$6</f>
        <v>0</v>
      </c>
    </row>
    <row r="135" spans="1:74" x14ac:dyDescent="0.25">
      <c r="A135" s="16" t="s">
        <v>62</v>
      </c>
      <c r="B135" s="21">
        <f t="shared" si="21"/>
        <v>0</v>
      </c>
      <c r="C135" s="22">
        <f t="shared" si="21"/>
        <v>0</v>
      </c>
      <c r="D135" s="22">
        <f t="shared" si="21"/>
        <v>0</v>
      </c>
      <c r="E135" s="22">
        <f t="shared" si="21"/>
        <v>0</v>
      </c>
      <c r="F135" s="23"/>
      <c r="G135" s="22">
        <f t="shared" si="22"/>
        <v>0</v>
      </c>
      <c r="H135" s="21"/>
      <c r="I135" s="22"/>
      <c r="J135" s="22"/>
      <c r="K135" s="22"/>
      <c r="L135" s="23"/>
      <c r="M135" s="21"/>
      <c r="N135" s="22"/>
      <c r="O135" s="22"/>
      <c r="P135" s="22"/>
      <c r="Q135" s="23"/>
      <c r="R135" s="21"/>
      <c r="S135" s="22"/>
      <c r="T135" s="22"/>
      <c r="U135" s="22"/>
      <c r="V135" s="22"/>
      <c r="W135" s="24">
        <f t="shared" si="23"/>
        <v>0</v>
      </c>
      <c r="X135" s="22"/>
      <c r="Y135" s="22"/>
      <c r="Z135" s="22"/>
      <c r="AA135" s="22"/>
      <c r="AB135" s="23"/>
      <c r="AC135" s="22"/>
      <c r="AD135" s="22"/>
      <c r="AE135" s="22"/>
      <c r="AF135" s="22"/>
      <c r="AG135" s="23"/>
      <c r="AH135" s="23">
        <f t="shared" si="24"/>
        <v>0</v>
      </c>
      <c r="AI135" s="21"/>
      <c r="AJ135" s="22"/>
      <c r="AK135" s="22"/>
      <c r="AL135" s="22"/>
      <c r="AM135" s="23"/>
      <c r="AN135" s="24">
        <f t="shared" si="25"/>
        <v>0</v>
      </c>
      <c r="AO135" s="24">
        <f t="shared" si="25"/>
        <v>0</v>
      </c>
      <c r="AP135" s="22" t="e">
        <f t="shared" si="25"/>
        <v>#DIV/0!</v>
      </c>
      <c r="AQ135" s="22"/>
      <c r="AR135" s="22"/>
      <c r="AS135" s="22"/>
      <c r="AT135" s="22"/>
      <c r="AU135" s="24">
        <f t="shared" si="26"/>
        <v>0</v>
      </c>
      <c r="AV135" s="22"/>
      <c r="AW135" s="22"/>
      <c r="AX135" s="22"/>
      <c r="AY135" s="22"/>
      <c r="AZ135" s="23"/>
      <c r="BA135" s="24">
        <f t="shared" si="27"/>
        <v>0</v>
      </c>
      <c r="BB135" s="22">
        <f t="shared" si="27"/>
        <v>0</v>
      </c>
      <c r="BC135" s="22">
        <f t="shared" si="27"/>
        <v>0</v>
      </c>
      <c r="BD135" s="22">
        <f t="shared" si="27"/>
        <v>0</v>
      </c>
      <c r="BE135" s="22">
        <f t="shared" si="27"/>
        <v>0</v>
      </c>
      <c r="BF135" s="21">
        <f t="shared" si="27"/>
        <v>0</v>
      </c>
      <c r="BG135" s="22">
        <f t="shared" si="27"/>
        <v>0</v>
      </c>
      <c r="BH135" s="22">
        <f t="shared" si="27"/>
        <v>0</v>
      </c>
      <c r="BI135" s="21">
        <f t="shared" si="27"/>
        <v>0</v>
      </c>
      <c r="BJ135" s="23">
        <f t="shared" si="27"/>
        <v>0</v>
      </c>
      <c r="BK135" s="23">
        <f t="shared" si="27"/>
        <v>0</v>
      </c>
      <c r="BL135" s="24">
        <f t="shared" si="27"/>
        <v>0</v>
      </c>
      <c r="BM135" s="24">
        <f t="shared" si="27"/>
        <v>0</v>
      </c>
      <c r="BN135" s="24">
        <f t="shared" si="27"/>
        <v>0</v>
      </c>
      <c r="BO135" s="24">
        <f t="shared" si="27"/>
        <v>0</v>
      </c>
      <c r="BP135" s="24">
        <f t="shared" si="27"/>
        <v>0</v>
      </c>
      <c r="BQ135" s="24">
        <f t="shared" si="27"/>
        <v>0</v>
      </c>
      <c r="BR135" s="24">
        <f t="shared" si="27"/>
        <v>0</v>
      </c>
      <c r="BS135" s="24">
        <f t="shared" si="28"/>
        <v>6.1999999999999998E-3</v>
      </c>
      <c r="BT135" s="24">
        <f t="shared" si="28"/>
        <v>0.01</v>
      </c>
      <c r="BU135" s="24">
        <f t="shared" si="28"/>
        <v>0.01</v>
      </c>
      <c r="BV135" s="24">
        <f>BV60/BV$6</f>
        <v>0</v>
      </c>
    </row>
    <row r="136" spans="1:74" x14ac:dyDescent="0.25">
      <c r="A136" s="16" t="s">
        <v>63</v>
      </c>
      <c r="B136" s="21">
        <f t="shared" si="21"/>
        <v>4.0000000000000002E-4</v>
      </c>
      <c r="C136" s="22">
        <f t="shared" si="21"/>
        <v>8.0000000000000004E-4</v>
      </c>
      <c r="D136" s="22">
        <f t="shared" si="21"/>
        <v>0</v>
      </c>
      <c r="E136" s="22">
        <f t="shared" si="21"/>
        <v>1E-3</v>
      </c>
      <c r="F136" s="23"/>
      <c r="G136" s="22">
        <f t="shared" si="22"/>
        <v>2.0000000000000001E-4</v>
      </c>
      <c r="H136" s="21"/>
      <c r="I136" s="22"/>
      <c r="J136" s="22"/>
      <c r="K136" s="22"/>
      <c r="L136" s="23"/>
      <c r="M136" s="21"/>
      <c r="N136" s="22"/>
      <c r="O136" s="22"/>
      <c r="P136" s="22"/>
      <c r="Q136" s="23"/>
      <c r="R136" s="21"/>
      <c r="S136" s="22"/>
      <c r="T136" s="22"/>
      <c r="U136" s="22"/>
      <c r="V136" s="22"/>
      <c r="W136" s="24">
        <f t="shared" si="23"/>
        <v>5.9999999999999995E-4</v>
      </c>
      <c r="X136" s="22"/>
      <c r="Y136" s="22"/>
      <c r="Z136" s="22"/>
      <c r="AA136" s="22"/>
      <c r="AB136" s="23"/>
      <c r="AC136" s="22"/>
      <c r="AD136" s="22"/>
      <c r="AE136" s="22"/>
      <c r="AF136" s="22"/>
      <c r="AG136" s="23"/>
      <c r="AH136" s="23">
        <f t="shared" si="24"/>
        <v>0</v>
      </c>
      <c r="AI136" s="21"/>
      <c r="AJ136" s="22"/>
      <c r="AK136" s="22"/>
      <c r="AL136" s="22"/>
      <c r="AM136" s="23"/>
      <c r="AN136" s="24">
        <f t="shared" si="25"/>
        <v>0</v>
      </c>
      <c r="AO136" s="24">
        <f t="shared" si="25"/>
        <v>0</v>
      </c>
      <c r="AP136" s="22" t="e">
        <f t="shared" si="25"/>
        <v>#DIV/0!</v>
      </c>
      <c r="AQ136" s="22"/>
      <c r="AR136" s="22"/>
      <c r="AS136" s="22"/>
      <c r="AT136" s="22"/>
      <c r="AU136" s="24">
        <f t="shared" si="26"/>
        <v>0</v>
      </c>
      <c r="AV136" s="22"/>
      <c r="AW136" s="22"/>
      <c r="AX136" s="22"/>
      <c r="AY136" s="22"/>
      <c r="AZ136" s="23"/>
      <c r="BA136" s="24">
        <f t="shared" si="27"/>
        <v>0</v>
      </c>
      <c r="BB136" s="22">
        <f t="shared" si="27"/>
        <v>0</v>
      </c>
      <c r="BC136" s="22">
        <f t="shared" si="27"/>
        <v>0</v>
      </c>
      <c r="BD136" s="22">
        <f t="shared" si="27"/>
        <v>0</v>
      </c>
      <c r="BE136" s="22">
        <f t="shared" si="27"/>
        <v>0</v>
      </c>
      <c r="BF136" s="21">
        <f t="shared" si="27"/>
        <v>0</v>
      </c>
      <c r="BG136" s="22">
        <f t="shared" si="27"/>
        <v>0</v>
      </c>
      <c r="BH136" s="22">
        <f t="shared" si="27"/>
        <v>0</v>
      </c>
      <c r="BI136" s="21">
        <f t="shared" si="27"/>
        <v>0</v>
      </c>
      <c r="BJ136" s="23">
        <f t="shared" si="27"/>
        <v>0</v>
      </c>
      <c r="BK136" s="23">
        <f t="shared" si="27"/>
        <v>0</v>
      </c>
      <c r="BL136" s="24">
        <f t="shared" si="27"/>
        <v>0</v>
      </c>
      <c r="BM136" s="24">
        <f t="shared" si="27"/>
        <v>0</v>
      </c>
      <c r="BN136" s="24">
        <f t="shared" si="27"/>
        <v>0</v>
      </c>
      <c r="BO136" s="24">
        <f t="shared" si="27"/>
        <v>0</v>
      </c>
      <c r="BP136" s="24">
        <f t="shared" si="27"/>
        <v>0</v>
      </c>
      <c r="BQ136" s="24">
        <f t="shared" si="27"/>
        <v>0</v>
      </c>
      <c r="BR136" s="24">
        <f t="shared" si="27"/>
        <v>0</v>
      </c>
      <c r="BS136" s="24">
        <f t="shared" si="28"/>
        <v>8.3999999999999995E-3</v>
      </c>
      <c r="BT136" s="24">
        <f t="shared" si="28"/>
        <v>1.2200000000000001E-2</v>
      </c>
      <c r="BU136" s="24">
        <f t="shared" si="28"/>
        <v>1.2200000000000001E-2</v>
      </c>
      <c r="BV136" s="24">
        <f t="shared" si="28"/>
        <v>0</v>
      </c>
    </row>
    <row r="137" spans="1:74" x14ac:dyDescent="0.25">
      <c r="A137" s="16" t="s">
        <v>64</v>
      </c>
      <c r="B137" s="21">
        <f t="shared" si="21"/>
        <v>1.8E-3</v>
      </c>
      <c r="C137" s="22">
        <f t="shared" si="21"/>
        <v>4.0000000000000001E-3</v>
      </c>
      <c r="D137" s="22">
        <f t="shared" si="21"/>
        <v>1E-3</v>
      </c>
      <c r="E137" s="22">
        <f t="shared" si="21"/>
        <v>2.2000000000000001E-3</v>
      </c>
      <c r="F137" s="23"/>
      <c r="G137" s="22">
        <f t="shared" si="22"/>
        <v>5.9999999999999995E-4</v>
      </c>
      <c r="H137" s="21"/>
      <c r="I137" s="22"/>
      <c r="J137" s="22"/>
      <c r="K137" s="22"/>
      <c r="L137" s="23"/>
      <c r="M137" s="21"/>
      <c r="N137" s="22"/>
      <c r="O137" s="22"/>
      <c r="P137" s="22"/>
      <c r="Q137" s="23"/>
      <c r="R137" s="21"/>
      <c r="S137" s="22"/>
      <c r="T137" s="22"/>
      <c r="U137" s="22"/>
      <c r="V137" s="22"/>
      <c r="W137" s="24">
        <f t="shared" si="23"/>
        <v>0</v>
      </c>
      <c r="X137" s="22"/>
      <c r="Y137" s="22"/>
      <c r="Z137" s="22"/>
      <c r="AA137" s="22"/>
      <c r="AB137" s="23"/>
      <c r="AC137" s="22"/>
      <c r="AD137" s="22"/>
      <c r="AE137" s="22"/>
      <c r="AF137" s="22"/>
      <c r="AG137" s="23"/>
      <c r="AH137" s="23">
        <f t="shared" si="24"/>
        <v>3.9039039039039038E-3</v>
      </c>
      <c r="AI137" s="21"/>
      <c r="AJ137" s="22"/>
      <c r="AK137" s="22"/>
      <c r="AL137" s="22"/>
      <c r="AM137" s="23"/>
      <c r="AN137" s="24">
        <f t="shared" si="25"/>
        <v>5.0000000000000001E-3</v>
      </c>
      <c r="AO137" s="24">
        <f t="shared" si="25"/>
        <v>5.7999999999999996E-3</v>
      </c>
      <c r="AP137" s="22" t="e">
        <f t="shared" si="25"/>
        <v>#DIV/0!</v>
      </c>
      <c r="AQ137" s="22"/>
      <c r="AR137" s="22"/>
      <c r="AS137" s="22"/>
      <c r="AT137" s="22"/>
      <c r="AU137" s="24">
        <f t="shared" si="26"/>
        <v>6.7999999999999996E-3</v>
      </c>
      <c r="AV137" s="22"/>
      <c r="AW137" s="22"/>
      <c r="AX137" s="22"/>
      <c r="AY137" s="22"/>
      <c r="AZ137" s="23"/>
      <c r="BA137" s="24">
        <f t="shared" si="27"/>
        <v>9.5192765349833407E-3</v>
      </c>
      <c r="BB137" s="22">
        <f t="shared" si="27"/>
        <v>2.3828435266084196E-3</v>
      </c>
      <c r="BC137" s="22">
        <f t="shared" si="27"/>
        <v>4.0000000000000001E-3</v>
      </c>
      <c r="BD137" s="22">
        <f t="shared" si="27"/>
        <v>2.8E-3</v>
      </c>
      <c r="BE137" s="22">
        <f t="shared" si="27"/>
        <v>2E-3</v>
      </c>
      <c r="BF137" s="21">
        <f t="shared" si="27"/>
        <v>3.5999999999999999E-3</v>
      </c>
      <c r="BG137" s="22">
        <f t="shared" si="27"/>
        <v>8.0000000000000004E-4</v>
      </c>
      <c r="BH137" s="22">
        <f t="shared" si="27"/>
        <v>3.0476190476190477E-3</v>
      </c>
      <c r="BI137" s="21">
        <f t="shared" si="27"/>
        <v>4.0000000000000001E-3</v>
      </c>
      <c r="BJ137" s="23">
        <f t="shared" si="27"/>
        <v>2.3999999999999998E-3</v>
      </c>
      <c r="BK137" s="23">
        <f t="shared" si="27"/>
        <v>3.2255919127427506E-3</v>
      </c>
      <c r="BL137" s="24">
        <f t="shared" si="27"/>
        <v>4.3786488740617177E-3</v>
      </c>
      <c r="BM137" s="24">
        <f t="shared" si="27"/>
        <v>5.248284214775939E-3</v>
      </c>
      <c r="BN137" s="24">
        <f t="shared" si="27"/>
        <v>5.5999999999999999E-3</v>
      </c>
      <c r="BO137" s="24">
        <f t="shared" si="27"/>
        <v>5.0000000000000001E-3</v>
      </c>
      <c r="BP137" s="24">
        <f t="shared" si="27"/>
        <v>8.8000000000000005E-3</v>
      </c>
      <c r="BQ137" s="24">
        <f t="shared" si="27"/>
        <v>1.0999999999999999E-2</v>
      </c>
      <c r="BR137" s="24">
        <f t="shared" si="27"/>
        <v>1.1597680463907219E-2</v>
      </c>
      <c r="BS137" s="24">
        <f t="shared" si="28"/>
        <v>4.0000000000000002E-4</v>
      </c>
      <c r="BT137" s="24">
        <f t="shared" si="28"/>
        <v>1E-3</v>
      </c>
      <c r="BU137" s="24">
        <f t="shared" si="28"/>
        <v>1E-3</v>
      </c>
      <c r="BV137" s="24">
        <f t="shared" si="28"/>
        <v>0</v>
      </c>
    </row>
    <row r="138" spans="1:74" x14ac:dyDescent="0.25">
      <c r="A138" s="16" t="s">
        <v>65</v>
      </c>
      <c r="B138" s="21"/>
      <c r="C138" s="22"/>
      <c r="D138" s="22"/>
      <c r="E138" s="22"/>
      <c r="F138" s="23"/>
      <c r="G138" s="22"/>
      <c r="H138" s="21"/>
      <c r="I138" s="22"/>
      <c r="J138" s="22"/>
      <c r="K138" s="22"/>
      <c r="L138" s="23"/>
      <c r="M138" s="21"/>
      <c r="N138" s="22"/>
      <c r="O138" s="22"/>
      <c r="P138" s="22"/>
      <c r="Q138" s="23"/>
      <c r="R138" s="21"/>
      <c r="S138" s="22"/>
      <c r="T138" s="22"/>
      <c r="U138" s="22"/>
      <c r="V138" s="22"/>
      <c r="W138" s="24"/>
      <c r="X138" s="22"/>
      <c r="Y138" s="22"/>
      <c r="Z138" s="22"/>
      <c r="AA138" s="22"/>
      <c r="AB138" s="23"/>
      <c r="AC138" s="22"/>
      <c r="AD138" s="22"/>
      <c r="AE138" s="22"/>
      <c r="AF138" s="22"/>
      <c r="AG138" s="23"/>
      <c r="AH138" s="23"/>
      <c r="AI138" s="21"/>
      <c r="AJ138" s="22"/>
      <c r="AK138" s="22"/>
      <c r="AL138" s="22"/>
      <c r="AM138" s="23"/>
      <c r="AN138" s="24"/>
      <c r="AO138" s="24"/>
      <c r="AP138" s="22"/>
      <c r="AQ138" s="22"/>
      <c r="AR138" s="22"/>
      <c r="AS138" s="22"/>
      <c r="AT138" s="22"/>
      <c r="AU138" s="24"/>
      <c r="AV138" s="22"/>
      <c r="AW138" s="22"/>
      <c r="AX138" s="22"/>
      <c r="AY138" s="22"/>
      <c r="AZ138" s="23"/>
      <c r="BA138" s="24"/>
      <c r="BB138" s="22"/>
      <c r="BC138" s="22"/>
      <c r="BD138" s="22"/>
      <c r="BE138" s="22"/>
      <c r="BF138" s="21"/>
      <c r="BG138" s="22"/>
      <c r="BH138" s="22"/>
      <c r="BI138" s="21"/>
      <c r="BJ138" s="23"/>
      <c r="BK138" s="23"/>
      <c r="BL138" s="24"/>
      <c r="BM138" s="24">
        <f t="shared" si="27"/>
        <v>0</v>
      </c>
      <c r="BN138" s="24">
        <f t="shared" si="27"/>
        <v>0</v>
      </c>
      <c r="BO138" s="24">
        <f t="shared" si="27"/>
        <v>0</v>
      </c>
      <c r="BP138" s="24">
        <f t="shared" si="27"/>
        <v>0</v>
      </c>
      <c r="BQ138" s="24">
        <f t="shared" si="27"/>
        <v>0</v>
      </c>
      <c r="BR138" s="24">
        <f t="shared" si="27"/>
        <v>0</v>
      </c>
      <c r="BS138" s="24">
        <f t="shared" si="28"/>
        <v>3.6600000000000001E-2</v>
      </c>
      <c r="BT138" s="24">
        <f t="shared" si="28"/>
        <v>7.7200000000000005E-2</v>
      </c>
      <c r="BU138" s="24">
        <f t="shared" si="28"/>
        <v>7.7399999999999997E-2</v>
      </c>
      <c r="BV138" s="24">
        <f t="shared" si="28"/>
        <v>0</v>
      </c>
    </row>
    <row r="139" spans="1:74" x14ac:dyDescent="0.25">
      <c r="A139" s="16" t="s">
        <v>66</v>
      </c>
      <c r="B139" s="21">
        <f t="shared" ref="B139:E145" si="29">B53/B$6</f>
        <v>0</v>
      </c>
      <c r="C139" s="22">
        <f t="shared" si="29"/>
        <v>0</v>
      </c>
      <c r="D139" s="22">
        <f t="shared" si="29"/>
        <v>0</v>
      </c>
      <c r="E139" s="22">
        <f t="shared" si="29"/>
        <v>0</v>
      </c>
      <c r="F139" s="23"/>
      <c r="G139" s="22">
        <f t="shared" ref="G139:G145" si="30">G53/G$6</f>
        <v>0</v>
      </c>
      <c r="H139" s="21"/>
      <c r="I139" s="22"/>
      <c r="J139" s="22"/>
      <c r="K139" s="22"/>
      <c r="L139" s="23"/>
      <c r="M139" s="21"/>
      <c r="N139" s="22"/>
      <c r="O139" s="22"/>
      <c r="P139" s="22"/>
      <c r="Q139" s="23"/>
      <c r="R139" s="21"/>
      <c r="S139" s="22"/>
      <c r="T139" s="22"/>
      <c r="U139" s="22"/>
      <c r="V139" s="22"/>
      <c r="W139" s="24">
        <f t="shared" ref="W139:W145" si="31">W53/W$6</f>
        <v>0</v>
      </c>
      <c r="X139" s="22"/>
      <c r="Y139" s="22"/>
      <c r="Z139" s="22"/>
      <c r="AA139" s="22"/>
      <c r="AB139" s="23"/>
      <c r="AC139" s="22"/>
      <c r="AD139" s="22"/>
      <c r="AE139" s="22"/>
      <c r="AF139" s="22"/>
      <c r="AG139" s="23"/>
      <c r="AH139" s="23">
        <f t="shared" ref="AH139:AH145" si="32">AH53/AH$6</f>
        <v>0</v>
      </c>
      <c r="AI139" s="21"/>
      <c r="AJ139" s="22"/>
      <c r="AK139" s="22"/>
      <c r="AL139" s="22"/>
      <c r="AM139" s="23"/>
      <c r="AN139" s="24">
        <f t="shared" ref="AN139:AP145" si="33">AN53/AN$6</f>
        <v>0</v>
      </c>
      <c r="AO139" s="24">
        <f t="shared" si="33"/>
        <v>0</v>
      </c>
      <c r="AP139" s="22" t="e">
        <f t="shared" si="33"/>
        <v>#DIV/0!</v>
      </c>
      <c r="AQ139" s="22"/>
      <c r="AR139" s="22"/>
      <c r="AS139" s="22"/>
      <c r="AT139" s="22"/>
      <c r="AU139" s="24">
        <f t="shared" ref="AU139:AU145" si="34">AU53/AU$6</f>
        <v>0</v>
      </c>
      <c r="AV139" s="22"/>
      <c r="AW139" s="22"/>
      <c r="AX139" s="22"/>
      <c r="AY139" s="22"/>
      <c r="AZ139" s="23"/>
      <c r="BA139" s="24">
        <f t="shared" ref="BA139:BL145" si="35">BA53/BA$6</f>
        <v>0</v>
      </c>
      <c r="BB139" s="22">
        <f t="shared" si="35"/>
        <v>0</v>
      </c>
      <c r="BC139" s="22">
        <f t="shared" si="35"/>
        <v>0</v>
      </c>
      <c r="BD139" s="22">
        <f t="shared" si="35"/>
        <v>0</v>
      </c>
      <c r="BE139" s="22">
        <f t="shared" si="35"/>
        <v>0</v>
      </c>
      <c r="BF139" s="21">
        <f t="shared" si="35"/>
        <v>0</v>
      </c>
      <c r="BG139" s="22">
        <f t="shared" si="35"/>
        <v>0</v>
      </c>
      <c r="BH139" s="22">
        <f t="shared" si="35"/>
        <v>0</v>
      </c>
      <c r="BI139" s="21">
        <f t="shared" si="35"/>
        <v>0</v>
      </c>
      <c r="BJ139" s="23">
        <f t="shared" si="35"/>
        <v>0</v>
      </c>
      <c r="BK139" s="23">
        <f t="shared" si="35"/>
        <v>0</v>
      </c>
      <c r="BL139" s="24">
        <f t="shared" si="35"/>
        <v>0</v>
      </c>
      <c r="BM139" s="24">
        <f t="shared" si="27"/>
        <v>0</v>
      </c>
      <c r="BN139" s="24">
        <f t="shared" si="27"/>
        <v>0</v>
      </c>
      <c r="BO139" s="24">
        <f t="shared" si="27"/>
        <v>0</v>
      </c>
      <c r="BP139" s="24">
        <f t="shared" si="27"/>
        <v>0</v>
      </c>
      <c r="BQ139" s="24">
        <f t="shared" si="27"/>
        <v>0</v>
      </c>
      <c r="BR139" s="24">
        <f t="shared" si="27"/>
        <v>0</v>
      </c>
      <c r="BS139" s="24">
        <f t="shared" si="28"/>
        <v>5.0000000000000001E-3</v>
      </c>
      <c r="BT139" s="24">
        <f t="shared" si="28"/>
        <v>2.3999999999999998E-3</v>
      </c>
      <c r="BU139" s="24">
        <f t="shared" si="28"/>
        <v>2.5999999999999999E-3</v>
      </c>
      <c r="BV139" s="24">
        <f t="shared" si="28"/>
        <v>0</v>
      </c>
    </row>
    <row r="140" spans="1:74" x14ac:dyDescent="0.25">
      <c r="A140" s="16" t="s">
        <v>67</v>
      </c>
      <c r="B140" s="21">
        <f t="shared" si="29"/>
        <v>0</v>
      </c>
      <c r="C140" s="22">
        <f t="shared" si="29"/>
        <v>0</v>
      </c>
      <c r="D140" s="22">
        <f t="shared" si="29"/>
        <v>0</v>
      </c>
      <c r="E140" s="22">
        <f t="shared" si="29"/>
        <v>0</v>
      </c>
      <c r="F140" s="23"/>
      <c r="G140" s="22">
        <f t="shared" si="30"/>
        <v>2.6800000000000001E-2</v>
      </c>
      <c r="H140" s="21"/>
      <c r="I140" s="22"/>
      <c r="J140" s="22"/>
      <c r="K140" s="22"/>
      <c r="L140" s="23"/>
      <c r="M140" s="21"/>
      <c r="N140" s="22"/>
      <c r="O140" s="22"/>
      <c r="P140" s="22"/>
      <c r="Q140" s="23"/>
      <c r="R140" s="21"/>
      <c r="S140" s="22"/>
      <c r="T140" s="22"/>
      <c r="U140" s="22"/>
      <c r="V140" s="22"/>
      <c r="W140" s="24">
        <f t="shared" si="31"/>
        <v>0</v>
      </c>
      <c r="X140" s="22"/>
      <c r="Y140" s="22"/>
      <c r="Z140" s="22"/>
      <c r="AA140" s="22"/>
      <c r="AB140" s="23"/>
      <c r="AC140" s="22"/>
      <c r="AD140" s="22"/>
      <c r="AE140" s="22"/>
      <c r="AF140" s="22"/>
      <c r="AG140" s="23"/>
      <c r="AH140" s="23">
        <f t="shared" si="32"/>
        <v>0</v>
      </c>
      <c r="AI140" s="21"/>
      <c r="AJ140" s="22"/>
      <c r="AK140" s="22"/>
      <c r="AL140" s="22"/>
      <c r="AM140" s="23"/>
      <c r="AN140" s="24">
        <f t="shared" si="33"/>
        <v>1.6000000000000001E-3</v>
      </c>
      <c r="AO140" s="24">
        <f t="shared" si="33"/>
        <v>1E-3</v>
      </c>
      <c r="AP140" s="22" t="e">
        <f t="shared" si="33"/>
        <v>#DIV/0!</v>
      </c>
      <c r="AQ140" s="22"/>
      <c r="AR140" s="22"/>
      <c r="AS140" s="22"/>
      <c r="AT140" s="22"/>
      <c r="AU140" s="24">
        <f t="shared" si="34"/>
        <v>5.9999999999999995E-4</v>
      </c>
      <c r="AV140" s="22"/>
      <c r="AW140" s="22"/>
      <c r="AX140" s="22"/>
      <c r="AY140" s="22"/>
      <c r="AZ140" s="23"/>
      <c r="BA140" s="24">
        <f t="shared" si="35"/>
        <v>3.3317467872441696E-3</v>
      </c>
      <c r="BB140" s="22">
        <f t="shared" si="35"/>
        <v>0.10722795869737888</v>
      </c>
      <c r="BC140" s="22">
        <f t="shared" si="35"/>
        <v>0.1016</v>
      </c>
      <c r="BD140" s="22">
        <f t="shared" si="35"/>
        <v>0.10680000000000001</v>
      </c>
      <c r="BE140" s="22">
        <f t="shared" si="35"/>
        <v>0.1036</v>
      </c>
      <c r="BF140" s="21">
        <f t="shared" si="35"/>
        <v>0.1072</v>
      </c>
      <c r="BG140" s="22">
        <f t="shared" si="35"/>
        <v>0.10879999999999999</v>
      </c>
      <c r="BH140" s="22">
        <f t="shared" si="35"/>
        <v>0.11542857142857142</v>
      </c>
      <c r="BI140" s="21">
        <f t="shared" si="35"/>
        <v>0.1028</v>
      </c>
      <c r="BJ140" s="23">
        <f t="shared" si="35"/>
        <v>0.1048</v>
      </c>
      <c r="BK140" s="23">
        <f t="shared" si="35"/>
        <v>0.10704309656823623</v>
      </c>
      <c r="BL140" s="24">
        <f t="shared" si="35"/>
        <v>6.8251320544898533E-2</v>
      </c>
      <c r="BM140" s="24">
        <f t="shared" si="27"/>
        <v>6.6209123940250303E-2</v>
      </c>
      <c r="BN140" s="24">
        <f t="shared" si="27"/>
        <v>7.0800000000000002E-2</v>
      </c>
      <c r="BO140" s="24">
        <f t="shared" si="27"/>
        <v>1.6000000000000001E-3</v>
      </c>
      <c r="BP140" s="24">
        <f t="shared" si="27"/>
        <v>8.2400000000000001E-2</v>
      </c>
      <c r="BQ140" s="24">
        <f t="shared" si="27"/>
        <v>9.8000000000000004E-2</v>
      </c>
      <c r="BR140" s="24">
        <f t="shared" si="27"/>
        <v>2.9794041191761649E-2</v>
      </c>
      <c r="BS140" s="24">
        <f t="shared" si="28"/>
        <v>2.0000000000000001E-4</v>
      </c>
      <c r="BT140" s="24">
        <f t="shared" si="28"/>
        <v>0</v>
      </c>
      <c r="BU140" s="24">
        <f t="shared" si="28"/>
        <v>0</v>
      </c>
      <c r="BV140" s="24">
        <f t="shared" si="28"/>
        <v>0</v>
      </c>
    </row>
    <row r="141" spans="1:74" x14ac:dyDescent="0.25">
      <c r="A141" s="16" t="s">
        <v>68</v>
      </c>
      <c r="B141" s="21">
        <f t="shared" si="29"/>
        <v>0</v>
      </c>
      <c r="C141" s="22">
        <f t="shared" si="29"/>
        <v>0</v>
      </c>
      <c r="D141" s="22">
        <f t="shared" si="29"/>
        <v>0</v>
      </c>
      <c r="E141" s="22">
        <f t="shared" si="29"/>
        <v>0</v>
      </c>
      <c r="F141" s="23"/>
      <c r="G141" s="22">
        <f t="shared" si="30"/>
        <v>0</v>
      </c>
      <c r="H141" s="21"/>
      <c r="I141" s="22"/>
      <c r="J141" s="22"/>
      <c r="K141" s="22"/>
      <c r="L141" s="23"/>
      <c r="M141" s="21"/>
      <c r="N141" s="22"/>
      <c r="O141" s="22"/>
      <c r="P141" s="22"/>
      <c r="Q141" s="23"/>
      <c r="R141" s="21"/>
      <c r="S141" s="22"/>
      <c r="T141" s="22"/>
      <c r="U141" s="22"/>
      <c r="V141" s="22"/>
      <c r="W141" s="24">
        <f t="shared" si="31"/>
        <v>0</v>
      </c>
      <c r="X141" s="22"/>
      <c r="Y141" s="22"/>
      <c r="Z141" s="22"/>
      <c r="AA141" s="22"/>
      <c r="AB141" s="23"/>
      <c r="AC141" s="22"/>
      <c r="AD141" s="22"/>
      <c r="AE141" s="22"/>
      <c r="AF141" s="22"/>
      <c r="AG141" s="23"/>
      <c r="AH141" s="23">
        <f t="shared" si="32"/>
        <v>0</v>
      </c>
      <c r="AI141" s="21"/>
      <c r="AJ141" s="22"/>
      <c r="AK141" s="22"/>
      <c r="AL141" s="22"/>
      <c r="AM141" s="23"/>
      <c r="AN141" s="24">
        <f t="shared" si="33"/>
        <v>0</v>
      </c>
      <c r="AO141" s="24">
        <f t="shared" si="33"/>
        <v>0</v>
      </c>
      <c r="AP141" s="22" t="e">
        <f t="shared" si="33"/>
        <v>#DIV/0!</v>
      </c>
      <c r="AQ141" s="22"/>
      <c r="AR141" s="22"/>
      <c r="AS141" s="22"/>
      <c r="AT141" s="22"/>
      <c r="AU141" s="24">
        <f t="shared" si="34"/>
        <v>0</v>
      </c>
      <c r="AV141" s="22"/>
      <c r="AW141" s="22"/>
      <c r="AX141" s="22"/>
      <c r="AY141" s="22"/>
      <c r="AZ141" s="23"/>
      <c r="BA141" s="24">
        <f t="shared" si="35"/>
        <v>0</v>
      </c>
      <c r="BB141" s="22">
        <f t="shared" si="35"/>
        <v>0</v>
      </c>
      <c r="BC141" s="22">
        <f t="shared" si="35"/>
        <v>0</v>
      </c>
      <c r="BD141" s="22">
        <f t="shared" si="35"/>
        <v>0</v>
      </c>
      <c r="BE141" s="22">
        <f t="shared" si="35"/>
        <v>0</v>
      </c>
      <c r="BF141" s="21">
        <f t="shared" si="35"/>
        <v>0</v>
      </c>
      <c r="BG141" s="22">
        <f t="shared" si="35"/>
        <v>0</v>
      </c>
      <c r="BH141" s="22">
        <f t="shared" si="35"/>
        <v>0</v>
      </c>
      <c r="BI141" s="21">
        <f t="shared" si="35"/>
        <v>0</v>
      </c>
      <c r="BJ141" s="23">
        <f t="shared" si="35"/>
        <v>0</v>
      </c>
      <c r="BK141" s="23">
        <f t="shared" si="35"/>
        <v>0</v>
      </c>
      <c r="BL141" s="24">
        <f t="shared" si="35"/>
        <v>0</v>
      </c>
      <c r="BM141" s="24">
        <f t="shared" si="27"/>
        <v>0</v>
      </c>
      <c r="BN141" s="24">
        <f t="shared" si="27"/>
        <v>0</v>
      </c>
      <c r="BO141" s="24">
        <f t="shared" si="27"/>
        <v>0</v>
      </c>
      <c r="BP141" s="24">
        <f t="shared" si="27"/>
        <v>0</v>
      </c>
      <c r="BQ141" s="24">
        <f t="shared" si="27"/>
        <v>0</v>
      </c>
      <c r="BR141" s="24">
        <f t="shared" si="27"/>
        <v>0</v>
      </c>
      <c r="BS141" s="24">
        <f t="shared" si="28"/>
        <v>4.0000000000000002E-4</v>
      </c>
      <c r="BT141" s="24">
        <f t="shared" si="28"/>
        <v>8.0000000000000004E-4</v>
      </c>
      <c r="BU141" s="24">
        <f t="shared" si="28"/>
        <v>8.0000000000000004E-4</v>
      </c>
      <c r="BV141" s="24">
        <f t="shared" si="28"/>
        <v>0</v>
      </c>
    </row>
    <row r="142" spans="1:74" x14ac:dyDescent="0.25">
      <c r="A142" s="16" t="s">
        <v>69</v>
      </c>
      <c r="B142" s="21">
        <f t="shared" si="29"/>
        <v>0</v>
      </c>
      <c r="C142" s="22">
        <f t="shared" si="29"/>
        <v>0</v>
      </c>
      <c r="D142" s="22">
        <f t="shared" si="29"/>
        <v>0</v>
      </c>
      <c r="E142" s="22">
        <f t="shared" si="29"/>
        <v>0</v>
      </c>
      <c r="F142" s="23"/>
      <c r="G142" s="22">
        <f t="shared" si="30"/>
        <v>0</v>
      </c>
      <c r="H142" s="21"/>
      <c r="I142" s="22"/>
      <c r="J142" s="22"/>
      <c r="K142" s="22"/>
      <c r="L142" s="23"/>
      <c r="M142" s="21"/>
      <c r="N142" s="22"/>
      <c r="O142" s="22"/>
      <c r="P142" s="22"/>
      <c r="Q142" s="23"/>
      <c r="R142" s="21"/>
      <c r="S142" s="22"/>
      <c r="T142" s="22"/>
      <c r="U142" s="22"/>
      <c r="V142" s="22"/>
      <c r="W142" s="24">
        <f t="shared" si="31"/>
        <v>0</v>
      </c>
      <c r="X142" s="22"/>
      <c r="Y142" s="22"/>
      <c r="Z142" s="22"/>
      <c r="AA142" s="22"/>
      <c r="AB142" s="23"/>
      <c r="AC142" s="22"/>
      <c r="AD142" s="22"/>
      <c r="AE142" s="22"/>
      <c r="AF142" s="22"/>
      <c r="AG142" s="23"/>
      <c r="AH142" s="23">
        <f t="shared" si="32"/>
        <v>0</v>
      </c>
      <c r="AI142" s="21"/>
      <c r="AJ142" s="22"/>
      <c r="AK142" s="22"/>
      <c r="AL142" s="22"/>
      <c r="AM142" s="23"/>
      <c r="AN142" s="24">
        <f t="shared" si="33"/>
        <v>0</v>
      </c>
      <c r="AO142" s="24">
        <f t="shared" si="33"/>
        <v>0</v>
      </c>
      <c r="AP142" s="22" t="e">
        <f t="shared" si="33"/>
        <v>#DIV/0!</v>
      </c>
      <c r="AQ142" s="22"/>
      <c r="AR142" s="22"/>
      <c r="AS142" s="22"/>
      <c r="AT142" s="22"/>
      <c r="AU142" s="24">
        <f t="shared" si="34"/>
        <v>0</v>
      </c>
      <c r="AV142" s="22"/>
      <c r="AW142" s="22"/>
      <c r="AX142" s="22"/>
      <c r="AY142" s="22"/>
      <c r="AZ142" s="23"/>
      <c r="BA142" s="24">
        <f t="shared" si="35"/>
        <v>0</v>
      </c>
      <c r="BB142" s="22">
        <f t="shared" si="35"/>
        <v>0</v>
      </c>
      <c r="BC142" s="22">
        <f t="shared" si="35"/>
        <v>0</v>
      </c>
      <c r="BD142" s="22">
        <f t="shared" si="35"/>
        <v>0</v>
      </c>
      <c r="BE142" s="22">
        <f t="shared" si="35"/>
        <v>0</v>
      </c>
      <c r="BF142" s="21">
        <f t="shared" si="35"/>
        <v>0</v>
      </c>
      <c r="BG142" s="22">
        <f t="shared" si="35"/>
        <v>0</v>
      </c>
      <c r="BH142" s="22">
        <f t="shared" si="35"/>
        <v>0</v>
      </c>
      <c r="BI142" s="21">
        <f t="shared" si="35"/>
        <v>0</v>
      </c>
      <c r="BJ142" s="23">
        <f t="shared" si="35"/>
        <v>0</v>
      </c>
      <c r="BK142" s="23">
        <f t="shared" si="35"/>
        <v>0</v>
      </c>
      <c r="BL142" s="24">
        <f t="shared" si="35"/>
        <v>0</v>
      </c>
      <c r="BM142" s="24">
        <f t="shared" si="27"/>
        <v>0</v>
      </c>
      <c r="BN142" s="24">
        <f t="shared" si="27"/>
        <v>0</v>
      </c>
      <c r="BO142" s="24">
        <f t="shared" si="27"/>
        <v>0</v>
      </c>
      <c r="BP142" s="24">
        <f t="shared" si="27"/>
        <v>0</v>
      </c>
      <c r="BQ142" s="24">
        <f t="shared" si="27"/>
        <v>0</v>
      </c>
      <c r="BR142" s="24">
        <f t="shared" si="27"/>
        <v>0</v>
      </c>
      <c r="BS142" s="24">
        <f t="shared" si="28"/>
        <v>0</v>
      </c>
      <c r="BT142" s="24">
        <f t="shared" si="28"/>
        <v>2.0000000000000001E-4</v>
      </c>
      <c r="BU142" s="24">
        <f t="shared" si="28"/>
        <v>2.0000000000000001E-4</v>
      </c>
      <c r="BV142" s="24">
        <f>BV67/BV$6</f>
        <v>0</v>
      </c>
    </row>
    <row r="143" spans="1:74" x14ac:dyDescent="0.25">
      <c r="A143" s="16" t="s">
        <v>70</v>
      </c>
      <c r="B143" s="21">
        <f t="shared" si="29"/>
        <v>0</v>
      </c>
      <c r="C143" s="22">
        <f t="shared" si="29"/>
        <v>0</v>
      </c>
      <c r="D143" s="22">
        <f t="shared" si="29"/>
        <v>0</v>
      </c>
      <c r="E143" s="22">
        <f t="shared" si="29"/>
        <v>0</v>
      </c>
      <c r="F143" s="23"/>
      <c r="G143" s="22">
        <f t="shared" si="30"/>
        <v>0</v>
      </c>
      <c r="H143" s="21"/>
      <c r="I143" s="22"/>
      <c r="J143" s="22"/>
      <c r="K143" s="22"/>
      <c r="L143" s="23"/>
      <c r="M143" s="21"/>
      <c r="N143" s="22"/>
      <c r="O143" s="22"/>
      <c r="P143" s="22"/>
      <c r="Q143" s="23"/>
      <c r="R143" s="21"/>
      <c r="S143" s="22"/>
      <c r="T143" s="22"/>
      <c r="U143" s="22"/>
      <c r="V143" s="22"/>
      <c r="W143" s="24">
        <f t="shared" si="31"/>
        <v>0</v>
      </c>
      <c r="X143" s="22"/>
      <c r="Y143" s="22"/>
      <c r="Z143" s="22"/>
      <c r="AA143" s="22"/>
      <c r="AB143" s="23"/>
      <c r="AC143" s="22"/>
      <c r="AD143" s="22"/>
      <c r="AE143" s="22"/>
      <c r="AF143" s="22"/>
      <c r="AG143" s="23"/>
      <c r="AH143" s="23">
        <f t="shared" si="32"/>
        <v>0</v>
      </c>
      <c r="AI143" s="21"/>
      <c r="AJ143" s="22"/>
      <c r="AK143" s="22"/>
      <c r="AL143" s="22"/>
      <c r="AM143" s="23"/>
      <c r="AN143" s="24">
        <f t="shared" si="33"/>
        <v>0</v>
      </c>
      <c r="AO143" s="24">
        <f t="shared" si="33"/>
        <v>0</v>
      </c>
      <c r="AP143" s="22" t="e">
        <f t="shared" si="33"/>
        <v>#DIV/0!</v>
      </c>
      <c r="AQ143" s="22"/>
      <c r="AR143" s="22"/>
      <c r="AS143" s="22"/>
      <c r="AT143" s="22"/>
      <c r="AU143" s="24">
        <f t="shared" si="34"/>
        <v>0</v>
      </c>
      <c r="AV143" s="22"/>
      <c r="AW143" s="22"/>
      <c r="AX143" s="22"/>
      <c r="AY143" s="22"/>
      <c r="AZ143" s="23"/>
      <c r="BA143" s="24">
        <f t="shared" si="35"/>
        <v>0</v>
      </c>
      <c r="BB143" s="22">
        <f t="shared" si="35"/>
        <v>0</v>
      </c>
      <c r="BC143" s="22">
        <f t="shared" si="35"/>
        <v>0</v>
      </c>
      <c r="BD143" s="22">
        <f t="shared" si="35"/>
        <v>0</v>
      </c>
      <c r="BE143" s="22">
        <f t="shared" si="35"/>
        <v>0</v>
      </c>
      <c r="BF143" s="21">
        <f t="shared" si="35"/>
        <v>0</v>
      </c>
      <c r="BG143" s="22">
        <f t="shared" si="35"/>
        <v>0</v>
      </c>
      <c r="BH143" s="22">
        <f t="shared" si="35"/>
        <v>0</v>
      </c>
      <c r="BI143" s="21">
        <f t="shared" si="35"/>
        <v>0</v>
      </c>
      <c r="BJ143" s="23">
        <f t="shared" si="35"/>
        <v>0</v>
      </c>
      <c r="BK143" s="23">
        <f t="shared" si="35"/>
        <v>0</v>
      </c>
      <c r="BL143" s="24">
        <f t="shared" si="35"/>
        <v>0</v>
      </c>
      <c r="BM143" s="24">
        <f t="shared" si="27"/>
        <v>0</v>
      </c>
      <c r="BN143" s="24">
        <f t="shared" si="27"/>
        <v>0</v>
      </c>
      <c r="BO143" s="24">
        <f t="shared" si="27"/>
        <v>0</v>
      </c>
      <c r="BP143" s="24">
        <f t="shared" si="27"/>
        <v>0</v>
      </c>
      <c r="BQ143" s="24">
        <f t="shared" si="27"/>
        <v>0</v>
      </c>
      <c r="BR143" s="24">
        <f t="shared" si="27"/>
        <v>0</v>
      </c>
      <c r="BS143" s="24">
        <f t="shared" si="28"/>
        <v>0</v>
      </c>
      <c r="BT143" s="24">
        <f t="shared" si="28"/>
        <v>0</v>
      </c>
      <c r="BU143" s="24">
        <f t="shared" si="28"/>
        <v>0</v>
      </c>
      <c r="BV143" s="24">
        <f>BV68/BV$6</f>
        <v>0</v>
      </c>
    </row>
    <row r="144" spans="1:74" x14ac:dyDescent="0.25">
      <c r="A144" s="16" t="s">
        <v>71</v>
      </c>
      <c r="B144" s="21">
        <f t="shared" si="29"/>
        <v>0</v>
      </c>
      <c r="C144" s="22">
        <f t="shared" si="29"/>
        <v>0</v>
      </c>
      <c r="D144" s="22">
        <f t="shared" si="29"/>
        <v>0</v>
      </c>
      <c r="E144" s="22">
        <f t="shared" si="29"/>
        <v>0</v>
      </c>
      <c r="F144" s="23"/>
      <c r="G144" s="22">
        <f t="shared" si="30"/>
        <v>0</v>
      </c>
      <c r="H144" s="21"/>
      <c r="I144" s="22"/>
      <c r="J144" s="22"/>
      <c r="K144" s="22"/>
      <c r="L144" s="23"/>
      <c r="M144" s="21"/>
      <c r="N144" s="22"/>
      <c r="O144" s="22"/>
      <c r="P144" s="22"/>
      <c r="Q144" s="23"/>
      <c r="R144" s="21"/>
      <c r="S144" s="22"/>
      <c r="T144" s="22"/>
      <c r="U144" s="22"/>
      <c r="V144" s="22"/>
      <c r="W144" s="24">
        <f t="shared" si="31"/>
        <v>0</v>
      </c>
      <c r="X144" s="22"/>
      <c r="Y144" s="22"/>
      <c r="Z144" s="22"/>
      <c r="AA144" s="22"/>
      <c r="AB144" s="23"/>
      <c r="AC144" s="22"/>
      <c r="AD144" s="22"/>
      <c r="AE144" s="22"/>
      <c r="AF144" s="22"/>
      <c r="AG144" s="23"/>
      <c r="AH144" s="23">
        <f t="shared" si="32"/>
        <v>0</v>
      </c>
      <c r="AI144" s="21"/>
      <c r="AJ144" s="22"/>
      <c r="AK144" s="22"/>
      <c r="AL144" s="22"/>
      <c r="AM144" s="23"/>
      <c r="AN144" s="24">
        <f t="shared" si="33"/>
        <v>0</v>
      </c>
      <c r="AO144" s="24">
        <f t="shared" si="33"/>
        <v>0</v>
      </c>
      <c r="AP144" s="22" t="e">
        <f t="shared" si="33"/>
        <v>#DIV/0!</v>
      </c>
      <c r="AQ144" s="22"/>
      <c r="AR144" s="22"/>
      <c r="AS144" s="22"/>
      <c r="AT144" s="22"/>
      <c r="AU144" s="24">
        <f t="shared" si="34"/>
        <v>0</v>
      </c>
      <c r="AV144" s="22"/>
      <c r="AW144" s="22"/>
      <c r="AX144" s="22"/>
      <c r="AY144" s="22"/>
      <c r="AZ144" s="23"/>
      <c r="BA144" s="24">
        <f t="shared" si="35"/>
        <v>0</v>
      </c>
      <c r="BB144" s="22">
        <f t="shared" si="35"/>
        <v>0</v>
      </c>
      <c r="BC144" s="22">
        <f t="shared" si="35"/>
        <v>0</v>
      </c>
      <c r="BD144" s="22">
        <f t="shared" si="35"/>
        <v>0</v>
      </c>
      <c r="BE144" s="22">
        <f t="shared" si="35"/>
        <v>0</v>
      </c>
      <c r="BF144" s="21">
        <f t="shared" si="35"/>
        <v>0</v>
      </c>
      <c r="BG144" s="22">
        <f t="shared" si="35"/>
        <v>0</v>
      </c>
      <c r="BH144" s="22">
        <f t="shared" si="35"/>
        <v>0</v>
      </c>
      <c r="BI144" s="21">
        <f t="shared" si="35"/>
        <v>0</v>
      </c>
      <c r="BJ144" s="23">
        <f t="shared" si="35"/>
        <v>0</v>
      </c>
      <c r="BK144" s="23">
        <f t="shared" si="35"/>
        <v>0</v>
      </c>
      <c r="BL144" s="24">
        <f t="shared" si="35"/>
        <v>0</v>
      </c>
      <c r="BM144" s="24">
        <f t="shared" si="27"/>
        <v>0</v>
      </c>
      <c r="BN144" s="24">
        <f t="shared" si="27"/>
        <v>0</v>
      </c>
      <c r="BO144" s="24">
        <f t="shared" si="27"/>
        <v>0</v>
      </c>
      <c r="BP144" s="24">
        <f t="shared" si="27"/>
        <v>0</v>
      </c>
      <c r="BQ144" s="24">
        <f t="shared" si="27"/>
        <v>0</v>
      </c>
      <c r="BR144" s="24">
        <f t="shared" si="27"/>
        <v>0</v>
      </c>
      <c r="BS144" s="24">
        <f t="shared" si="28"/>
        <v>0</v>
      </c>
      <c r="BT144" s="24">
        <f t="shared" si="28"/>
        <v>0</v>
      </c>
      <c r="BU144" s="24">
        <f t="shared" si="28"/>
        <v>0</v>
      </c>
      <c r="BV144" s="24">
        <f>BV69/BV$6</f>
        <v>0</v>
      </c>
    </row>
    <row r="145" spans="1:74" x14ac:dyDescent="0.25">
      <c r="A145" s="16" t="s">
        <v>72</v>
      </c>
      <c r="B145" s="21">
        <f t="shared" si="29"/>
        <v>0</v>
      </c>
      <c r="C145" s="22">
        <f t="shared" si="29"/>
        <v>0</v>
      </c>
      <c r="D145" s="22">
        <f t="shared" si="29"/>
        <v>0</v>
      </c>
      <c r="E145" s="22">
        <f t="shared" si="29"/>
        <v>0</v>
      </c>
      <c r="F145" s="23"/>
      <c r="G145" s="22">
        <f t="shared" si="30"/>
        <v>0</v>
      </c>
      <c r="H145" s="21"/>
      <c r="I145" s="22"/>
      <c r="J145" s="22"/>
      <c r="K145" s="22"/>
      <c r="L145" s="23"/>
      <c r="M145" s="21"/>
      <c r="N145" s="22"/>
      <c r="O145" s="22"/>
      <c r="P145" s="22"/>
      <c r="Q145" s="23"/>
      <c r="R145" s="21"/>
      <c r="S145" s="22"/>
      <c r="T145" s="22"/>
      <c r="U145" s="22"/>
      <c r="V145" s="22"/>
      <c r="W145" s="24">
        <f t="shared" si="31"/>
        <v>0</v>
      </c>
      <c r="X145" s="22"/>
      <c r="Y145" s="22"/>
      <c r="Z145" s="22"/>
      <c r="AA145" s="22"/>
      <c r="AB145" s="23"/>
      <c r="AC145" s="22"/>
      <c r="AD145" s="22"/>
      <c r="AE145" s="22"/>
      <c r="AF145" s="22"/>
      <c r="AG145" s="23"/>
      <c r="AH145" s="23">
        <f t="shared" si="32"/>
        <v>6.0060060060060057E-4</v>
      </c>
      <c r="AI145" s="21"/>
      <c r="AJ145" s="22"/>
      <c r="AK145" s="22"/>
      <c r="AL145" s="22"/>
      <c r="AM145" s="23"/>
      <c r="AN145" s="24">
        <f t="shared" si="33"/>
        <v>0</v>
      </c>
      <c r="AO145" s="24">
        <f t="shared" si="33"/>
        <v>0</v>
      </c>
      <c r="AP145" s="22" t="e">
        <f t="shared" si="33"/>
        <v>#DIV/0!</v>
      </c>
      <c r="AQ145" s="22"/>
      <c r="AR145" s="22"/>
      <c r="AS145" s="22"/>
      <c r="AT145" s="22"/>
      <c r="AU145" s="24">
        <f t="shared" si="34"/>
        <v>0</v>
      </c>
      <c r="AV145" s="22"/>
      <c r="AW145" s="22"/>
      <c r="AX145" s="22"/>
      <c r="AY145" s="22"/>
      <c r="AZ145" s="23"/>
      <c r="BA145" s="24">
        <f t="shared" si="35"/>
        <v>0</v>
      </c>
      <c r="BB145" s="22">
        <f t="shared" si="35"/>
        <v>0</v>
      </c>
      <c r="BC145" s="22">
        <f t="shared" si="35"/>
        <v>0</v>
      </c>
      <c r="BD145" s="22">
        <f t="shared" si="35"/>
        <v>0</v>
      </c>
      <c r="BE145" s="22">
        <f t="shared" si="35"/>
        <v>0</v>
      </c>
      <c r="BF145" s="21">
        <f t="shared" si="35"/>
        <v>0</v>
      </c>
      <c r="BG145" s="22">
        <f t="shared" si="35"/>
        <v>0</v>
      </c>
      <c r="BH145" s="22">
        <f t="shared" si="35"/>
        <v>0</v>
      </c>
      <c r="BI145" s="21">
        <f t="shared" si="35"/>
        <v>0</v>
      </c>
      <c r="BJ145" s="23">
        <f t="shared" si="35"/>
        <v>0</v>
      </c>
      <c r="BK145" s="23">
        <f t="shared" si="35"/>
        <v>0</v>
      </c>
      <c r="BL145" s="24">
        <f t="shared" si="35"/>
        <v>0</v>
      </c>
      <c r="BM145" s="24">
        <f t="shared" si="27"/>
        <v>0</v>
      </c>
      <c r="BN145" s="24">
        <f t="shared" si="27"/>
        <v>0</v>
      </c>
      <c r="BO145" s="24">
        <f t="shared" si="27"/>
        <v>2.0000000000000001E-4</v>
      </c>
      <c r="BP145" s="24">
        <f t="shared" si="27"/>
        <v>0</v>
      </c>
      <c r="BQ145" s="24">
        <f t="shared" si="27"/>
        <v>0</v>
      </c>
      <c r="BR145" s="24">
        <f t="shared" si="27"/>
        <v>0</v>
      </c>
      <c r="BS145" s="24">
        <f t="shared" si="28"/>
        <v>0</v>
      </c>
      <c r="BT145" s="24">
        <f t="shared" si="28"/>
        <v>0</v>
      </c>
      <c r="BU145" s="24">
        <f t="shared" si="28"/>
        <v>0</v>
      </c>
      <c r="BV145" s="24">
        <f>BV70/BV$6</f>
        <v>0</v>
      </c>
    </row>
    <row r="146" spans="1:74" x14ac:dyDescent="0.25">
      <c r="A146" s="16" t="s">
        <v>73</v>
      </c>
      <c r="B146" s="21"/>
      <c r="C146" s="22"/>
      <c r="D146" s="22"/>
      <c r="E146" s="22"/>
      <c r="F146" s="23"/>
      <c r="G146" s="22"/>
      <c r="H146" s="21"/>
      <c r="I146" s="22"/>
      <c r="J146" s="22"/>
      <c r="K146" s="22"/>
      <c r="L146" s="23"/>
      <c r="M146" s="21"/>
      <c r="N146" s="22"/>
      <c r="O146" s="22"/>
      <c r="P146" s="22"/>
      <c r="Q146" s="23"/>
      <c r="R146" s="21"/>
      <c r="S146" s="22"/>
      <c r="T146" s="22"/>
      <c r="U146" s="22"/>
      <c r="V146" s="22"/>
      <c r="W146" s="24"/>
      <c r="X146" s="22"/>
      <c r="Y146" s="22"/>
      <c r="Z146" s="22"/>
      <c r="AA146" s="22"/>
      <c r="AB146" s="23"/>
      <c r="AC146" s="22"/>
      <c r="AD146" s="22"/>
      <c r="AE146" s="22"/>
      <c r="AF146" s="22"/>
      <c r="AG146" s="23"/>
      <c r="AH146" s="23"/>
      <c r="AI146" s="21"/>
      <c r="AJ146" s="22"/>
      <c r="AK146" s="22"/>
      <c r="AL146" s="22"/>
      <c r="AM146" s="23"/>
      <c r="AN146" s="24"/>
      <c r="AO146" s="24"/>
      <c r="AP146" s="22"/>
      <c r="AQ146" s="22"/>
      <c r="AR146" s="22"/>
      <c r="AS146" s="22"/>
      <c r="AT146" s="22"/>
      <c r="AU146" s="24"/>
      <c r="AV146" s="22"/>
      <c r="AW146" s="22"/>
      <c r="AX146" s="22"/>
      <c r="AY146" s="22"/>
      <c r="AZ146" s="23"/>
      <c r="BA146" s="24"/>
      <c r="BB146" s="22"/>
      <c r="BC146" s="22"/>
      <c r="BD146" s="22"/>
      <c r="BE146" s="22"/>
      <c r="BF146" s="21"/>
      <c r="BG146" s="22"/>
      <c r="BH146" s="22"/>
      <c r="BI146" s="21"/>
      <c r="BJ146" s="23"/>
      <c r="BK146" s="23"/>
      <c r="BL146" s="24"/>
      <c r="BM146" s="24"/>
      <c r="BN146" s="24">
        <f t="shared" si="27"/>
        <v>4.0000000000000002E-4</v>
      </c>
      <c r="BO146" s="24">
        <f t="shared" si="27"/>
        <v>5.9999999999999995E-4</v>
      </c>
      <c r="BP146" s="24">
        <f t="shared" si="27"/>
        <v>0</v>
      </c>
      <c r="BQ146" s="24">
        <f t="shared" si="27"/>
        <v>4.0000000000000002E-4</v>
      </c>
      <c r="BR146" s="24">
        <f t="shared" si="27"/>
        <v>1.1997600479904018E-3</v>
      </c>
      <c r="BS146" s="24">
        <f t="shared" si="28"/>
        <v>0</v>
      </c>
      <c r="BT146" s="24">
        <f t="shared" si="28"/>
        <v>0</v>
      </c>
      <c r="BU146" s="24">
        <f t="shared" si="28"/>
        <v>0</v>
      </c>
      <c r="BV146" s="24">
        <f t="shared" si="28"/>
        <v>0</v>
      </c>
    </row>
    <row r="147" spans="1:74" x14ac:dyDescent="0.25">
      <c r="A147" s="16" t="s">
        <v>74</v>
      </c>
      <c r="B147" s="21">
        <f t="shared" ref="B147:E155" si="36">B61/B$6</f>
        <v>0</v>
      </c>
      <c r="C147" s="22">
        <f t="shared" si="36"/>
        <v>0</v>
      </c>
      <c r="D147" s="22">
        <f t="shared" si="36"/>
        <v>0</v>
      </c>
      <c r="E147" s="22">
        <f t="shared" si="36"/>
        <v>0</v>
      </c>
      <c r="F147" s="23"/>
      <c r="G147" s="22">
        <f t="shared" ref="G147:G155" si="37">G61/G$6</f>
        <v>0</v>
      </c>
      <c r="H147" s="21"/>
      <c r="I147" s="22"/>
      <c r="J147" s="22"/>
      <c r="K147" s="22"/>
      <c r="L147" s="23"/>
      <c r="M147" s="21"/>
      <c r="N147" s="22"/>
      <c r="O147" s="22"/>
      <c r="P147" s="22"/>
      <c r="Q147" s="23"/>
      <c r="R147" s="21"/>
      <c r="S147" s="22"/>
      <c r="T147" s="22"/>
      <c r="U147" s="22"/>
      <c r="V147" s="22"/>
      <c r="W147" s="24">
        <f t="shared" ref="W147:W155" si="38">W61/W$6</f>
        <v>0</v>
      </c>
      <c r="X147" s="22"/>
      <c r="Y147" s="22"/>
      <c r="Z147" s="22"/>
      <c r="AA147" s="22"/>
      <c r="AB147" s="23"/>
      <c r="AC147" s="22"/>
      <c r="AD147" s="22"/>
      <c r="AE147" s="22"/>
      <c r="AF147" s="22"/>
      <c r="AG147" s="23"/>
      <c r="AH147" s="23">
        <f t="shared" ref="AH147:AH155" si="39">AH61/AH$6</f>
        <v>0</v>
      </c>
      <c r="AI147" s="21"/>
      <c r="AJ147" s="22"/>
      <c r="AK147" s="22"/>
      <c r="AL147" s="22"/>
      <c r="AM147" s="23"/>
      <c r="AN147" s="24">
        <f t="shared" ref="AN147:AP155" si="40">AN61/AN$6</f>
        <v>0</v>
      </c>
      <c r="AO147" s="24">
        <f t="shared" si="40"/>
        <v>0</v>
      </c>
      <c r="AP147" s="22" t="e">
        <f t="shared" si="40"/>
        <v>#DIV/0!</v>
      </c>
      <c r="AQ147" s="22"/>
      <c r="AR147" s="22"/>
      <c r="AS147" s="22"/>
      <c r="AT147" s="22"/>
      <c r="AU147" s="24">
        <f t="shared" ref="AU147:AU155" si="41">AU61/AU$6</f>
        <v>0</v>
      </c>
      <c r="AV147" s="22"/>
      <c r="AW147" s="22"/>
      <c r="AX147" s="22"/>
      <c r="AY147" s="22"/>
      <c r="AZ147" s="23"/>
      <c r="BA147" s="24">
        <f t="shared" ref="BA147:BP155" si="42">BA61/BA$6</f>
        <v>0</v>
      </c>
      <c r="BB147" s="22">
        <f t="shared" si="42"/>
        <v>0</v>
      </c>
      <c r="BC147" s="22">
        <f t="shared" si="42"/>
        <v>0</v>
      </c>
      <c r="BD147" s="22">
        <f t="shared" si="42"/>
        <v>0</v>
      </c>
      <c r="BE147" s="22">
        <f t="shared" si="42"/>
        <v>0</v>
      </c>
      <c r="BF147" s="21">
        <f t="shared" si="42"/>
        <v>0</v>
      </c>
      <c r="BG147" s="22">
        <f t="shared" si="42"/>
        <v>0</v>
      </c>
      <c r="BH147" s="22">
        <f t="shared" si="42"/>
        <v>0</v>
      </c>
      <c r="BI147" s="21">
        <f t="shared" si="42"/>
        <v>0</v>
      </c>
      <c r="BJ147" s="23">
        <f t="shared" si="42"/>
        <v>0</v>
      </c>
      <c r="BK147" s="23">
        <f t="shared" si="42"/>
        <v>0</v>
      </c>
      <c r="BL147" s="24">
        <f t="shared" si="42"/>
        <v>0</v>
      </c>
      <c r="BM147" s="24">
        <f t="shared" si="42"/>
        <v>0</v>
      </c>
      <c r="BN147" s="24">
        <f t="shared" si="27"/>
        <v>0</v>
      </c>
      <c r="BO147" s="24">
        <f t="shared" si="27"/>
        <v>0</v>
      </c>
      <c r="BP147" s="24">
        <f t="shared" si="27"/>
        <v>0</v>
      </c>
      <c r="BQ147" s="24">
        <f t="shared" si="27"/>
        <v>0</v>
      </c>
      <c r="BR147" s="24">
        <f t="shared" si="27"/>
        <v>0</v>
      </c>
      <c r="BS147" s="24">
        <f t="shared" si="28"/>
        <v>0</v>
      </c>
      <c r="BT147" s="24">
        <f t="shared" si="28"/>
        <v>0</v>
      </c>
      <c r="BU147" s="24">
        <f t="shared" si="28"/>
        <v>0</v>
      </c>
      <c r="BV147" s="24">
        <f t="shared" si="28"/>
        <v>0</v>
      </c>
    </row>
    <row r="148" spans="1:74" x14ac:dyDescent="0.25">
      <c r="A148" s="16" t="s">
        <v>75</v>
      </c>
      <c r="B148" s="21">
        <f t="shared" si="36"/>
        <v>0</v>
      </c>
      <c r="C148" s="22">
        <f t="shared" si="36"/>
        <v>0</v>
      </c>
      <c r="D148" s="22">
        <f t="shared" si="36"/>
        <v>0</v>
      </c>
      <c r="E148" s="22">
        <f t="shared" si="36"/>
        <v>0</v>
      </c>
      <c r="F148" s="23"/>
      <c r="G148" s="22">
        <f t="shared" si="37"/>
        <v>0</v>
      </c>
      <c r="H148" s="21"/>
      <c r="I148" s="22"/>
      <c r="J148" s="22"/>
      <c r="K148" s="22"/>
      <c r="L148" s="23"/>
      <c r="M148" s="21"/>
      <c r="N148" s="22"/>
      <c r="O148" s="22"/>
      <c r="P148" s="22"/>
      <c r="Q148" s="23"/>
      <c r="R148" s="21"/>
      <c r="S148" s="22"/>
      <c r="T148" s="22"/>
      <c r="U148" s="22"/>
      <c r="V148" s="22"/>
      <c r="W148" s="24">
        <f t="shared" si="38"/>
        <v>0</v>
      </c>
      <c r="X148" s="22"/>
      <c r="Y148" s="22"/>
      <c r="Z148" s="22"/>
      <c r="AA148" s="22"/>
      <c r="AB148" s="23"/>
      <c r="AC148" s="22"/>
      <c r="AD148" s="22"/>
      <c r="AE148" s="22"/>
      <c r="AF148" s="22"/>
      <c r="AG148" s="23"/>
      <c r="AH148" s="23">
        <f t="shared" si="39"/>
        <v>0</v>
      </c>
      <c r="AI148" s="21"/>
      <c r="AJ148" s="22"/>
      <c r="AK148" s="22"/>
      <c r="AL148" s="22"/>
      <c r="AM148" s="23"/>
      <c r="AN148" s="24">
        <f t="shared" si="40"/>
        <v>0</v>
      </c>
      <c r="AO148" s="24">
        <f t="shared" si="40"/>
        <v>0</v>
      </c>
      <c r="AP148" s="22" t="e">
        <f t="shared" si="40"/>
        <v>#DIV/0!</v>
      </c>
      <c r="AQ148" s="22"/>
      <c r="AR148" s="22"/>
      <c r="AS148" s="22"/>
      <c r="AT148" s="22"/>
      <c r="AU148" s="24">
        <f t="shared" si="41"/>
        <v>0</v>
      </c>
      <c r="AV148" s="22"/>
      <c r="AW148" s="22"/>
      <c r="AX148" s="22"/>
      <c r="AY148" s="22"/>
      <c r="AZ148" s="23"/>
      <c r="BA148" s="24">
        <f t="shared" si="42"/>
        <v>0</v>
      </c>
      <c r="BB148" s="22">
        <f t="shared" si="42"/>
        <v>0</v>
      </c>
      <c r="BC148" s="22">
        <f t="shared" si="42"/>
        <v>0</v>
      </c>
      <c r="BD148" s="22">
        <f t="shared" si="42"/>
        <v>0</v>
      </c>
      <c r="BE148" s="22">
        <f t="shared" si="42"/>
        <v>0</v>
      </c>
      <c r="BF148" s="21">
        <f t="shared" si="42"/>
        <v>0</v>
      </c>
      <c r="BG148" s="22">
        <f t="shared" si="42"/>
        <v>0</v>
      </c>
      <c r="BH148" s="22">
        <f t="shared" si="42"/>
        <v>0</v>
      </c>
      <c r="BI148" s="21">
        <f t="shared" si="42"/>
        <v>0</v>
      </c>
      <c r="BJ148" s="23">
        <f t="shared" si="42"/>
        <v>0</v>
      </c>
      <c r="BK148" s="23">
        <f t="shared" si="42"/>
        <v>0</v>
      </c>
      <c r="BL148" s="24">
        <f t="shared" si="42"/>
        <v>0</v>
      </c>
      <c r="BM148" s="24">
        <f t="shared" si="42"/>
        <v>0</v>
      </c>
      <c r="BN148" s="24">
        <f t="shared" si="42"/>
        <v>0</v>
      </c>
      <c r="BO148" s="24">
        <f t="shared" si="42"/>
        <v>0</v>
      </c>
      <c r="BP148" s="24">
        <f t="shared" si="42"/>
        <v>0</v>
      </c>
      <c r="BQ148" s="24">
        <f t="shared" ref="BN148:BU155" si="43">BQ62/BQ$6</f>
        <v>0</v>
      </c>
      <c r="BR148" s="24">
        <f t="shared" si="43"/>
        <v>0</v>
      </c>
      <c r="BS148" s="24">
        <f t="shared" ref="BS148:BV155" si="44">BS73/BS$6</f>
        <v>0</v>
      </c>
      <c r="BT148" s="24">
        <f t="shared" si="44"/>
        <v>0</v>
      </c>
      <c r="BU148" s="24">
        <f t="shared" si="44"/>
        <v>0</v>
      </c>
      <c r="BV148" s="24">
        <f t="shared" si="44"/>
        <v>0</v>
      </c>
    </row>
    <row r="149" spans="1:74" x14ac:dyDescent="0.25">
      <c r="A149" s="16" t="s">
        <v>76</v>
      </c>
      <c r="B149" s="21">
        <f t="shared" si="36"/>
        <v>0</v>
      </c>
      <c r="C149" s="22">
        <f t="shared" si="36"/>
        <v>0</v>
      </c>
      <c r="D149" s="22">
        <f t="shared" si="36"/>
        <v>0</v>
      </c>
      <c r="E149" s="22">
        <f t="shared" si="36"/>
        <v>0</v>
      </c>
      <c r="F149" s="23"/>
      <c r="G149" s="22">
        <f t="shared" si="37"/>
        <v>0</v>
      </c>
      <c r="H149" s="21"/>
      <c r="I149" s="22"/>
      <c r="J149" s="22"/>
      <c r="K149" s="22"/>
      <c r="L149" s="23"/>
      <c r="M149" s="21"/>
      <c r="N149" s="22"/>
      <c r="O149" s="22"/>
      <c r="P149" s="22"/>
      <c r="Q149" s="23"/>
      <c r="R149" s="21"/>
      <c r="S149" s="22"/>
      <c r="T149" s="22"/>
      <c r="U149" s="22"/>
      <c r="V149" s="22"/>
      <c r="W149" s="24">
        <f t="shared" si="38"/>
        <v>0</v>
      </c>
      <c r="X149" s="22"/>
      <c r="Y149" s="22"/>
      <c r="Z149" s="22"/>
      <c r="AA149" s="22"/>
      <c r="AB149" s="23"/>
      <c r="AC149" s="22"/>
      <c r="AD149" s="22"/>
      <c r="AE149" s="22"/>
      <c r="AF149" s="22"/>
      <c r="AG149" s="23"/>
      <c r="AH149" s="23">
        <f t="shared" si="39"/>
        <v>0</v>
      </c>
      <c r="AI149" s="21"/>
      <c r="AJ149" s="22"/>
      <c r="AK149" s="22"/>
      <c r="AL149" s="22"/>
      <c r="AM149" s="23"/>
      <c r="AN149" s="24">
        <f t="shared" si="40"/>
        <v>0</v>
      </c>
      <c r="AO149" s="24">
        <f t="shared" si="40"/>
        <v>0</v>
      </c>
      <c r="AP149" s="22" t="e">
        <f t="shared" si="40"/>
        <v>#DIV/0!</v>
      </c>
      <c r="AQ149" s="22"/>
      <c r="AR149" s="22"/>
      <c r="AS149" s="22"/>
      <c r="AT149" s="22"/>
      <c r="AU149" s="24">
        <f t="shared" si="41"/>
        <v>0</v>
      </c>
      <c r="AV149" s="22"/>
      <c r="AW149" s="22"/>
      <c r="AX149" s="22"/>
      <c r="AY149" s="22"/>
      <c r="AZ149" s="23"/>
      <c r="BA149" s="24">
        <f t="shared" si="42"/>
        <v>0</v>
      </c>
      <c r="BB149" s="22">
        <f t="shared" si="42"/>
        <v>0</v>
      </c>
      <c r="BC149" s="22">
        <f t="shared" si="42"/>
        <v>0</v>
      </c>
      <c r="BD149" s="22">
        <f t="shared" si="42"/>
        <v>0</v>
      </c>
      <c r="BE149" s="22">
        <f t="shared" si="42"/>
        <v>0</v>
      </c>
      <c r="BF149" s="21">
        <f t="shared" si="42"/>
        <v>0</v>
      </c>
      <c r="BG149" s="22">
        <f t="shared" si="42"/>
        <v>0</v>
      </c>
      <c r="BH149" s="22">
        <f t="shared" si="42"/>
        <v>0</v>
      </c>
      <c r="BI149" s="21">
        <f t="shared" si="42"/>
        <v>0</v>
      </c>
      <c r="BJ149" s="23">
        <f t="shared" si="42"/>
        <v>0</v>
      </c>
      <c r="BK149" s="23">
        <f t="shared" si="42"/>
        <v>0</v>
      </c>
      <c r="BL149" s="24">
        <f t="shared" si="42"/>
        <v>0</v>
      </c>
      <c r="BM149" s="24">
        <f t="shared" si="42"/>
        <v>1.2111425111021397E-3</v>
      </c>
      <c r="BN149" s="24">
        <f t="shared" si="43"/>
        <v>3.2000000000000002E-3</v>
      </c>
      <c r="BO149" s="24">
        <f t="shared" si="43"/>
        <v>2.0000000000000001E-4</v>
      </c>
      <c r="BP149" s="24">
        <f t="shared" si="43"/>
        <v>2E-3</v>
      </c>
      <c r="BQ149" s="24">
        <f t="shared" si="43"/>
        <v>2E-3</v>
      </c>
      <c r="BR149" s="24">
        <f t="shared" si="43"/>
        <v>1.9996000799840031E-4</v>
      </c>
      <c r="BS149" s="24">
        <f t="shared" si="44"/>
        <v>0</v>
      </c>
      <c r="BT149" s="24">
        <f t="shared" si="44"/>
        <v>0</v>
      </c>
      <c r="BU149" s="24">
        <f t="shared" si="44"/>
        <v>0</v>
      </c>
      <c r="BV149" s="24">
        <f t="shared" si="44"/>
        <v>0</v>
      </c>
    </row>
    <row r="150" spans="1:74" x14ac:dyDescent="0.25">
      <c r="A150" s="16" t="s">
        <v>77</v>
      </c>
      <c r="B150" s="21">
        <f t="shared" si="36"/>
        <v>0</v>
      </c>
      <c r="C150" s="22">
        <f t="shared" si="36"/>
        <v>0</v>
      </c>
      <c r="D150" s="22">
        <f t="shared" si="36"/>
        <v>0</v>
      </c>
      <c r="E150" s="22">
        <f t="shared" si="36"/>
        <v>0</v>
      </c>
      <c r="F150" s="23"/>
      <c r="G150" s="22">
        <f t="shared" si="37"/>
        <v>0</v>
      </c>
      <c r="H150" s="21"/>
      <c r="I150" s="22"/>
      <c r="J150" s="22"/>
      <c r="K150" s="22"/>
      <c r="L150" s="23"/>
      <c r="M150" s="21"/>
      <c r="N150" s="22"/>
      <c r="O150" s="22"/>
      <c r="P150" s="22"/>
      <c r="Q150" s="23"/>
      <c r="R150" s="21"/>
      <c r="S150" s="22"/>
      <c r="T150" s="22"/>
      <c r="U150" s="22"/>
      <c r="V150" s="22"/>
      <c r="W150" s="24">
        <f t="shared" si="38"/>
        <v>0</v>
      </c>
      <c r="X150" s="22"/>
      <c r="Y150" s="22"/>
      <c r="Z150" s="22"/>
      <c r="AA150" s="22"/>
      <c r="AB150" s="23"/>
      <c r="AC150" s="22"/>
      <c r="AD150" s="22"/>
      <c r="AE150" s="22"/>
      <c r="AF150" s="22"/>
      <c r="AG150" s="23"/>
      <c r="AH150" s="23">
        <f t="shared" si="39"/>
        <v>0</v>
      </c>
      <c r="AI150" s="21"/>
      <c r="AJ150" s="22"/>
      <c r="AK150" s="22"/>
      <c r="AL150" s="22"/>
      <c r="AM150" s="23"/>
      <c r="AN150" s="24">
        <f t="shared" si="40"/>
        <v>0</v>
      </c>
      <c r="AO150" s="24">
        <f t="shared" si="40"/>
        <v>0</v>
      </c>
      <c r="AP150" s="22" t="e">
        <f t="shared" si="40"/>
        <v>#DIV/0!</v>
      </c>
      <c r="AQ150" s="22"/>
      <c r="AR150" s="22"/>
      <c r="AS150" s="22"/>
      <c r="AT150" s="22"/>
      <c r="AU150" s="24">
        <f t="shared" si="41"/>
        <v>0</v>
      </c>
      <c r="AV150" s="22"/>
      <c r="AW150" s="22"/>
      <c r="AX150" s="22"/>
      <c r="AY150" s="22"/>
      <c r="AZ150" s="23"/>
      <c r="BA150" s="24">
        <f t="shared" si="42"/>
        <v>0</v>
      </c>
      <c r="BB150" s="22">
        <f t="shared" si="42"/>
        <v>0</v>
      </c>
      <c r="BC150" s="22">
        <f t="shared" si="42"/>
        <v>0</v>
      </c>
      <c r="BD150" s="22">
        <f t="shared" si="42"/>
        <v>0</v>
      </c>
      <c r="BE150" s="22">
        <f t="shared" si="42"/>
        <v>0</v>
      </c>
      <c r="BF150" s="21">
        <f t="shared" si="42"/>
        <v>0</v>
      </c>
      <c r="BG150" s="22">
        <f t="shared" si="42"/>
        <v>0</v>
      </c>
      <c r="BH150" s="22">
        <f t="shared" si="42"/>
        <v>0</v>
      </c>
      <c r="BI150" s="21">
        <f t="shared" si="42"/>
        <v>0</v>
      </c>
      <c r="BJ150" s="23">
        <f t="shared" si="42"/>
        <v>0</v>
      </c>
      <c r="BK150" s="23">
        <f t="shared" si="42"/>
        <v>0</v>
      </c>
      <c r="BL150" s="24">
        <f t="shared" si="42"/>
        <v>0</v>
      </c>
      <c r="BM150" s="24">
        <f t="shared" si="42"/>
        <v>0</v>
      </c>
      <c r="BN150" s="24">
        <f t="shared" si="43"/>
        <v>0</v>
      </c>
      <c r="BO150" s="24">
        <f t="shared" si="43"/>
        <v>0</v>
      </c>
      <c r="BP150" s="24">
        <f t="shared" si="43"/>
        <v>0</v>
      </c>
      <c r="BQ150" s="24">
        <f t="shared" si="43"/>
        <v>0</v>
      </c>
      <c r="BR150" s="24">
        <f t="shared" si="43"/>
        <v>0</v>
      </c>
      <c r="BS150" s="24">
        <f t="shared" si="44"/>
        <v>0</v>
      </c>
      <c r="BT150" s="24">
        <f t="shared" si="44"/>
        <v>0</v>
      </c>
      <c r="BU150" s="24">
        <f t="shared" si="44"/>
        <v>0</v>
      </c>
      <c r="BV150" s="24">
        <f t="shared" si="44"/>
        <v>0</v>
      </c>
    </row>
    <row r="151" spans="1:74" x14ac:dyDescent="0.25">
      <c r="A151" s="16" t="s">
        <v>78</v>
      </c>
      <c r="B151" s="21">
        <f t="shared" si="36"/>
        <v>0</v>
      </c>
      <c r="C151" s="22">
        <f t="shared" si="36"/>
        <v>0</v>
      </c>
      <c r="D151" s="22">
        <f t="shared" si="36"/>
        <v>0</v>
      </c>
      <c r="E151" s="22">
        <f t="shared" si="36"/>
        <v>0</v>
      </c>
      <c r="F151" s="23"/>
      <c r="G151" s="22">
        <f t="shared" si="37"/>
        <v>0</v>
      </c>
      <c r="H151" s="21"/>
      <c r="I151" s="22"/>
      <c r="J151" s="22"/>
      <c r="K151" s="22"/>
      <c r="L151" s="23"/>
      <c r="M151" s="21"/>
      <c r="N151" s="22"/>
      <c r="O151" s="22"/>
      <c r="P151" s="22"/>
      <c r="Q151" s="23"/>
      <c r="R151" s="21"/>
      <c r="S151" s="22"/>
      <c r="T151" s="22"/>
      <c r="U151" s="22"/>
      <c r="V151" s="22"/>
      <c r="W151" s="24">
        <f t="shared" si="38"/>
        <v>0</v>
      </c>
      <c r="X151" s="22"/>
      <c r="Y151" s="22"/>
      <c r="Z151" s="22"/>
      <c r="AA151" s="22"/>
      <c r="AB151" s="23"/>
      <c r="AC151" s="22"/>
      <c r="AD151" s="22"/>
      <c r="AE151" s="22"/>
      <c r="AF151" s="22"/>
      <c r="AG151" s="23"/>
      <c r="AH151" s="23">
        <f t="shared" si="39"/>
        <v>0</v>
      </c>
      <c r="AI151" s="21"/>
      <c r="AJ151" s="22"/>
      <c r="AK151" s="22"/>
      <c r="AL151" s="22"/>
      <c r="AM151" s="23"/>
      <c r="AN151" s="24">
        <f t="shared" si="40"/>
        <v>0</v>
      </c>
      <c r="AO151" s="24">
        <f t="shared" si="40"/>
        <v>0</v>
      </c>
      <c r="AP151" s="22" t="e">
        <f t="shared" si="40"/>
        <v>#DIV/0!</v>
      </c>
      <c r="AQ151" s="22"/>
      <c r="AR151" s="22"/>
      <c r="AS151" s="22"/>
      <c r="AT151" s="22"/>
      <c r="AU151" s="24">
        <f t="shared" si="41"/>
        <v>0</v>
      </c>
      <c r="AV151" s="22"/>
      <c r="AW151" s="22"/>
      <c r="AX151" s="22"/>
      <c r="AY151" s="22"/>
      <c r="AZ151" s="23"/>
      <c r="BA151" s="24">
        <f t="shared" si="42"/>
        <v>0</v>
      </c>
      <c r="BB151" s="22">
        <f t="shared" si="42"/>
        <v>0</v>
      </c>
      <c r="BC151" s="22">
        <f t="shared" si="42"/>
        <v>0</v>
      </c>
      <c r="BD151" s="22">
        <f t="shared" si="42"/>
        <v>0</v>
      </c>
      <c r="BE151" s="22">
        <f t="shared" si="42"/>
        <v>0</v>
      </c>
      <c r="BF151" s="21">
        <f t="shared" si="42"/>
        <v>0</v>
      </c>
      <c r="BG151" s="22">
        <f t="shared" si="42"/>
        <v>0</v>
      </c>
      <c r="BH151" s="22">
        <f t="shared" si="42"/>
        <v>0</v>
      </c>
      <c r="BI151" s="21">
        <f t="shared" si="42"/>
        <v>0</v>
      </c>
      <c r="BJ151" s="23">
        <f t="shared" si="42"/>
        <v>0</v>
      </c>
      <c r="BK151" s="23">
        <f t="shared" si="42"/>
        <v>0</v>
      </c>
      <c r="BL151" s="24">
        <f t="shared" si="42"/>
        <v>0</v>
      </c>
      <c r="BM151" s="24">
        <f t="shared" si="42"/>
        <v>0</v>
      </c>
      <c r="BN151" s="24">
        <f t="shared" si="43"/>
        <v>0</v>
      </c>
      <c r="BO151" s="24">
        <f t="shared" si="43"/>
        <v>0</v>
      </c>
      <c r="BP151" s="24">
        <f t="shared" si="43"/>
        <v>0</v>
      </c>
      <c r="BQ151" s="24">
        <f t="shared" si="43"/>
        <v>0</v>
      </c>
      <c r="BR151" s="24">
        <f t="shared" si="43"/>
        <v>0</v>
      </c>
      <c r="BS151" s="24">
        <f t="shared" si="44"/>
        <v>0</v>
      </c>
      <c r="BT151" s="24">
        <f t="shared" si="44"/>
        <v>0</v>
      </c>
      <c r="BU151" s="24">
        <f t="shared" si="44"/>
        <v>0</v>
      </c>
      <c r="BV151" s="24">
        <f t="shared" si="44"/>
        <v>0</v>
      </c>
    </row>
    <row r="152" spans="1:74" x14ac:dyDescent="0.25">
      <c r="A152" s="16" t="s">
        <v>79</v>
      </c>
      <c r="B152" s="21">
        <f t="shared" si="36"/>
        <v>6.7999999999999996E-3</v>
      </c>
      <c r="C152" s="22">
        <f t="shared" si="36"/>
        <v>1.2200000000000001E-2</v>
      </c>
      <c r="D152" s="22">
        <f t="shared" si="36"/>
        <v>2.0000000000000001E-4</v>
      </c>
      <c r="E152" s="22">
        <f t="shared" si="36"/>
        <v>8.0000000000000004E-4</v>
      </c>
      <c r="F152" s="23"/>
      <c r="G152" s="22">
        <f t="shared" si="37"/>
        <v>3.5999999999999999E-3</v>
      </c>
      <c r="H152" s="21"/>
      <c r="I152" s="22"/>
      <c r="J152" s="22"/>
      <c r="K152" s="22"/>
      <c r="L152" s="23"/>
      <c r="M152" s="21"/>
      <c r="N152" s="22"/>
      <c r="O152" s="22"/>
      <c r="P152" s="22"/>
      <c r="Q152" s="23"/>
      <c r="R152" s="21"/>
      <c r="S152" s="22"/>
      <c r="T152" s="22"/>
      <c r="U152" s="22"/>
      <c r="V152" s="22"/>
      <c r="W152" s="24">
        <f t="shared" si="38"/>
        <v>2.8E-3</v>
      </c>
      <c r="X152" s="22"/>
      <c r="Y152" s="22"/>
      <c r="Z152" s="22"/>
      <c r="AA152" s="22"/>
      <c r="AB152" s="23"/>
      <c r="AC152" s="22"/>
      <c r="AD152" s="22"/>
      <c r="AE152" s="22"/>
      <c r="AF152" s="22"/>
      <c r="AG152" s="23"/>
      <c r="AH152" s="23">
        <f t="shared" si="39"/>
        <v>9.9099099099099093E-3</v>
      </c>
      <c r="AI152" s="21"/>
      <c r="AJ152" s="22"/>
      <c r="AK152" s="22"/>
      <c r="AL152" s="22"/>
      <c r="AM152" s="23"/>
      <c r="AN152" s="24">
        <f t="shared" si="40"/>
        <v>5.0000000000000001E-3</v>
      </c>
      <c r="AO152" s="24">
        <f t="shared" si="40"/>
        <v>4.7999999999999996E-3</v>
      </c>
      <c r="AP152" s="22" t="e">
        <f t="shared" si="40"/>
        <v>#DIV/0!</v>
      </c>
      <c r="AQ152" s="22"/>
      <c r="AR152" s="22"/>
      <c r="AS152" s="22"/>
      <c r="AT152" s="22"/>
      <c r="AU152" s="24">
        <f t="shared" si="41"/>
        <v>5.9999999999999995E-4</v>
      </c>
      <c r="AV152" s="22"/>
      <c r="AW152" s="22"/>
      <c r="AX152" s="22"/>
      <c r="AY152" s="22"/>
      <c r="AZ152" s="23"/>
      <c r="BA152" s="24">
        <f t="shared" si="42"/>
        <v>0</v>
      </c>
      <c r="BB152" s="22">
        <f t="shared" si="42"/>
        <v>2.7799841143764893E-3</v>
      </c>
      <c r="BC152" s="22">
        <f t="shared" si="42"/>
        <v>1.1999999999999999E-3</v>
      </c>
      <c r="BD152" s="22">
        <f t="shared" si="42"/>
        <v>4.0000000000000002E-4</v>
      </c>
      <c r="BE152" s="22">
        <f t="shared" si="42"/>
        <v>4.4000000000000003E-3</v>
      </c>
      <c r="BF152" s="21">
        <f t="shared" si="42"/>
        <v>2E-3</v>
      </c>
      <c r="BG152" s="22">
        <f t="shared" si="42"/>
        <v>4.0000000000000001E-3</v>
      </c>
      <c r="BH152" s="22">
        <f t="shared" si="42"/>
        <v>4.0000000000000001E-3</v>
      </c>
      <c r="BI152" s="21">
        <f t="shared" si="42"/>
        <v>5.5999999999999999E-3</v>
      </c>
      <c r="BJ152" s="23">
        <f t="shared" si="42"/>
        <v>4.0000000000000001E-3</v>
      </c>
      <c r="BK152" s="23">
        <f t="shared" si="42"/>
        <v>4.9880287310454907E-4</v>
      </c>
      <c r="BL152" s="24">
        <f t="shared" si="42"/>
        <v>7.6452599388379206E-4</v>
      </c>
      <c r="BM152" s="24">
        <f t="shared" si="42"/>
        <v>2.8259991925716592E-3</v>
      </c>
      <c r="BN152" s="24">
        <f t="shared" si="43"/>
        <v>6.7999999999999996E-3</v>
      </c>
      <c r="BO152" s="24">
        <f t="shared" si="43"/>
        <v>5.0000000000000001E-3</v>
      </c>
      <c r="BP152" s="24">
        <f t="shared" si="43"/>
        <v>0</v>
      </c>
      <c r="BQ152" s="24">
        <f t="shared" si="43"/>
        <v>4.0000000000000002E-4</v>
      </c>
      <c r="BR152" s="24">
        <f t="shared" si="43"/>
        <v>3.7992401519696059E-3</v>
      </c>
      <c r="BS152" s="24">
        <f t="shared" si="44"/>
        <v>0</v>
      </c>
      <c r="BT152" s="24">
        <f t="shared" si="44"/>
        <v>0</v>
      </c>
      <c r="BU152" s="24">
        <f t="shared" si="44"/>
        <v>0</v>
      </c>
      <c r="BV152" s="24">
        <f t="shared" si="44"/>
        <v>0</v>
      </c>
    </row>
    <row r="153" spans="1:74" x14ac:dyDescent="0.25">
      <c r="A153" s="16" t="s">
        <v>80</v>
      </c>
      <c r="B153" s="21">
        <f t="shared" si="36"/>
        <v>2.6599999999999999E-2</v>
      </c>
      <c r="C153" s="22">
        <f t="shared" si="36"/>
        <v>3.3599999999999998E-2</v>
      </c>
      <c r="D153" s="22">
        <f t="shared" si="36"/>
        <v>3.0000000000000001E-3</v>
      </c>
      <c r="E153" s="22">
        <f t="shared" si="36"/>
        <v>1.6199999999999999E-2</v>
      </c>
      <c r="F153" s="23"/>
      <c r="G153" s="22">
        <f t="shared" si="37"/>
        <v>1.3599999999999999E-2</v>
      </c>
      <c r="H153" s="21"/>
      <c r="I153" s="22"/>
      <c r="J153" s="22"/>
      <c r="K153" s="22"/>
      <c r="L153" s="23"/>
      <c r="M153" s="21"/>
      <c r="N153" s="22"/>
      <c r="O153" s="22"/>
      <c r="P153" s="22"/>
      <c r="Q153" s="23"/>
      <c r="R153" s="21"/>
      <c r="S153" s="22"/>
      <c r="T153" s="22"/>
      <c r="U153" s="22"/>
      <c r="V153" s="22"/>
      <c r="W153" s="24">
        <f t="shared" si="38"/>
        <v>1.2200000000000001E-2</v>
      </c>
      <c r="X153" s="22"/>
      <c r="Y153" s="22"/>
      <c r="Z153" s="22"/>
      <c r="AA153" s="22"/>
      <c r="AB153" s="23"/>
      <c r="AC153" s="22"/>
      <c r="AD153" s="22"/>
      <c r="AE153" s="22"/>
      <c r="AF153" s="22"/>
      <c r="AG153" s="23"/>
      <c r="AH153" s="23">
        <f t="shared" si="39"/>
        <v>3.4234234234234232E-2</v>
      </c>
      <c r="AI153" s="21"/>
      <c r="AJ153" s="22"/>
      <c r="AK153" s="22"/>
      <c r="AL153" s="22"/>
      <c r="AM153" s="23"/>
      <c r="AN153" s="24">
        <f t="shared" si="40"/>
        <v>2.7199999999999998E-2</v>
      </c>
      <c r="AO153" s="24">
        <f t="shared" si="40"/>
        <v>0.02</v>
      </c>
      <c r="AP153" s="22" t="e">
        <f t="shared" si="40"/>
        <v>#DIV/0!</v>
      </c>
      <c r="AQ153" s="22"/>
      <c r="AR153" s="22"/>
      <c r="AS153" s="22"/>
      <c r="AT153" s="22"/>
      <c r="AU153" s="24">
        <f t="shared" si="41"/>
        <v>8.8000000000000005E-3</v>
      </c>
      <c r="AV153" s="22"/>
      <c r="AW153" s="22"/>
      <c r="AX153" s="22"/>
      <c r="AY153" s="22"/>
      <c r="AZ153" s="23"/>
      <c r="BA153" s="24">
        <f t="shared" si="42"/>
        <v>3.3317467872441696E-3</v>
      </c>
      <c r="BB153" s="22">
        <f t="shared" si="42"/>
        <v>6.354249404289118E-3</v>
      </c>
      <c r="BC153" s="22">
        <f t="shared" si="42"/>
        <v>4.0000000000000001E-3</v>
      </c>
      <c r="BD153" s="22">
        <f t="shared" si="42"/>
        <v>7.1999999999999998E-3</v>
      </c>
      <c r="BE153" s="22">
        <f t="shared" si="42"/>
        <v>8.3999999999999995E-3</v>
      </c>
      <c r="BF153" s="21">
        <f t="shared" si="42"/>
        <v>7.6E-3</v>
      </c>
      <c r="BG153" s="22">
        <f t="shared" si="42"/>
        <v>8.8000000000000005E-3</v>
      </c>
      <c r="BH153" s="22">
        <f t="shared" si="42"/>
        <v>8.7619047619047624E-3</v>
      </c>
      <c r="BI153" s="21">
        <f t="shared" si="42"/>
        <v>8.3999999999999995E-3</v>
      </c>
      <c r="BJ153" s="23">
        <f t="shared" si="42"/>
        <v>6.0000000000000001E-3</v>
      </c>
      <c r="BK153" s="23">
        <f t="shared" si="42"/>
        <v>1.3301409949454642E-3</v>
      </c>
      <c r="BL153" s="24">
        <f t="shared" si="42"/>
        <v>1.8070614400889631E-3</v>
      </c>
      <c r="BM153" s="24">
        <f t="shared" si="42"/>
        <v>8.4779975777149776E-3</v>
      </c>
      <c r="BN153" s="24">
        <f t="shared" si="43"/>
        <v>0.01</v>
      </c>
      <c r="BO153" s="24">
        <f t="shared" si="43"/>
        <v>2.7199999999999998E-2</v>
      </c>
      <c r="BP153" s="24">
        <f t="shared" si="43"/>
        <v>2.5999999999999999E-3</v>
      </c>
      <c r="BQ153" s="24">
        <f t="shared" si="43"/>
        <v>3.8E-3</v>
      </c>
      <c r="BR153" s="24">
        <f t="shared" si="43"/>
        <v>1.1197760447910418E-2</v>
      </c>
      <c r="BS153" s="24">
        <f t="shared" si="44"/>
        <v>0</v>
      </c>
      <c r="BT153" s="24">
        <f t="shared" si="44"/>
        <v>0</v>
      </c>
      <c r="BU153" s="24">
        <f t="shared" si="44"/>
        <v>0</v>
      </c>
      <c r="BV153" s="24">
        <f t="shared" si="44"/>
        <v>0</v>
      </c>
    </row>
    <row r="154" spans="1:74" x14ac:dyDescent="0.25">
      <c r="A154" s="16" t="s">
        <v>81</v>
      </c>
      <c r="B154" s="21">
        <f t="shared" si="36"/>
        <v>0</v>
      </c>
      <c r="C154" s="22">
        <f t="shared" si="36"/>
        <v>0</v>
      </c>
      <c r="D154" s="22">
        <f t="shared" si="36"/>
        <v>0</v>
      </c>
      <c r="E154" s="22">
        <f t="shared" si="36"/>
        <v>0</v>
      </c>
      <c r="F154" s="23"/>
      <c r="G154" s="22">
        <f t="shared" si="37"/>
        <v>0</v>
      </c>
      <c r="H154" s="21"/>
      <c r="I154" s="22"/>
      <c r="J154" s="22"/>
      <c r="K154" s="22"/>
      <c r="L154" s="23"/>
      <c r="M154" s="21"/>
      <c r="N154" s="22"/>
      <c r="O154" s="22"/>
      <c r="P154" s="22"/>
      <c r="Q154" s="23"/>
      <c r="R154" s="21"/>
      <c r="S154" s="22"/>
      <c r="T154" s="22"/>
      <c r="U154" s="22"/>
      <c r="V154" s="22"/>
      <c r="W154" s="24">
        <f t="shared" si="38"/>
        <v>0</v>
      </c>
      <c r="X154" s="22"/>
      <c r="Y154" s="22"/>
      <c r="Z154" s="22"/>
      <c r="AA154" s="22"/>
      <c r="AB154" s="23"/>
      <c r="AC154" s="22"/>
      <c r="AD154" s="22"/>
      <c r="AE154" s="22"/>
      <c r="AF154" s="22"/>
      <c r="AG154" s="23"/>
      <c r="AH154" s="23">
        <f t="shared" si="39"/>
        <v>0</v>
      </c>
      <c r="AI154" s="21"/>
      <c r="AJ154" s="22"/>
      <c r="AK154" s="22"/>
      <c r="AL154" s="22"/>
      <c r="AM154" s="23"/>
      <c r="AN154" s="24">
        <f t="shared" si="40"/>
        <v>0</v>
      </c>
      <c r="AO154" s="24">
        <f t="shared" si="40"/>
        <v>0</v>
      </c>
      <c r="AP154" s="22" t="e">
        <f t="shared" si="40"/>
        <v>#DIV/0!</v>
      </c>
      <c r="AQ154" s="22"/>
      <c r="AR154" s="22"/>
      <c r="AS154" s="22"/>
      <c r="AT154" s="22"/>
      <c r="AU154" s="24">
        <f t="shared" si="41"/>
        <v>0</v>
      </c>
      <c r="AV154" s="22"/>
      <c r="AW154" s="22"/>
      <c r="AX154" s="22"/>
      <c r="AY154" s="22"/>
      <c r="AZ154" s="23"/>
      <c r="BA154" s="24">
        <f t="shared" si="42"/>
        <v>0</v>
      </c>
      <c r="BB154" s="22">
        <f t="shared" si="42"/>
        <v>0</v>
      </c>
      <c r="BC154" s="22">
        <f t="shared" si="42"/>
        <v>0</v>
      </c>
      <c r="BD154" s="22">
        <f t="shared" si="42"/>
        <v>0</v>
      </c>
      <c r="BE154" s="22">
        <f t="shared" si="42"/>
        <v>0</v>
      </c>
      <c r="BF154" s="21">
        <f t="shared" si="42"/>
        <v>0</v>
      </c>
      <c r="BG154" s="22">
        <f t="shared" si="42"/>
        <v>0</v>
      </c>
      <c r="BH154" s="22">
        <f t="shared" si="42"/>
        <v>0</v>
      </c>
      <c r="BI154" s="21">
        <f t="shared" si="42"/>
        <v>0</v>
      </c>
      <c r="BJ154" s="23">
        <f t="shared" si="42"/>
        <v>0</v>
      </c>
      <c r="BK154" s="23">
        <f t="shared" si="42"/>
        <v>0</v>
      </c>
      <c r="BL154" s="24">
        <f t="shared" si="42"/>
        <v>0</v>
      </c>
      <c r="BM154" s="24">
        <f t="shared" si="42"/>
        <v>0</v>
      </c>
      <c r="BN154" s="24">
        <f t="shared" si="43"/>
        <v>0</v>
      </c>
      <c r="BO154" s="24">
        <f t="shared" si="43"/>
        <v>0</v>
      </c>
      <c r="BP154" s="24">
        <f t="shared" si="43"/>
        <v>0</v>
      </c>
      <c r="BQ154" s="24">
        <f t="shared" si="43"/>
        <v>0</v>
      </c>
      <c r="BR154" s="24">
        <f t="shared" si="43"/>
        <v>0</v>
      </c>
      <c r="BS154" s="24">
        <f t="shared" si="44"/>
        <v>0</v>
      </c>
      <c r="BT154" s="24">
        <f t="shared" si="44"/>
        <v>0</v>
      </c>
      <c r="BU154" s="24">
        <f t="shared" si="44"/>
        <v>0</v>
      </c>
      <c r="BV154" s="24">
        <f t="shared" si="44"/>
        <v>0</v>
      </c>
    </row>
    <row r="155" spans="1:74" x14ac:dyDescent="0.25">
      <c r="A155" s="16" t="s">
        <v>82</v>
      </c>
      <c r="B155" s="21">
        <f t="shared" si="36"/>
        <v>0</v>
      </c>
      <c r="C155" s="22">
        <f t="shared" si="36"/>
        <v>0</v>
      </c>
      <c r="D155" s="22">
        <f t="shared" si="36"/>
        <v>0</v>
      </c>
      <c r="E155" s="22">
        <f t="shared" si="36"/>
        <v>0</v>
      </c>
      <c r="F155" s="23"/>
      <c r="G155" s="22">
        <f t="shared" si="37"/>
        <v>0</v>
      </c>
      <c r="H155" s="21"/>
      <c r="I155" s="22"/>
      <c r="J155" s="22"/>
      <c r="K155" s="22"/>
      <c r="L155" s="23"/>
      <c r="M155" s="21"/>
      <c r="N155" s="22"/>
      <c r="O155" s="22"/>
      <c r="P155" s="22"/>
      <c r="Q155" s="23"/>
      <c r="R155" s="21"/>
      <c r="S155" s="22"/>
      <c r="T155" s="22"/>
      <c r="U155" s="22"/>
      <c r="V155" s="22"/>
      <c r="W155" s="24">
        <f t="shared" si="38"/>
        <v>0</v>
      </c>
      <c r="X155" s="22"/>
      <c r="Y155" s="22"/>
      <c r="Z155" s="22"/>
      <c r="AA155" s="22"/>
      <c r="AB155" s="23"/>
      <c r="AC155" s="22"/>
      <c r="AD155" s="22"/>
      <c r="AE155" s="22"/>
      <c r="AF155" s="22"/>
      <c r="AG155" s="23"/>
      <c r="AH155" s="23">
        <f t="shared" si="39"/>
        <v>0</v>
      </c>
      <c r="AI155" s="21"/>
      <c r="AJ155" s="22"/>
      <c r="AK155" s="22"/>
      <c r="AL155" s="22"/>
      <c r="AM155" s="23"/>
      <c r="AN155" s="24">
        <f t="shared" si="40"/>
        <v>0</v>
      </c>
      <c r="AO155" s="24">
        <f t="shared" si="40"/>
        <v>0</v>
      </c>
      <c r="AP155" s="22" t="e">
        <f t="shared" si="40"/>
        <v>#DIV/0!</v>
      </c>
      <c r="AQ155" s="22"/>
      <c r="AR155" s="22"/>
      <c r="AS155" s="22"/>
      <c r="AT155" s="22"/>
      <c r="AU155" s="24">
        <f t="shared" si="41"/>
        <v>0</v>
      </c>
      <c r="AV155" s="22"/>
      <c r="AW155" s="22"/>
      <c r="AX155" s="22"/>
      <c r="AY155" s="22"/>
      <c r="AZ155" s="23"/>
      <c r="BA155" s="24">
        <f t="shared" si="42"/>
        <v>0</v>
      </c>
      <c r="BB155" s="22">
        <f t="shared" si="42"/>
        <v>0</v>
      </c>
      <c r="BC155" s="22">
        <f t="shared" si="42"/>
        <v>0</v>
      </c>
      <c r="BD155" s="22">
        <f t="shared" si="42"/>
        <v>0</v>
      </c>
      <c r="BE155" s="22">
        <f t="shared" si="42"/>
        <v>0</v>
      </c>
      <c r="BF155" s="21">
        <f t="shared" si="42"/>
        <v>0</v>
      </c>
      <c r="BG155" s="22">
        <f t="shared" si="42"/>
        <v>0</v>
      </c>
      <c r="BH155" s="22">
        <f t="shared" si="42"/>
        <v>0</v>
      </c>
      <c r="BI155" s="21">
        <f t="shared" si="42"/>
        <v>0</v>
      </c>
      <c r="BJ155" s="23">
        <f t="shared" si="42"/>
        <v>0</v>
      </c>
      <c r="BK155" s="23">
        <f t="shared" si="42"/>
        <v>0</v>
      </c>
      <c r="BL155" s="24">
        <f t="shared" si="42"/>
        <v>0</v>
      </c>
      <c r="BM155" s="24">
        <f t="shared" si="42"/>
        <v>0</v>
      </c>
      <c r="BN155" s="24">
        <f t="shared" si="43"/>
        <v>0</v>
      </c>
      <c r="BO155" s="24">
        <f t="shared" si="43"/>
        <v>0</v>
      </c>
      <c r="BP155" s="24">
        <f t="shared" si="43"/>
        <v>0</v>
      </c>
      <c r="BQ155" s="24">
        <f t="shared" si="43"/>
        <v>0</v>
      </c>
      <c r="BR155" s="24">
        <f t="shared" si="43"/>
        <v>0</v>
      </c>
      <c r="BS155" s="24">
        <f t="shared" si="44"/>
        <v>0</v>
      </c>
      <c r="BT155" s="24">
        <f t="shared" si="44"/>
        <v>0</v>
      </c>
      <c r="BU155" s="24">
        <f t="shared" si="44"/>
        <v>0</v>
      </c>
      <c r="BV155" s="24">
        <f t="shared" si="44"/>
        <v>0</v>
      </c>
    </row>
    <row r="156" spans="1:74" x14ac:dyDescent="0.25">
      <c r="A156" s="16"/>
      <c r="B156" s="21">
        <f t="shared" ref="B156:E164" si="45">B71/B$6</f>
        <v>0</v>
      </c>
      <c r="C156" s="22">
        <f t="shared" si="45"/>
        <v>0</v>
      </c>
      <c r="D156" s="22">
        <f t="shared" si="45"/>
        <v>0</v>
      </c>
      <c r="E156" s="22">
        <f t="shared" si="45"/>
        <v>0</v>
      </c>
      <c r="F156" s="23"/>
      <c r="G156" s="22">
        <f t="shared" ref="G156:G164" si="46">G71/G$6</f>
        <v>0</v>
      </c>
      <c r="H156" s="21"/>
      <c r="I156" s="22"/>
      <c r="J156" s="22"/>
      <c r="K156" s="22"/>
      <c r="L156" s="23"/>
      <c r="M156" s="21"/>
      <c r="N156" s="22"/>
      <c r="O156" s="22"/>
      <c r="P156" s="22"/>
      <c r="Q156" s="23"/>
      <c r="R156" s="21"/>
      <c r="S156" s="22"/>
      <c r="T156" s="22"/>
      <c r="U156" s="22"/>
      <c r="V156" s="22"/>
      <c r="W156" s="24">
        <f t="shared" ref="W156:W164" si="47">W71/W$6</f>
        <v>0</v>
      </c>
      <c r="X156" s="22"/>
      <c r="Y156" s="22"/>
      <c r="Z156" s="22"/>
      <c r="AA156" s="22"/>
      <c r="AB156" s="23"/>
      <c r="AC156" s="22"/>
      <c r="AD156" s="22"/>
      <c r="AE156" s="22"/>
      <c r="AF156" s="22"/>
      <c r="AG156" s="23"/>
      <c r="AH156" s="23">
        <f t="shared" ref="AH156:AH164" si="48">AH71/AH$6</f>
        <v>0</v>
      </c>
      <c r="AI156" s="21"/>
      <c r="AJ156" s="22"/>
      <c r="AK156" s="22"/>
      <c r="AL156" s="22"/>
      <c r="AM156" s="23"/>
      <c r="AN156" s="24">
        <f t="shared" ref="AN156:AP164" si="49">AN71/AN$6</f>
        <v>0</v>
      </c>
      <c r="AO156" s="24">
        <f t="shared" si="49"/>
        <v>0</v>
      </c>
      <c r="AP156" s="22" t="e">
        <f t="shared" si="49"/>
        <v>#DIV/0!</v>
      </c>
      <c r="AQ156" s="22"/>
      <c r="AR156" s="22"/>
      <c r="AS156" s="22"/>
      <c r="AT156" s="22"/>
      <c r="AU156" s="24">
        <f t="shared" ref="AU156:AU164" si="50">AU71/AU$6</f>
        <v>0</v>
      </c>
      <c r="AV156" s="22"/>
      <c r="AW156" s="22"/>
      <c r="AX156" s="22"/>
      <c r="AY156" s="22"/>
      <c r="AZ156" s="23"/>
      <c r="BA156" s="24">
        <f t="shared" ref="BA156:BR164" si="51">BA71/BA$6</f>
        <v>0</v>
      </c>
      <c r="BB156" s="22">
        <f t="shared" si="51"/>
        <v>0</v>
      </c>
      <c r="BC156" s="22">
        <f t="shared" si="51"/>
        <v>0</v>
      </c>
      <c r="BD156" s="22">
        <f t="shared" si="51"/>
        <v>0</v>
      </c>
      <c r="BE156" s="22">
        <f t="shared" si="51"/>
        <v>0</v>
      </c>
      <c r="BF156" s="21">
        <f t="shared" si="51"/>
        <v>0</v>
      </c>
      <c r="BG156" s="22">
        <f t="shared" si="51"/>
        <v>0</v>
      </c>
      <c r="BH156" s="22">
        <f t="shared" si="51"/>
        <v>0</v>
      </c>
      <c r="BI156" s="21">
        <f t="shared" si="51"/>
        <v>0</v>
      </c>
      <c r="BJ156" s="23">
        <f t="shared" si="51"/>
        <v>0</v>
      </c>
      <c r="BK156" s="23">
        <f t="shared" si="51"/>
        <v>0</v>
      </c>
      <c r="BL156" s="24">
        <f t="shared" si="51"/>
        <v>0</v>
      </c>
      <c r="BM156" s="24">
        <f t="shared" si="51"/>
        <v>0</v>
      </c>
      <c r="BN156" s="24">
        <f t="shared" si="51"/>
        <v>4.0000000000000002E-4</v>
      </c>
      <c r="BO156" s="24">
        <f t="shared" si="51"/>
        <v>2.0000000000000001E-4</v>
      </c>
      <c r="BP156" s="24">
        <f t="shared" si="51"/>
        <v>0</v>
      </c>
      <c r="BQ156" s="24">
        <f t="shared" si="51"/>
        <v>1E-4</v>
      </c>
      <c r="BR156" s="24">
        <f t="shared" si="51"/>
        <v>1.9996000799840031E-4</v>
      </c>
      <c r="BS156" s="24"/>
      <c r="BT156" s="24"/>
      <c r="BU156" s="24"/>
      <c r="BV156" s="24"/>
    </row>
    <row r="157" spans="1:74" x14ac:dyDescent="0.25">
      <c r="A157" s="29" t="s">
        <v>15</v>
      </c>
      <c r="B157" s="21">
        <f t="shared" si="45"/>
        <v>0</v>
      </c>
      <c r="C157" s="22">
        <f t="shared" si="45"/>
        <v>0</v>
      </c>
      <c r="D157" s="22">
        <f t="shared" si="45"/>
        <v>0</v>
      </c>
      <c r="E157" s="22">
        <f t="shared" si="45"/>
        <v>0</v>
      </c>
      <c r="F157" s="23"/>
      <c r="G157" s="22">
        <f t="shared" si="46"/>
        <v>0</v>
      </c>
      <c r="H157" s="21"/>
      <c r="I157" s="22"/>
      <c r="J157" s="22"/>
      <c r="K157" s="22"/>
      <c r="L157" s="23"/>
      <c r="M157" s="21"/>
      <c r="N157" s="22"/>
      <c r="O157" s="22"/>
      <c r="P157" s="22"/>
      <c r="Q157" s="23"/>
      <c r="R157" s="21"/>
      <c r="S157" s="22"/>
      <c r="T157" s="22"/>
      <c r="U157" s="22"/>
      <c r="V157" s="22"/>
      <c r="W157" s="24">
        <f t="shared" si="47"/>
        <v>0</v>
      </c>
      <c r="X157" s="22"/>
      <c r="Y157" s="22"/>
      <c r="Z157" s="22"/>
      <c r="AA157" s="22"/>
      <c r="AB157" s="23"/>
      <c r="AC157" s="22"/>
      <c r="AD157" s="22"/>
      <c r="AE157" s="22"/>
      <c r="AF157" s="22"/>
      <c r="AG157" s="23"/>
      <c r="AH157" s="23">
        <f t="shared" si="48"/>
        <v>0</v>
      </c>
      <c r="AI157" s="21"/>
      <c r="AJ157" s="22"/>
      <c r="AK157" s="22"/>
      <c r="AL157" s="22"/>
      <c r="AM157" s="23"/>
      <c r="AN157" s="24">
        <f t="shared" si="49"/>
        <v>0</v>
      </c>
      <c r="AO157" s="24">
        <f t="shared" si="49"/>
        <v>0</v>
      </c>
      <c r="AP157" s="22" t="e">
        <f t="shared" si="49"/>
        <v>#DIV/0!</v>
      </c>
      <c r="AQ157" s="22"/>
      <c r="AR157" s="22"/>
      <c r="AS157" s="22"/>
      <c r="AT157" s="22"/>
      <c r="AU157" s="24">
        <f t="shared" si="50"/>
        <v>0</v>
      </c>
      <c r="AV157" s="22"/>
      <c r="AW157" s="22"/>
      <c r="AX157" s="22"/>
      <c r="AY157" s="22"/>
      <c r="AZ157" s="23"/>
      <c r="BA157" s="24">
        <f t="shared" si="51"/>
        <v>0</v>
      </c>
      <c r="BB157" s="22">
        <f t="shared" si="51"/>
        <v>0</v>
      </c>
      <c r="BC157" s="22">
        <f t="shared" si="51"/>
        <v>0</v>
      </c>
      <c r="BD157" s="22">
        <f t="shared" si="51"/>
        <v>0</v>
      </c>
      <c r="BE157" s="22">
        <f t="shared" si="51"/>
        <v>0</v>
      </c>
      <c r="BF157" s="21">
        <f t="shared" si="51"/>
        <v>0</v>
      </c>
      <c r="BG157" s="22">
        <f t="shared" si="51"/>
        <v>0</v>
      </c>
      <c r="BH157" s="22">
        <f t="shared" si="51"/>
        <v>0</v>
      </c>
      <c r="BI157" s="21">
        <f t="shared" si="51"/>
        <v>0</v>
      </c>
      <c r="BJ157" s="23">
        <f t="shared" si="51"/>
        <v>0</v>
      </c>
      <c r="BK157" s="23">
        <f t="shared" si="51"/>
        <v>0</v>
      </c>
      <c r="BL157" s="24">
        <f t="shared" si="51"/>
        <v>0</v>
      </c>
      <c r="BM157" s="24">
        <f t="shared" si="51"/>
        <v>0</v>
      </c>
      <c r="BN157" s="24">
        <f t="shared" si="51"/>
        <v>0</v>
      </c>
      <c r="BO157" s="24">
        <f t="shared" si="51"/>
        <v>0</v>
      </c>
      <c r="BP157" s="24">
        <f t="shared" si="51"/>
        <v>0</v>
      </c>
      <c r="BQ157" s="24">
        <f t="shared" si="51"/>
        <v>0</v>
      </c>
      <c r="BR157" s="24">
        <f t="shared" si="51"/>
        <v>0</v>
      </c>
      <c r="BS157" s="24"/>
      <c r="BT157" s="24"/>
      <c r="BU157" s="24"/>
      <c r="BV157" s="24"/>
    </row>
    <row r="158" spans="1:74" x14ac:dyDescent="0.25">
      <c r="A158" s="16" t="s">
        <v>83</v>
      </c>
      <c r="B158" s="21">
        <f t="shared" si="45"/>
        <v>2.2000000000000001E-3</v>
      </c>
      <c r="C158" s="22">
        <f t="shared" si="45"/>
        <v>5.4000000000000003E-3</v>
      </c>
      <c r="D158" s="22">
        <f t="shared" si="45"/>
        <v>0</v>
      </c>
      <c r="E158" s="22">
        <f t="shared" si="45"/>
        <v>4.0000000000000002E-4</v>
      </c>
      <c r="F158" s="23"/>
      <c r="G158" s="22">
        <f t="shared" si="46"/>
        <v>5.9999999999999995E-4</v>
      </c>
      <c r="H158" s="21"/>
      <c r="I158" s="22"/>
      <c r="J158" s="22"/>
      <c r="K158" s="22"/>
      <c r="L158" s="23"/>
      <c r="M158" s="21"/>
      <c r="N158" s="22"/>
      <c r="O158" s="22"/>
      <c r="P158" s="22"/>
      <c r="Q158" s="23"/>
      <c r="R158" s="21"/>
      <c r="S158" s="22"/>
      <c r="T158" s="22"/>
      <c r="U158" s="22"/>
      <c r="V158" s="22"/>
      <c r="W158" s="24">
        <f t="shared" si="47"/>
        <v>8.0000000000000004E-4</v>
      </c>
      <c r="X158" s="22"/>
      <c r="Y158" s="22"/>
      <c r="Z158" s="22"/>
      <c r="AA158" s="22"/>
      <c r="AB158" s="23"/>
      <c r="AC158" s="22"/>
      <c r="AD158" s="22"/>
      <c r="AE158" s="22"/>
      <c r="AF158" s="22"/>
      <c r="AG158" s="23"/>
      <c r="AH158" s="23">
        <f t="shared" si="48"/>
        <v>2.9129129129129128E-2</v>
      </c>
      <c r="AI158" s="21"/>
      <c r="AJ158" s="22"/>
      <c r="AK158" s="22"/>
      <c r="AL158" s="22"/>
      <c r="AM158" s="23"/>
      <c r="AN158" s="24">
        <f t="shared" si="49"/>
        <v>0</v>
      </c>
      <c r="AO158" s="24">
        <f t="shared" si="49"/>
        <v>0</v>
      </c>
      <c r="AP158" s="22" t="e">
        <f t="shared" si="49"/>
        <v>#DIV/0!</v>
      </c>
      <c r="AQ158" s="22"/>
      <c r="AR158" s="22"/>
      <c r="AS158" s="22"/>
      <c r="AT158" s="22"/>
      <c r="AU158" s="24">
        <f t="shared" si="50"/>
        <v>0</v>
      </c>
      <c r="AV158" s="22"/>
      <c r="AW158" s="22"/>
      <c r="AX158" s="22"/>
      <c r="AY158" s="22"/>
      <c r="AZ158" s="23"/>
      <c r="BA158" s="24">
        <f t="shared" si="51"/>
        <v>0</v>
      </c>
      <c r="BB158" s="22">
        <f t="shared" si="51"/>
        <v>0</v>
      </c>
      <c r="BC158" s="22">
        <f t="shared" si="51"/>
        <v>0</v>
      </c>
      <c r="BD158" s="22">
        <f t="shared" si="51"/>
        <v>0</v>
      </c>
      <c r="BE158" s="22">
        <f t="shared" si="51"/>
        <v>0</v>
      </c>
      <c r="BF158" s="21">
        <f t="shared" si="51"/>
        <v>0</v>
      </c>
      <c r="BG158" s="22">
        <f t="shared" si="51"/>
        <v>0</v>
      </c>
      <c r="BH158" s="22">
        <f t="shared" si="51"/>
        <v>0</v>
      </c>
      <c r="BI158" s="21">
        <f t="shared" si="51"/>
        <v>0</v>
      </c>
      <c r="BJ158" s="23">
        <f t="shared" si="51"/>
        <v>0</v>
      </c>
      <c r="BK158" s="23">
        <f t="shared" si="51"/>
        <v>7.3157754722000528E-4</v>
      </c>
      <c r="BL158" s="24">
        <f t="shared" si="51"/>
        <v>6.2552126772310256E-4</v>
      </c>
      <c r="BM158" s="24">
        <f t="shared" si="51"/>
        <v>0</v>
      </c>
      <c r="BN158" s="24">
        <f t="shared" si="51"/>
        <v>1.6000000000000001E-3</v>
      </c>
      <c r="BO158" s="24">
        <f t="shared" si="51"/>
        <v>3.0000000000000001E-3</v>
      </c>
      <c r="BP158" s="24">
        <f t="shared" si="51"/>
        <v>1.1999999999999999E-3</v>
      </c>
      <c r="BQ158" s="24">
        <f t="shared" si="51"/>
        <v>1.6000000000000001E-3</v>
      </c>
      <c r="BR158" s="24">
        <f t="shared" si="51"/>
        <v>2.999400119976005E-3</v>
      </c>
      <c r="BS158" s="24">
        <f t="shared" ref="BS158:BV173" si="52">BS83/BS$6</f>
        <v>2.7400000000000001E-2</v>
      </c>
      <c r="BT158" s="24">
        <f t="shared" si="52"/>
        <v>2.9000000000000001E-2</v>
      </c>
      <c r="BU158" s="24">
        <f t="shared" si="52"/>
        <v>8.2000000000000007E-3</v>
      </c>
      <c r="BV158" s="24">
        <f t="shared" si="52"/>
        <v>0</v>
      </c>
    </row>
    <row r="159" spans="1:74" x14ac:dyDescent="0.25">
      <c r="A159" s="16" t="s">
        <v>84</v>
      </c>
      <c r="B159" s="21">
        <f t="shared" si="45"/>
        <v>5.0000000000000001E-3</v>
      </c>
      <c r="C159" s="22">
        <f t="shared" si="45"/>
        <v>9.1999999999999998E-3</v>
      </c>
      <c r="D159" s="22">
        <f t="shared" si="45"/>
        <v>0</v>
      </c>
      <c r="E159" s="22">
        <f t="shared" si="45"/>
        <v>1E-3</v>
      </c>
      <c r="F159" s="23"/>
      <c r="G159" s="22">
        <f t="shared" si="46"/>
        <v>1.8E-3</v>
      </c>
      <c r="H159" s="21"/>
      <c r="I159" s="22"/>
      <c r="J159" s="22"/>
      <c r="K159" s="22"/>
      <c r="L159" s="23"/>
      <c r="M159" s="21"/>
      <c r="N159" s="22"/>
      <c r="O159" s="22"/>
      <c r="P159" s="22"/>
      <c r="Q159" s="23"/>
      <c r="R159" s="21"/>
      <c r="S159" s="22"/>
      <c r="T159" s="22"/>
      <c r="U159" s="22"/>
      <c r="V159" s="22"/>
      <c r="W159" s="24">
        <f t="shared" si="47"/>
        <v>1.1999999999999999E-3</v>
      </c>
      <c r="X159" s="22"/>
      <c r="Y159" s="22"/>
      <c r="Z159" s="22"/>
      <c r="AA159" s="22"/>
      <c r="AB159" s="23"/>
      <c r="AC159" s="22"/>
      <c r="AD159" s="22"/>
      <c r="AE159" s="22"/>
      <c r="AF159" s="22"/>
      <c r="AG159" s="23"/>
      <c r="AH159" s="23">
        <f t="shared" si="48"/>
        <v>1.5015015015015015E-3</v>
      </c>
      <c r="AI159" s="21"/>
      <c r="AJ159" s="22"/>
      <c r="AK159" s="22"/>
      <c r="AL159" s="22"/>
      <c r="AM159" s="23"/>
      <c r="AN159" s="24">
        <f t="shared" si="49"/>
        <v>2E-3</v>
      </c>
      <c r="AO159" s="24">
        <f t="shared" si="49"/>
        <v>1.4E-3</v>
      </c>
      <c r="AP159" s="22" t="e">
        <f t="shared" si="49"/>
        <v>#DIV/0!</v>
      </c>
      <c r="AQ159" s="22"/>
      <c r="AR159" s="22"/>
      <c r="AS159" s="22"/>
      <c r="AT159" s="22"/>
      <c r="AU159" s="24">
        <f t="shared" si="50"/>
        <v>0</v>
      </c>
      <c r="AV159" s="22"/>
      <c r="AW159" s="22"/>
      <c r="AX159" s="22"/>
      <c r="AY159" s="22"/>
      <c r="AZ159" s="23"/>
      <c r="BA159" s="24">
        <f t="shared" si="51"/>
        <v>0</v>
      </c>
      <c r="BB159" s="22">
        <f t="shared" si="51"/>
        <v>0</v>
      </c>
      <c r="BC159" s="22">
        <f t="shared" si="51"/>
        <v>4.0000000000000002E-4</v>
      </c>
      <c r="BD159" s="22">
        <f t="shared" si="51"/>
        <v>0</v>
      </c>
      <c r="BE159" s="22">
        <f t="shared" si="51"/>
        <v>0</v>
      </c>
      <c r="BF159" s="21">
        <f t="shared" si="51"/>
        <v>0</v>
      </c>
      <c r="BG159" s="22">
        <f t="shared" si="51"/>
        <v>0</v>
      </c>
      <c r="BH159" s="22">
        <f t="shared" si="51"/>
        <v>5.7142857142857147E-4</v>
      </c>
      <c r="BI159" s="21">
        <f t="shared" si="51"/>
        <v>0</v>
      </c>
      <c r="BJ159" s="23">
        <f t="shared" si="51"/>
        <v>4.0000000000000002E-4</v>
      </c>
      <c r="BK159" s="23">
        <f t="shared" si="51"/>
        <v>9.9760574620909822E-5</v>
      </c>
      <c r="BL159" s="24">
        <f t="shared" si="51"/>
        <v>6.9502363080344734E-5</v>
      </c>
      <c r="BM159" s="24">
        <f t="shared" si="51"/>
        <v>4.0371417036737988E-4</v>
      </c>
      <c r="BN159" s="24">
        <f t="shared" si="51"/>
        <v>8.0000000000000004E-4</v>
      </c>
      <c r="BO159" s="24">
        <f t="shared" si="51"/>
        <v>2E-3</v>
      </c>
      <c r="BP159" s="24">
        <f t="shared" si="51"/>
        <v>8.0000000000000004E-4</v>
      </c>
      <c r="BQ159" s="24">
        <f t="shared" si="51"/>
        <v>4.7000000000000002E-3</v>
      </c>
      <c r="BR159" s="24">
        <f t="shared" si="51"/>
        <v>9.7980403919216159E-3</v>
      </c>
      <c r="BS159" s="24">
        <f t="shared" si="52"/>
        <v>6.6600000000000006E-2</v>
      </c>
      <c r="BT159" s="24">
        <f t="shared" si="52"/>
        <v>6.5000000000000002E-2</v>
      </c>
      <c r="BU159" s="24">
        <f t="shared" si="52"/>
        <v>6.6000000000000003E-2</v>
      </c>
      <c r="BV159" s="24">
        <f t="shared" si="52"/>
        <v>0</v>
      </c>
    </row>
    <row r="160" spans="1:74" x14ac:dyDescent="0.25">
      <c r="A160" s="30" t="s">
        <v>85</v>
      </c>
      <c r="B160" s="21">
        <f t="shared" si="45"/>
        <v>0</v>
      </c>
      <c r="C160" s="22">
        <f t="shared" si="45"/>
        <v>0</v>
      </c>
      <c r="D160" s="22">
        <f t="shared" si="45"/>
        <v>0</v>
      </c>
      <c r="E160" s="22">
        <f t="shared" si="45"/>
        <v>0</v>
      </c>
      <c r="F160" s="23"/>
      <c r="G160" s="22">
        <f t="shared" si="46"/>
        <v>7.7999999999999996E-3</v>
      </c>
      <c r="H160" s="21"/>
      <c r="I160" s="22"/>
      <c r="J160" s="22"/>
      <c r="K160" s="22"/>
      <c r="L160" s="23"/>
      <c r="M160" s="21"/>
      <c r="N160" s="22"/>
      <c r="O160" s="22"/>
      <c r="P160" s="22"/>
      <c r="Q160" s="23"/>
      <c r="R160" s="21"/>
      <c r="S160" s="22"/>
      <c r="T160" s="22"/>
      <c r="U160" s="22"/>
      <c r="V160" s="22"/>
      <c r="W160" s="24">
        <f t="shared" si="47"/>
        <v>0</v>
      </c>
      <c r="X160" s="22"/>
      <c r="Y160" s="22"/>
      <c r="Z160" s="22"/>
      <c r="AA160" s="22"/>
      <c r="AB160" s="23"/>
      <c r="AC160" s="22"/>
      <c r="AD160" s="22"/>
      <c r="AE160" s="22"/>
      <c r="AF160" s="22"/>
      <c r="AG160" s="23"/>
      <c r="AH160" s="23">
        <f t="shared" si="48"/>
        <v>5.7057057057057058E-3</v>
      </c>
      <c r="AI160" s="21"/>
      <c r="AJ160" s="22"/>
      <c r="AK160" s="22"/>
      <c r="AL160" s="22"/>
      <c r="AM160" s="23"/>
      <c r="AN160" s="24">
        <f t="shared" si="49"/>
        <v>2.3E-2</v>
      </c>
      <c r="AO160" s="24">
        <f t="shared" si="49"/>
        <v>1.5800000000000002E-2</v>
      </c>
      <c r="AP160" s="22" t="e">
        <f t="shared" si="49"/>
        <v>#DIV/0!</v>
      </c>
      <c r="AQ160" s="22"/>
      <c r="AR160" s="22"/>
      <c r="AS160" s="22"/>
      <c r="AT160" s="22"/>
      <c r="AU160" s="24">
        <f t="shared" si="50"/>
        <v>1.6400000000000001E-2</v>
      </c>
      <c r="AV160" s="22"/>
      <c r="AW160" s="22"/>
      <c r="AX160" s="22"/>
      <c r="AY160" s="22"/>
      <c r="AZ160" s="23"/>
      <c r="BA160" s="24">
        <f t="shared" si="51"/>
        <v>1.3802950975725845E-2</v>
      </c>
      <c r="BB160" s="22">
        <f t="shared" si="51"/>
        <v>3.1374106433677523E-2</v>
      </c>
      <c r="BC160" s="22">
        <f t="shared" si="51"/>
        <v>2.1600000000000001E-2</v>
      </c>
      <c r="BD160" s="22">
        <f t="shared" si="51"/>
        <v>4.3200000000000002E-2</v>
      </c>
      <c r="BE160" s="22">
        <f t="shared" si="51"/>
        <v>3.44E-2</v>
      </c>
      <c r="BF160" s="21">
        <f t="shared" si="51"/>
        <v>0.05</v>
      </c>
      <c r="BG160" s="22">
        <f t="shared" si="51"/>
        <v>3.4000000000000002E-2</v>
      </c>
      <c r="BH160" s="22">
        <f t="shared" si="51"/>
        <v>4.7619047619047616E-2</v>
      </c>
      <c r="BI160" s="21">
        <f t="shared" si="51"/>
        <v>3.0800000000000001E-2</v>
      </c>
      <c r="BJ160" s="23">
        <f t="shared" si="51"/>
        <v>3.7199999999999997E-2</v>
      </c>
      <c r="BK160" s="23">
        <f t="shared" si="51"/>
        <v>0</v>
      </c>
      <c r="BL160" s="24">
        <f t="shared" si="51"/>
        <v>0</v>
      </c>
      <c r="BM160" s="24">
        <f t="shared" si="51"/>
        <v>3.6334275333064193E-3</v>
      </c>
      <c r="BN160" s="24">
        <f t="shared" si="51"/>
        <v>8.0000000000000002E-3</v>
      </c>
      <c r="BO160" s="24">
        <f t="shared" si="51"/>
        <v>2.3E-2</v>
      </c>
      <c r="BP160" s="24">
        <f t="shared" si="51"/>
        <v>8.9999999999999993E-3</v>
      </c>
      <c r="BQ160" s="24">
        <f t="shared" si="51"/>
        <v>1.8E-3</v>
      </c>
      <c r="BR160" s="24">
        <f t="shared" si="51"/>
        <v>3.9992001599680064E-3</v>
      </c>
      <c r="BS160" s="24">
        <f t="shared" si="52"/>
        <v>0.15559999999999999</v>
      </c>
      <c r="BT160" s="24">
        <f t="shared" si="52"/>
        <v>7.0400000000000004E-2</v>
      </c>
      <c r="BU160" s="24">
        <f t="shared" si="52"/>
        <v>7.8399999999999997E-2</v>
      </c>
      <c r="BV160" s="24">
        <f t="shared" si="52"/>
        <v>0</v>
      </c>
    </row>
    <row r="161" spans="1:74" x14ac:dyDescent="0.25">
      <c r="A161" s="30" t="s">
        <v>86</v>
      </c>
      <c r="B161" s="21">
        <f t="shared" si="45"/>
        <v>2.0000000000000001E-4</v>
      </c>
      <c r="C161" s="22">
        <f t="shared" si="45"/>
        <v>2.0000000000000001E-4</v>
      </c>
      <c r="D161" s="22">
        <f t="shared" si="45"/>
        <v>2.0000000000000001E-4</v>
      </c>
      <c r="E161" s="22">
        <f t="shared" si="45"/>
        <v>4.0000000000000002E-4</v>
      </c>
      <c r="F161" s="23"/>
      <c r="G161" s="22">
        <f t="shared" si="46"/>
        <v>2.0000000000000001E-4</v>
      </c>
      <c r="H161" s="21"/>
      <c r="I161" s="22"/>
      <c r="J161" s="22"/>
      <c r="K161" s="22"/>
      <c r="L161" s="23"/>
      <c r="M161" s="21"/>
      <c r="N161" s="22"/>
      <c r="O161" s="22"/>
      <c r="P161" s="22"/>
      <c r="Q161" s="23"/>
      <c r="R161" s="21"/>
      <c r="S161" s="22"/>
      <c r="T161" s="22"/>
      <c r="U161" s="22"/>
      <c r="V161" s="22"/>
      <c r="W161" s="24">
        <f t="shared" si="47"/>
        <v>2.0000000000000001E-4</v>
      </c>
      <c r="X161" s="22"/>
      <c r="Y161" s="22"/>
      <c r="Z161" s="22"/>
      <c r="AA161" s="22"/>
      <c r="AB161" s="23"/>
      <c r="AC161" s="22"/>
      <c r="AD161" s="22"/>
      <c r="AE161" s="22"/>
      <c r="AF161" s="22"/>
      <c r="AG161" s="23"/>
      <c r="AH161" s="23">
        <f t="shared" si="48"/>
        <v>0</v>
      </c>
      <c r="AI161" s="21"/>
      <c r="AJ161" s="22"/>
      <c r="AK161" s="22"/>
      <c r="AL161" s="22"/>
      <c r="AM161" s="23"/>
      <c r="AN161" s="24">
        <f t="shared" si="49"/>
        <v>0</v>
      </c>
      <c r="AO161" s="24">
        <f t="shared" si="49"/>
        <v>0</v>
      </c>
      <c r="AP161" s="22" t="e">
        <f t="shared" si="49"/>
        <v>#DIV/0!</v>
      </c>
      <c r="AQ161" s="22"/>
      <c r="AR161" s="22"/>
      <c r="AS161" s="22"/>
      <c r="AT161" s="22"/>
      <c r="AU161" s="24">
        <f t="shared" si="50"/>
        <v>0</v>
      </c>
      <c r="AV161" s="22"/>
      <c r="AW161" s="22"/>
      <c r="AX161" s="22"/>
      <c r="AY161" s="22"/>
      <c r="AZ161" s="23"/>
      <c r="BA161" s="24">
        <f t="shared" si="51"/>
        <v>0</v>
      </c>
      <c r="BB161" s="22">
        <f t="shared" si="51"/>
        <v>0</v>
      </c>
      <c r="BC161" s="22">
        <f t="shared" si="51"/>
        <v>0</v>
      </c>
      <c r="BD161" s="22">
        <f t="shared" si="51"/>
        <v>0</v>
      </c>
      <c r="BE161" s="22">
        <f t="shared" si="51"/>
        <v>0</v>
      </c>
      <c r="BF161" s="21">
        <f t="shared" si="51"/>
        <v>0</v>
      </c>
      <c r="BG161" s="22">
        <f t="shared" si="51"/>
        <v>0</v>
      </c>
      <c r="BH161" s="22">
        <f t="shared" si="51"/>
        <v>0</v>
      </c>
      <c r="BI161" s="21">
        <f t="shared" si="51"/>
        <v>0</v>
      </c>
      <c r="BJ161" s="23">
        <f t="shared" si="51"/>
        <v>0</v>
      </c>
      <c r="BK161" s="23">
        <f t="shared" si="51"/>
        <v>0</v>
      </c>
      <c r="BL161" s="24">
        <f t="shared" si="51"/>
        <v>0</v>
      </c>
      <c r="BM161" s="24">
        <f t="shared" si="51"/>
        <v>0</v>
      </c>
      <c r="BN161" s="24">
        <f t="shared" si="51"/>
        <v>0</v>
      </c>
      <c r="BO161" s="24">
        <f t="shared" si="51"/>
        <v>0</v>
      </c>
      <c r="BP161" s="24">
        <f t="shared" si="51"/>
        <v>0</v>
      </c>
      <c r="BQ161" s="24">
        <f t="shared" si="51"/>
        <v>0</v>
      </c>
      <c r="BR161" s="24">
        <f t="shared" si="51"/>
        <v>0</v>
      </c>
      <c r="BS161" s="24">
        <f t="shared" si="52"/>
        <v>6.1800000000000001E-2</v>
      </c>
      <c r="BT161" s="24">
        <f t="shared" si="52"/>
        <v>7.0999999999999994E-2</v>
      </c>
      <c r="BU161" s="24">
        <f t="shared" si="52"/>
        <v>7.9399999999999998E-2</v>
      </c>
      <c r="BV161" s="24">
        <f t="shared" si="52"/>
        <v>0</v>
      </c>
    </row>
    <row r="162" spans="1:74" x14ac:dyDescent="0.25">
      <c r="A162" s="16" t="s">
        <v>87</v>
      </c>
      <c r="B162" s="21">
        <f t="shared" si="45"/>
        <v>2.8000000000000001E-2</v>
      </c>
      <c r="C162" s="22">
        <f t="shared" si="45"/>
        <v>0</v>
      </c>
      <c r="D162" s="22">
        <f t="shared" si="45"/>
        <v>3.0000000000000001E-3</v>
      </c>
      <c r="E162" s="22">
        <f t="shared" si="45"/>
        <v>1.34E-2</v>
      </c>
      <c r="F162" s="23"/>
      <c r="G162" s="22">
        <f t="shared" si="46"/>
        <v>2.4199999999999999E-2</v>
      </c>
      <c r="H162" s="21"/>
      <c r="I162" s="22"/>
      <c r="J162" s="22"/>
      <c r="K162" s="22"/>
      <c r="L162" s="23"/>
      <c r="M162" s="21"/>
      <c r="N162" s="22"/>
      <c r="O162" s="22"/>
      <c r="P162" s="22"/>
      <c r="Q162" s="23"/>
      <c r="R162" s="21"/>
      <c r="S162" s="22"/>
      <c r="T162" s="22"/>
      <c r="U162" s="22"/>
      <c r="V162" s="22"/>
      <c r="W162" s="24">
        <f t="shared" si="47"/>
        <v>2.46E-2</v>
      </c>
      <c r="X162" s="22"/>
      <c r="Y162" s="22"/>
      <c r="Z162" s="22"/>
      <c r="AA162" s="22"/>
      <c r="AB162" s="23"/>
      <c r="AC162" s="22"/>
      <c r="AD162" s="22"/>
      <c r="AE162" s="22"/>
      <c r="AF162" s="22"/>
      <c r="AG162" s="23"/>
      <c r="AH162" s="23">
        <f t="shared" si="48"/>
        <v>0</v>
      </c>
      <c r="AI162" s="21"/>
      <c r="AJ162" s="22"/>
      <c r="AK162" s="22"/>
      <c r="AL162" s="22"/>
      <c r="AM162" s="23"/>
      <c r="AN162" s="24">
        <f t="shared" si="49"/>
        <v>4.0000000000000002E-4</v>
      </c>
      <c r="AO162" s="24">
        <f t="shared" si="49"/>
        <v>0</v>
      </c>
      <c r="AP162" s="22" t="e">
        <f t="shared" si="49"/>
        <v>#DIV/0!</v>
      </c>
      <c r="AQ162" s="22"/>
      <c r="AR162" s="22"/>
      <c r="AS162" s="22"/>
      <c r="AT162" s="22"/>
      <c r="AU162" s="24">
        <f t="shared" si="50"/>
        <v>2.0000000000000001E-4</v>
      </c>
      <c r="AV162" s="22"/>
      <c r="AW162" s="22"/>
      <c r="AX162" s="22"/>
      <c r="AY162" s="22"/>
      <c r="AZ162" s="23"/>
      <c r="BA162" s="24">
        <f t="shared" si="51"/>
        <v>0</v>
      </c>
      <c r="BB162" s="22">
        <f t="shared" si="51"/>
        <v>0</v>
      </c>
      <c r="BC162" s="22">
        <f t="shared" si="51"/>
        <v>0</v>
      </c>
      <c r="BD162" s="22">
        <f t="shared" si="51"/>
        <v>4.0000000000000002E-4</v>
      </c>
      <c r="BE162" s="22">
        <f t="shared" si="51"/>
        <v>0</v>
      </c>
      <c r="BF162" s="21">
        <f t="shared" si="51"/>
        <v>0</v>
      </c>
      <c r="BG162" s="22">
        <f t="shared" si="51"/>
        <v>0</v>
      </c>
      <c r="BH162" s="22">
        <f t="shared" si="51"/>
        <v>1.9047619047619048E-4</v>
      </c>
      <c r="BI162" s="21">
        <f t="shared" si="51"/>
        <v>0</v>
      </c>
      <c r="BJ162" s="23">
        <f t="shared" si="51"/>
        <v>0</v>
      </c>
      <c r="BK162" s="23">
        <f t="shared" si="51"/>
        <v>1.6626762436818302E-4</v>
      </c>
      <c r="BL162" s="24">
        <f t="shared" si="51"/>
        <v>2.7800945232137893E-4</v>
      </c>
      <c r="BM162" s="24">
        <f t="shared" si="51"/>
        <v>4.0371417036737988E-4</v>
      </c>
      <c r="BN162" s="24">
        <f t="shared" si="51"/>
        <v>0</v>
      </c>
      <c r="BO162" s="24">
        <f t="shared" si="51"/>
        <v>4.0000000000000002E-4</v>
      </c>
      <c r="BP162" s="24">
        <f t="shared" si="51"/>
        <v>8.0000000000000004E-4</v>
      </c>
      <c r="BQ162" s="24">
        <f t="shared" si="51"/>
        <v>1.5E-3</v>
      </c>
      <c r="BR162" s="24">
        <f t="shared" si="51"/>
        <v>1.9996000799840032E-3</v>
      </c>
      <c r="BS162" s="24">
        <f t="shared" si="52"/>
        <v>0.1744</v>
      </c>
      <c r="BT162" s="24">
        <f t="shared" si="52"/>
        <v>0.23719999999999999</v>
      </c>
      <c r="BU162" s="24">
        <f t="shared" si="52"/>
        <v>0.25919999999999999</v>
      </c>
      <c r="BV162" s="24">
        <f t="shared" si="52"/>
        <v>0</v>
      </c>
    </row>
    <row r="163" spans="1:74" x14ac:dyDescent="0.25">
      <c r="A163" s="16" t="s">
        <v>88</v>
      </c>
      <c r="B163" s="21">
        <f t="shared" si="45"/>
        <v>0</v>
      </c>
      <c r="C163" s="22">
        <f t="shared" si="45"/>
        <v>0</v>
      </c>
      <c r="D163" s="22">
        <f t="shared" si="45"/>
        <v>0</v>
      </c>
      <c r="E163" s="22">
        <f t="shared" si="45"/>
        <v>0</v>
      </c>
      <c r="F163" s="23"/>
      <c r="G163" s="22">
        <f t="shared" si="46"/>
        <v>0</v>
      </c>
      <c r="H163" s="21"/>
      <c r="I163" s="22"/>
      <c r="J163" s="22"/>
      <c r="K163" s="22"/>
      <c r="L163" s="23"/>
      <c r="M163" s="21"/>
      <c r="N163" s="22"/>
      <c r="O163" s="22"/>
      <c r="P163" s="22"/>
      <c r="Q163" s="23"/>
      <c r="R163" s="21"/>
      <c r="S163" s="22"/>
      <c r="T163" s="22"/>
      <c r="U163" s="22"/>
      <c r="V163" s="22"/>
      <c r="W163" s="24">
        <f t="shared" si="47"/>
        <v>0</v>
      </c>
      <c r="X163" s="22"/>
      <c r="Y163" s="22"/>
      <c r="Z163" s="22"/>
      <c r="AA163" s="22"/>
      <c r="AB163" s="23"/>
      <c r="AC163" s="22"/>
      <c r="AD163" s="22"/>
      <c r="AE163" s="22"/>
      <c r="AF163" s="22"/>
      <c r="AG163" s="23"/>
      <c r="AH163" s="23">
        <f t="shared" si="48"/>
        <v>0</v>
      </c>
      <c r="AI163" s="21"/>
      <c r="AJ163" s="22"/>
      <c r="AK163" s="22"/>
      <c r="AL163" s="22"/>
      <c r="AM163" s="23"/>
      <c r="AN163" s="24">
        <f t="shared" si="49"/>
        <v>0</v>
      </c>
      <c r="AO163" s="24">
        <f t="shared" si="49"/>
        <v>0</v>
      </c>
      <c r="AP163" s="22" t="e">
        <f t="shared" si="49"/>
        <v>#DIV/0!</v>
      </c>
      <c r="AQ163" s="22"/>
      <c r="AR163" s="22"/>
      <c r="AS163" s="22"/>
      <c r="AT163" s="22"/>
      <c r="AU163" s="24">
        <f t="shared" si="50"/>
        <v>0</v>
      </c>
      <c r="AV163" s="22"/>
      <c r="AW163" s="22"/>
      <c r="AX163" s="22"/>
      <c r="AY163" s="22"/>
      <c r="AZ163" s="23"/>
      <c r="BA163" s="24">
        <f t="shared" si="51"/>
        <v>0</v>
      </c>
      <c r="BB163" s="22">
        <f t="shared" si="51"/>
        <v>0</v>
      </c>
      <c r="BC163" s="22">
        <f t="shared" si="51"/>
        <v>0</v>
      </c>
      <c r="BD163" s="22">
        <f t="shared" si="51"/>
        <v>0</v>
      </c>
      <c r="BE163" s="22">
        <f t="shared" si="51"/>
        <v>0</v>
      </c>
      <c r="BF163" s="21">
        <f t="shared" si="51"/>
        <v>0</v>
      </c>
      <c r="BG163" s="22">
        <f t="shared" si="51"/>
        <v>0</v>
      </c>
      <c r="BH163" s="22">
        <f t="shared" si="51"/>
        <v>0</v>
      </c>
      <c r="BI163" s="21">
        <f t="shared" si="51"/>
        <v>0</v>
      </c>
      <c r="BJ163" s="23">
        <f t="shared" si="51"/>
        <v>0</v>
      </c>
      <c r="BK163" s="23">
        <f t="shared" si="51"/>
        <v>0</v>
      </c>
      <c r="BL163" s="24">
        <f t="shared" si="51"/>
        <v>0</v>
      </c>
      <c r="BM163" s="24">
        <f t="shared" si="51"/>
        <v>0</v>
      </c>
      <c r="BN163" s="24">
        <f t="shared" si="51"/>
        <v>0</v>
      </c>
      <c r="BO163" s="24">
        <f t="shared" si="51"/>
        <v>0</v>
      </c>
      <c r="BP163" s="24">
        <f t="shared" si="51"/>
        <v>0</v>
      </c>
      <c r="BQ163" s="24">
        <f t="shared" si="51"/>
        <v>0</v>
      </c>
      <c r="BR163" s="24">
        <f t="shared" si="51"/>
        <v>0</v>
      </c>
      <c r="BS163" s="24">
        <f t="shared" si="52"/>
        <v>1.4E-3</v>
      </c>
      <c r="BT163" s="24">
        <f t="shared" si="52"/>
        <v>1.8E-3</v>
      </c>
      <c r="BU163" s="24">
        <f t="shared" si="52"/>
        <v>1.8E-3</v>
      </c>
      <c r="BV163" s="24">
        <f t="shared" si="52"/>
        <v>0</v>
      </c>
    </row>
    <row r="164" spans="1:74" x14ac:dyDescent="0.25">
      <c r="A164" s="16" t="s">
        <v>89</v>
      </c>
      <c r="B164" s="21">
        <f t="shared" si="45"/>
        <v>0</v>
      </c>
      <c r="C164" s="22">
        <f t="shared" si="45"/>
        <v>0</v>
      </c>
      <c r="D164" s="22">
        <f t="shared" si="45"/>
        <v>0</v>
      </c>
      <c r="E164" s="22">
        <f t="shared" si="45"/>
        <v>0</v>
      </c>
      <c r="F164" s="23"/>
      <c r="G164" s="22">
        <f t="shared" si="46"/>
        <v>0</v>
      </c>
      <c r="H164" s="21"/>
      <c r="I164" s="22"/>
      <c r="J164" s="22"/>
      <c r="K164" s="22"/>
      <c r="L164" s="23"/>
      <c r="M164" s="21"/>
      <c r="N164" s="22"/>
      <c r="O164" s="22"/>
      <c r="P164" s="22"/>
      <c r="Q164" s="23"/>
      <c r="R164" s="21"/>
      <c r="S164" s="22"/>
      <c r="T164" s="22"/>
      <c r="U164" s="22"/>
      <c r="V164" s="22"/>
      <c r="W164" s="24">
        <f t="shared" si="47"/>
        <v>0</v>
      </c>
      <c r="X164" s="22"/>
      <c r="Y164" s="22"/>
      <c r="Z164" s="22"/>
      <c r="AA164" s="22"/>
      <c r="AB164" s="23"/>
      <c r="AC164" s="22"/>
      <c r="AD164" s="22"/>
      <c r="AE164" s="22"/>
      <c r="AF164" s="22"/>
      <c r="AG164" s="23"/>
      <c r="AH164" s="23">
        <f t="shared" si="48"/>
        <v>0</v>
      </c>
      <c r="AI164" s="21"/>
      <c r="AJ164" s="22"/>
      <c r="AK164" s="22"/>
      <c r="AL164" s="22"/>
      <c r="AM164" s="23"/>
      <c r="AN164" s="24">
        <f t="shared" si="49"/>
        <v>0</v>
      </c>
      <c r="AO164" s="24">
        <f t="shared" si="49"/>
        <v>0</v>
      </c>
      <c r="AP164" s="22" t="e">
        <f t="shared" si="49"/>
        <v>#DIV/0!</v>
      </c>
      <c r="AQ164" s="22"/>
      <c r="AR164" s="22"/>
      <c r="AS164" s="22"/>
      <c r="AT164" s="22"/>
      <c r="AU164" s="24">
        <f t="shared" si="50"/>
        <v>0</v>
      </c>
      <c r="AV164" s="22"/>
      <c r="AW164" s="22"/>
      <c r="AX164" s="22"/>
      <c r="AY164" s="22"/>
      <c r="AZ164" s="23"/>
      <c r="BA164" s="24">
        <f t="shared" si="51"/>
        <v>0</v>
      </c>
      <c r="BB164" s="22">
        <f t="shared" si="51"/>
        <v>0</v>
      </c>
      <c r="BC164" s="22">
        <f t="shared" si="51"/>
        <v>0</v>
      </c>
      <c r="BD164" s="22">
        <f t="shared" si="51"/>
        <v>0</v>
      </c>
      <c r="BE164" s="22">
        <f t="shared" si="51"/>
        <v>0</v>
      </c>
      <c r="BF164" s="21">
        <f t="shared" si="51"/>
        <v>0</v>
      </c>
      <c r="BG164" s="22">
        <f t="shared" si="51"/>
        <v>0</v>
      </c>
      <c r="BH164" s="22">
        <f t="shared" si="51"/>
        <v>0</v>
      </c>
      <c r="BI164" s="21">
        <f t="shared" si="51"/>
        <v>0</v>
      </c>
      <c r="BJ164" s="23">
        <f t="shared" si="51"/>
        <v>0</v>
      </c>
      <c r="BK164" s="23">
        <f t="shared" si="51"/>
        <v>0</v>
      </c>
      <c r="BL164" s="24">
        <f t="shared" si="51"/>
        <v>0</v>
      </c>
      <c r="BM164" s="24">
        <f t="shared" si="51"/>
        <v>0</v>
      </c>
      <c r="BN164" s="24">
        <f t="shared" si="51"/>
        <v>0</v>
      </c>
      <c r="BO164" s="24">
        <f t="shared" si="51"/>
        <v>0</v>
      </c>
      <c r="BP164" s="24">
        <f t="shared" si="51"/>
        <v>0</v>
      </c>
      <c r="BQ164" s="24">
        <f t="shared" si="51"/>
        <v>0</v>
      </c>
      <c r="BR164" s="24">
        <f t="shared" si="51"/>
        <v>0</v>
      </c>
      <c r="BS164" s="24">
        <f t="shared" si="52"/>
        <v>0</v>
      </c>
      <c r="BT164" s="24">
        <f t="shared" si="52"/>
        <v>0</v>
      </c>
      <c r="BU164" s="24">
        <f t="shared" si="52"/>
        <v>0</v>
      </c>
      <c r="BV164" s="24">
        <f t="shared" si="52"/>
        <v>0</v>
      </c>
    </row>
    <row r="165" spans="1:74" x14ac:dyDescent="0.25">
      <c r="A165" s="16" t="s">
        <v>90</v>
      </c>
      <c r="B165" s="21"/>
      <c r="C165" s="22"/>
      <c r="D165" s="22"/>
      <c r="E165" s="22"/>
      <c r="F165" s="23"/>
      <c r="G165" s="22"/>
      <c r="H165" s="21"/>
      <c r="I165" s="22"/>
      <c r="J165" s="22"/>
      <c r="K165" s="22"/>
      <c r="L165" s="23"/>
      <c r="M165" s="21"/>
      <c r="N165" s="22"/>
      <c r="O165" s="22"/>
      <c r="P165" s="22"/>
      <c r="Q165" s="23"/>
      <c r="R165" s="21"/>
      <c r="S165" s="22"/>
      <c r="T165" s="22"/>
      <c r="U165" s="22"/>
      <c r="V165" s="22"/>
      <c r="W165" s="24"/>
      <c r="X165" s="22"/>
      <c r="Y165" s="22"/>
      <c r="Z165" s="22"/>
      <c r="AA165" s="22"/>
      <c r="AB165" s="23"/>
      <c r="AC165" s="22"/>
      <c r="AD165" s="22"/>
      <c r="AE165" s="22"/>
      <c r="AF165" s="22"/>
      <c r="AG165" s="23"/>
      <c r="AH165" s="23"/>
      <c r="AI165" s="21"/>
      <c r="AJ165" s="22"/>
      <c r="AK165" s="22"/>
      <c r="AL165" s="22"/>
      <c r="AM165" s="23"/>
      <c r="AN165" s="24"/>
      <c r="AO165" s="24"/>
      <c r="AP165" s="22"/>
      <c r="AQ165" s="22"/>
      <c r="AR165" s="22"/>
      <c r="AS165" s="22"/>
      <c r="AT165" s="22"/>
      <c r="AU165" s="24"/>
      <c r="AV165" s="22"/>
      <c r="AW165" s="22"/>
      <c r="AX165" s="22"/>
      <c r="AY165" s="22"/>
      <c r="AZ165" s="23"/>
      <c r="BA165" s="24"/>
      <c r="BB165" s="22"/>
      <c r="BC165" s="22"/>
      <c r="BD165" s="22"/>
      <c r="BE165" s="22"/>
      <c r="BF165" s="21"/>
      <c r="BG165" s="22"/>
      <c r="BH165" s="22"/>
      <c r="BI165" s="21"/>
      <c r="BJ165" s="23"/>
      <c r="BK165" s="23"/>
      <c r="BL165" s="24"/>
      <c r="BM165" s="24"/>
      <c r="BN165" s="24"/>
      <c r="BO165" s="24"/>
      <c r="BP165" s="24"/>
      <c r="BQ165" s="24"/>
      <c r="BR165" s="24"/>
      <c r="BS165" s="24">
        <f t="shared" si="52"/>
        <v>0</v>
      </c>
      <c r="BT165" s="24">
        <f t="shared" si="52"/>
        <v>4.0000000000000002E-4</v>
      </c>
      <c r="BU165" s="24">
        <f t="shared" si="52"/>
        <v>4.0000000000000002E-4</v>
      </c>
      <c r="BV165" s="24">
        <f t="shared" si="52"/>
        <v>0</v>
      </c>
    </row>
    <row r="166" spans="1:74" x14ac:dyDescent="0.25">
      <c r="A166" s="16" t="s">
        <v>91</v>
      </c>
      <c r="B166" s="21"/>
      <c r="C166" s="22"/>
      <c r="D166" s="22"/>
      <c r="E166" s="22"/>
      <c r="F166" s="23"/>
      <c r="G166" s="22"/>
      <c r="H166" s="21"/>
      <c r="I166" s="22"/>
      <c r="J166" s="22"/>
      <c r="K166" s="22"/>
      <c r="L166" s="23"/>
      <c r="M166" s="21"/>
      <c r="N166" s="22"/>
      <c r="O166" s="22"/>
      <c r="P166" s="22"/>
      <c r="Q166" s="23"/>
      <c r="R166" s="21"/>
      <c r="S166" s="22"/>
      <c r="T166" s="22"/>
      <c r="U166" s="22"/>
      <c r="V166" s="22"/>
      <c r="W166" s="24"/>
      <c r="X166" s="22"/>
      <c r="Y166" s="22"/>
      <c r="Z166" s="22"/>
      <c r="AA166" s="22"/>
      <c r="AB166" s="23"/>
      <c r="AC166" s="22"/>
      <c r="AD166" s="22"/>
      <c r="AE166" s="22"/>
      <c r="AF166" s="22"/>
      <c r="AG166" s="23"/>
      <c r="AH166" s="23"/>
      <c r="AI166" s="21"/>
      <c r="AJ166" s="22"/>
      <c r="AK166" s="22"/>
      <c r="AL166" s="22"/>
      <c r="AM166" s="23"/>
      <c r="AN166" s="24"/>
      <c r="AO166" s="24"/>
      <c r="AP166" s="22"/>
      <c r="AQ166" s="22"/>
      <c r="AR166" s="22"/>
      <c r="AS166" s="22"/>
      <c r="AT166" s="22"/>
      <c r="AU166" s="24"/>
      <c r="AV166" s="22"/>
      <c r="AW166" s="22"/>
      <c r="AX166" s="22"/>
      <c r="AY166" s="22"/>
      <c r="AZ166" s="23"/>
      <c r="BA166" s="24"/>
      <c r="BB166" s="22"/>
      <c r="BC166" s="22"/>
      <c r="BD166" s="22"/>
      <c r="BE166" s="22"/>
      <c r="BF166" s="21"/>
      <c r="BG166" s="22"/>
      <c r="BH166" s="22"/>
      <c r="BI166" s="21"/>
      <c r="BJ166" s="23"/>
      <c r="BK166" s="23"/>
      <c r="BL166" s="24"/>
      <c r="BM166" s="24"/>
      <c r="BN166" s="24"/>
      <c r="BO166" s="24"/>
      <c r="BP166" s="24"/>
      <c r="BQ166" s="24"/>
      <c r="BR166" s="24"/>
      <c r="BS166" s="24">
        <f t="shared" si="52"/>
        <v>0</v>
      </c>
      <c r="BT166" s="24">
        <f t="shared" si="52"/>
        <v>0</v>
      </c>
      <c r="BU166" s="24">
        <f t="shared" si="52"/>
        <v>0</v>
      </c>
      <c r="BV166" s="24">
        <f t="shared" si="52"/>
        <v>0</v>
      </c>
    </row>
    <row r="167" spans="1:74" x14ac:dyDescent="0.25">
      <c r="A167" s="16" t="s">
        <v>92</v>
      </c>
      <c r="B167" s="21" t="e">
        <f>#REF!/B$6</f>
        <v>#REF!</v>
      </c>
      <c r="C167" s="22" t="e">
        <f>#REF!/C$6</f>
        <v>#REF!</v>
      </c>
      <c r="D167" s="22" t="e">
        <f>#REF!/D$6</f>
        <v>#REF!</v>
      </c>
      <c r="E167" s="22" t="e">
        <f>#REF!/E$6</f>
        <v>#REF!</v>
      </c>
      <c r="F167" s="23"/>
      <c r="G167" s="22" t="e">
        <f>#REF!/G$6</f>
        <v>#REF!</v>
      </c>
      <c r="H167" s="21"/>
      <c r="I167" s="22"/>
      <c r="J167" s="22"/>
      <c r="K167" s="22"/>
      <c r="L167" s="23"/>
      <c r="M167" s="21"/>
      <c r="N167" s="22"/>
      <c r="O167" s="22"/>
      <c r="P167" s="22"/>
      <c r="Q167" s="23"/>
      <c r="R167" s="21"/>
      <c r="S167" s="22"/>
      <c r="T167" s="22"/>
      <c r="U167" s="22"/>
      <c r="V167" s="22"/>
      <c r="W167" s="24" t="e">
        <f>#REF!/W$6</f>
        <v>#REF!</v>
      </c>
      <c r="X167" s="22"/>
      <c r="Y167" s="22"/>
      <c r="Z167" s="22"/>
      <c r="AA167" s="22"/>
      <c r="AB167" s="23"/>
      <c r="AC167" s="22"/>
      <c r="AD167" s="22"/>
      <c r="AE167" s="22"/>
      <c r="AF167" s="22"/>
      <c r="AG167" s="23"/>
      <c r="AH167" s="23" t="e">
        <f>#REF!/AH$6</f>
        <v>#REF!</v>
      </c>
      <c r="AI167" s="21"/>
      <c r="AJ167" s="22"/>
      <c r="AK167" s="22"/>
      <c r="AL167" s="22"/>
      <c r="AM167" s="23"/>
      <c r="AN167" s="24" t="e">
        <f>#REF!/AN$6</f>
        <v>#REF!</v>
      </c>
      <c r="AO167" s="24" t="e">
        <f>#REF!/AO$6</f>
        <v>#REF!</v>
      </c>
      <c r="AP167" s="22" t="e">
        <f>#REF!/AP$6</f>
        <v>#REF!</v>
      </c>
      <c r="AQ167" s="22"/>
      <c r="AR167" s="22"/>
      <c r="AS167" s="22"/>
      <c r="AT167" s="22"/>
      <c r="AU167" s="24" t="e">
        <f>#REF!/AU$6</f>
        <v>#REF!</v>
      </c>
      <c r="AV167" s="22"/>
      <c r="AW167" s="22"/>
      <c r="AX167" s="22"/>
      <c r="AY167" s="22"/>
      <c r="AZ167" s="23"/>
      <c r="BA167" s="24" t="e">
        <f>#REF!/BA$6</f>
        <v>#REF!</v>
      </c>
      <c r="BB167" s="22" t="e">
        <f>#REF!/BB$6</f>
        <v>#REF!</v>
      </c>
      <c r="BC167" s="22" t="e">
        <f>#REF!/BC$6</f>
        <v>#REF!</v>
      </c>
      <c r="BD167" s="22" t="e">
        <f>#REF!/BD$6</f>
        <v>#REF!</v>
      </c>
      <c r="BE167" s="22" t="e">
        <f>#REF!/BE$6</f>
        <v>#REF!</v>
      </c>
      <c r="BF167" s="21" t="e">
        <f>#REF!/BF$6</f>
        <v>#REF!</v>
      </c>
      <c r="BG167" s="22" t="e">
        <f>#REF!/BG$6</f>
        <v>#REF!</v>
      </c>
      <c r="BH167" s="22" t="e">
        <f>#REF!/BH$6</f>
        <v>#REF!</v>
      </c>
      <c r="BI167" s="21" t="e">
        <f>#REF!/BI$6</f>
        <v>#REF!</v>
      </c>
      <c r="BJ167" s="23" t="e">
        <f>#REF!/BJ$6</f>
        <v>#REF!</v>
      </c>
      <c r="BK167" s="23" t="e">
        <f>#REF!/BK$6</f>
        <v>#REF!</v>
      </c>
      <c r="BL167" s="24" t="e">
        <f>#REF!/BL$6</f>
        <v>#REF!</v>
      </c>
      <c r="BM167" s="24" t="e">
        <f>#REF!/BM$6</f>
        <v>#REF!</v>
      </c>
      <c r="BN167" s="24" t="e">
        <f>#REF!/BN$6</f>
        <v>#REF!</v>
      </c>
      <c r="BO167" s="24" t="e">
        <f>#REF!/BO$6</f>
        <v>#REF!</v>
      </c>
      <c r="BP167" s="24" t="e">
        <f>#REF!/BP$6</f>
        <v>#REF!</v>
      </c>
      <c r="BQ167" s="24" t="e">
        <f>#REF!/BQ$6</f>
        <v>#REF!</v>
      </c>
      <c r="BR167" s="24" t="e">
        <f>#REF!/BR$6</f>
        <v>#REF!</v>
      </c>
      <c r="BS167" s="24">
        <f t="shared" si="52"/>
        <v>0</v>
      </c>
      <c r="BT167" s="24">
        <f t="shared" si="52"/>
        <v>0</v>
      </c>
      <c r="BU167" s="24">
        <f t="shared" si="52"/>
        <v>0</v>
      </c>
      <c r="BV167" s="24">
        <f t="shared" si="52"/>
        <v>0</v>
      </c>
    </row>
    <row r="168" spans="1:74" x14ac:dyDescent="0.25">
      <c r="A168" s="30" t="s">
        <v>93</v>
      </c>
      <c r="B168" s="21">
        <f t="shared" ref="B168:E177" si="53">B82/B$6</f>
        <v>0</v>
      </c>
      <c r="C168" s="22">
        <f t="shared" si="53"/>
        <v>4.0000000000000002E-4</v>
      </c>
      <c r="D168" s="22">
        <f t="shared" si="53"/>
        <v>0</v>
      </c>
      <c r="E168" s="22">
        <f t="shared" si="53"/>
        <v>0</v>
      </c>
      <c r="F168" s="23"/>
      <c r="G168" s="22">
        <f t="shared" ref="G168:G177" si="54">G82/G$6</f>
        <v>0</v>
      </c>
      <c r="H168" s="21"/>
      <c r="I168" s="22"/>
      <c r="J168" s="22"/>
      <c r="K168" s="22"/>
      <c r="L168" s="23"/>
      <c r="M168" s="21"/>
      <c r="N168" s="22"/>
      <c r="O168" s="22"/>
      <c r="P168" s="22"/>
      <c r="Q168" s="23"/>
      <c r="R168" s="21"/>
      <c r="S168" s="22"/>
      <c r="T168" s="22"/>
      <c r="U168" s="22"/>
      <c r="V168" s="22"/>
      <c r="W168" s="24">
        <f t="shared" ref="W168:W177" si="55">W82/W$6</f>
        <v>0</v>
      </c>
      <c r="X168" s="22"/>
      <c r="Y168" s="22"/>
      <c r="Z168" s="22"/>
      <c r="AA168" s="22"/>
      <c r="AB168" s="23"/>
      <c r="AC168" s="22"/>
      <c r="AD168" s="22"/>
      <c r="AE168" s="22"/>
      <c r="AF168" s="22"/>
      <c r="AG168" s="23"/>
      <c r="AH168" s="23">
        <f t="shared" ref="AH168:AH177" si="56">AH82/AH$6</f>
        <v>0</v>
      </c>
      <c r="AI168" s="21"/>
      <c r="AJ168" s="22"/>
      <c r="AK168" s="22"/>
      <c r="AL168" s="22"/>
      <c r="AM168" s="23"/>
      <c r="AN168" s="24">
        <f t="shared" ref="AN168:AP177" si="57">AN82/AN$6</f>
        <v>0</v>
      </c>
      <c r="AO168" s="24">
        <f t="shared" si="57"/>
        <v>0</v>
      </c>
      <c r="AP168" s="22" t="e">
        <f t="shared" si="57"/>
        <v>#DIV/0!</v>
      </c>
      <c r="AQ168" s="22"/>
      <c r="AR168" s="22"/>
      <c r="AS168" s="22"/>
      <c r="AT168" s="22"/>
      <c r="AU168" s="24">
        <f t="shared" ref="AU168:AU177" si="58">AU82/AU$6</f>
        <v>0</v>
      </c>
      <c r="AV168" s="22"/>
      <c r="AW168" s="22"/>
      <c r="AX168" s="22"/>
      <c r="AY168" s="22"/>
      <c r="AZ168" s="23"/>
      <c r="BA168" s="24">
        <f t="shared" ref="BA168:BR177" si="59">BA82/BA$6</f>
        <v>0</v>
      </c>
      <c r="BB168" s="22">
        <f t="shared" si="59"/>
        <v>0</v>
      </c>
      <c r="BC168" s="22">
        <f t="shared" si="59"/>
        <v>0</v>
      </c>
      <c r="BD168" s="22">
        <f t="shared" si="59"/>
        <v>0</v>
      </c>
      <c r="BE168" s="22">
        <f t="shared" si="59"/>
        <v>0</v>
      </c>
      <c r="BF168" s="21">
        <f t="shared" si="59"/>
        <v>0</v>
      </c>
      <c r="BG168" s="22">
        <f t="shared" si="59"/>
        <v>0</v>
      </c>
      <c r="BH168" s="22">
        <f t="shared" si="59"/>
        <v>0</v>
      </c>
      <c r="BI168" s="21">
        <f t="shared" si="59"/>
        <v>0</v>
      </c>
      <c r="BJ168" s="23">
        <f t="shared" si="59"/>
        <v>0</v>
      </c>
      <c r="BK168" s="23">
        <f t="shared" si="59"/>
        <v>0</v>
      </c>
      <c r="BL168" s="24">
        <f t="shared" si="59"/>
        <v>0</v>
      </c>
      <c r="BM168" s="24">
        <f t="shared" si="59"/>
        <v>0</v>
      </c>
      <c r="BN168" s="24">
        <f t="shared" si="59"/>
        <v>0</v>
      </c>
      <c r="BO168" s="24">
        <f t="shared" si="59"/>
        <v>0</v>
      </c>
      <c r="BP168" s="24">
        <f t="shared" si="59"/>
        <v>0</v>
      </c>
      <c r="BQ168" s="24">
        <f t="shared" si="59"/>
        <v>0</v>
      </c>
      <c r="BR168" s="24">
        <f t="shared" si="59"/>
        <v>0</v>
      </c>
      <c r="BS168" s="24">
        <f t="shared" si="52"/>
        <v>0</v>
      </c>
      <c r="BT168" s="24">
        <f t="shared" si="52"/>
        <v>0</v>
      </c>
      <c r="BU168" s="24">
        <f t="shared" si="52"/>
        <v>0</v>
      </c>
      <c r="BV168" s="24">
        <f t="shared" si="52"/>
        <v>0</v>
      </c>
    </row>
    <row r="169" spans="1:74" x14ac:dyDescent="0.25">
      <c r="A169" s="16" t="s">
        <v>94</v>
      </c>
      <c r="B169" s="21">
        <f t="shared" si="53"/>
        <v>0</v>
      </c>
      <c r="C169" s="22">
        <f t="shared" si="53"/>
        <v>0</v>
      </c>
      <c r="D169" s="22">
        <f t="shared" si="53"/>
        <v>0</v>
      </c>
      <c r="E169" s="22">
        <f t="shared" si="53"/>
        <v>0</v>
      </c>
      <c r="F169" s="23"/>
      <c r="G169" s="22">
        <f t="shared" si="54"/>
        <v>0</v>
      </c>
      <c r="H169" s="21"/>
      <c r="I169" s="22"/>
      <c r="J169" s="22"/>
      <c r="K169" s="22"/>
      <c r="L169" s="23"/>
      <c r="M169" s="21"/>
      <c r="N169" s="22"/>
      <c r="O169" s="22"/>
      <c r="P169" s="22"/>
      <c r="Q169" s="23"/>
      <c r="R169" s="21"/>
      <c r="S169" s="22"/>
      <c r="T169" s="22"/>
      <c r="U169" s="22"/>
      <c r="V169" s="22"/>
      <c r="W169" s="24">
        <f t="shared" si="55"/>
        <v>0</v>
      </c>
      <c r="X169" s="22"/>
      <c r="Y169" s="22"/>
      <c r="Z169" s="22"/>
      <c r="AA169" s="22"/>
      <c r="AB169" s="23"/>
      <c r="AC169" s="22"/>
      <c r="AD169" s="22"/>
      <c r="AE169" s="22"/>
      <c r="AF169" s="22"/>
      <c r="AG169" s="23"/>
      <c r="AH169" s="23">
        <f t="shared" si="56"/>
        <v>3.0030030030030029E-4</v>
      </c>
      <c r="AI169" s="21"/>
      <c r="AJ169" s="22"/>
      <c r="AK169" s="22"/>
      <c r="AL169" s="22"/>
      <c r="AM169" s="23"/>
      <c r="AN169" s="24">
        <f t="shared" si="57"/>
        <v>0</v>
      </c>
      <c r="AO169" s="24">
        <f t="shared" si="57"/>
        <v>0</v>
      </c>
      <c r="AP169" s="22" t="e">
        <f t="shared" si="57"/>
        <v>#DIV/0!</v>
      </c>
      <c r="AQ169" s="22"/>
      <c r="AR169" s="22"/>
      <c r="AS169" s="22"/>
      <c r="AT169" s="22"/>
      <c r="AU169" s="24">
        <f t="shared" si="58"/>
        <v>0</v>
      </c>
      <c r="AV169" s="22"/>
      <c r="AW169" s="22"/>
      <c r="AX169" s="22"/>
      <c r="AY169" s="22"/>
      <c r="AZ169" s="23"/>
      <c r="BA169" s="24">
        <f t="shared" si="59"/>
        <v>0</v>
      </c>
      <c r="BB169" s="22">
        <f t="shared" si="59"/>
        <v>0</v>
      </c>
      <c r="BC169" s="22">
        <f t="shared" si="59"/>
        <v>0</v>
      </c>
      <c r="BD169" s="22">
        <f t="shared" si="59"/>
        <v>0</v>
      </c>
      <c r="BE169" s="22">
        <f t="shared" si="59"/>
        <v>0</v>
      </c>
      <c r="BF169" s="21">
        <f t="shared" si="59"/>
        <v>0</v>
      </c>
      <c r="BG169" s="22">
        <f t="shared" si="59"/>
        <v>0</v>
      </c>
      <c r="BH169" s="22">
        <f t="shared" si="59"/>
        <v>0</v>
      </c>
      <c r="BI169" s="21">
        <f t="shared" si="59"/>
        <v>0</v>
      </c>
      <c r="BJ169" s="23">
        <f t="shared" si="59"/>
        <v>0</v>
      </c>
      <c r="BK169" s="23">
        <f t="shared" si="59"/>
        <v>0</v>
      </c>
      <c r="BL169" s="24">
        <f t="shared" si="59"/>
        <v>0</v>
      </c>
      <c r="BM169" s="24">
        <f t="shared" si="59"/>
        <v>0</v>
      </c>
      <c r="BN169" s="24">
        <f t="shared" si="59"/>
        <v>0</v>
      </c>
      <c r="BO169" s="24">
        <f t="shared" si="59"/>
        <v>0</v>
      </c>
      <c r="BP169" s="24">
        <f t="shared" si="59"/>
        <v>0</v>
      </c>
      <c r="BQ169" s="24">
        <f t="shared" si="59"/>
        <v>2.0000000000000001E-4</v>
      </c>
      <c r="BR169" s="24">
        <f t="shared" si="59"/>
        <v>5.9988002399520091E-4</v>
      </c>
      <c r="BS169" s="24">
        <f t="shared" si="52"/>
        <v>0</v>
      </c>
      <c r="BT169" s="24">
        <f t="shared" si="52"/>
        <v>0</v>
      </c>
      <c r="BU169" s="24">
        <f t="shared" si="52"/>
        <v>0</v>
      </c>
      <c r="BV169" s="24">
        <f t="shared" si="52"/>
        <v>0</v>
      </c>
    </row>
    <row r="170" spans="1:74" x14ac:dyDescent="0.25">
      <c r="A170" s="30" t="s">
        <v>95</v>
      </c>
      <c r="B170" s="21">
        <f t="shared" si="53"/>
        <v>0</v>
      </c>
      <c r="C170" s="22">
        <f t="shared" si="53"/>
        <v>0</v>
      </c>
      <c r="D170" s="22">
        <f t="shared" si="53"/>
        <v>0</v>
      </c>
      <c r="E170" s="22">
        <f t="shared" si="53"/>
        <v>0</v>
      </c>
      <c r="F170" s="23"/>
      <c r="G170" s="22">
        <f t="shared" si="54"/>
        <v>0</v>
      </c>
      <c r="H170" s="21"/>
      <c r="I170" s="22"/>
      <c r="J170" s="22"/>
      <c r="K170" s="22"/>
      <c r="L170" s="23"/>
      <c r="M170" s="21"/>
      <c r="N170" s="22"/>
      <c r="O170" s="22"/>
      <c r="P170" s="22"/>
      <c r="Q170" s="23"/>
      <c r="R170" s="21"/>
      <c r="S170" s="22"/>
      <c r="T170" s="22"/>
      <c r="U170" s="22"/>
      <c r="V170" s="22"/>
      <c r="W170" s="24">
        <f t="shared" si="55"/>
        <v>0</v>
      </c>
      <c r="X170" s="22"/>
      <c r="Y170" s="22"/>
      <c r="Z170" s="22"/>
      <c r="AA170" s="22"/>
      <c r="AB170" s="23"/>
      <c r="AC170" s="22"/>
      <c r="AD170" s="22"/>
      <c r="AE170" s="22"/>
      <c r="AF170" s="22"/>
      <c r="AG170" s="23"/>
      <c r="AH170" s="23">
        <f t="shared" si="56"/>
        <v>0</v>
      </c>
      <c r="AI170" s="21"/>
      <c r="AJ170" s="22"/>
      <c r="AK170" s="22"/>
      <c r="AL170" s="22"/>
      <c r="AM170" s="23"/>
      <c r="AN170" s="24">
        <f t="shared" si="57"/>
        <v>0</v>
      </c>
      <c r="AO170" s="24">
        <f t="shared" si="57"/>
        <v>0</v>
      </c>
      <c r="AP170" s="22" t="e">
        <f t="shared" si="57"/>
        <v>#DIV/0!</v>
      </c>
      <c r="AQ170" s="22"/>
      <c r="AR170" s="22"/>
      <c r="AS170" s="22"/>
      <c r="AT170" s="22"/>
      <c r="AU170" s="24">
        <f t="shared" si="58"/>
        <v>0</v>
      </c>
      <c r="AV170" s="22"/>
      <c r="AW170" s="22"/>
      <c r="AX170" s="22"/>
      <c r="AY170" s="22"/>
      <c r="AZ170" s="23"/>
      <c r="BA170" s="24">
        <f t="shared" si="59"/>
        <v>0</v>
      </c>
      <c r="BB170" s="22">
        <f t="shared" si="59"/>
        <v>0</v>
      </c>
      <c r="BC170" s="22">
        <f t="shared" si="59"/>
        <v>0</v>
      </c>
      <c r="BD170" s="22">
        <f t="shared" si="59"/>
        <v>0</v>
      </c>
      <c r="BE170" s="22">
        <f t="shared" si="59"/>
        <v>0</v>
      </c>
      <c r="BF170" s="21">
        <f t="shared" si="59"/>
        <v>0</v>
      </c>
      <c r="BG170" s="22">
        <f t="shared" si="59"/>
        <v>0</v>
      </c>
      <c r="BH170" s="22">
        <f t="shared" si="59"/>
        <v>0</v>
      </c>
      <c r="BI170" s="21">
        <f t="shared" si="59"/>
        <v>0</v>
      </c>
      <c r="BJ170" s="23">
        <f t="shared" si="59"/>
        <v>0</v>
      </c>
      <c r="BK170" s="23">
        <f t="shared" si="59"/>
        <v>0</v>
      </c>
      <c r="BL170" s="24">
        <f t="shared" si="59"/>
        <v>0</v>
      </c>
      <c r="BM170" s="24">
        <f t="shared" si="59"/>
        <v>0</v>
      </c>
      <c r="BN170" s="24">
        <f t="shared" si="59"/>
        <v>0</v>
      </c>
      <c r="BO170" s="24">
        <f t="shared" si="59"/>
        <v>0</v>
      </c>
      <c r="BP170" s="24">
        <f t="shared" si="59"/>
        <v>0</v>
      </c>
      <c r="BQ170" s="24">
        <f t="shared" si="59"/>
        <v>0</v>
      </c>
      <c r="BR170" s="24">
        <f t="shared" si="59"/>
        <v>0</v>
      </c>
      <c r="BS170" s="24">
        <f t="shared" si="52"/>
        <v>0</v>
      </c>
      <c r="BT170" s="24">
        <f t="shared" si="52"/>
        <v>0</v>
      </c>
      <c r="BU170" s="24">
        <f t="shared" si="52"/>
        <v>0</v>
      </c>
      <c r="BV170" s="24">
        <f t="shared" si="52"/>
        <v>0</v>
      </c>
    </row>
    <row r="171" spans="1:74" x14ac:dyDescent="0.25">
      <c r="A171" s="16" t="s">
        <v>96</v>
      </c>
      <c r="B171" s="21">
        <f t="shared" si="53"/>
        <v>0</v>
      </c>
      <c r="C171" s="22">
        <f t="shared" si="53"/>
        <v>0</v>
      </c>
      <c r="D171" s="22">
        <f t="shared" si="53"/>
        <v>0</v>
      </c>
      <c r="E171" s="22">
        <f t="shared" si="53"/>
        <v>0</v>
      </c>
      <c r="F171" s="23"/>
      <c r="G171" s="22">
        <f t="shared" si="54"/>
        <v>0</v>
      </c>
      <c r="H171" s="21"/>
      <c r="I171" s="22"/>
      <c r="J171" s="22"/>
      <c r="K171" s="22"/>
      <c r="L171" s="23"/>
      <c r="M171" s="21"/>
      <c r="N171" s="22"/>
      <c r="O171" s="22"/>
      <c r="P171" s="22"/>
      <c r="Q171" s="23"/>
      <c r="R171" s="21"/>
      <c r="S171" s="22"/>
      <c r="T171" s="22"/>
      <c r="U171" s="22"/>
      <c r="V171" s="22"/>
      <c r="W171" s="24">
        <f t="shared" si="55"/>
        <v>0</v>
      </c>
      <c r="X171" s="22"/>
      <c r="Y171" s="22"/>
      <c r="Z171" s="22"/>
      <c r="AA171" s="22"/>
      <c r="AB171" s="23"/>
      <c r="AC171" s="22"/>
      <c r="AD171" s="22"/>
      <c r="AE171" s="22"/>
      <c r="AF171" s="22"/>
      <c r="AG171" s="23"/>
      <c r="AH171" s="23">
        <f t="shared" si="56"/>
        <v>0</v>
      </c>
      <c r="AI171" s="21"/>
      <c r="AJ171" s="22"/>
      <c r="AK171" s="22"/>
      <c r="AL171" s="22"/>
      <c r="AM171" s="23"/>
      <c r="AN171" s="24">
        <f t="shared" si="57"/>
        <v>0</v>
      </c>
      <c r="AO171" s="24">
        <f t="shared" si="57"/>
        <v>0</v>
      </c>
      <c r="AP171" s="22" t="e">
        <f t="shared" si="57"/>
        <v>#DIV/0!</v>
      </c>
      <c r="AQ171" s="22"/>
      <c r="AR171" s="22"/>
      <c r="AS171" s="22"/>
      <c r="AT171" s="22"/>
      <c r="AU171" s="24">
        <f t="shared" si="58"/>
        <v>0</v>
      </c>
      <c r="AV171" s="22"/>
      <c r="AW171" s="22"/>
      <c r="AX171" s="22"/>
      <c r="AY171" s="22"/>
      <c r="AZ171" s="23"/>
      <c r="BA171" s="24">
        <f t="shared" si="59"/>
        <v>0</v>
      </c>
      <c r="BB171" s="22">
        <f t="shared" si="59"/>
        <v>0</v>
      </c>
      <c r="BC171" s="22">
        <f t="shared" si="59"/>
        <v>0</v>
      </c>
      <c r="BD171" s="22">
        <f t="shared" si="59"/>
        <v>0</v>
      </c>
      <c r="BE171" s="22">
        <f t="shared" si="59"/>
        <v>0</v>
      </c>
      <c r="BF171" s="21">
        <f t="shared" si="59"/>
        <v>0</v>
      </c>
      <c r="BG171" s="22">
        <f t="shared" si="59"/>
        <v>0</v>
      </c>
      <c r="BH171" s="22">
        <f t="shared" si="59"/>
        <v>0</v>
      </c>
      <c r="BI171" s="21">
        <f t="shared" si="59"/>
        <v>0</v>
      </c>
      <c r="BJ171" s="23">
        <f t="shared" si="59"/>
        <v>0</v>
      </c>
      <c r="BK171" s="23">
        <f t="shared" si="59"/>
        <v>0</v>
      </c>
      <c r="BL171" s="24">
        <f t="shared" si="59"/>
        <v>0</v>
      </c>
      <c r="BM171" s="24">
        <f t="shared" si="59"/>
        <v>0</v>
      </c>
      <c r="BN171" s="24">
        <f t="shared" si="59"/>
        <v>0</v>
      </c>
      <c r="BO171" s="24">
        <f t="shared" si="59"/>
        <v>0</v>
      </c>
      <c r="BP171" s="24">
        <f t="shared" si="59"/>
        <v>0</v>
      </c>
      <c r="BQ171" s="24">
        <f t="shared" si="59"/>
        <v>0</v>
      </c>
      <c r="BR171" s="24">
        <f t="shared" si="59"/>
        <v>0</v>
      </c>
      <c r="BS171" s="24">
        <f t="shared" si="52"/>
        <v>0</v>
      </c>
      <c r="BT171" s="24">
        <f t="shared" si="52"/>
        <v>0</v>
      </c>
      <c r="BU171" s="24">
        <f t="shared" si="52"/>
        <v>0</v>
      </c>
      <c r="BV171" s="24">
        <f t="shared" si="52"/>
        <v>0</v>
      </c>
    </row>
    <row r="172" spans="1:74" x14ac:dyDescent="0.25">
      <c r="A172" s="16" t="s">
        <v>97</v>
      </c>
      <c r="B172" s="21">
        <f t="shared" si="53"/>
        <v>0</v>
      </c>
      <c r="C172" s="22">
        <f t="shared" si="53"/>
        <v>0</v>
      </c>
      <c r="D172" s="22">
        <f t="shared" si="53"/>
        <v>0</v>
      </c>
      <c r="E172" s="22">
        <f t="shared" si="53"/>
        <v>0</v>
      </c>
      <c r="F172" s="23"/>
      <c r="G172" s="22">
        <f t="shared" si="54"/>
        <v>3.0000000000000001E-3</v>
      </c>
      <c r="H172" s="21"/>
      <c r="I172" s="22"/>
      <c r="J172" s="22"/>
      <c r="K172" s="22"/>
      <c r="L172" s="23"/>
      <c r="M172" s="21"/>
      <c r="N172" s="22"/>
      <c r="O172" s="22"/>
      <c r="P172" s="22"/>
      <c r="Q172" s="23"/>
      <c r="R172" s="21"/>
      <c r="S172" s="22"/>
      <c r="T172" s="22"/>
      <c r="U172" s="22"/>
      <c r="V172" s="22"/>
      <c r="W172" s="24">
        <f t="shared" si="55"/>
        <v>0</v>
      </c>
      <c r="X172" s="22"/>
      <c r="Y172" s="22"/>
      <c r="Z172" s="22"/>
      <c r="AA172" s="22"/>
      <c r="AB172" s="23"/>
      <c r="AC172" s="22"/>
      <c r="AD172" s="22"/>
      <c r="AE172" s="22"/>
      <c r="AF172" s="22"/>
      <c r="AG172" s="23"/>
      <c r="AH172" s="23">
        <f t="shared" si="56"/>
        <v>5.7057057057057058E-3</v>
      </c>
      <c r="AI172" s="21"/>
      <c r="AJ172" s="22"/>
      <c r="AK172" s="22"/>
      <c r="AL172" s="22"/>
      <c r="AM172" s="23"/>
      <c r="AN172" s="24">
        <f t="shared" si="57"/>
        <v>2.7E-2</v>
      </c>
      <c r="AO172" s="24">
        <f t="shared" si="57"/>
        <v>3.6200000000000003E-2</v>
      </c>
      <c r="AP172" s="22" t="e">
        <f t="shared" si="57"/>
        <v>#DIV/0!</v>
      </c>
      <c r="AQ172" s="22"/>
      <c r="AR172" s="22"/>
      <c r="AS172" s="22"/>
      <c r="AT172" s="22"/>
      <c r="AU172" s="24">
        <f t="shared" si="58"/>
        <v>1.32E-2</v>
      </c>
      <c r="AV172" s="22"/>
      <c r="AW172" s="22"/>
      <c r="AX172" s="22"/>
      <c r="AY172" s="22"/>
      <c r="AZ172" s="23"/>
      <c r="BA172" s="24">
        <f t="shared" si="59"/>
        <v>3.093764873869586E-2</v>
      </c>
      <c r="BB172" s="22">
        <f t="shared" si="59"/>
        <v>0</v>
      </c>
      <c r="BC172" s="22">
        <f t="shared" si="59"/>
        <v>0</v>
      </c>
      <c r="BD172" s="22">
        <f t="shared" si="59"/>
        <v>0</v>
      </c>
      <c r="BE172" s="22">
        <f t="shared" si="59"/>
        <v>0</v>
      </c>
      <c r="BF172" s="21">
        <f t="shared" si="59"/>
        <v>0</v>
      </c>
      <c r="BG172" s="22">
        <f t="shared" si="59"/>
        <v>0</v>
      </c>
      <c r="BH172" s="22">
        <f t="shared" si="59"/>
        <v>0</v>
      </c>
      <c r="BI172" s="21">
        <f t="shared" si="59"/>
        <v>0</v>
      </c>
      <c r="BJ172" s="23">
        <f t="shared" si="59"/>
        <v>0</v>
      </c>
      <c r="BK172" s="23">
        <f t="shared" si="59"/>
        <v>0</v>
      </c>
      <c r="BL172" s="24">
        <f t="shared" si="59"/>
        <v>0</v>
      </c>
      <c r="BM172" s="24">
        <f t="shared" si="59"/>
        <v>0</v>
      </c>
      <c r="BN172" s="24">
        <f t="shared" si="59"/>
        <v>0</v>
      </c>
      <c r="BO172" s="24">
        <f t="shared" si="59"/>
        <v>2.7E-2</v>
      </c>
      <c r="BP172" s="24">
        <f t="shared" si="59"/>
        <v>0</v>
      </c>
      <c r="BQ172" s="24">
        <f t="shared" si="59"/>
        <v>0</v>
      </c>
      <c r="BR172" s="24">
        <f t="shared" si="59"/>
        <v>0</v>
      </c>
      <c r="BS172" s="24">
        <f t="shared" si="52"/>
        <v>0</v>
      </c>
      <c r="BT172" s="24">
        <f t="shared" si="52"/>
        <v>0</v>
      </c>
      <c r="BU172" s="24">
        <f t="shared" si="52"/>
        <v>0</v>
      </c>
      <c r="BV172" s="24">
        <f t="shared" si="52"/>
        <v>0</v>
      </c>
    </row>
    <row r="173" spans="1:74" x14ac:dyDescent="0.25">
      <c r="A173" s="16" t="s">
        <v>98</v>
      </c>
      <c r="B173" s="21">
        <f t="shared" si="53"/>
        <v>4.1999999999999997E-3</v>
      </c>
      <c r="C173" s="22">
        <f t="shared" si="53"/>
        <v>1.24E-2</v>
      </c>
      <c r="D173" s="22">
        <f t="shared" si="53"/>
        <v>2.2000000000000001E-3</v>
      </c>
      <c r="E173" s="22">
        <f t="shared" si="53"/>
        <v>1.7399999999999999E-2</v>
      </c>
      <c r="F173" s="23"/>
      <c r="G173" s="22">
        <f t="shared" si="54"/>
        <v>2.2599999999999999E-2</v>
      </c>
      <c r="H173" s="21"/>
      <c r="I173" s="22"/>
      <c r="J173" s="22"/>
      <c r="K173" s="22"/>
      <c r="L173" s="23"/>
      <c r="M173" s="21"/>
      <c r="N173" s="22"/>
      <c r="O173" s="22"/>
      <c r="P173" s="22"/>
      <c r="Q173" s="23"/>
      <c r="R173" s="21"/>
      <c r="S173" s="22"/>
      <c r="T173" s="22"/>
      <c r="U173" s="22"/>
      <c r="V173" s="22"/>
      <c r="W173" s="24">
        <f t="shared" si="55"/>
        <v>2.06E-2</v>
      </c>
      <c r="X173" s="22"/>
      <c r="Y173" s="22"/>
      <c r="Z173" s="22"/>
      <c r="AA173" s="22"/>
      <c r="AB173" s="23"/>
      <c r="AC173" s="22"/>
      <c r="AD173" s="22"/>
      <c r="AE173" s="22"/>
      <c r="AF173" s="22"/>
      <c r="AG173" s="23"/>
      <c r="AH173" s="23">
        <f t="shared" si="56"/>
        <v>9.0090090090090091E-4</v>
      </c>
      <c r="AI173" s="21"/>
      <c r="AJ173" s="22"/>
      <c r="AK173" s="22"/>
      <c r="AL173" s="22"/>
      <c r="AM173" s="23"/>
      <c r="AN173" s="24">
        <f t="shared" si="57"/>
        <v>1.2800000000000001E-2</v>
      </c>
      <c r="AO173" s="24">
        <f t="shared" si="57"/>
        <v>2.2200000000000001E-2</v>
      </c>
      <c r="AP173" s="22" t="e">
        <f t="shared" si="57"/>
        <v>#DIV/0!</v>
      </c>
      <c r="AQ173" s="22"/>
      <c r="AR173" s="22"/>
      <c r="AS173" s="22"/>
      <c r="AT173" s="22"/>
      <c r="AU173" s="24">
        <f t="shared" si="58"/>
        <v>1.34E-2</v>
      </c>
      <c r="AV173" s="22"/>
      <c r="AW173" s="22"/>
      <c r="AX173" s="22"/>
      <c r="AY173" s="22"/>
      <c r="AZ173" s="23"/>
      <c r="BA173" s="24">
        <f t="shared" si="59"/>
        <v>5.7115659209900048E-3</v>
      </c>
      <c r="BB173" s="22">
        <f t="shared" si="59"/>
        <v>8.339952343129467E-3</v>
      </c>
      <c r="BC173" s="22">
        <f t="shared" si="59"/>
        <v>6.4000000000000003E-3</v>
      </c>
      <c r="BD173" s="22">
        <f t="shared" si="59"/>
        <v>4.4000000000000003E-3</v>
      </c>
      <c r="BE173" s="22">
        <f t="shared" si="59"/>
        <v>5.1999999999999998E-3</v>
      </c>
      <c r="BF173" s="21">
        <f t="shared" si="59"/>
        <v>4.7999999999999996E-3</v>
      </c>
      <c r="BG173" s="22">
        <f t="shared" si="59"/>
        <v>4.4000000000000003E-3</v>
      </c>
      <c r="BH173" s="22">
        <f t="shared" si="59"/>
        <v>7.0476190476190474E-3</v>
      </c>
      <c r="BI173" s="21">
        <f t="shared" si="59"/>
        <v>5.1999999999999998E-3</v>
      </c>
      <c r="BJ173" s="23">
        <f t="shared" si="59"/>
        <v>7.6E-3</v>
      </c>
      <c r="BK173" s="23">
        <f t="shared" si="59"/>
        <v>4.3229582335727588E-4</v>
      </c>
      <c r="BL173" s="24">
        <f t="shared" si="59"/>
        <v>6.2552126772310256E-4</v>
      </c>
      <c r="BM173" s="24">
        <f t="shared" si="59"/>
        <v>6.0557125555106986E-3</v>
      </c>
      <c r="BN173" s="24">
        <f t="shared" si="59"/>
        <v>7.6E-3</v>
      </c>
      <c r="BO173" s="24">
        <f t="shared" si="59"/>
        <v>1.2800000000000001E-2</v>
      </c>
      <c r="BP173" s="24">
        <f t="shared" si="59"/>
        <v>2.2000000000000001E-3</v>
      </c>
      <c r="BQ173" s="24">
        <f t="shared" si="59"/>
        <v>1.7399999999999999E-2</v>
      </c>
      <c r="BR173" s="24">
        <f t="shared" si="59"/>
        <v>1.6996600679864027E-2</v>
      </c>
      <c r="BS173" s="24">
        <f t="shared" si="52"/>
        <v>0</v>
      </c>
      <c r="BT173" s="24">
        <f t="shared" si="52"/>
        <v>0</v>
      </c>
      <c r="BU173" s="24">
        <f t="shared" si="52"/>
        <v>0</v>
      </c>
      <c r="BV173" s="24">
        <f t="shared" si="52"/>
        <v>0</v>
      </c>
    </row>
    <row r="174" spans="1:74" x14ac:dyDescent="0.25">
      <c r="A174" s="16" t="s">
        <v>99</v>
      </c>
      <c r="B174" s="21">
        <f t="shared" si="53"/>
        <v>8.5000000000000006E-2</v>
      </c>
      <c r="C174" s="22">
        <f t="shared" si="53"/>
        <v>6.2600000000000003E-2</v>
      </c>
      <c r="D174" s="22">
        <f t="shared" si="53"/>
        <v>5.7999999999999996E-3</v>
      </c>
      <c r="E174" s="22">
        <f t="shared" si="53"/>
        <v>4.1799999999999997E-2</v>
      </c>
      <c r="F174" s="23"/>
      <c r="G174" s="22">
        <f t="shared" si="54"/>
        <v>4.1799999999999997E-2</v>
      </c>
      <c r="H174" s="21"/>
      <c r="I174" s="22"/>
      <c r="J174" s="22"/>
      <c r="K174" s="22"/>
      <c r="L174" s="23"/>
      <c r="M174" s="21"/>
      <c r="N174" s="22"/>
      <c r="O174" s="22"/>
      <c r="P174" s="22"/>
      <c r="Q174" s="23"/>
      <c r="R174" s="21"/>
      <c r="S174" s="22"/>
      <c r="T174" s="22"/>
      <c r="U174" s="22"/>
      <c r="V174" s="22"/>
      <c r="W174" s="24">
        <f t="shared" si="55"/>
        <v>3.9E-2</v>
      </c>
      <c r="X174" s="22"/>
      <c r="Y174" s="22"/>
      <c r="Z174" s="22"/>
      <c r="AA174" s="22"/>
      <c r="AB174" s="23"/>
      <c r="AC174" s="22"/>
      <c r="AD174" s="22"/>
      <c r="AE174" s="22"/>
      <c r="AF174" s="22"/>
      <c r="AG174" s="23"/>
      <c r="AH174" s="23">
        <f t="shared" si="56"/>
        <v>3.1531531531531529E-2</v>
      </c>
      <c r="AI174" s="21"/>
      <c r="AJ174" s="22"/>
      <c r="AK174" s="22"/>
      <c r="AL174" s="22"/>
      <c r="AM174" s="23"/>
      <c r="AN174" s="24">
        <f t="shared" si="57"/>
        <v>2.98E-2</v>
      </c>
      <c r="AO174" s="24">
        <f t="shared" si="57"/>
        <v>2.12E-2</v>
      </c>
      <c r="AP174" s="22" t="e">
        <f t="shared" si="57"/>
        <v>#DIV/0!</v>
      </c>
      <c r="AQ174" s="22"/>
      <c r="AR174" s="22"/>
      <c r="AS174" s="22"/>
      <c r="AT174" s="22"/>
      <c r="AU174" s="24">
        <f t="shared" si="58"/>
        <v>1.6799999999999999E-2</v>
      </c>
      <c r="AV174" s="22"/>
      <c r="AW174" s="22"/>
      <c r="AX174" s="22"/>
      <c r="AY174" s="22"/>
      <c r="AZ174" s="23"/>
      <c r="BA174" s="24">
        <f t="shared" si="59"/>
        <v>3.3317467872441696E-3</v>
      </c>
      <c r="BB174" s="22">
        <f t="shared" si="59"/>
        <v>1.8665607625099286E-2</v>
      </c>
      <c r="BC174" s="22">
        <f t="shared" si="59"/>
        <v>2.1999999999999999E-2</v>
      </c>
      <c r="BD174" s="22">
        <f t="shared" si="59"/>
        <v>2.52E-2</v>
      </c>
      <c r="BE174" s="22">
        <f t="shared" si="59"/>
        <v>2.3199999999999998E-2</v>
      </c>
      <c r="BF174" s="21">
        <f t="shared" si="59"/>
        <v>3.1199999999999999E-2</v>
      </c>
      <c r="BG174" s="22">
        <f t="shared" si="59"/>
        <v>2.1600000000000001E-2</v>
      </c>
      <c r="BH174" s="22">
        <f t="shared" si="59"/>
        <v>2.6857142857142857E-2</v>
      </c>
      <c r="BI174" s="21">
        <f t="shared" si="59"/>
        <v>2.7199999999999998E-2</v>
      </c>
      <c r="BJ174" s="23">
        <f t="shared" si="59"/>
        <v>2.4E-2</v>
      </c>
      <c r="BK174" s="23">
        <f t="shared" si="59"/>
        <v>4.1566906092045759E-3</v>
      </c>
      <c r="BL174" s="24">
        <f t="shared" si="59"/>
        <v>5.4906866833472337E-3</v>
      </c>
      <c r="BM174" s="24">
        <f t="shared" si="59"/>
        <v>2.4222850222042795E-2</v>
      </c>
      <c r="BN174" s="24">
        <f t="shared" si="59"/>
        <v>3.7600000000000001E-2</v>
      </c>
      <c r="BO174" s="24">
        <f t="shared" si="59"/>
        <v>2.98E-2</v>
      </c>
      <c r="BP174" s="24">
        <f t="shared" si="59"/>
        <v>9.5999999999999992E-3</v>
      </c>
      <c r="BQ174" s="24">
        <f t="shared" si="59"/>
        <v>4.9599999999999998E-2</v>
      </c>
      <c r="BR174" s="24">
        <f t="shared" si="59"/>
        <v>6.638672265546891E-2</v>
      </c>
      <c r="BS174" s="24">
        <f t="shared" ref="BS174:BV177" si="60">BS99/BS$6</f>
        <v>0</v>
      </c>
      <c r="BT174" s="24">
        <f t="shared" si="60"/>
        <v>0</v>
      </c>
      <c r="BU174" s="24">
        <f t="shared" si="60"/>
        <v>0</v>
      </c>
      <c r="BV174" s="24">
        <f t="shared" si="60"/>
        <v>0</v>
      </c>
    </row>
    <row r="175" spans="1:74" x14ac:dyDescent="0.25">
      <c r="A175" s="16" t="s">
        <v>100</v>
      </c>
      <c r="B175" s="21">
        <f t="shared" si="53"/>
        <v>2.2000000000000001E-3</v>
      </c>
      <c r="C175" s="22">
        <f t="shared" si="53"/>
        <v>5.4000000000000003E-3</v>
      </c>
      <c r="D175" s="22">
        <f t="shared" si="53"/>
        <v>8.0000000000000004E-4</v>
      </c>
      <c r="E175" s="22">
        <f t="shared" si="53"/>
        <v>1.1999999999999999E-3</v>
      </c>
      <c r="F175" s="23"/>
      <c r="G175" s="22">
        <f t="shared" si="54"/>
        <v>1.8E-3</v>
      </c>
      <c r="H175" s="21"/>
      <c r="I175" s="22"/>
      <c r="J175" s="22"/>
      <c r="K175" s="22"/>
      <c r="L175" s="23"/>
      <c r="M175" s="21"/>
      <c r="N175" s="22"/>
      <c r="O175" s="22"/>
      <c r="P175" s="22"/>
      <c r="Q175" s="23"/>
      <c r="R175" s="21"/>
      <c r="S175" s="22"/>
      <c r="T175" s="22"/>
      <c r="U175" s="22"/>
      <c r="V175" s="22"/>
      <c r="W175" s="24">
        <f t="shared" si="55"/>
        <v>1.6000000000000001E-3</v>
      </c>
      <c r="X175" s="22"/>
      <c r="Y175" s="22"/>
      <c r="Z175" s="22"/>
      <c r="AA175" s="22"/>
      <c r="AB175" s="23"/>
      <c r="AC175" s="22"/>
      <c r="AD175" s="22"/>
      <c r="AE175" s="22"/>
      <c r="AF175" s="22"/>
      <c r="AG175" s="23"/>
      <c r="AH175" s="23">
        <f t="shared" si="56"/>
        <v>1.5315315315315315E-2</v>
      </c>
      <c r="AI175" s="21"/>
      <c r="AJ175" s="22"/>
      <c r="AK175" s="22"/>
      <c r="AL175" s="22"/>
      <c r="AM175" s="23"/>
      <c r="AN175" s="24">
        <f t="shared" si="57"/>
        <v>2.5999999999999999E-3</v>
      </c>
      <c r="AO175" s="24">
        <f t="shared" si="57"/>
        <v>3.5999999999999999E-3</v>
      </c>
      <c r="AP175" s="22" t="e">
        <f t="shared" si="57"/>
        <v>#DIV/0!</v>
      </c>
      <c r="AQ175" s="22"/>
      <c r="AR175" s="22"/>
      <c r="AS175" s="22"/>
      <c r="AT175" s="22"/>
      <c r="AU175" s="24">
        <f t="shared" si="58"/>
        <v>1.4E-3</v>
      </c>
      <c r="AV175" s="22"/>
      <c r="AW175" s="22"/>
      <c r="AX175" s="22"/>
      <c r="AY175" s="22"/>
      <c r="AZ175" s="23"/>
      <c r="BA175" s="24">
        <f t="shared" si="59"/>
        <v>0</v>
      </c>
      <c r="BB175" s="22">
        <f t="shared" si="59"/>
        <v>0</v>
      </c>
      <c r="BC175" s="22">
        <f t="shared" si="59"/>
        <v>1.1999999999999999E-3</v>
      </c>
      <c r="BD175" s="22">
        <f t="shared" si="59"/>
        <v>4.0000000000000002E-4</v>
      </c>
      <c r="BE175" s="22">
        <f t="shared" si="59"/>
        <v>8.0000000000000004E-4</v>
      </c>
      <c r="BF175" s="21">
        <f t="shared" si="59"/>
        <v>4.0000000000000002E-4</v>
      </c>
      <c r="BG175" s="22">
        <f t="shared" si="59"/>
        <v>2E-3</v>
      </c>
      <c r="BH175" s="22">
        <f t="shared" si="59"/>
        <v>1.3333333333333333E-3</v>
      </c>
      <c r="BI175" s="21">
        <f t="shared" si="59"/>
        <v>8.0000000000000004E-4</v>
      </c>
      <c r="BJ175" s="23">
        <f t="shared" si="59"/>
        <v>8.0000000000000004E-4</v>
      </c>
      <c r="BK175" s="23">
        <f t="shared" si="59"/>
        <v>1.3301409949454643E-4</v>
      </c>
      <c r="BL175" s="24">
        <f t="shared" si="59"/>
        <v>2.7800945232137893E-4</v>
      </c>
      <c r="BM175" s="24">
        <f t="shared" si="59"/>
        <v>4.0371417036737988E-4</v>
      </c>
      <c r="BN175" s="24">
        <f t="shared" si="59"/>
        <v>8.0000000000000004E-4</v>
      </c>
      <c r="BO175" s="24">
        <f t="shared" si="59"/>
        <v>2.5999999999999999E-3</v>
      </c>
      <c r="BP175" s="24">
        <f t="shared" si="59"/>
        <v>4.0000000000000002E-4</v>
      </c>
      <c r="BQ175" s="24">
        <f t="shared" si="59"/>
        <v>1.2999999999999999E-3</v>
      </c>
      <c r="BR175" s="24">
        <f t="shared" si="59"/>
        <v>1.3997200559888023E-3</v>
      </c>
      <c r="BS175" s="24">
        <f t="shared" si="60"/>
        <v>6.4000000000000003E-3</v>
      </c>
      <c r="BT175" s="24">
        <f t="shared" si="60"/>
        <v>2.5999999999999999E-3</v>
      </c>
      <c r="BU175" s="24">
        <f t="shared" si="60"/>
        <v>2.8E-3</v>
      </c>
      <c r="BV175" s="24">
        <f t="shared" si="60"/>
        <v>0</v>
      </c>
    </row>
    <row r="176" spans="1:74" x14ac:dyDescent="0.25">
      <c r="A176" s="16" t="s">
        <v>101</v>
      </c>
      <c r="B176" s="21">
        <f t="shared" si="53"/>
        <v>0</v>
      </c>
      <c r="C176" s="22">
        <f t="shared" si="53"/>
        <v>0</v>
      </c>
      <c r="D176" s="22">
        <f t="shared" si="53"/>
        <v>0</v>
      </c>
      <c r="E176" s="22">
        <f t="shared" si="53"/>
        <v>0</v>
      </c>
      <c r="F176" s="23"/>
      <c r="G176" s="22">
        <f t="shared" si="54"/>
        <v>0</v>
      </c>
      <c r="H176" s="21"/>
      <c r="I176" s="22"/>
      <c r="J176" s="22"/>
      <c r="K176" s="22"/>
      <c r="L176" s="23"/>
      <c r="M176" s="21"/>
      <c r="N176" s="22"/>
      <c r="O176" s="22"/>
      <c r="P176" s="22"/>
      <c r="Q176" s="23"/>
      <c r="R176" s="21"/>
      <c r="S176" s="22"/>
      <c r="T176" s="22"/>
      <c r="U176" s="22"/>
      <c r="V176" s="22"/>
      <c r="W176" s="24">
        <f t="shared" si="55"/>
        <v>0</v>
      </c>
      <c r="X176" s="22"/>
      <c r="Y176" s="22"/>
      <c r="Z176" s="22"/>
      <c r="AA176" s="22"/>
      <c r="AB176" s="23"/>
      <c r="AC176" s="22"/>
      <c r="AD176" s="22"/>
      <c r="AE176" s="22"/>
      <c r="AF176" s="22"/>
      <c r="AG176" s="23"/>
      <c r="AH176" s="23">
        <f t="shared" si="56"/>
        <v>0</v>
      </c>
      <c r="AI176" s="21"/>
      <c r="AJ176" s="22"/>
      <c r="AK176" s="22"/>
      <c r="AL176" s="22"/>
      <c r="AM176" s="23"/>
      <c r="AN176" s="24">
        <f t="shared" si="57"/>
        <v>0</v>
      </c>
      <c r="AO176" s="24">
        <f t="shared" si="57"/>
        <v>0</v>
      </c>
      <c r="AP176" s="22" t="e">
        <f t="shared" si="57"/>
        <v>#DIV/0!</v>
      </c>
      <c r="AQ176" s="22"/>
      <c r="AR176" s="22"/>
      <c r="AS176" s="22"/>
      <c r="AT176" s="22"/>
      <c r="AU176" s="24">
        <f t="shared" si="58"/>
        <v>0</v>
      </c>
      <c r="AV176" s="22"/>
      <c r="AW176" s="22"/>
      <c r="AX176" s="22"/>
      <c r="AY176" s="22"/>
      <c r="AZ176" s="23"/>
      <c r="BA176" s="24">
        <f t="shared" si="59"/>
        <v>0</v>
      </c>
      <c r="BB176" s="22">
        <f t="shared" si="59"/>
        <v>0</v>
      </c>
      <c r="BC176" s="22">
        <f t="shared" si="59"/>
        <v>0</v>
      </c>
      <c r="BD176" s="22">
        <f t="shared" si="59"/>
        <v>0</v>
      </c>
      <c r="BE176" s="22">
        <f t="shared" si="59"/>
        <v>0</v>
      </c>
      <c r="BF176" s="21">
        <f t="shared" si="59"/>
        <v>0</v>
      </c>
      <c r="BG176" s="22">
        <f t="shared" si="59"/>
        <v>0</v>
      </c>
      <c r="BH176" s="22">
        <f t="shared" si="59"/>
        <v>0</v>
      </c>
      <c r="BI176" s="21">
        <f t="shared" si="59"/>
        <v>0</v>
      </c>
      <c r="BJ176" s="23">
        <f t="shared" si="59"/>
        <v>0</v>
      </c>
      <c r="BK176" s="23">
        <f t="shared" si="59"/>
        <v>0</v>
      </c>
      <c r="BL176" s="24">
        <f t="shared" si="59"/>
        <v>0</v>
      </c>
      <c r="BM176" s="24">
        <f t="shared" si="59"/>
        <v>0</v>
      </c>
      <c r="BN176" s="24">
        <f t="shared" si="59"/>
        <v>0</v>
      </c>
      <c r="BO176" s="24">
        <f t="shared" si="59"/>
        <v>0</v>
      </c>
      <c r="BP176" s="24">
        <f t="shared" si="59"/>
        <v>0</v>
      </c>
      <c r="BQ176" s="24">
        <f t="shared" si="59"/>
        <v>0</v>
      </c>
      <c r="BR176" s="24">
        <f t="shared" si="59"/>
        <v>0</v>
      </c>
      <c r="BS176" s="24">
        <f t="shared" si="60"/>
        <v>0</v>
      </c>
      <c r="BT176" s="24">
        <f t="shared" si="60"/>
        <v>2.0000000000000001E-4</v>
      </c>
      <c r="BU176" s="24">
        <f t="shared" si="60"/>
        <v>2.0000000000000001E-4</v>
      </c>
      <c r="BV176" s="24">
        <f t="shared" si="60"/>
        <v>0</v>
      </c>
    </row>
    <row r="177" spans="1:74" x14ac:dyDescent="0.25">
      <c r="A177" s="16" t="s">
        <v>102</v>
      </c>
      <c r="B177" s="21">
        <f t="shared" si="53"/>
        <v>0</v>
      </c>
      <c r="C177" s="22">
        <f t="shared" si="53"/>
        <v>0</v>
      </c>
      <c r="D177" s="22">
        <f t="shared" si="53"/>
        <v>0</v>
      </c>
      <c r="E177" s="22">
        <f t="shared" si="53"/>
        <v>0</v>
      </c>
      <c r="F177" s="23"/>
      <c r="G177" s="22">
        <f t="shared" si="54"/>
        <v>0</v>
      </c>
      <c r="H177" s="21"/>
      <c r="I177" s="22"/>
      <c r="J177" s="22"/>
      <c r="K177" s="22"/>
      <c r="L177" s="23"/>
      <c r="M177" s="21"/>
      <c r="N177" s="22"/>
      <c r="O177" s="22"/>
      <c r="P177" s="22"/>
      <c r="Q177" s="23"/>
      <c r="R177" s="21"/>
      <c r="S177" s="22"/>
      <c r="T177" s="22"/>
      <c r="U177" s="22"/>
      <c r="V177" s="22"/>
      <c r="W177" s="24">
        <f t="shared" si="55"/>
        <v>0</v>
      </c>
      <c r="X177" s="22"/>
      <c r="Y177" s="22"/>
      <c r="Z177" s="22"/>
      <c r="AA177" s="22"/>
      <c r="AB177" s="23"/>
      <c r="AC177" s="22"/>
      <c r="AD177" s="22"/>
      <c r="AE177" s="22"/>
      <c r="AF177" s="22"/>
      <c r="AG177" s="23"/>
      <c r="AH177" s="23">
        <f t="shared" si="56"/>
        <v>0</v>
      </c>
      <c r="AI177" s="21"/>
      <c r="AJ177" s="22"/>
      <c r="AK177" s="22"/>
      <c r="AL177" s="22"/>
      <c r="AM177" s="23"/>
      <c r="AN177" s="24">
        <f t="shared" si="57"/>
        <v>0</v>
      </c>
      <c r="AO177" s="24">
        <f t="shared" si="57"/>
        <v>0</v>
      </c>
      <c r="AP177" s="22" t="e">
        <f t="shared" si="57"/>
        <v>#DIV/0!</v>
      </c>
      <c r="AQ177" s="22"/>
      <c r="AR177" s="22"/>
      <c r="AS177" s="22"/>
      <c r="AT177" s="22"/>
      <c r="AU177" s="24">
        <f t="shared" si="58"/>
        <v>0</v>
      </c>
      <c r="AV177" s="22"/>
      <c r="AW177" s="22"/>
      <c r="AX177" s="22"/>
      <c r="AY177" s="22"/>
      <c r="AZ177" s="23"/>
      <c r="BA177" s="24">
        <f t="shared" si="59"/>
        <v>0</v>
      </c>
      <c r="BB177" s="22">
        <f t="shared" si="59"/>
        <v>0</v>
      </c>
      <c r="BC177" s="22">
        <f t="shared" si="59"/>
        <v>0</v>
      </c>
      <c r="BD177" s="22">
        <f t="shared" si="59"/>
        <v>0</v>
      </c>
      <c r="BE177" s="22">
        <f t="shared" si="59"/>
        <v>0</v>
      </c>
      <c r="BF177" s="21">
        <f t="shared" si="59"/>
        <v>0</v>
      </c>
      <c r="BG177" s="22">
        <f t="shared" si="59"/>
        <v>0</v>
      </c>
      <c r="BH177" s="22">
        <f t="shared" si="59"/>
        <v>0</v>
      </c>
      <c r="BI177" s="21">
        <f t="shared" si="59"/>
        <v>0</v>
      </c>
      <c r="BJ177" s="23">
        <f t="shared" si="59"/>
        <v>0</v>
      </c>
      <c r="BK177" s="23">
        <f t="shared" si="59"/>
        <v>0</v>
      </c>
      <c r="BL177" s="24">
        <f t="shared" si="59"/>
        <v>0</v>
      </c>
      <c r="BM177" s="24">
        <f t="shared" si="59"/>
        <v>0</v>
      </c>
      <c r="BN177" s="24">
        <f t="shared" si="59"/>
        <v>0</v>
      </c>
      <c r="BO177" s="24">
        <f t="shared" si="59"/>
        <v>0</v>
      </c>
      <c r="BP177" s="24">
        <f t="shared" si="59"/>
        <v>0</v>
      </c>
      <c r="BQ177" s="24">
        <f t="shared" si="59"/>
        <v>0</v>
      </c>
      <c r="BR177" s="24">
        <f t="shared" si="59"/>
        <v>0</v>
      </c>
      <c r="BS177" s="24">
        <f t="shared" si="60"/>
        <v>0</v>
      </c>
      <c r="BT177" s="24">
        <f t="shared" si="60"/>
        <v>0</v>
      </c>
      <c r="BU177" s="24">
        <f t="shared" si="60"/>
        <v>0</v>
      </c>
      <c r="BV177" s="24">
        <f t="shared" si="60"/>
        <v>0</v>
      </c>
    </row>
    <row r="178" spans="1:74" x14ac:dyDescent="0.25"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</row>
    <row r="179" spans="1:74" x14ac:dyDescent="0.25"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</row>
    <row r="180" spans="1:74" x14ac:dyDescent="0.25"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</row>
    <row r="181" spans="1:74" x14ac:dyDescent="0.25">
      <c r="A181" s="31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</row>
    <row r="182" spans="1:74" x14ac:dyDescent="0.25"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</row>
    <row r="183" spans="1:74" x14ac:dyDescent="0.25"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</row>
    <row r="184" spans="1:74" x14ac:dyDescent="0.25"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</row>
    <row r="185" spans="1:74" x14ac:dyDescent="0.25"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</row>
    <row r="186" spans="1:74" x14ac:dyDescent="0.25"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</row>
    <row r="187" spans="1:74" x14ac:dyDescent="0.25"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</row>
    <row r="188" spans="1:74" x14ac:dyDescent="0.25"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</row>
    <row r="189" spans="1:74" x14ac:dyDescent="0.25"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</row>
    <row r="190" spans="1:74" x14ac:dyDescent="0.25"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</row>
    <row r="191" spans="1:74" x14ac:dyDescent="0.25"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</row>
    <row r="192" spans="1:74" x14ac:dyDescent="0.25">
      <c r="A192" s="3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</row>
    <row r="193" spans="2:74" x14ac:dyDescent="0.25"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</row>
    <row r="194" spans="2:74" x14ac:dyDescent="0.25"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</row>
    <row r="195" spans="2:74" x14ac:dyDescent="0.25"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</row>
    <row r="196" spans="2:74" x14ac:dyDescent="0.25"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</row>
    <row r="197" spans="2:74" x14ac:dyDescent="0.25"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</row>
    <row r="198" spans="2:74" x14ac:dyDescent="0.25"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</row>
    <row r="199" spans="2:74" x14ac:dyDescent="0.25"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</row>
  </sheetData>
  <mergeCells count="12">
    <mergeCell ref="AI4:AM4"/>
    <mergeCell ref="AP4:AT4"/>
    <mergeCell ref="AV4:AZ4"/>
    <mergeCell ref="BB4:BE4"/>
    <mergeCell ref="BF4:BH4"/>
    <mergeCell ref="BI4:BJ4"/>
    <mergeCell ref="B4:F4"/>
    <mergeCell ref="H4:L4"/>
    <mergeCell ref="M4:Q4"/>
    <mergeCell ref="R4:V4"/>
    <mergeCell ref="X4:AB4"/>
    <mergeCell ref="AC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2026-06-02T12:32:08Z</dcterms:created>
  <dcterms:modified xsi:type="dcterms:W3CDTF">2026-06-02T12:32:23Z</dcterms:modified>
</cp:coreProperties>
</file>